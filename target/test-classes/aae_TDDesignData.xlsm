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Dropbox\TD-Re\td-difficulty-estimator-master\src\test\resources\"/>
    </mc:Choice>
  </mc:AlternateContent>
  <bookViews>
    <workbookView xWindow="0" yWindow="0" windowWidth="28800" windowHeight="12435" tabRatio="884"/>
  </bookViews>
  <sheets>
    <sheet name="Level1" sheetId="16" r:id="rId1"/>
    <sheet name="Level2" sheetId="17" r:id="rId2"/>
    <sheet name="Level3" sheetId="18" r:id="rId3"/>
    <sheet name="Monsters Stats" sheetId="12" r:id="rId4"/>
    <sheet name="TowerStats" sheetId="5" r:id="rId5"/>
    <sheet name="Monster-Tower" sheetId="22" r:id="rId6"/>
    <sheet name="Level 1 Calc" sheetId="23" r:id="rId7"/>
    <sheet name="Level1-PathMap" sheetId="62" r:id="rId8"/>
    <sheet name="Sheet1" sheetId="24" state="hidden" r:id="rId9"/>
    <sheet name="Template-LocationOverTime" sheetId="27" state="hidden" r:id="rId10"/>
    <sheet name="Level1-LocationOverTime" sheetId="63" r:id="rId11"/>
  </sheets>
  <functionGroups builtInGroupCount="18"/>
  <calcPr calcId="152511"/>
</workbook>
</file>

<file path=xl/calcChain.xml><?xml version="1.0" encoding="utf-8"?>
<calcChain xmlns="http://schemas.openxmlformats.org/spreadsheetml/2006/main">
  <c r="EO8" i="63" l="1"/>
  <c r="EO9" i="63" s="1"/>
  <c r="EO10" i="63" s="1"/>
  <c r="EO11" i="63" s="1"/>
  <c r="EO12" i="63" s="1"/>
  <c r="EO13" i="63" s="1"/>
  <c r="EO14" i="63" s="1"/>
  <c r="EO15" i="63" s="1"/>
  <c r="EO16" i="63" s="1"/>
  <c r="EO17" i="63" s="1"/>
  <c r="EO18" i="63" s="1"/>
  <c r="EO19" i="63" s="1"/>
  <c r="EO20" i="63" s="1"/>
  <c r="EO21" i="63" s="1"/>
  <c r="EO22" i="63" s="1"/>
  <c r="EO23" i="63" s="1"/>
  <c r="EO24" i="63" s="1"/>
  <c r="EO25" i="63" s="1"/>
  <c r="EO26" i="63" s="1"/>
  <c r="EO27" i="63" s="1"/>
  <c r="EO28" i="63" s="1"/>
  <c r="EO29" i="63" s="1"/>
  <c r="EO30" i="63" s="1"/>
  <c r="EO31" i="63" s="1"/>
  <c r="EO32" i="63" s="1"/>
  <c r="EO33" i="63" s="1"/>
  <c r="EO34" i="63" s="1"/>
  <c r="EO35" i="63" s="1"/>
  <c r="EO36" i="63" s="1"/>
  <c r="EO37" i="63" s="1"/>
  <c r="EO38" i="63" s="1"/>
  <c r="EO39" i="63" s="1"/>
  <c r="EO40" i="63" s="1"/>
  <c r="EO41" i="63" s="1"/>
  <c r="EO42" i="63" s="1"/>
  <c r="EO43" i="63" s="1"/>
  <c r="EO44" i="63" s="1"/>
  <c r="EO45" i="63" s="1"/>
  <c r="EO46" i="63" s="1"/>
  <c r="EO47" i="63" s="1"/>
  <c r="EO48" i="63" s="1"/>
  <c r="EO49" i="63" s="1"/>
  <c r="EO50" i="63" s="1"/>
  <c r="EO51" i="63" s="1"/>
  <c r="EO52" i="63" s="1"/>
  <c r="EO53" i="63" s="1"/>
  <c r="EO54" i="63" s="1"/>
  <c r="EO55" i="63" s="1"/>
  <c r="EO56" i="63" s="1"/>
  <c r="EO57" i="63" s="1"/>
  <c r="EO58" i="63" s="1"/>
  <c r="EO59" i="63" s="1"/>
  <c r="EO60" i="63" s="1"/>
  <c r="EO61" i="63" s="1"/>
  <c r="EO62" i="63" s="1"/>
  <c r="EO63" i="63" s="1"/>
  <c r="EO64" i="63" s="1"/>
  <c r="EO65" i="63" s="1"/>
  <c r="EO66" i="63" s="1"/>
  <c r="EO67" i="63" s="1"/>
  <c r="EO68" i="63" s="1"/>
  <c r="EO69" i="63" s="1"/>
  <c r="EO70" i="63" s="1"/>
  <c r="EO71" i="63" s="1"/>
  <c r="EO72" i="63" s="1"/>
  <c r="EO73" i="63" s="1"/>
  <c r="EO74" i="63" s="1"/>
  <c r="EO75" i="63" s="1"/>
  <c r="EO76" i="63" s="1"/>
  <c r="EO77" i="63" s="1"/>
  <c r="EO78" i="63" s="1"/>
  <c r="EO79" i="63" s="1"/>
  <c r="EO80" i="63" s="1"/>
  <c r="EO81" i="63" s="1"/>
  <c r="EO82" i="63" s="1"/>
  <c r="EO83" i="63" s="1"/>
  <c r="EO84" i="63" s="1"/>
  <c r="EO85" i="63" s="1"/>
  <c r="EO86" i="63" s="1"/>
  <c r="EO87" i="63" s="1"/>
  <c r="EO88" i="63" s="1"/>
  <c r="EO89" i="63" s="1"/>
  <c r="EO90" i="63" s="1"/>
  <c r="EO91" i="63" s="1"/>
  <c r="EO92" i="63" s="1"/>
  <c r="EO93" i="63" s="1"/>
  <c r="EO94" i="63" s="1"/>
  <c r="EO95" i="63" s="1"/>
  <c r="EO96" i="63" s="1"/>
  <c r="EO97" i="63" s="1"/>
  <c r="EO98" i="63" s="1"/>
  <c r="EO99" i="63" s="1"/>
  <c r="EO100" i="63" s="1"/>
  <c r="EO101" i="63" s="1"/>
  <c r="EO102" i="63" s="1"/>
  <c r="EO103" i="63" s="1"/>
  <c r="EO104" i="63" s="1"/>
  <c r="EO105" i="63" s="1"/>
  <c r="EO106" i="63" s="1"/>
  <c r="EO107" i="63" s="1"/>
  <c r="EO108" i="63" s="1"/>
  <c r="EO109" i="63" s="1"/>
  <c r="EO110" i="63" s="1"/>
  <c r="EO111" i="63" s="1"/>
  <c r="EO112" i="63" s="1"/>
  <c r="EO113" i="63" s="1"/>
  <c r="EO114" i="63" s="1"/>
  <c r="EO115" i="63" s="1"/>
  <c r="EO116" i="63" s="1"/>
  <c r="EO117" i="63" s="1"/>
  <c r="EO118" i="63" s="1"/>
  <c r="EO119" i="63" s="1"/>
  <c r="EO120" i="63" s="1"/>
  <c r="EO121" i="63" s="1"/>
  <c r="EO122" i="63" s="1"/>
  <c r="EO123" i="63" s="1"/>
  <c r="EO124" i="63" s="1"/>
  <c r="EO125" i="63" s="1"/>
  <c r="EO126" i="63" s="1"/>
  <c r="EO127" i="63" s="1"/>
  <c r="EO128" i="63" s="1"/>
  <c r="EO129" i="63" s="1"/>
  <c r="EO130" i="63" s="1"/>
  <c r="EO131" i="63" s="1"/>
  <c r="EO132" i="63" s="1"/>
  <c r="EO133" i="63" s="1"/>
  <c r="EO134" i="63" s="1"/>
  <c r="EO135" i="63" s="1"/>
  <c r="EO136" i="63" s="1"/>
  <c r="EO137" i="63" s="1"/>
  <c r="EO138" i="63" s="1"/>
  <c r="EO139" i="63" s="1"/>
  <c r="EO140" i="63" s="1"/>
  <c r="EO141" i="63" s="1"/>
  <c r="EO142" i="63" s="1"/>
  <c r="EO143" i="63" s="1"/>
  <c r="EO144" i="63" s="1"/>
  <c r="EO145" i="63" s="1"/>
  <c r="EO146" i="63" s="1"/>
  <c r="EO147" i="63" s="1"/>
  <c r="EO148" i="63" s="1"/>
  <c r="EO149" i="63" s="1"/>
  <c r="EO150" i="63" s="1"/>
  <c r="EO151" i="63" s="1"/>
  <c r="EO152" i="63" s="1"/>
  <c r="EO153" i="63" s="1"/>
  <c r="EO154" i="63" s="1"/>
  <c r="EO155" i="63" s="1"/>
  <c r="EO156" i="63" s="1"/>
  <c r="EO157" i="63" s="1"/>
  <c r="EO158" i="63" s="1"/>
  <c r="EO159" i="63" s="1"/>
  <c r="EO160" i="63" s="1"/>
  <c r="EO161" i="63" s="1"/>
  <c r="EO162" i="63" s="1"/>
  <c r="EO163" i="63" s="1"/>
  <c r="EO164" i="63" s="1"/>
  <c r="EO165" i="63" s="1"/>
  <c r="EO166" i="63" s="1"/>
  <c r="EO167" i="63" s="1"/>
  <c r="EO168" i="63" s="1"/>
  <c r="EO169" i="63" s="1"/>
  <c r="EO170" i="63" s="1"/>
  <c r="EO171" i="63" s="1"/>
  <c r="EO172" i="63" s="1"/>
  <c r="EO173" i="63" s="1"/>
  <c r="EO174" i="63" s="1"/>
  <c r="EO175" i="63" s="1"/>
  <c r="EO176" i="63" s="1"/>
  <c r="EO177" i="63" s="1"/>
  <c r="EO178" i="63" s="1"/>
  <c r="EO179" i="63" s="1"/>
  <c r="EO180" i="63" s="1"/>
  <c r="EO181" i="63" s="1"/>
  <c r="EO182" i="63" s="1"/>
  <c r="EO183" i="63" s="1"/>
  <c r="EO184" i="63" s="1"/>
  <c r="EO185" i="63" s="1"/>
  <c r="EO186" i="63" s="1"/>
  <c r="EO187" i="63" s="1"/>
  <c r="EO188" i="63" s="1"/>
  <c r="EO189" i="63" s="1"/>
  <c r="EO190" i="63" s="1"/>
  <c r="EO191" i="63" s="1"/>
  <c r="EO192" i="63" s="1"/>
  <c r="EO193" i="63" s="1"/>
  <c r="EO194" i="63" s="1"/>
  <c r="EO195" i="63" s="1"/>
  <c r="EO196" i="63" s="1"/>
  <c r="EO197" i="63" s="1"/>
  <c r="EO198" i="63" s="1"/>
  <c r="EO199" i="63" s="1"/>
  <c r="EO200" i="63" s="1"/>
  <c r="EO201" i="63" s="1"/>
  <c r="EO202" i="63" s="1"/>
  <c r="EO203" i="63" s="1"/>
  <c r="EO204" i="63" s="1"/>
  <c r="EO205" i="63" s="1"/>
  <c r="EO206" i="63" s="1"/>
  <c r="EO207" i="63" s="1"/>
  <c r="EO208" i="63" s="1"/>
  <c r="EO209" i="63" s="1"/>
  <c r="EO210" i="63" s="1"/>
  <c r="EO211" i="63" s="1"/>
  <c r="EO212" i="63" s="1"/>
  <c r="EO213" i="63" s="1"/>
  <c r="EO214" i="63" s="1"/>
  <c r="EO215" i="63" s="1"/>
  <c r="EO216" i="63" s="1"/>
  <c r="EO217" i="63" s="1"/>
  <c r="EO218" i="63" s="1"/>
  <c r="EO219" i="63" s="1"/>
  <c r="EO220" i="63" s="1"/>
  <c r="EO221" i="63" s="1"/>
  <c r="EO222" i="63" s="1"/>
  <c r="EO223" i="63" s="1"/>
  <c r="EO224" i="63" s="1"/>
  <c r="EO225" i="63" s="1"/>
  <c r="EO226" i="63" s="1"/>
  <c r="EO227" i="63" s="1"/>
  <c r="EO228" i="63" s="1"/>
  <c r="EO229" i="63" s="1"/>
  <c r="EO230" i="63" s="1"/>
  <c r="EO231" i="63" s="1"/>
  <c r="EO232" i="63" s="1"/>
  <c r="EO233" i="63" s="1"/>
  <c r="EO234" i="63" s="1"/>
  <c r="EO235" i="63" s="1"/>
  <c r="EO236" i="63" s="1"/>
  <c r="EO237" i="63" s="1"/>
  <c r="EO238" i="63" s="1"/>
  <c r="EO239" i="63" s="1"/>
  <c r="EO240" i="63" s="1"/>
  <c r="EO241" i="63" s="1"/>
  <c r="EO242" i="63" s="1"/>
  <c r="EO243" i="63" s="1"/>
  <c r="EO244" i="63" s="1"/>
  <c r="EO245" i="63" s="1"/>
  <c r="EO246" i="63" s="1"/>
  <c r="EO247" i="63" s="1"/>
  <c r="EO248" i="63" s="1"/>
  <c r="EO249" i="63" s="1"/>
  <c r="EO250" i="63" s="1"/>
  <c r="EO251" i="63" s="1"/>
  <c r="EO252" i="63" s="1"/>
  <c r="EO253" i="63" s="1"/>
  <c r="EO254" i="63" s="1"/>
  <c r="EO255" i="63" s="1"/>
  <c r="EO256" i="63" s="1"/>
  <c r="EO257" i="63" s="1"/>
  <c r="EO258" i="63" s="1"/>
  <c r="EO259" i="63" s="1"/>
  <c r="EO260" i="63" s="1"/>
  <c r="EO261" i="63" s="1"/>
  <c r="EO262" i="63" s="1"/>
  <c r="EO263" i="63" s="1"/>
  <c r="EO264" i="63" s="1"/>
  <c r="EO265" i="63" s="1"/>
  <c r="EO266" i="63" s="1"/>
  <c r="EO267" i="63" s="1"/>
  <c r="EO268" i="63" s="1"/>
  <c r="EO269" i="63" s="1"/>
  <c r="EO270" i="63" s="1"/>
  <c r="EO271" i="63" s="1"/>
  <c r="EO272" i="63" s="1"/>
  <c r="EO273" i="63" s="1"/>
  <c r="EO274" i="63" s="1"/>
  <c r="EO275" i="63" s="1"/>
  <c r="EO276" i="63" s="1"/>
  <c r="EO277" i="63" s="1"/>
  <c r="EO278" i="63" s="1"/>
  <c r="EO279" i="63" s="1"/>
  <c r="EO280" i="63" s="1"/>
  <c r="EO281" i="63" s="1"/>
  <c r="EO282" i="63" s="1"/>
  <c r="EO283" i="63" s="1"/>
  <c r="EO284" i="63" s="1"/>
  <c r="EO285" i="63" s="1"/>
  <c r="EO286" i="63" s="1"/>
  <c r="EO287" i="63" s="1"/>
  <c r="EO288" i="63" s="1"/>
  <c r="EO289" i="63" s="1"/>
  <c r="EO290" i="63" s="1"/>
  <c r="EO291" i="63" s="1"/>
  <c r="EO292" i="63" s="1"/>
  <c r="EO293" i="63" s="1"/>
  <c r="EO294" i="63" s="1"/>
  <c r="EO295" i="63" s="1"/>
  <c r="EO296" i="63" s="1"/>
  <c r="EO297" i="63" s="1"/>
  <c r="EO298" i="63" s="1"/>
  <c r="EO299" i="63" s="1"/>
  <c r="EO300" i="63" s="1"/>
  <c r="EO301" i="63" s="1"/>
  <c r="EO302" i="63" s="1"/>
  <c r="EO303" i="63" s="1"/>
  <c r="EO304" i="63" s="1"/>
  <c r="EO305" i="63" s="1"/>
  <c r="EO306" i="63" s="1"/>
  <c r="EO307" i="63" s="1"/>
  <c r="EO308" i="63" s="1"/>
  <c r="EO7" i="63"/>
  <c r="EO6" i="63"/>
  <c r="EO5" i="63"/>
  <c r="EO4" i="63"/>
  <c r="EN8" i="63"/>
  <c r="EN9" i="63" s="1"/>
  <c r="EN10" i="63" s="1"/>
  <c r="EN11" i="63" s="1"/>
  <c r="EN12" i="63" s="1"/>
  <c r="EN13" i="63" s="1"/>
  <c r="EN14" i="63" s="1"/>
  <c r="EN15" i="63" s="1"/>
  <c r="EN16" i="63" s="1"/>
  <c r="EN17" i="63" s="1"/>
  <c r="EN18" i="63" s="1"/>
  <c r="EN19" i="63" s="1"/>
  <c r="EN20" i="63" s="1"/>
  <c r="EN21" i="63" s="1"/>
  <c r="EN22" i="63" s="1"/>
  <c r="EN23" i="63" s="1"/>
  <c r="EN24" i="63" s="1"/>
  <c r="EN25" i="63" s="1"/>
  <c r="EN26" i="63" s="1"/>
  <c r="EN27" i="63" s="1"/>
  <c r="EN28" i="63" s="1"/>
  <c r="EN29" i="63" s="1"/>
  <c r="EN30" i="63" s="1"/>
  <c r="EN31" i="63" s="1"/>
  <c r="EN32" i="63" s="1"/>
  <c r="EN33" i="63" s="1"/>
  <c r="EN34" i="63" s="1"/>
  <c r="EN35" i="63" s="1"/>
  <c r="EN36" i="63" s="1"/>
  <c r="EN37" i="63" s="1"/>
  <c r="EN38" i="63" s="1"/>
  <c r="EN39" i="63" s="1"/>
  <c r="EN40" i="63" s="1"/>
  <c r="EN41" i="63" s="1"/>
  <c r="EN42" i="63" s="1"/>
  <c r="EN43" i="63" s="1"/>
  <c r="EN44" i="63" s="1"/>
  <c r="EN45" i="63" s="1"/>
  <c r="EN46" i="63" s="1"/>
  <c r="EN47" i="63" s="1"/>
  <c r="EN48" i="63" s="1"/>
  <c r="EN49" i="63" s="1"/>
  <c r="EN50" i="63" s="1"/>
  <c r="EN51" i="63" s="1"/>
  <c r="EN52" i="63" s="1"/>
  <c r="EN53" i="63" s="1"/>
  <c r="EN54" i="63" s="1"/>
  <c r="EN55" i="63" s="1"/>
  <c r="EN56" i="63" s="1"/>
  <c r="EN57" i="63" s="1"/>
  <c r="EN58" i="63" s="1"/>
  <c r="EN59" i="63" s="1"/>
  <c r="EN60" i="63" s="1"/>
  <c r="EN61" i="63" s="1"/>
  <c r="EN62" i="63" s="1"/>
  <c r="EN63" i="63" s="1"/>
  <c r="EN64" i="63" s="1"/>
  <c r="EN65" i="63" s="1"/>
  <c r="EN66" i="63" s="1"/>
  <c r="EN67" i="63" s="1"/>
  <c r="EN68" i="63" s="1"/>
  <c r="EN69" i="63" s="1"/>
  <c r="EN70" i="63" s="1"/>
  <c r="EN71" i="63" s="1"/>
  <c r="EN72" i="63" s="1"/>
  <c r="EN73" i="63" s="1"/>
  <c r="EN74" i="63" s="1"/>
  <c r="EN75" i="63" s="1"/>
  <c r="EN76" i="63" s="1"/>
  <c r="EN77" i="63" s="1"/>
  <c r="EN78" i="63" s="1"/>
  <c r="EN79" i="63" s="1"/>
  <c r="EN80" i="63" s="1"/>
  <c r="EN81" i="63" s="1"/>
  <c r="EN82" i="63" s="1"/>
  <c r="EN83" i="63" s="1"/>
  <c r="EN84" i="63" s="1"/>
  <c r="EN85" i="63" s="1"/>
  <c r="EN86" i="63" s="1"/>
  <c r="EN87" i="63" s="1"/>
  <c r="EN88" i="63" s="1"/>
  <c r="EN89" i="63" s="1"/>
  <c r="EN90" i="63" s="1"/>
  <c r="EN91" i="63" s="1"/>
  <c r="EN92" i="63" s="1"/>
  <c r="EN93" i="63" s="1"/>
  <c r="EN94" i="63" s="1"/>
  <c r="EN95" i="63" s="1"/>
  <c r="EN96" i="63" s="1"/>
  <c r="EN97" i="63" s="1"/>
  <c r="EN98" i="63" s="1"/>
  <c r="EN99" i="63" s="1"/>
  <c r="EN100" i="63" s="1"/>
  <c r="EN101" i="63" s="1"/>
  <c r="EN102" i="63" s="1"/>
  <c r="EN103" i="63" s="1"/>
  <c r="EN104" i="63" s="1"/>
  <c r="EN105" i="63" s="1"/>
  <c r="EN106" i="63" s="1"/>
  <c r="EN107" i="63" s="1"/>
  <c r="EN108" i="63" s="1"/>
  <c r="EN109" i="63" s="1"/>
  <c r="EN110" i="63" s="1"/>
  <c r="EN111" i="63" s="1"/>
  <c r="EN112" i="63" s="1"/>
  <c r="EN113" i="63" s="1"/>
  <c r="EN114" i="63" s="1"/>
  <c r="EN115" i="63" s="1"/>
  <c r="EN116" i="63" s="1"/>
  <c r="EN117" i="63" s="1"/>
  <c r="EN118" i="63" s="1"/>
  <c r="EN119" i="63" s="1"/>
  <c r="EN120" i="63" s="1"/>
  <c r="EN121" i="63" s="1"/>
  <c r="EN122" i="63" s="1"/>
  <c r="EN123" i="63" s="1"/>
  <c r="EN124" i="63" s="1"/>
  <c r="EN125" i="63" s="1"/>
  <c r="EN126" i="63" s="1"/>
  <c r="EN127" i="63" s="1"/>
  <c r="EN128" i="63" s="1"/>
  <c r="EN129" i="63" s="1"/>
  <c r="EN130" i="63" s="1"/>
  <c r="EN131" i="63" s="1"/>
  <c r="EN132" i="63" s="1"/>
  <c r="EN133" i="63" s="1"/>
  <c r="EN134" i="63" s="1"/>
  <c r="EN135" i="63" s="1"/>
  <c r="EN136" i="63" s="1"/>
  <c r="EN137" i="63" s="1"/>
  <c r="EN138" i="63" s="1"/>
  <c r="EN139" i="63" s="1"/>
  <c r="EN140" i="63" s="1"/>
  <c r="EN141" i="63" s="1"/>
  <c r="EN142" i="63" s="1"/>
  <c r="EN143" i="63" s="1"/>
  <c r="EN144" i="63" s="1"/>
  <c r="EN145" i="63" s="1"/>
  <c r="EN146" i="63" s="1"/>
  <c r="EN147" i="63" s="1"/>
  <c r="EN148" i="63" s="1"/>
  <c r="EN149" i="63" s="1"/>
  <c r="EN150" i="63" s="1"/>
  <c r="EN151" i="63" s="1"/>
  <c r="EN152" i="63" s="1"/>
  <c r="EN153" i="63" s="1"/>
  <c r="EN154" i="63" s="1"/>
  <c r="EN155" i="63" s="1"/>
  <c r="EN156" i="63" s="1"/>
  <c r="EN157" i="63" s="1"/>
  <c r="EN158" i="63" s="1"/>
  <c r="EN159" i="63" s="1"/>
  <c r="EN160" i="63" s="1"/>
  <c r="EN161" i="63" s="1"/>
  <c r="EN162" i="63" s="1"/>
  <c r="EN163" i="63" s="1"/>
  <c r="EN164" i="63" s="1"/>
  <c r="EN165" i="63" s="1"/>
  <c r="EN166" i="63" s="1"/>
  <c r="EN167" i="63" s="1"/>
  <c r="EN168" i="63" s="1"/>
  <c r="EN169" i="63" s="1"/>
  <c r="EN170" i="63" s="1"/>
  <c r="EN171" i="63" s="1"/>
  <c r="EN172" i="63" s="1"/>
  <c r="EN173" i="63" s="1"/>
  <c r="EN174" i="63" s="1"/>
  <c r="EN175" i="63" s="1"/>
  <c r="EN176" i="63" s="1"/>
  <c r="EN177" i="63" s="1"/>
  <c r="EN178" i="63" s="1"/>
  <c r="EN179" i="63" s="1"/>
  <c r="EN180" i="63" s="1"/>
  <c r="EN181" i="63" s="1"/>
  <c r="EN182" i="63" s="1"/>
  <c r="EN183" i="63" s="1"/>
  <c r="EN184" i="63" s="1"/>
  <c r="EN185" i="63" s="1"/>
  <c r="EN186" i="63" s="1"/>
  <c r="EN187" i="63" s="1"/>
  <c r="EN188" i="63" s="1"/>
  <c r="EN189" i="63" s="1"/>
  <c r="EN190" i="63" s="1"/>
  <c r="EN191" i="63" s="1"/>
  <c r="EN192" i="63" s="1"/>
  <c r="EN193" i="63" s="1"/>
  <c r="EN194" i="63" s="1"/>
  <c r="EN195" i="63" s="1"/>
  <c r="EN196" i="63" s="1"/>
  <c r="EN197" i="63" s="1"/>
  <c r="EN198" i="63" s="1"/>
  <c r="EN199" i="63" s="1"/>
  <c r="EN200" i="63" s="1"/>
  <c r="EN201" i="63" s="1"/>
  <c r="EN202" i="63" s="1"/>
  <c r="EN203" i="63" s="1"/>
  <c r="EN204" i="63" s="1"/>
  <c r="EN205" i="63" s="1"/>
  <c r="EN206" i="63" s="1"/>
  <c r="EN207" i="63" s="1"/>
  <c r="EN208" i="63" s="1"/>
  <c r="EN209" i="63" s="1"/>
  <c r="EN210" i="63" s="1"/>
  <c r="EN211" i="63" s="1"/>
  <c r="EN212" i="63" s="1"/>
  <c r="EN213" i="63" s="1"/>
  <c r="EN214" i="63" s="1"/>
  <c r="EN215" i="63" s="1"/>
  <c r="EN216" i="63" s="1"/>
  <c r="EN217" i="63" s="1"/>
  <c r="EN218" i="63" s="1"/>
  <c r="EN219" i="63" s="1"/>
  <c r="EN220" i="63" s="1"/>
  <c r="EN221" i="63" s="1"/>
  <c r="EN222" i="63" s="1"/>
  <c r="EN223" i="63" s="1"/>
  <c r="EN224" i="63" s="1"/>
  <c r="EN225" i="63" s="1"/>
  <c r="EN226" i="63" s="1"/>
  <c r="EN227" i="63" s="1"/>
  <c r="EN228" i="63" s="1"/>
  <c r="EN229" i="63" s="1"/>
  <c r="EN230" i="63" s="1"/>
  <c r="EN231" i="63" s="1"/>
  <c r="EN232" i="63" s="1"/>
  <c r="EN233" i="63" s="1"/>
  <c r="EN234" i="63" s="1"/>
  <c r="EN235" i="63" s="1"/>
  <c r="EN236" i="63" s="1"/>
  <c r="EN237" i="63" s="1"/>
  <c r="EN238" i="63" s="1"/>
  <c r="EN239" i="63" s="1"/>
  <c r="EN240" i="63" s="1"/>
  <c r="EN241" i="63" s="1"/>
  <c r="EN242" i="63" s="1"/>
  <c r="EN243" i="63" s="1"/>
  <c r="EN244" i="63" s="1"/>
  <c r="EN245" i="63" s="1"/>
  <c r="EN246" i="63" s="1"/>
  <c r="EN247" i="63" s="1"/>
  <c r="EN248" i="63" s="1"/>
  <c r="EN249" i="63" s="1"/>
  <c r="EN250" i="63" s="1"/>
  <c r="EN251" i="63" s="1"/>
  <c r="EN252" i="63" s="1"/>
  <c r="EN253" i="63" s="1"/>
  <c r="EN254" i="63" s="1"/>
  <c r="EN255" i="63" s="1"/>
  <c r="EN256" i="63" s="1"/>
  <c r="EN257" i="63" s="1"/>
  <c r="EN258" i="63" s="1"/>
  <c r="EN259" i="63" s="1"/>
  <c r="EN260" i="63" s="1"/>
  <c r="EN261" i="63" s="1"/>
  <c r="EN262" i="63" s="1"/>
  <c r="EN263" i="63" s="1"/>
  <c r="EN264" i="63" s="1"/>
  <c r="EN265" i="63" s="1"/>
  <c r="EN266" i="63" s="1"/>
  <c r="EN267" i="63" s="1"/>
  <c r="EN268" i="63" s="1"/>
  <c r="EN269" i="63" s="1"/>
  <c r="EN270" i="63" s="1"/>
  <c r="EN271" i="63" s="1"/>
  <c r="EN272" i="63" s="1"/>
  <c r="EN273" i="63" s="1"/>
  <c r="EN274" i="63" s="1"/>
  <c r="EN275" i="63" s="1"/>
  <c r="EN276" i="63" s="1"/>
  <c r="EN277" i="63" s="1"/>
  <c r="EN278" i="63" s="1"/>
  <c r="EN279" i="63" s="1"/>
  <c r="EN280" i="63" s="1"/>
  <c r="EN281" i="63" s="1"/>
  <c r="EN282" i="63" s="1"/>
  <c r="EN283" i="63" s="1"/>
  <c r="EN284" i="63" s="1"/>
  <c r="EN285" i="63" s="1"/>
  <c r="EN286" i="63" s="1"/>
  <c r="EN287" i="63" s="1"/>
  <c r="EN288" i="63" s="1"/>
  <c r="EN289" i="63" s="1"/>
  <c r="EN290" i="63" s="1"/>
  <c r="EN291" i="63" s="1"/>
  <c r="EN292" i="63" s="1"/>
  <c r="EN293" i="63" s="1"/>
  <c r="EN294" i="63" s="1"/>
  <c r="EN295" i="63" s="1"/>
  <c r="EN296" i="63" s="1"/>
  <c r="EN297" i="63" s="1"/>
  <c r="EN298" i="63" s="1"/>
  <c r="EN299" i="63" s="1"/>
  <c r="EN300" i="63" s="1"/>
  <c r="EN301" i="63" s="1"/>
  <c r="EN302" i="63" s="1"/>
  <c r="EN303" i="63" s="1"/>
  <c r="EN304" i="63" s="1"/>
  <c r="EN305" i="63" s="1"/>
  <c r="EN306" i="63" s="1"/>
  <c r="EN307" i="63" s="1"/>
  <c r="EN308" i="63" s="1"/>
  <c r="EN7" i="63"/>
  <c r="EN6" i="63"/>
  <c r="EN5" i="63"/>
  <c r="EN4" i="63"/>
  <c r="EM8" i="63"/>
  <c r="EM7" i="63"/>
  <c r="EM6" i="63"/>
  <c r="EM5" i="63"/>
  <c r="EM4" i="63"/>
  <c r="EL8" i="63"/>
  <c r="EL7" i="63"/>
  <c r="EL6" i="63"/>
  <c r="EL5" i="63"/>
  <c r="EL4" i="63"/>
  <c r="EK8" i="63"/>
  <c r="EK7" i="63"/>
  <c r="EK6" i="63"/>
  <c r="EK5" i="63"/>
  <c r="EK4" i="63"/>
  <c r="EJ8" i="63"/>
  <c r="EJ9" i="63" s="1"/>
  <c r="EJ10" i="63" s="1"/>
  <c r="EJ11" i="63" s="1"/>
  <c r="EJ12" i="63" s="1"/>
  <c r="EJ13" i="63" s="1"/>
  <c r="EJ14" i="63" s="1"/>
  <c r="EJ15" i="63" s="1"/>
  <c r="EJ16" i="63" s="1"/>
  <c r="EJ17" i="63" s="1"/>
  <c r="EJ18" i="63" s="1"/>
  <c r="EJ19" i="63" s="1"/>
  <c r="EJ20" i="63" s="1"/>
  <c r="EJ21" i="63" s="1"/>
  <c r="EJ22" i="63" s="1"/>
  <c r="EJ23" i="63" s="1"/>
  <c r="EJ24" i="63" s="1"/>
  <c r="EJ25" i="63" s="1"/>
  <c r="EJ26" i="63" s="1"/>
  <c r="EJ27" i="63" s="1"/>
  <c r="EJ28" i="63" s="1"/>
  <c r="EJ29" i="63" s="1"/>
  <c r="EJ30" i="63" s="1"/>
  <c r="EJ31" i="63" s="1"/>
  <c r="EJ32" i="63" s="1"/>
  <c r="EJ33" i="63" s="1"/>
  <c r="EJ34" i="63" s="1"/>
  <c r="EJ35" i="63" s="1"/>
  <c r="EJ36" i="63" s="1"/>
  <c r="EJ37" i="63" s="1"/>
  <c r="EJ38" i="63" s="1"/>
  <c r="EJ39" i="63" s="1"/>
  <c r="EJ40" i="63" s="1"/>
  <c r="EJ41" i="63" s="1"/>
  <c r="EJ42" i="63" s="1"/>
  <c r="EJ43" i="63" s="1"/>
  <c r="EJ44" i="63" s="1"/>
  <c r="EJ45" i="63" s="1"/>
  <c r="EJ46" i="63" s="1"/>
  <c r="EJ47" i="63" s="1"/>
  <c r="EJ48" i="63" s="1"/>
  <c r="EJ49" i="63" s="1"/>
  <c r="EJ50" i="63" s="1"/>
  <c r="EJ51" i="63" s="1"/>
  <c r="EJ52" i="63" s="1"/>
  <c r="EJ53" i="63" s="1"/>
  <c r="EJ54" i="63" s="1"/>
  <c r="EJ55" i="63" s="1"/>
  <c r="EJ56" i="63" s="1"/>
  <c r="EJ57" i="63" s="1"/>
  <c r="EJ58" i="63" s="1"/>
  <c r="EJ59" i="63" s="1"/>
  <c r="EJ60" i="63" s="1"/>
  <c r="EJ61" i="63" s="1"/>
  <c r="EJ62" i="63" s="1"/>
  <c r="EJ63" i="63" s="1"/>
  <c r="EJ64" i="63" s="1"/>
  <c r="EJ65" i="63" s="1"/>
  <c r="EJ66" i="63" s="1"/>
  <c r="EJ67" i="63" s="1"/>
  <c r="EJ68" i="63" s="1"/>
  <c r="EJ69" i="63" s="1"/>
  <c r="EJ70" i="63" s="1"/>
  <c r="EJ71" i="63" s="1"/>
  <c r="EJ72" i="63" s="1"/>
  <c r="EJ73" i="63" s="1"/>
  <c r="EJ74" i="63" s="1"/>
  <c r="EJ75" i="63" s="1"/>
  <c r="EJ76" i="63" s="1"/>
  <c r="EJ77" i="63" s="1"/>
  <c r="EJ78" i="63" s="1"/>
  <c r="EJ79" i="63" s="1"/>
  <c r="EJ80" i="63" s="1"/>
  <c r="EJ81" i="63" s="1"/>
  <c r="EJ82" i="63" s="1"/>
  <c r="EJ83" i="63" s="1"/>
  <c r="EJ84" i="63" s="1"/>
  <c r="EJ85" i="63" s="1"/>
  <c r="EJ86" i="63" s="1"/>
  <c r="EJ87" i="63" s="1"/>
  <c r="EJ88" i="63" s="1"/>
  <c r="EJ89" i="63" s="1"/>
  <c r="EJ90" i="63" s="1"/>
  <c r="EJ91" i="63" s="1"/>
  <c r="EJ92" i="63" s="1"/>
  <c r="EJ93" i="63" s="1"/>
  <c r="EJ94" i="63" s="1"/>
  <c r="EJ95" i="63" s="1"/>
  <c r="EJ96" i="63" s="1"/>
  <c r="EJ97" i="63" s="1"/>
  <c r="EJ98" i="63" s="1"/>
  <c r="EJ99" i="63" s="1"/>
  <c r="EJ100" i="63" s="1"/>
  <c r="EJ101" i="63" s="1"/>
  <c r="EJ102" i="63" s="1"/>
  <c r="EJ103" i="63" s="1"/>
  <c r="EJ104" i="63" s="1"/>
  <c r="EJ105" i="63" s="1"/>
  <c r="EJ106" i="63" s="1"/>
  <c r="EJ107" i="63" s="1"/>
  <c r="EJ108" i="63" s="1"/>
  <c r="EJ109" i="63" s="1"/>
  <c r="EJ110" i="63" s="1"/>
  <c r="EJ111" i="63" s="1"/>
  <c r="EJ112" i="63" s="1"/>
  <c r="EJ113" i="63" s="1"/>
  <c r="EJ114" i="63" s="1"/>
  <c r="EJ115" i="63" s="1"/>
  <c r="EJ116" i="63" s="1"/>
  <c r="EJ117" i="63" s="1"/>
  <c r="EJ118" i="63" s="1"/>
  <c r="EJ119" i="63" s="1"/>
  <c r="EJ120" i="63" s="1"/>
  <c r="EJ121" i="63" s="1"/>
  <c r="EJ122" i="63" s="1"/>
  <c r="EJ123" i="63" s="1"/>
  <c r="EJ124" i="63" s="1"/>
  <c r="EJ125" i="63" s="1"/>
  <c r="EJ126" i="63" s="1"/>
  <c r="EJ127" i="63" s="1"/>
  <c r="EJ128" i="63" s="1"/>
  <c r="EJ129" i="63" s="1"/>
  <c r="EJ130" i="63" s="1"/>
  <c r="EJ131" i="63" s="1"/>
  <c r="EJ132" i="63" s="1"/>
  <c r="EJ133" i="63" s="1"/>
  <c r="EJ134" i="63" s="1"/>
  <c r="EJ135" i="63" s="1"/>
  <c r="EJ136" i="63" s="1"/>
  <c r="EJ137" i="63" s="1"/>
  <c r="EJ138" i="63" s="1"/>
  <c r="EJ139" i="63" s="1"/>
  <c r="EJ140" i="63" s="1"/>
  <c r="EJ141" i="63" s="1"/>
  <c r="EJ142" i="63" s="1"/>
  <c r="EJ143" i="63" s="1"/>
  <c r="EJ144" i="63" s="1"/>
  <c r="EJ145" i="63" s="1"/>
  <c r="EJ146" i="63" s="1"/>
  <c r="EJ147" i="63" s="1"/>
  <c r="EJ148" i="63" s="1"/>
  <c r="EJ149" i="63" s="1"/>
  <c r="EJ150" i="63" s="1"/>
  <c r="EJ151" i="63" s="1"/>
  <c r="EJ152" i="63" s="1"/>
  <c r="EJ153" i="63" s="1"/>
  <c r="EJ154" i="63" s="1"/>
  <c r="EJ155" i="63" s="1"/>
  <c r="EJ156" i="63" s="1"/>
  <c r="EJ157" i="63" s="1"/>
  <c r="EJ158" i="63" s="1"/>
  <c r="EJ159" i="63" s="1"/>
  <c r="EJ160" i="63" s="1"/>
  <c r="EJ161" i="63" s="1"/>
  <c r="EJ162" i="63" s="1"/>
  <c r="EJ163" i="63" s="1"/>
  <c r="EJ164" i="63" s="1"/>
  <c r="EJ165" i="63" s="1"/>
  <c r="EJ166" i="63" s="1"/>
  <c r="EJ167" i="63" s="1"/>
  <c r="EJ168" i="63" s="1"/>
  <c r="EJ169" i="63" s="1"/>
  <c r="EJ170" i="63" s="1"/>
  <c r="EJ171" i="63" s="1"/>
  <c r="EJ172" i="63" s="1"/>
  <c r="EJ173" i="63" s="1"/>
  <c r="EJ174" i="63" s="1"/>
  <c r="EJ175" i="63" s="1"/>
  <c r="EJ176" i="63" s="1"/>
  <c r="EJ177" i="63" s="1"/>
  <c r="EJ178" i="63" s="1"/>
  <c r="EJ179" i="63" s="1"/>
  <c r="EJ180" i="63" s="1"/>
  <c r="EJ181" i="63" s="1"/>
  <c r="EJ182" i="63" s="1"/>
  <c r="EJ183" i="63" s="1"/>
  <c r="EJ184" i="63" s="1"/>
  <c r="EJ185" i="63" s="1"/>
  <c r="EJ186" i="63" s="1"/>
  <c r="EJ187" i="63" s="1"/>
  <c r="EJ188" i="63" s="1"/>
  <c r="EJ189" i="63" s="1"/>
  <c r="EJ190" i="63" s="1"/>
  <c r="EJ191" i="63" s="1"/>
  <c r="EJ192" i="63" s="1"/>
  <c r="EJ193" i="63" s="1"/>
  <c r="EJ194" i="63" s="1"/>
  <c r="EJ195" i="63" s="1"/>
  <c r="EJ196" i="63" s="1"/>
  <c r="EJ197" i="63" s="1"/>
  <c r="EJ198" i="63" s="1"/>
  <c r="EJ199" i="63" s="1"/>
  <c r="EJ200" i="63" s="1"/>
  <c r="EJ201" i="63" s="1"/>
  <c r="EJ202" i="63" s="1"/>
  <c r="EJ203" i="63" s="1"/>
  <c r="EJ204" i="63" s="1"/>
  <c r="EJ205" i="63" s="1"/>
  <c r="EJ206" i="63" s="1"/>
  <c r="EJ207" i="63" s="1"/>
  <c r="EJ208" i="63" s="1"/>
  <c r="EJ209" i="63" s="1"/>
  <c r="EJ210" i="63" s="1"/>
  <c r="EJ211" i="63" s="1"/>
  <c r="EJ212" i="63" s="1"/>
  <c r="EJ213" i="63" s="1"/>
  <c r="EJ214" i="63" s="1"/>
  <c r="EJ215" i="63" s="1"/>
  <c r="EJ216" i="63" s="1"/>
  <c r="EJ217" i="63" s="1"/>
  <c r="EJ218" i="63" s="1"/>
  <c r="EJ219" i="63" s="1"/>
  <c r="EJ220" i="63" s="1"/>
  <c r="EJ221" i="63" s="1"/>
  <c r="EJ222" i="63" s="1"/>
  <c r="EJ223" i="63" s="1"/>
  <c r="EJ224" i="63" s="1"/>
  <c r="EJ225" i="63" s="1"/>
  <c r="EJ226" i="63" s="1"/>
  <c r="EJ227" i="63" s="1"/>
  <c r="EJ228" i="63" s="1"/>
  <c r="EJ229" i="63" s="1"/>
  <c r="EJ230" i="63" s="1"/>
  <c r="EJ231" i="63" s="1"/>
  <c r="EJ232" i="63" s="1"/>
  <c r="EJ233" i="63" s="1"/>
  <c r="EJ234" i="63" s="1"/>
  <c r="EJ235" i="63" s="1"/>
  <c r="EJ236" i="63" s="1"/>
  <c r="EJ237" i="63" s="1"/>
  <c r="EJ238" i="63" s="1"/>
  <c r="EJ239" i="63" s="1"/>
  <c r="EJ240" i="63" s="1"/>
  <c r="EJ241" i="63" s="1"/>
  <c r="EJ242" i="63" s="1"/>
  <c r="EJ243" i="63" s="1"/>
  <c r="EJ244" i="63" s="1"/>
  <c r="EJ245" i="63" s="1"/>
  <c r="EJ246" i="63" s="1"/>
  <c r="EJ247" i="63" s="1"/>
  <c r="EJ248" i="63" s="1"/>
  <c r="EJ249" i="63" s="1"/>
  <c r="EJ250" i="63" s="1"/>
  <c r="EJ251" i="63" s="1"/>
  <c r="EJ252" i="63" s="1"/>
  <c r="EJ253" i="63" s="1"/>
  <c r="EJ254" i="63" s="1"/>
  <c r="EJ255" i="63" s="1"/>
  <c r="EJ256" i="63" s="1"/>
  <c r="EJ257" i="63" s="1"/>
  <c r="EJ258" i="63" s="1"/>
  <c r="EJ259" i="63" s="1"/>
  <c r="EJ260" i="63" s="1"/>
  <c r="EJ261" i="63" s="1"/>
  <c r="EJ262" i="63" s="1"/>
  <c r="EJ263" i="63" s="1"/>
  <c r="EJ264" i="63" s="1"/>
  <c r="EJ265" i="63" s="1"/>
  <c r="EJ266" i="63" s="1"/>
  <c r="EJ267" i="63" s="1"/>
  <c r="EJ268" i="63" s="1"/>
  <c r="EJ269" i="63" s="1"/>
  <c r="EJ270" i="63" s="1"/>
  <c r="EJ271" i="63" s="1"/>
  <c r="EJ272" i="63" s="1"/>
  <c r="EJ273" i="63" s="1"/>
  <c r="EJ274" i="63" s="1"/>
  <c r="EJ275" i="63" s="1"/>
  <c r="EJ276" i="63" s="1"/>
  <c r="EJ277" i="63" s="1"/>
  <c r="EJ278" i="63" s="1"/>
  <c r="EJ279" i="63" s="1"/>
  <c r="EJ280" i="63" s="1"/>
  <c r="EJ281" i="63" s="1"/>
  <c r="EJ282" i="63" s="1"/>
  <c r="EJ283" i="63" s="1"/>
  <c r="EJ284" i="63" s="1"/>
  <c r="EJ285" i="63" s="1"/>
  <c r="EJ286" i="63" s="1"/>
  <c r="EJ287" i="63" s="1"/>
  <c r="EJ288" i="63" s="1"/>
  <c r="EJ289" i="63" s="1"/>
  <c r="EJ290" i="63" s="1"/>
  <c r="EJ291" i="63" s="1"/>
  <c r="EJ292" i="63" s="1"/>
  <c r="EJ293" i="63" s="1"/>
  <c r="EJ294" i="63" s="1"/>
  <c r="EJ295" i="63" s="1"/>
  <c r="EJ296" i="63" s="1"/>
  <c r="EJ297" i="63" s="1"/>
  <c r="EJ298" i="63" s="1"/>
  <c r="EJ299" i="63" s="1"/>
  <c r="EJ300" i="63" s="1"/>
  <c r="EJ301" i="63" s="1"/>
  <c r="EJ302" i="63" s="1"/>
  <c r="EJ303" i="63" s="1"/>
  <c r="EJ304" i="63" s="1"/>
  <c r="EJ305" i="63" s="1"/>
  <c r="EJ306" i="63" s="1"/>
  <c r="EJ307" i="63" s="1"/>
  <c r="EJ308" i="63" s="1"/>
  <c r="EJ7" i="63"/>
  <c r="EJ6" i="63"/>
  <c r="EJ5" i="63"/>
  <c r="EJ4" i="63"/>
  <c r="EI8" i="63"/>
  <c r="EI9" i="63" s="1"/>
  <c r="EI10" i="63" s="1"/>
  <c r="EI11" i="63" s="1"/>
  <c r="EI12" i="63" s="1"/>
  <c r="EI13" i="63" s="1"/>
  <c r="EI14" i="63" s="1"/>
  <c r="EI15" i="63" s="1"/>
  <c r="EI16" i="63" s="1"/>
  <c r="EI17" i="63" s="1"/>
  <c r="EI18" i="63" s="1"/>
  <c r="EI19" i="63" s="1"/>
  <c r="EI20" i="63" s="1"/>
  <c r="EI21" i="63" s="1"/>
  <c r="EI22" i="63" s="1"/>
  <c r="EI23" i="63" s="1"/>
  <c r="EI24" i="63" s="1"/>
  <c r="EI25" i="63" s="1"/>
  <c r="EI26" i="63" s="1"/>
  <c r="EI27" i="63" s="1"/>
  <c r="EI28" i="63" s="1"/>
  <c r="EI29" i="63" s="1"/>
  <c r="EI30" i="63" s="1"/>
  <c r="EI31" i="63" s="1"/>
  <c r="EI32" i="63" s="1"/>
  <c r="EI33" i="63" s="1"/>
  <c r="EI34" i="63" s="1"/>
  <c r="EI35" i="63" s="1"/>
  <c r="EI36" i="63" s="1"/>
  <c r="EI37" i="63" s="1"/>
  <c r="EI38" i="63" s="1"/>
  <c r="EI39" i="63" s="1"/>
  <c r="EI40" i="63" s="1"/>
  <c r="EI41" i="63" s="1"/>
  <c r="EI42" i="63" s="1"/>
  <c r="EI43" i="63" s="1"/>
  <c r="EI44" i="63" s="1"/>
  <c r="EI45" i="63" s="1"/>
  <c r="EI46" i="63" s="1"/>
  <c r="EI47" i="63" s="1"/>
  <c r="EI48" i="63" s="1"/>
  <c r="EI49" i="63" s="1"/>
  <c r="EI50" i="63" s="1"/>
  <c r="EI51" i="63" s="1"/>
  <c r="EI52" i="63" s="1"/>
  <c r="EI53" i="63" s="1"/>
  <c r="EI54" i="63" s="1"/>
  <c r="EI55" i="63" s="1"/>
  <c r="EI56" i="63" s="1"/>
  <c r="EI57" i="63" s="1"/>
  <c r="EI58" i="63" s="1"/>
  <c r="EI59" i="63" s="1"/>
  <c r="EI60" i="63" s="1"/>
  <c r="EI61" i="63" s="1"/>
  <c r="EI62" i="63" s="1"/>
  <c r="EI63" i="63" s="1"/>
  <c r="EI64" i="63" s="1"/>
  <c r="EI65" i="63" s="1"/>
  <c r="EI66" i="63" s="1"/>
  <c r="EI67" i="63" s="1"/>
  <c r="EI68" i="63" s="1"/>
  <c r="EI69" i="63" s="1"/>
  <c r="EI70" i="63" s="1"/>
  <c r="EI71" i="63" s="1"/>
  <c r="EI72" i="63" s="1"/>
  <c r="EI73" i="63" s="1"/>
  <c r="EI74" i="63" s="1"/>
  <c r="EI75" i="63" s="1"/>
  <c r="EI76" i="63" s="1"/>
  <c r="EI77" i="63" s="1"/>
  <c r="EI78" i="63" s="1"/>
  <c r="EI79" i="63" s="1"/>
  <c r="EI80" i="63" s="1"/>
  <c r="EI81" i="63" s="1"/>
  <c r="EI82" i="63" s="1"/>
  <c r="EI83" i="63" s="1"/>
  <c r="EI84" i="63" s="1"/>
  <c r="EI85" i="63" s="1"/>
  <c r="EI86" i="63" s="1"/>
  <c r="EI87" i="63" s="1"/>
  <c r="EI88" i="63" s="1"/>
  <c r="EI89" i="63" s="1"/>
  <c r="EI90" i="63" s="1"/>
  <c r="EI91" i="63" s="1"/>
  <c r="EI92" i="63" s="1"/>
  <c r="EI93" i="63" s="1"/>
  <c r="EI94" i="63" s="1"/>
  <c r="EI95" i="63" s="1"/>
  <c r="EI96" i="63" s="1"/>
  <c r="EI97" i="63" s="1"/>
  <c r="EI98" i="63" s="1"/>
  <c r="EI99" i="63" s="1"/>
  <c r="EI100" i="63" s="1"/>
  <c r="EI101" i="63" s="1"/>
  <c r="EI102" i="63" s="1"/>
  <c r="EI103" i="63" s="1"/>
  <c r="EI104" i="63" s="1"/>
  <c r="EI105" i="63" s="1"/>
  <c r="EI106" i="63" s="1"/>
  <c r="EI107" i="63" s="1"/>
  <c r="EI108" i="63" s="1"/>
  <c r="EI109" i="63" s="1"/>
  <c r="EI110" i="63" s="1"/>
  <c r="EI111" i="63" s="1"/>
  <c r="EI112" i="63" s="1"/>
  <c r="EI113" i="63" s="1"/>
  <c r="EI114" i="63" s="1"/>
  <c r="EI115" i="63" s="1"/>
  <c r="EI116" i="63" s="1"/>
  <c r="EI117" i="63" s="1"/>
  <c r="EI118" i="63" s="1"/>
  <c r="EI119" i="63" s="1"/>
  <c r="EI120" i="63" s="1"/>
  <c r="EI121" i="63" s="1"/>
  <c r="EI122" i="63" s="1"/>
  <c r="EI123" i="63" s="1"/>
  <c r="EI124" i="63" s="1"/>
  <c r="EI125" i="63" s="1"/>
  <c r="EI126" i="63" s="1"/>
  <c r="EI127" i="63" s="1"/>
  <c r="EI128" i="63" s="1"/>
  <c r="EI129" i="63" s="1"/>
  <c r="EI130" i="63" s="1"/>
  <c r="EI131" i="63" s="1"/>
  <c r="EI132" i="63" s="1"/>
  <c r="EI133" i="63" s="1"/>
  <c r="EI134" i="63" s="1"/>
  <c r="EI135" i="63" s="1"/>
  <c r="EI136" i="63" s="1"/>
  <c r="EI137" i="63" s="1"/>
  <c r="EI138" i="63" s="1"/>
  <c r="EI139" i="63" s="1"/>
  <c r="EI140" i="63" s="1"/>
  <c r="EI141" i="63" s="1"/>
  <c r="EI142" i="63" s="1"/>
  <c r="EI143" i="63" s="1"/>
  <c r="EI144" i="63" s="1"/>
  <c r="EI145" i="63" s="1"/>
  <c r="EI146" i="63" s="1"/>
  <c r="EI147" i="63" s="1"/>
  <c r="EI148" i="63" s="1"/>
  <c r="EI149" i="63" s="1"/>
  <c r="EI150" i="63" s="1"/>
  <c r="EI151" i="63" s="1"/>
  <c r="EI152" i="63" s="1"/>
  <c r="EI153" i="63" s="1"/>
  <c r="EI154" i="63" s="1"/>
  <c r="EI155" i="63" s="1"/>
  <c r="EI156" i="63" s="1"/>
  <c r="EI157" i="63" s="1"/>
  <c r="EI158" i="63" s="1"/>
  <c r="EI159" i="63" s="1"/>
  <c r="EI160" i="63" s="1"/>
  <c r="EI161" i="63" s="1"/>
  <c r="EI162" i="63" s="1"/>
  <c r="EI163" i="63" s="1"/>
  <c r="EI164" i="63" s="1"/>
  <c r="EI165" i="63" s="1"/>
  <c r="EI166" i="63" s="1"/>
  <c r="EI167" i="63" s="1"/>
  <c r="EI168" i="63" s="1"/>
  <c r="EI169" i="63" s="1"/>
  <c r="EI170" i="63" s="1"/>
  <c r="EI171" i="63" s="1"/>
  <c r="EI172" i="63" s="1"/>
  <c r="EI173" i="63" s="1"/>
  <c r="EI174" i="63" s="1"/>
  <c r="EI175" i="63" s="1"/>
  <c r="EI176" i="63" s="1"/>
  <c r="EI177" i="63" s="1"/>
  <c r="EI178" i="63" s="1"/>
  <c r="EI179" i="63" s="1"/>
  <c r="EI180" i="63" s="1"/>
  <c r="EI181" i="63" s="1"/>
  <c r="EI182" i="63" s="1"/>
  <c r="EI183" i="63" s="1"/>
  <c r="EI184" i="63" s="1"/>
  <c r="EI185" i="63" s="1"/>
  <c r="EI186" i="63" s="1"/>
  <c r="EI187" i="63" s="1"/>
  <c r="EI188" i="63" s="1"/>
  <c r="EI189" i="63" s="1"/>
  <c r="EI190" i="63" s="1"/>
  <c r="EI191" i="63" s="1"/>
  <c r="EI192" i="63" s="1"/>
  <c r="EI193" i="63" s="1"/>
  <c r="EI194" i="63" s="1"/>
  <c r="EI195" i="63" s="1"/>
  <c r="EI196" i="63" s="1"/>
  <c r="EI197" i="63" s="1"/>
  <c r="EI198" i="63" s="1"/>
  <c r="EI199" i="63" s="1"/>
  <c r="EI200" i="63" s="1"/>
  <c r="EI201" i="63" s="1"/>
  <c r="EI202" i="63" s="1"/>
  <c r="EI203" i="63" s="1"/>
  <c r="EI204" i="63" s="1"/>
  <c r="EI205" i="63" s="1"/>
  <c r="EI206" i="63" s="1"/>
  <c r="EI207" i="63" s="1"/>
  <c r="EI208" i="63" s="1"/>
  <c r="EI209" i="63" s="1"/>
  <c r="EI210" i="63" s="1"/>
  <c r="EI211" i="63" s="1"/>
  <c r="EI212" i="63" s="1"/>
  <c r="EI213" i="63" s="1"/>
  <c r="EI214" i="63" s="1"/>
  <c r="EI215" i="63" s="1"/>
  <c r="EI216" i="63" s="1"/>
  <c r="EI217" i="63" s="1"/>
  <c r="EI218" i="63" s="1"/>
  <c r="EI219" i="63" s="1"/>
  <c r="EI220" i="63" s="1"/>
  <c r="EI221" i="63" s="1"/>
  <c r="EI222" i="63" s="1"/>
  <c r="EI223" i="63" s="1"/>
  <c r="EI224" i="63" s="1"/>
  <c r="EI225" i="63" s="1"/>
  <c r="EI226" i="63" s="1"/>
  <c r="EI227" i="63" s="1"/>
  <c r="EI228" i="63" s="1"/>
  <c r="EI229" i="63" s="1"/>
  <c r="EI230" i="63" s="1"/>
  <c r="EI231" i="63" s="1"/>
  <c r="EI232" i="63" s="1"/>
  <c r="EI233" i="63" s="1"/>
  <c r="EI234" i="63" s="1"/>
  <c r="EI235" i="63" s="1"/>
  <c r="EI236" i="63" s="1"/>
  <c r="EI237" i="63" s="1"/>
  <c r="EI238" i="63" s="1"/>
  <c r="EI239" i="63" s="1"/>
  <c r="EI240" i="63" s="1"/>
  <c r="EI241" i="63" s="1"/>
  <c r="EI242" i="63" s="1"/>
  <c r="EI243" i="63" s="1"/>
  <c r="EI244" i="63" s="1"/>
  <c r="EI245" i="63" s="1"/>
  <c r="EI246" i="63" s="1"/>
  <c r="EI247" i="63" s="1"/>
  <c r="EI248" i="63" s="1"/>
  <c r="EI249" i="63" s="1"/>
  <c r="EI250" i="63" s="1"/>
  <c r="EI251" i="63" s="1"/>
  <c r="EI252" i="63" s="1"/>
  <c r="EI253" i="63" s="1"/>
  <c r="EI254" i="63" s="1"/>
  <c r="EI255" i="63" s="1"/>
  <c r="EI256" i="63" s="1"/>
  <c r="EI257" i="63" s="1"/>
  <c r="EI258" i="63" s="1"/>
  <c r="EI259" i="63" s="1"/>
  <c r="EI260" i="63" s="1"/>
  <c r="EI261" i="63" s="1"/>
  <c r="EI262" i="63" s="1"/>
  <c r="EI263" i="63" s="1"/>
  <c r="EI264" i="63" s="1"/>
  <c r="EI265" i="63" s="1"/>
  <c r="EI266" i="63" s="1"/>
  <c r="EI267" i="63" s="1"/>
  <c r="EI268" i="63" s="1"/>
  <c r="EI269" i="63" s="1"/>
  <c r="EI270" i="63" s="1"/>
  <c r="EI271" i="63" s="1"/>
  <c r="EI272" i="63" s="1"/>
  <c r="EI273" i="63" s="1"/>
  <c r="EI274" i="63" s="1"/>
  <c r="EI275" i="63" s="1"/>
  <c r="EI276" i="63" s="1"/>
  <c r="EI277" i="63" s="1"/>
  <c r="EI278" i="63" s="1"/>
  <c r="EI279" i="63" s="1"/>
  <c r="EI280" i="63" s="1"/>
  <c r="EI281" i="63" s="1"/>
  <c r="EI282" i="63" s="1"/>
  <c r="EI283" i="63" s="1"/>
  <c r="EI284" i="63" s="1"/>
  <c r="EI285" i="63" s="1"/>
  <c r="EI286" i="63" s="1"/>
  <c r="EI287" i="63" s="1"/>
  <c r="EI288" i="63" s="1"/>
  <c r="EI289" i="63" s="1"/>
  <c r="EI290" i="63" s="1"/>
  <c r="EI291" i="63" s="1"/>
  <c r="EI292" i="63" s="1"/>
  <c r="EI293" i="63" s="1"/>
  <c r="EI294" i="63" s="1"/>
  <c r="EI295" i="63" s="1"/>
  <c r="EI296" i="63" s="1"/>
  <c r="EI297" i="63" s="1"/>
  <c r="EI298" i="63" s="1"/>
  <c r="EI299" i="63" s="1"/>
  <c r="EI300" i="63" s="1"/>
  <c r="EI301" i="63" s="1"/>
  <c r="EI302" i="63" s="1"/>
  <c r="EI303" i="63" s="1"/>
  <c r="EI304" i="63" s="1"/>
  <c r="EI305" i="63" s="1"/>
  <c r="EI306" i="63" s="1"/>
  <c r="EI307" i="63" s="1"/>
  <c r="EI308" i="63" s="1"/>
  <c r="EI7" i="63"/>
  <c r="EI6" i="63"/>
  <c r="EI5" i="63"/>
  <c r="EI4" i="63"/>
  <c r="EH8" i="63"/>
  <c r="EH9" i="63" s="1"/>
  <c r="EH10" i="63" s="1"/>
  <c r="EH11" i="63" s="1"/>
  <c r="EH12" i="63" s="1"/>
  <c r="EH13" i="63" s="1"/>
  <c r="EH14" i="63" s="1"/>
  <c r="EH15" i="63" s="1"/>
  <c r="EH16" i="63" s="1"/>
  <c r="EH17" i="63" s="1"/>
  <c r="EH18" i="63" s="1"/>
  <c r="EH19" i="63" s="1"/>
  <c r="EH20" i="63" s="1"/>
  <c r="EH21" i="63" s="1"/>
  <c r="EH22" i="63" s="1"/>
  <c r="EH23" i="63" s="1"/>
  <c r="EH24" i="63" s="1"/>
  <c r="EH25" i="63" s="1"/>
  <c r="EH26" i="63" s="1"/>
  <c r="EH27" i="63" s="1"/>
  <c r="EH28" i="63" s="1"/>
  <c r="EH29" i="63" s="1"/>
  <c r="EH30" i="63" s="1"/>
  <c r="EH31" i="63" s="1"/>
  <c r="EH32" i="63" s="1"/>
  <c r="EH33" i="63" s="1"/>
  <c r="EH34" i="63" s="1"/>
  <c r="EH35" i="63" s="1"/>
  <c r="EH36" i="63" s="1"/>
  <c r="EH37" i="63" s="1"/>
  <c r="EH38" i="63" s="1"/>
  <c r="EH39" i="63" s="1"/>
  <c r="EH40" i="63" s="1"/>
  <c r="EH41" i="63" s="1"/>
  <c r="EH42" i="63" s="1"/>
  <c r="EH43" i="63" s="1"/>
  <c r="EH44" i="63" s="1"/>
  <c r="EH45" i="63" s="1"/>
  <c r="EH46" i="63" s="1"/>
  <c r="EH47" i="63" s="1"/>
  <c r="EH48" i="63" s="1"/>
  <c r="EH49" i="63" s="1"/>
  <c r="EH50" i="63" s="1"/>
  <c r="EH51" i="63" s="1"/>
  <c r="EH52" i="63" s="1"/>
  <c r="EH53" i="63" s="1"/>
  <c r="EH54" i="63" s="1"/>
  <c r="EH55" i="63" s="1"/>
  <c r="EH56" i="63" s="1"/>
  <c r="EH57" i="63" s="1"/>
  <c r="EH58" i="63" s="1"/>
  <c r="EH59" i="63" s="1"/>
  <c r="EH60" i="63" s="1"/>
  <c r="EH61" i="63" s="1"/>
  <c r="EH62" i="63" s="1"/>
  <c r="EH63" i="63" s="1"/>
  <c r="EH64" i="63" s="1"/>
  <c r="EH65" i="63" s="1"/>
  <c r="EH66" i="63" s="1"/>
  <c r="EH67" i="63" s="1"/>
  <c r="EH68" i="63" s="1"/>
  <c r="EH69" i="63" s="1"/>
  <c r="EH70" i="63" s="1"/>
  <c r="EH71" i="63" s="1"/>
  <c r="EH72" i="63" s="1"/>
  <c r="EH73" i="63" s="1"/>
  <c r="EH74" i="63" s="1"/>
  <c r="EH75" i="63" s="1"/>
  <c r="EH76" i="63" s="1"/>
  <c r="EH77" i="63" s="1"/>
  <c r="EH78" i="63" s="1"/>
  <c r="EH79" i="63" s="1"/>
  <c r="EH80" i="63" s="1"/>
  <c r="EH81" i="63" s="1"/>
  <c r="EH82" i="63" s="1"/>
  <c r="EH83" i="63" s="1"/>
  <c r="EH84" i="63" s="1"/>
  <c r="EH85" i="63" s="1"/>
  <c r="EH86" i="63" s="1"/>
  <c r="EH87" i="63" s="1"/>
  <c r="EH88" i="63" s="1"/>
  <c r="EH89" i="63" s="1"/>
  <c r="EH90" i="63" s="1"/>
  <c r="EH91" i="63" s="1"/>
  <c r="EH92" i="63" s="1"/>
  <c r="EH93" i="63" s="1"/>
  <c r="EH94" i="63" s="1"/>
  <c r="EH95" i="63" s="1"/>
  <c r="EH96" i="63" s="1"/>
  <c r="EH97" i="63" s="1"/>
  <c r="EH98" i="63" s="1"/>
  <c r="EH99" i="63" s="1"/>
  <c r="EH100" i="63" s="1"/>
  <c r="EH101" i="63" s="1"/>
  <c r="EH102" i="63" s="1"/>
  <c r="EH103" i="63" s="1"/>
  <c r="EH104" i="63" s="1"/>
  <c r="EH105" i="63" s="1"/>
  <c r="EH106" i="63" s="1"/>
  <c r="EH107" i="63" s="1"/>
  <c r="EH108" i="63" s="1"/>
  <c r="EH109" i="63" s="1"/>
  <c r="EH110" i="63" s="1"/>
  <c r="EH111" i="63" s="1"/>
  <c r="EH112" i="63" s="1"/>
  <c r="EH113" i="63" s="1"/>
  <c r="EH114" i="63" s="1"/>
  <c r="EH115" i="63" s="1"/>
  <c r="EH116" i="63" s="1"/>
  <c r="EH117" i="63" s="1"/>
  <c r="EH118" i="63" s="1"/>
  <c r="EH119" i="63" s="1"/>
  <c r="EH120" i="63" s="1"/>
  <c r="EH121" i="63" s="1"/>
  <c r="EH122" i="63" s="1"/>
  <c r="EH123" i="63" s="1"/>
  <c r="EH124" i="63" s="1"/>
  <c r="EH125" i="63" s="1"/>
  <c r="EH126" i="63" s="1"/>
  <c r="EH127" i="63" s="1"/>
  <c r="EH128" i="63" s="1"/>
  <c r="EH129" i="63" s="1"/>
  <c r="EH130" i="63" s="1"/>
  <c r="EH131" i="63" s="1"/>
  <c r="EH132" i="63" s="1"/>
  <c r="EH133" i="63" s="1"/>
  <c r="EH134" i="63" s="1"/>
  <c r="EH135" i="63" s="1"/>
  <c r="EH136" i="63" s="1"/>
  <c r="EH137" i="63" s="1"/>
  <c r="EH138" i="63" s="1"/>
  <c r="EH139" i="63" s="1"/>
  <c r="EH140" i="63" s="1"/>
  <c r="EH141" i="63" s="1"/>
  <c r="EH142" i="63" s="1"/>
  <c r="EH143" i="63" s="1"/>
  <c r="EH144" i="63" s="1"/>
  <c r="EH145" i="63" s="1"/>
  <c r="EH146" i="63" s="1"/>
  <c r="EH147" i="63" s="1"/>
  <c r="EH148" i="63" s="1"/>
  <c r="EH149" i="63" s="1"/>
  <c r="EH150" i="63" s="1"/>
  <c r="EH151" i="63" s="1"/>
  <c r="EH152" i="63" s="1"/>
  <c r="EH153" i="63" s="1"/>
  <c r="EH154" i="63" s="1"/>
  <c r="EH155" i="63" s="1"/>
  <c r="EH156" i="63" s="1"/>
  <c r="EH157" i="63" s="1"/>
  <c r="EH158" i="63" s="1"/>
  <c r="EH159" i="63" s="1"/>
  <c r="EH160" i="63" s="1"/>
  <c r="EH161" i="63" s="1"/>
  <c r="EH162" i="63" s="1"/>
  <c r="EH163" i="63" s="1"/>
  <c r="EH164" i="63" s="1"/>
  <c r="EH165" i="63" s="1"/>
  <c r="EH166" i="63" s="1"/>
  <c r="EH167" i="63" s="1"/>
  <c r="EH168" i="63" s="1"/>
  <c r="EH169" i="63" s="1"/>
  <c r="EH170" i="63" s="1"/>
  <c r="EH171" i="63" s="1"/>
  <c r="EH172" i="63" s="1"/>
  <c r="EH173" i="63" s="1"/>
  <c r="EH174" i="63" s="1"/>
  <c r="EH175" i="63" s="1"/>
  <c r="EH176" i="63" s="1"/>
  <c r="EH177" i="63" s="1"/>
  <c r="EH178" i="63" s="1"/>
  <c r="EH179" i="63" s="1"/>
  <c r="EH180" i="63" s="1"/>
  <c r="EH181" i="63" s="1"/>
  <c r="EH182" i="63" s="1"/>
  <c r="EH183" i="63" s="1"/>
  <c r="EH184" i="63" s="1"/>
  <c r="EH185" i="63" s="1"/>
  <c r="EH186" i="63" s="1"/>
  <c r="EH187" i="63" s="1"/>
  <c r="EH188" i="63" s="1"/>
  <c r="EH189" i="63" s="1"/>
  <c r="EH190" i="63" s="1"/>
  <c r="EH191" i="63" s="1"/>
  <c r="EH192" i="63" s="1"/>
  <c r="EH193" i="63" s="1"/>
  <c r="EH194" i="63" s="1"/>
  <c r="EH195" i="63" s="1"/>
  <c r="EH196" i="63" s="1"/>
  <c r="EH197" i="63" s="1"/>
  <c r="EH198" i="63" s="1"/>
  <c r="EH199" i="63" s="1"/>
  <c r="EH200" i="63" s="1"/>
  <c r="EH201" i="63" s="1"/>
  <c r="EH202" i="63" s="1"/>
  <c r="EH203" i="63" s="1"/>
  <c r="EH204" i="63" s="1"/>
  <c r="EH205" i="63" s="1"/>
  <c r="EH206" i="63" s="1"/>
  <c r="EH207" i="63" s="1"/>
  <c r="EH208" i="63" s="1"/>
  <c r="EH209" i="63" s="1"/>
  <c r="EH210" i="63" s="1"/>
  <c r="EH211" i="63" s="1"/>
  <c r="EH212" i="63" s="1"/>
  <c r="EH213" i="63" s="1"/>
  <c r="EH214" i="63" s="1"/>
  <c r="EH215" i="63" s="1"/>
  <c r="EH216" i="63" s="1"/>
  <c r="EH217" i="63" s="1"/>
  <c r="EH218" i="63" s="1"/>
  <c r="EH219" i="63" s="1"/>
  <c r="EH220" i="63" s="1"/>
  <c r="EH221" i="63" s="1"/>
  <c r="EH222" i="63" s="1"/>
  <c r="EH223" i="63" s="1"/>
  <c r="EH224" i="63" s="1"/>
  <c r="EH225" i="63" s="1"/>
  <c r="EH226" i="63" s="1"/>
  <c r="EH227" i="63" s="1"/>
  <c r="EH228" i="63" s="1"/>
  <c r="EH229" i="63" s="1"/>
  <c r="EH230" i="63" s="1"/>
  <c r="EH231" i="63" s="1"/>
  <c r="EH232" i="63" s="1"/>
  <c r="EH233" i="63" s="1"/>
  <c r="EH234" i="63" s="1"/>
  <c r="EH235" i="63" s="1"/>
  <c r="EH236" i="63" s="1"/>
  <c r="EH237" i="63" s="1"/>
  <c r="EH238" i="63" s="1"/>
  <c r="EH239" i="63" s="1"/>
  <c r="EH240" i="63" s="1"/>
  <c r="EH241" i="63" s="1"/>
  <c r="EH242" i="63" s="1"/>
  <c r="EH243" i="63" s="1"/>
  <c r="EH244" i="63" s="1"/>
  <c r="EH245" i="63" s="1"/>
  <c r="EH246" i="63" s="1"/>
  <c r="EH247" i="63" s="1"/>
  <c r="EH248" i="63" s="1"/>
  <c r="EH249" i="63" s="1"/>
  <c r="EH250" i="63" s="1"/>
  <c r="EH251" i="63" s="1"/>
  <c r="EH252" i="63" s="1"/>
  <c r="EH253" i="63" s="1"/>
  <c r="EH254" i="63" s="1"/>
  <c r="EH255" i="63" s="1"/>
  <c r="EH256" i="63" s="1"/>
  <c r="EH257" i="63" s="1"/>
  <c r="EH258" i="63" s="1"/>
  <c r="EH259" i="63" s="1"/>
  <c r="EH260" i="63" s="1"/>
  <c r="EH261" i="63" s="1"/>
  <c r="EH262" i="63" s="1"/>
  <c r="EH263" i="63" s="1"/>
  <c r="EH264" i="63" s="1"/>
  <c r="EH265" i="63" s="1"/>
  <c r="EH266" i="63" s="1"/>
  <c r="EH267" i="63" s="1"/>
  <c r="EH268" i="63" s="1"/>
  <c r="EH269" i="63" s="1"/>
  <c r="EH270" i="63" s="1"/>
  <c r="EH271" i="63" s="1"/>
  <c r="EH272" i="63" s="1"/>
  <c r="EH273" i="63" s="1"/>
  <c r="EH274" i="63" s="1"/>
  <c r="EH275" i="63" s="1"/>
  <c r="EH276" i="63" s="1"/>
  <c r="EH277" i="63" s="1"/>
  <c r="EH278" i="63" s="1"/>
  <c r="EH279" i="63" s="1"/>
  <c r="EH280" i="63" s="1"/>
  <c r="EH281" i="63" s="1"/>
  <c r="EH282" i="63" s="1"/>
  <c r="EH283" i="63" s="1"/>
  <c r="EH284" i="63" s="1"/>
  <c r="EH285" i="63" s="1"/>
  <c r="EH286" i="63" s="1"/>
  <c r="EH287" i="63" s="1"/>
  <c r="EH288" i="63" s="1"/>
  <c r="EH289" i="63" s="1"/>
  <c r="EH290" i="63" s="1"/>
  <c r="EH291" i="63" s="1"/>
  <c r="EH292" i="63" s="1"/>
  <c r="EH293" i="63" s="1"/>
  <c r="EH294" i="63" s="1"/>
  <c r="EH295" i="63" s="1"/>
  <c r="EH296" i="63" s="1"/>
  <c r="EH297" i="63" s="1"/>
  <c r="EH298" i="63" s="1"/>
  <c r="EH299" i="63" s="1"/>
  <c r="EH300" i="63" s="1"/>
  <c r="EH301" i="63" s="1"/>
  <c r="EH302" i="63" s="1"/>
  <c r="EH303" i="63" s="1"/>
  <c r="EH304" i="63" s="1"/>
  <c r="EH305" i="63" s="1"/>
  <c r="EH306" i="63" s="1"/>
  <c r="EH307" i="63" s="1"/>
  <c r="EH308" i="63" s="1"/>
  <c r="EH7" i="63"/>
  <c r="EH6" i="63"/>
  <c r="EH5" i="63"/>
  <c r="EH4" i="63"/>
  <c r="EG8" i="63"/>
  <c r="EG9" i="63" s="1"/>
  <c r="EG10" i="63" s="1"/>
  <c r="EG11" i="63" s="1"/>
  <c r="EG12" i="63" s="1"/>
  <c r="EG13" i="63" s="1"/>
  <c r="EG14" i="63" s="1"/>
  <c r="EG15" i="63" s="1"/>
  <c r="EG16" i="63" s="1"/>
  <c r="EG17" i="63" s="1"/>
  <c r="EG18" i="63" s="1"/>
  <c r="EG19" i="63" s="1"/>
  <c r="EG20" i="63" s="1"/>
  <c r="EG21" i="63" s="1"/>
  <c r="EG22" i="63" s="1"/>
  <c r="EG23" i="63" s="1"/>
  <c r="EG24" i="63" s="1"/>
  <c r="EG25" i="63" s="1"/>
  <c r="EG26" i="63" s="1"/>
  <c r="EG27" i="63" s="1"/>
  <c r="EG28" i="63" s="1"/>
  <c r="EG29" i="63" s="1"/>
  <c r="EG30" i="63" s="1"/>
  <c r="EG31" i="63" s="1"/>
  <c r="EG32" i="63" s="1"/>
  <c r="EG33" i="63" s="1"/>
  <c r="EG34" i="63" s="1"/>
  <c r="EG35" i="63" s="1"/>
  <c r="EG36" i="63" s="1"/>
  <c r="EG37" i="63" s="1"/>
  <c r="EG38" i="63" s="1"/>
  <c r="EG39" i="63" s="1"/>
  <c r="EG40" i="63" s="1"/>
  <c r="EG41" i="63" s="1"/>
  <c r="EG42" i="63" s="1"/>
  <c r="EG43" i="63" s="1"/>
  <c r="EG44" i="63" s="1"/>
  <c r="EG45" i="63" s="1"/>
  <c r="EG46" i="63" s="1"/>
  <c r="EG47" i="63" s="1"/>
  <c r="EG48" i="63" s="1"/>
  <c r="EG49" i="63" s="1"/>
  <c r="EG50" i="63" s="1"/>
  <c r="EG51" i="63" s="1"/>
  <c r="EG52" i="63" s="1"/>
  <c r="EG53" i="63" s="1"/>
  <c r="EG54" i="63" s="1"/>
  <c r="EG55" i="63" s="1"/>
  <c r="EG56" i="63" s="1"/>
  <c r="EG57" i="63" s="1"/>
  <c r="EG58" i="63" s="1"/>
  <c r="EG59" i="63" s="1"/>
  <c r="EG60" i="63" s="1"/>
  <c r="EG61" i="63" s="1"/>
  <c r="EG62" i="63" s="1"/>
  <c r="EG63" i="63" s="1"/>
  <c r="EG64" i="63" s="1"/>
  <c r="EG65" i="63" s="1"/>
  <c r="EG66" i="63" s="1"/>
  <c r="EG67" i="63" s="1"/>
  <c r="EG68" i="63" s="1"/>
  <c r="EG69" i="63" s="1"/>
  <c r="EG70" i="63" s="1"/>
  <c r="EG71" i="63" s="1"/>
  <c r="EG72" i="63" s="1"/>
  <c r="EG73" i="63" s="1"/>
  <c r="EG74" i="63" s="1"/>
  <c r="EG75" i="63" s="1"/>
  <c r="EG76" i="63" s="1"/>
  <c r="EG77" i="63" s="1"/>
  <c r="EG78" i="63" s="1"/>
  <c r="EG79" i="63" s="1"/>
  <c r="EG80" i="63" s="1"/>
  <c r="EG81" i="63" s="1"/>
  <c r="EG82" i="63" s="1"/>
  <c r="EG83" i="63" s="1"/>
  <c r="EG84" i="63" s="1"/>
  <c r="EG85" i="63" s="1"/>
  <c r="EG86" i="63" s="1"/>
  <c r="EG87" i="63" s="1"/>
  <c r="EG88" i="63" s="1"/>
  <c r="EG89" i="63" s="1"/>
  <c r="EG90" i="63" s="1"/>
  <c r="EG91" i="63" s="1"/>
  <c r="EG92" i="63" s="1"/>
  <c r="EG93" i="63" s="1"/>
  <c r="EG94" i="63" s="1"/>
  <c r="EG95" i="63" s="1"/>
  <c r="EG96" i="63" s="1"/>
  <c r="EG97" i="63" s="1"/>
  <c r="EG98" i="63" s="1"/>
  <c r="EG99" i="63" s="1"/>
  <c r="EG100" i="63" s="1"/>
  <c r="EG101" i="63" s="1"/>
  <c r="EG102" i="63" s="1"/>
  <c r="EG103" i="63" s="1"/>
  <c r="EG104" i="63" s="1"/>
  <c r="EG105" i="63" s="1"/>
  <c r="EG106" i="63" s="1"/>
  <c r="EG107" i="63" s="1"/>
  <c r="EG108" i="63" s="1"/>
  <c r="EG109" i="63" s="1"/>
  <c r="EG110" i="63" s="1"/>
  <c r="EG111" i="63" s="1"/>
  <c r="EG112" i="63" s="1"/>
  <c r="EG113" i="63" s="1"/>
  <c r="EG114" i="63" s="1"/>
  <c r="EG115" i="63" s="1"/>
  <c r="EG116" i="63" s="1"/>
  <c r="EG117" i="63" s="1"/>
  <c r="EG118" i="63" s="1"/>
  <c r="EG119" i="63" s="1"/>
  <c r="EG120" i="63" s="1"/>
  <c r="EG121" i="63" s="1"/>
  <c r="EG122" i="63" s="1"/>
  <c r="EG123" i="63" s="1"/>
  <c r="EG124" i="63" s="1"/>
  <c r="EG125" i="63" s="1"/>
  <c r="EG126" i="63" s="1"/>
  <c r="EG127" i="63" s="1"/>
  <c r="EG128" i="63" s="1"/>
  <c r="EG129" i="63" s="1"/>
  <c r="EG130" i="63" s="1"/>
  <c r="EG131" i="63" s="1"/>
  <c r="EG132" i="63" s="1"/>
  <c r="EG133" i="63" s="1"/>
  <c r="EG134" i="63" s="1"/>
  <c r="EG135" i="63" s="1"/>
  <c r="EG136" i="63" s="1"/>
  <c r="EG137" i="63" s="1"/>
  <c r="EG138" i="63" s="1"/>
  <c r="EG139" i="63" s="1"/>
  <c r="EG140" i="63" s="1"/>
  <c r="EG141" i="63" s="1"/>
  <c r="EG142" i="63" s="1"/>
  <c r="EG143" i="63" s="1"/>
  <c r="EG144" i="63" s="1"/>
  <c r="EG145" i="63" s="1"/>
  <c r="EG146" i="63" s="1"/>
  <c r="EG147" i="63" s="1"/>
  <c r="EG148" i="63" s="1"/>
  <c r="EG149" i="63" s="1"/>
  <c r="EG150" i="63" s="1"/>
  <c r="EG151" i="63" s="1"/>
  <c r="EG152" i="63" s="1"/>
  <c r="EG153" i="63" s="1"/>
  <c r="EG154" i="63" s="1"/>
  <c r="EG155" i="63" s="1"/>
  <c r="EG156" i="63" s="1"/>
  <c r="EG157" i="63" s="1"/>
  <c r="EG158" i="63" s="1"/>
  <c r="EG159" i="63" s="1"/>
  <c r="EG160" i="63" s="1"/>
  <c r="EG161" i="63" s="1"/>
  <c r="EG162" i="63" s="1"/>
  <c r="EG163" i="63" s="1"/>
  <c r="EG164" i="63" s="1"/>
  <c r="EG165" i="63" s="1"/>
  <c r="EG166" i="63" s="1"/>
  <c r="EG167" i="63" s="1"/>
  <c r="EG168" i="63" s="1"/>
  <c r="EG169" i="63" s="1"/>
  <c r="EG170" i="63" s="1"/>
  <c r="EG171" i="63" s="1"/>
  <c r="EG172" i="63" s="1"/>
  <c r="EG173" i="63" s="1"/>
  <c r="EG174" i="63" s="1"/>
  <c r="EG175" i="63" s="1"/>
  <c r="EG176" i="63" s="1"/>
  <c r="EG177" i="63" s="1"/>
  <c r="EG178" i="63" s="1"/>
  <c r="EG179" i="63" s="1"/>
  <c r="EG180" i="63" s="1"/>
  <c r="EG181" i="63" s="1"/>
  <c r="EG182" i="63" s="1"/>
  <c r="EG183" i="63" s="1"/>
  <c r="EG184" i="63" s="1"/>
  <c r="EG185" i="63" s="1"/>
  <c r="EG186" i="63" s="1"/>
  <c r="EG187" i="63" s="1"/>
  <c r="EG188" i="63" s="1"/>
  <c r="EG189" i="63" s="1"/>
  <c r="EG190" i="63" s="1"/>
  <c r="EG191" i="63" s="1"/>
  <c r="EG192" i="63" s="1"/>
  <c r="EG193" i="63" s="1"/>
  <c r="EG194" i="63" s="1"/>
  <c r="EG195" i="63" s="1"/>
  <c r="EG196" i="63" s="1"/>
  <c r="EG197" i="63" s="1"/>
  <c r="EG198" i="63" s="1"/>
  <c r="EG199" i="63" s="1"/>
  <c r="EG200" i="63" s="1"/>
  <c r="EG201" i="63" s="1"/>
  <c r="EG202" i="63" s="1"/>
  <c r="EG203" i="63" s="1"/>
  <c r="EG204" i="63" s="1"/>
  <c r="EG205" i="63" s="1"/>
  <c r="EG206" i="63" s="1"/>
  <c r="EG207" i="63" s="1"/>
  <c r="EG208" i="63" s="1"/>
  <c r="EG209" i="63" s="1"/>
  <c r="EG210" i="63" s="1"/>
  <c r="EG211" i="63" s="1"/>
  <c r="EG212" i="63" s="1"/>
  <c r="EG213" i="63" s="1"/>
  <c r="EG214" i="63" s="1"/>
  <c r="EG215" i="63" s="1"/>
  <c r="EG216" i="63" s="1"/>
  <c r="EG217" i="63" s="1"/>
  <c r="EG218" i="63" s="1"/>
  <c r="EG219" i="63" s="1"/>
  <c r="EG220" i="63" s="1"/>
  <c r="EG221" i="63" s="1"/>
  <c r="EG222" i="63" s="1"/>
  <c r="EG223" i="63" s="1"/>
  <c r="EG224" i="63" s="1"/>
  <c r="EG225" i="63" s="1"/>
  <c r="EG226" i="63" s="1"/>
  <c r="EG227" i="63" s="1"/>
  <c r="EG228" i="63" s="1"/>
  <c r="EG229" i="63" s="1"/>
  <c r="EG230" i="63" s="1"/>
  <c r="EG231" i="63" s="1"/>
  <c r="EG232" i="63" s="1"/>
  <c r="EG233" i="63" s="1"/>
  <c r="EG234" i="63" s="1"/>
  <c r="EG235" i="63" s="1"/>
  <c r="EG236" i="63" s="1"/>
  <c r="EG237" i="63" s="1"/>
  <c r="EG238" i="63" s="1"/>
  <c r="EG239" i="63" s="1"/>
  <c r="EG240" i="63" s="1"/>
  <c r="EG241" i="63" s="1"/>
  <c r="EG242" i="63" s="1"/>
  <c r="EG243" i="63" s="1"/>
  <c r="EG244" i="63" s="1"/>
  <c r="EG245" i="63" s="1"/>
  <c r="EG246" i="63" s="1"/>
  <c r="EG247" i="63" s="1"/>
  <c r="EG248" i="63" s="1"/>
  <c r="EG249" i="63" s="1"/>
  <c r="EG250" i="63" s="1"/>
  <c r="EG251" i="63" s="1"/>
  <c r="EG252" i="63" s="1"/>
  <c r="EG253" i="63" s="1"/>
  <c r="EG254" i="63" s="1"/>
  <c r="EG255" i="63" s="1"/>
  <c r="EG256" i="63" s="1"/>
  <c r="EG257" i="63" s="1"/>
  <c r="EG258" i="63" s="1"/>
  <c r="EG259" i="63" s="1"/>
  <c r="EG260" i="63" s="1"/>
  <c r="EG261" i="63" s="1"/>
  <c r="EG262" i="63" s="1"/>
  <c r="EG263" i="63" s="1"/>
  <c r="EG264" i="63" s="1"/>
  <c r="EG265" i="63" s="1"/>
  <c r="EG266" i="63" s="1"/>
  <c r="EG267" i="63" s="1"/>
  <c r="EG268" i="63" s="1"/>
  <c r="EG269" i="63" s="1"/>
  <c r="EG270" i="63" s="1"/>
  <c r="EG271" i="63" s="1"/>
  <c r="EG272" i="63" s="1"/>
  <c r="EG273" i="63" s="1"/>
  <c r="EG274" i="63" s="1"/>
  <c r="EG275" i="63" s="1"/>
  <c r="EG276" i="63" s="1"/>
  <c r="EG277" i="63" s="1"/>
  <c r="EG278" i="63" s="1"/>
  <c r="EG279" i="63" s="1"/>
  <c r="EG280" i="63" s="1"/>
  <c r="EG281" i="63" s="1"/>
  <c r="EG282" i="63" s="1"/>
  <c r="EG283" i="63" s="1"/>
  <c r="EG284" i="63" s="1"/>
  <c r="EG285" i="63" s="1"/>
  <c r="EG286" i="63" s="1"/>
  <c r="EG287" i="63" s="1"/>
  <c r="EG288" i="63" s="1"/>
  <c r="EG289" i="63" s="1"/>
  <c r="EG290" i="63" s="1"/>
  <c r="EG291" i="63" s="1"/>
  <c r="EG292" i="63" s="1"/>
  <c r="EG293" i="63" s="1"/>
  <c r="EG294" i="63" s="1"/>
  <c r="EG295" i="63" s="1"/>
  <c r="EG296" i="63" s="1"/>
  <c r="EG297" i="63" s="1"/>
  <c r="EG298" i="63" s="1"/>
  <c r="EG299" i="63" s="1"/>
  <c r="EG300" i="63" s="1"/>
  <c r="EG301" i="63" s="1"/>
  <c r="EG302" i="63" s="1"/>
  <c r="EG303" i="63" s="1"/>
  <c r="EG304" i="63" s="1"/>
  <c r="EG305" i="63" s="1"/>
  <c r="EG306" i="63" s="1"/>
  <c r="EG307" i="63" s="1"/>
  <c r="EG308" i="63" s="1"/>
  <c r="EG7" i="63"/>
  <c r="EG6" i="63"/>
  <c r="EG5" i="63"/>
  <c r="EG4" i="63"/>
  <c r="EF8" i="63"/>
  <c r="EF7" i="63"/>
  <c r="EF6" i="63"/>
  <c r="EF5" i="63"/>
  <c r="EF4" i="63"/>
  <c r="EE8" i="63"/>
  <c r="EE7" i="63"/>
  <c r="EE6" i="63"/>
  <c r="EE5" i="63"/>
  <c r="EE4" i="63"/>
  <c r="ED8" i="63"/>
  <c r="ED7" i="63"/>
  <c r="ED6" i="63"/>
  <c r="ED5" i="63"/>
  <c r="ED4" i="63"/>
  <c r="EC8" i="63"/>
  <c r="EC9" i="63" s="1"/>
  <c r="EC10" i="63" s="1"/>
  <c r="EC11" i="63" s="1"/>
  <c r="EC12" i="63" s="1"/>
  <c r="EC13" i="63" s="1"/>
  <c r="EC14" i="63" s="1"/>
  <c r="EC15" i="63" s="1"/>
  <c r="EC16" i="63" s="1"/>
  <c r="EC17" i="63" s="1"/>
  <c r="EC18" i="63" s="1"/>
  <c r="EC19" i="63" s="1"/>
  <c r="EC20" i="63" s="1"/>
  <c r="EC21" i="63" s="1"/>
  <c r="EC22" i="63" s="1"/>
  <c r="EC23" i="63" s="1"/>
  <c r="EC24" i="63" s="1"/>
  <c r="EC25" i="63" s="1"/>
  <c r="EC26" i="63" s="1"/>
  <c r="EC27" i="63" s="1"/>
  <c r="EC28" i="63" s="1"/>
  <c r="EC29" i="63" s="1"/>
  <c r="EC30" i="63" s="1"/>
  <c r="EC31" i="63" s="1"/>
  <c r="EC32" i="63" s="1"/>
  <c r="EC33" i="63" s="1"/>
  <c r="EC34" i="63" s="1"/>
  <c r="EC35" i="63" s="1"/>
  <c r="EC36" i="63" s="1"/>
  <c r="EC37" i="63" s="1"/>
  <c r="EC38" i="63" s="1"/>
  <c r="EC39" i="63" s="1"/>
  <c r="EC40" i="63" s="1"/>
  <c r="EC41" i="63" s="1"/>
  <c r="EC42" i="63" s="1"/>
  <c r="EC43" i="63" s="1"/>
  <c r="EC44" i="63" s="1"/>
  <c r="EC45" i="63" s="1"/>
  <c r="EC46" i="63" s="1"/>
  <c r="EC47" i="63" s="1"/>
  <c r="EC48" i="63" s="1"/>
  <c r="EC49" i="63" s="1"/>
  <c r="EC50" i="63" s="1"/>
  <c r="EC51" i="63" s="1"/>
  <c r="EC52" i="63" s="1"/>
  <c r="EC53" i="63" s="1"/>
  <c r="EC54" i="63" s="1"/>
  <c r="EC55" i="63" s="1"/>
  <c r="EC56" i="63" s="1"/>
  <c r="EC57" i="63" s="1"/>
  <c r="EC58" i="63" s="1"/>
  <c r="EC59" i="63" s="1"/>
  <c r="EC60" i="63" s="1"/>
  <c r="EC61" i="63" s="1"/>
  <c r="EC62" i="63" s="1"/>
  <c r="EC63" i="63" s="1"/>
  <c r="EC64" i="63" s="1"/>
  <c r="EC65" i="63" s="1"/>
  <c r="EC66" i="63" s="1"/>
  <c r="EC67" i="63" s="1"/>
  <c r="EC68" i="63" s="1"/>
  <c r="EC69" i="63" s="1"/>
  <c r="EC70" i="63" s="1"/>
  <c r="EC71" i="63" s="1"/>
  <c r="EC72" i="63" s="1"/>
  <c r="EC73" i="63" s="1"/>
  <c r="EC74" i="63" s="1"/>
  <c r="EC75" i="63" s="1"/>
  <c r="EC76" i="63" s="1"/>
  <c r="EC77" i="63" s="1"/>
  <c r="EC78" i="63" s="1"/>
  <c r="EC79" i="63" s="1"/>
  <c r="EC80" i="63" s="1"/>
  <c r="EC81" i="63" s="1"/>
  <c r="EC82" i="63" s="1"/>
  <c r="EC83" i="63" s="1"/>
  <c r="EC84" i="63" s="1"/>
  <c r="EC85" i="63" s="1"/>
  <c r="EC86" i="63" s="1"/>
  <c r="EC87" i="63" s="1"/>
  <c r="EC88" i="63" s="1"/>
  <c r="EC89" i="63" s="1"/>
  <c r="EC90" i="63" s="1"/>
  <c r="EC91" i="63" s="1"/>
  <c r="EC92" i="63" s="1"/>
  <c r="EC93" i="63" s="1"/>
  <c r="EC94" i="63" s="1"/>
  <c r="EC95" i="63" s="1"/>
  <c r="EC96" i="63" s="1"/>
  <c r="EC97" i="63" s="1"/>
  <c r="EC98" i="63" s="1"/>
  <c r="EC99" i="63" s="1"/>
  <c r="EC100" i="63" s="1"/>
  <c r="EC101" i="63" s="1"/>
  <c r="EC102" i="63" s="1"/>
  <c r="EC103" i="63" s="1"/>
  <c r="EC104" i="63" s="1"/>
  <c r="EC105" i="63" s="1"/>
  <c r="EC106" i="63" s="1"/>
  <c r="EC107" i="63" s="1"/>
  <c r="EC108" i="63" s="1"/>
  <c r="EC109" i="63" s="1"/>
  <c r="EC110" i="63" s="1"/>
  <c r="EC111" i="63" s="1"/>
  <c r="EC112" i="63" s="1"/>
  <c r="EC113" i="63" s="1"/>
  <c r="EC114" i="63" s="1"/>
  <c r="EC115" i="63" s="1"/>
  <c r="EC116" i="63" s="1"/>
  <c r="EC117" i="63" s="1"/>
  <c r="EC118" i="63" s="1"/>
  <c r="EC119" i="63" s="1"/>
  <c r="EC120" i="63" s="1"/>
  <c r="EC121" i="63" s="1"/>
  <c r="EC122" i="63" s="1"/>
  <c r="EC123" i="63" s="1"/>
  <c r="EC124" i="63" s="1"/>
  <c r="EC125" i="63" s="1"/>
  <c r="EC126" i="63" s="1"/>
  <c r="EC127" i="63" s="1"/>
  <c r="EC128" i="63" s="1"/>
  <c r="EC129" i="63" s="1"/>
  <c r="EC130" i="63" s="1"/>
  <c r="EC131" i="63" s="1"/>
  <c r="EC132" i="63" s="1"/>
  <c r="EC133" i="63" s="1"/>
  <c r="EC134" i="63" s="1"/>
  <c r="EC135" i="63" s="1"/>
  <c r="EC136" i="63" s="1"/>
  <c r="EC137" i="63" s="1"/>
  <c r="EC138" i="63" s="1"/>
  <c r="EC139" i="63" s="1"/>
  <c r="EC140" i="63" s="1"/>
  <c r="EC141" i="63" s="1"/>
  <c r="EC142" i="63" s="1"/>
  <c r="EC143" i="63" s="1"/>
  <c r="EC144" i="63" s="1"/>
  <c r="EC145" i="63" s="1"/>
  <c r="EC146" i="63" s="1"/>
  <c r="EC147" i="63" s="1"/>
  <c r="EC148" i="63" s="1"/>
  <c r="EC149" i="63" s="1"/>
  <c r="EC150" i="63" s="1"/>
  <c r="EC151" i="63" s="1"/>
  <c r="EC152" i="63" s="1"/>
  <c r="EC153" i="63" s="1"/>
  <c r="EC154" i="63" s="1"/>
  <c r="EC155" i="63" s="1"/>
  <c r="EC156" i="63" s="1"/>
  <c r="EC157" i="63" s="1"/>
  <c r="EC158" i="63" s="1"/>
  <c r="EC159" i="63" s="1"/>
  <c r="EC160" i="63" s="1"/>
  <c r="EC161" i="63" s="1"/>
  <c r="EC162" i="63" s="1"/>
  <c r="EC163" i="63" s="1"/>
  <c r="EC164" i="63" s="1"/>
  <c r="EC165" i="63" s="1"/>
  <c r="EC166" i="63" s="1"/>
  <c r="EC167" i="63" s="1"/>
  <c r="EC168" i="63" s="1"/>
  <c r="EC169" i="63" s="1"/>
  <c r="EC170" i="63" s="1"/>
  <c r="EC171" i="63" s="1"/>
  <c r="EC172" i="63" s="1"/>
  <c r="EC173" i="63" s="1"/>
  <c r="EC174" i="63" s="1"/>
  <c r="EC175" i="63" s="1"/>
  <c r="EC176" i="63" s="1"/>
  <c r="EC177" i="63" s="1"/>
  <c r="EC178" i="63" s="1"/>
  <c r="EC179" i="63" s="1"/>
  <c r="EC180" i="63" s="1"/>
  <c r="EC181" i="63" s="1"/>
  <c r="EC182" i="63" s="1"/>
  <c r="EC183" i="63" s="1"/>
  <c r="EC184" i="63" s="1"/>
  <c r="EC185" i="63" s="1"/>
  <c r="EC186" i="63" s="1"/>
  <c r="EC187" i="63" s="1"/>
  <c r="EC188" i="63" s="1"/>
  <c r="EC189" i="63" s="1"/>
  <c r="EC190" i="63" s="1"/>
  <c r="EC191" i="63" s="1"/>
  <c r="EC192" i="63" s="1"/>
  <c r="EC193" i="63" s="1"/>
  <c r="EC194" i="63" s="1"/>
  <c r="EC195" i="63" s="1"/>
  <c r="EC196" i="63" s="1"/>
  <c r="EC197" i="63" s="1"/>
  <c r="EC198" i="63" s="1"/>
  <c r="EC199" i="63" s="1"/>
  <c r="EC200" i="63" s="1"/>
  <c r="EC201" i="63" s="1"/>
  <c r="EC202" i="63" s="1"/>
  <c r="EC203" i="63" s="1"/>
  <c r="EC204" i="63" s="1"/>
  <c r="EC205" i="63" s="1"/>
  <c r="EC206" i="63" s="1"/>
  <c r="EC207" i="63" s="1"/>
  <c r="EC208" i="63" s="1"/>
  <c r="EC209" i="63" s="1"/>
  <c r="EC210" i="63" s="1"/>
  <c r="EC211" i="63" s="1"/>
  <c r="EC212" i="63" s="1"/>
  <c r="EC213" i="63" s="1"/>
  <c r="EC214" i="63" s="1"/>
  <c r="EC215" i="63" s="1"/>
  <c r="EC216" i="63" s="1"/>
  <c r="EC217" i="63" s="1"/>
  <c r="EC218" i="63" s="1"/>
  <c r="EC219" i="63" s="1"/>
  <c r="EC220" i="63" s="1"/>
  <c r="EC221" i="63" s="1"/>
  <c r="EC222" i="63" s="1"/>
  <c r="EC223" i="63" s="1"/>
  <c r="EC224" i="63" s="1"/>
  <c r="EC225" i="63" s="1"/>
  <c r="EC226" i="63" s="1"/>
  <c r="EC227" i="63" s="1"/>
  <c r="EC228" i="63" s="1"/>
  <c r="EC229" i="63" s="1"/>
  <c r="EC230" i="63" s="1"/>
  <c r="EC231" i="63" s="1"/>
  <c r="EC232" i="63" s="1"/>
  <c r="EC233" i="63" s="1"/>
  <c r="EC234" i="63" s="1"/>
  <c r="EC235" i="63" s="1"/>
  <c r="EC236" i="63" s="1"/>
  <c r="EC237" i="63" s="1"/>
  <c r="EC238" i="63" s="1"/>
  <c r="EC239" i="63" s="1"/>
  <c r="EC240" i="63" s="1"/>
  <c r="EC241" i="63" s="1"/>
  <c r="EC242" i="63" s="1"/>
  <c r="EC243" i="63" s="1"/>
  <c r="EC244" i="63" s="1"/>
  <c r="EC245" i="63" s="1"/>
  <c r="EC246" i="63" s="1"/>
  <c r="EC247" i="63" s="1"/>
  <c r="EC248" i="63" s="1"/>
  <c r="EC249" i="63" s="1"/>
  <c r="EC250" i="63" s="1"/>
  <c r="EC251" i="63" s="1"/>
  <c r="EC252" i="63" s="1"/>
  <c r="EC253" i="63" s="1"/>
  <c r="EC254" i="63" s="1"/>
  <c r="EC255" i="63" s="1"/>
  <c r="EC256" i="63" s="1"/>
  <c r="EC257" i="63" s="1"/>
  <c r="EC258" i="63" s="1"/>
  <c r="EC259" i="63" s="1"/>
  <c r="EC260" i="63" s="1"/>
  <c r="EC261" i="63" s="1"/>
  <c r="EC262" i="63" s="1"/>
  <c r="EC263" i="63" s="1"/>
  <c r="EC264" i="63" s="1"/>
  <c r="EC265" i="63" s="1"/>
  <c r="EC266" i="63" s="1"/>
  <c r="EC267" i="63" s="1"/>
  <c r="EC268" i="63" s="1"/>
  <c r="EC269" i="63" s="1"/>
  <c r="EC270" i="63" s="1"/>
  <c r="EC271" i="63" s="1"/>
  <c r="EC272" i="63" s="1"/>
  <c r="EC273" i="63" s="1"/>
  <c r="EC274" i="63" s="1"/>
  <c r="EC275" i="63" s="1"/>
  <c r="EC276" i="63" s="1"/>
  <c r="EC277" i="63" s="1"/>
  <c r="EC278" i="63" s="1"/>
  <c r="EC279" i="63" s="1"/>
  <c r="EC280" i="63" s="1"/>
  <c r="EC281" i="63" s="1"/>
  <c r="EC282" i="63" s="1"/>
  <c r="EC283" i="63" s="1"/>
  <c r="EC284" i="63" s="1"/>
  <c r="EC285" i="63" s="1"/>
  <c r="EC286" i="63" s="1"/>
  <c r="EC287" i="63" s="1"/>
  <c r="EC288" i="63" s="1"/>
  <c r="EC289" i="63" s="1"/>
  <c r="EC290" i="63" s="1"/>
  <c r="EC291" i="63" s="1"/>
  <c r="EC292" i="63" s="1"/>
  <c r="EC293" i="63" s="1"/>
  <c r="EC294" i="63" s="1"/>
  <c r="EC295" i="63" s="1"/>
  <c r="EC296" i="63" s="1"/>
  <c r="EC297" i="63" s="1"/>
  <c r="EC298" i="63" s="1"/>
  <c r="EC299" i="63" s="1"/>
  <c r="EC300" i="63" s="1"/>
  <c r="EC301" i="63" s="1"/>
  <c r="EC302" i="63" s="1"/>
  <c r="EC303" i="63" s="1"/>
  <c r="EC304" i="63" s="1"/>
  <c r="EC305" i="63" s="1"/>
  <c r="EC306" i="63" s="1"/>
  <c r="EC307" i="63" s="1"/>
  <c r="EC308" i="63" s="1"/>
  <c r="EC7" i="63"/>
  <c r="EC6" i="63"/>
  <c r="EC5" i="63"/>
  <c r="EC4" i="63"/>
  <c r="EB8" i="63"/>
  <c r="EB7" i="63"/>
  <c r="EB6" i="63"/>
  <c r="EB5" i="63"/>
  <c r="EB4" i="63"/>
  <c r="EA8" i="63"/>
  <c r="EA9" i="63" s="1"/>
  <c r="EA10" i="63" s="1"/>
  <c r="EA11" i="63" s="1"/>
  <c r="EA12" i="63" s="1"/>
  <c r="EA13" i="63" s="1"/>
  <c r="EA14" i="63" s="1"/>
  <c r="EA15" i="63" s="1"/>
  <c r="EA16" i="63" s="1"/>
  <c r="EA17" i="63" s="1"/>
  <c r="EA18" i="63" s="1"/>
  <c r="EA19" i="63" s="1"/>
  <c r="EA20" i="63" s="1"/>
  <c r="EA21" i="63" s="1"/>
  <c r="EA22" i="63" s="1"/>
  <c r="EA23" i="63" s="1"/>
  <c r="EA24" i="63" s="1"/>
  <c r="EA25" i="63" s="1"/>
  <c r="EA26" i="63" s="1"/>
  <c r="EA27" i="63" s="1"/>
  <c r="EA28" i="63" s="1"/>
  <c r="EA29" i="63" s="1"/>
  <c r="EA30" i="63" s="1"/>
  <c r="EA31" i="63" s="1"/>
  <c r="EA32" i="63" s="1"/>
  <c r="EA33" i="63" s="1"/>
  <c r="EA34" i="63" s="1"/>
  <c r="EA35" i="63" s="1"/>
  <c r="EA36" i="63" s="1"/>
  <c r="EA37" i="63" s="1"/>
  <c r="EA38" i="63" s="1"/>
  <c r="EA39" i="63" s="1"/>
  <c r="EA40" i="63" s="1"/>
  <c r="EA41" i="63" s="1"/>
  <c r="EA42" i="63" s="1"/>
  <c r="EA43" i="63" s="1"/>
  <c r="EA44" i="63" s="1"/>
  <c r="EA45" i="63" s="1"/>
  <c r="EA46" i="63" s="1"/>
  <c r="EA47" i="63" s="1"/>
  <c r="EA48" i="63" s="1"/>
  <c r="EA49" i="63" s="1"/>
  <c r="EA50" i="63" s="1"/>
  <c r="EA51" i="63" s="1"/>
  <c r="EA52" i="63" s="1"/>
  <c r="EA53" i="63" s="1"/>
  <c r="EA54" i="63" s="1"/>
  <c r="EA55" i="63" s="1"/>
  <c r="EA56" i="63" s="1"/>
  <c r="EA57" i="63" s="1"/>
  <c r="EA58" i="63" s="1"/>
  <c r="EA59" i="63" s="1"/>
  <c r="EA60" i="63" s="1"/>
  <c r="EA61" i="63" s="1"/>
  <c r="EA62" i="63" s="1"/>
  <c r="EA63" i="63" s="1"/>
  <c r="EA64" i="63" s="1"/>
  <c r="EA65" i="63" s="1"/>
  <c r="EA66" i="63" s="1"/>
  <c r="EA67" i="63" s="1"/>
  <c r="EA68" i="63" s="1"/>
  <c r="EA69" i="63" s="1"/>
  <c r="EA70" i="63" s="1"/>
  <c r="EA71" i="63" s="1"/>
  <c r="EA72" i="63" s="1"/>
  <c r="EA73" i="63" s="1"/>
  <c r="EA74" i="63" s="1"/>
  <c r="EA75" i="63" s="1"/>
  <c r="EA76" i="63" s="1"/>
  <c r="EA77" i="63" s="1"/>
  <c r="EA78" i="63" s="1"/>
  <c r="EA79" i="63" s="1"/>
  <c r="EA80" i="63" s="1"/>
  <c r="EA81" i="63" s="1"/>
  <c r="EA82" i="63" s="1"/>
  <c r="EA83" i="63" s="1"/>
  <c r="EA84" i="63" s="1"/>
  <c r="EA85" i="63" s="1"/>
  <c r="EA86" i="63" s="1"/>
  <c r="EA87" i="63" s="1"/>
  <c r="EA88" i="63" s="1"/>
  <c r="EA89" i="63" s="1"/>
  <c r="EA90" i="63" s="1"/>
  <c r="EA91" i="63" s="1"/>
  <c r="EA92" i="63" s="1"/>
  <c r="EA93" i="63" s="1"/>
  <c r="EA94" i="63" s="1"/>
  <c r="EA95" i="63" s="1"/>
  <c r="EA96" i="63" s="1"/>
  <c r="EA97" i="63" s="1"/>
  <c r="EA98" i="63" s="1"/>
  <c r="EA99" i="63" s="1"/>
  <c r="EA100" i="63" s="1"/>
  <c r="EA101" i="63" s="1"/>
  <c r="EA102" i="63" s="1"/>
  <c r="EA103" i="63" s="1"/>
  <c r="EA104" i="63" s="1"/>
  <c r="EA105" i="63" s="1"/>
  <c r="EA106" i="63" s="1"/>
  <c r="EA107" i="63" s="1"/>
  <c r="EA108" i="63" s="1"/>
  <c r="EA109" i="63" s="1"/>
  <c r="EA110" i="63" s="1"/>
  <c r="EA111" i="63" s="1"/>
  <c r="EA112" i="63" s="1"/>
  <c r="EA113" i="63" s="1"/>
  <c r="EA114" i="63" s="1"/>
  <c r="EA115" i="63" s="1"/>
  <c r="EA116" i="63" s="1"/>
  <c r="EA117" i="63" s="1"/>
  <c r="EA118" i="63" s="1"/>
  <c r="EA119" i="63" s="1"/>
  <c r="EA120" i="63" s="1"/>
  <c r="EA121" i="63" s="1"/>
  <c r="EA122" i="63" s="1"/>
  <c r="EA123" i="63" s="1"/>
  <c r="EA124" i="63" s="1"/>
  <c r="EA125" i="63" s="1"/>
  <c r="EA126" i="63" s="1"/>
  <c r="EA127" i="63" s="1"/>
  <c r="EA128" i="63" s="1"/>
  <c r="EA129" i="63" s="1"/>
  <c r="EA130" i="63" s="1"/>
  <c r="EA131" i="63" s="1"/>
  <c r="EA132" i="63" s="1"/>
  <c r="EA133" i="63" s="1"/>
  <c r="EA134" i="63" s="1"/>
  <c r="EA135" i="63" s="1"/>
  <c r="EA136" i="63" s="1"/>
  <c r="EA137" i="63" s="1"/>
  <c r="EA138" i="63" s="1"/>
  <c r="EA139" i="63" s="1"/>
  <c r="EA140" i="63" s="1"/>
  <c r="EA141" i="63" s="1"/>
  <c r="EA142" i="63" s="1"/>
  <c r="EA143" i="63" s="1"/>
  <c r="EA144" i="63" s="1"/>
  <c r="EA145" i="63" s="1"/>
  <c r="EA146" i="63" s="1"/>
  <c r="EA147" i="63" s="1"/>
  <c r="EA148" i="63" s="1"/>
  <c r="EA149" i="63" s="1"/>
  <c r="EA150" i="63" s="1"/>
  <c r="EA151" i="63" s="1"/>
  <c r="EA152" i="63" s="1"/>
  <c r="EA153" i="63" s="1"/>
  <c r="EA154" i="63" s="1"/>
  <c r="EA155" i="63" s="1"/>
  <c r="EA156" i="63" s="1"/>
  <c r="EA157" i="63" s="1"/>
  <c r="EA158" i="63" s="1"/>
  <c r="EA159" i="63" s="1"/>
  <c r="EA160" i="63" s="1"/>
  <c r="EA161" i="63" s="1"/>
  <c r="EA162" i="63" s="1"/>
  <c r="EA163" i="63" s="1"/>
  <c r="EA164" i="63" s="1"/>
  <c r="EA165" i="63" s="1"/>
  <c r="EA166" i="63" s="1"/>
  <c r="EA167" i="63" s="1"/>
  <c r="EA168" i="63" s="1"/>
  <c r="EA169" i="63" s="1"/>
  <c r="EA170" i="63" s="1"/>
  <c r="EA171" i="63" s="1"/>
  <c r="EA172" i="63" s="1"/>
  <c r="EA173" i="63" s="1"/>
  <c r="EA174" i="63" s="1"/>
  <c r="EA175" i="63" s="1"/>
  <c r="EA176" i="63" s="1"/>
  <c r="EA177" i="63" s="1"/>
  <c r="EA178" i="63" s="1"/>
  <c r="EA179" i="63" s="1"/>
  <c r="EA180" i="63" s="1"/>
  <c r="EA181" i="63" s="1"/>
  <c r="EA182" i="63" s="1"/>
  <c r="EA183" i="63" s="1"/>
  <c r="EA184" i="63" s="1"/>
  <c r="EA185" i="63" s="1"/>
  <c r="EA186" i="63" s="1"/>
  <c r="EA187" i="63" s="1"/>
  <c r="EA188" i="63" s="1"/>
  <c r="EA189" i="63" s="1"/>
  <c r="EA190" i="63" s="1"/>
  <c r="EA191" i="63" s="1"/>
  <c r="EA192" i="63" s="1"/>
  <c r="EA193" i="63" s="1"/>
  <c r="EA194" i="63" s="1"/>
  <c r="EA195" i="63" s="1"/>
  <c r="EA196" i="63" s="1"/>
  <c r="EA197" i="63" s="1"/>
  <c r="EA198" i="63" s="1"/>
  <c r="EA199" i="63" s="1"/>
  <c r="EA200" i="63" s="1"/>
  <c r="EA201" i="63" s="1"/>
  <c r="EA202" i="63" s="1"/>
  <c r="EA203" i="63" s="1"/>
  <c r="EA204" i="63" s="1"/>
  <c r="EA205" i="63" s="1"/>
  <c r="EA206" i="63" s="1"/>
  <c r="EA207" i="63" s="1"/>
  <c r="EA208" i="63" s="1"/>
  <c r="EA209" i="63" s="1"/>
  <c r="EA210" i="63" s="1"/>
  <c r="EA211" i="63" s="1"/>
  <c r="EA212" i="63" s="1"/>
  <c r="EA213" i="63" s="1"/>
  <c r="EA214" i="63" s="1"/>
  <c r="EA215" i="63" s="1"/>
  <c r="EA216" i="63" s="1"/>
  <c r="EA217" i="63" s="1"/>
  <c r="EA218" i="63" s="1"/>
  <c r="EA219" i="63" s="1"/>
  <c r="EA220" i="63" s="1"/>
  <c r="EA221" i="63" s="1"/>
  <c r="EA222" i="63" s="1"/>
  <c r="EA223" i="63" s="1"/>
  <c r="EA224" i="63" s="1"/>
  <c r="EA225" i="63" s="1"/>
  <c r="EA226" i="63" s="1"/>
  <c r="EA227" i="63" s="1"/>
  <c r="EA228" i="63" s="1"/>
  <c r="EA229" i="63" s="1"/>
  <c r="EA230" i="63" s="1"/>
  <c r="EA231" i="63" s="1"/>
  <c r="EA232" i="63" s="1"/>
  <c r="EA233" i="63" s="1"/>
  <c r="EA234" i="63" s="1"/>
  <c r="EA235" i="63" s="1"/>
  <c r="EA236" i="63" s="1"/>
  <c r="EA237" i="63" s="1"/>
  <c r="EA238" i="63" s="1"/>
  <c r="EA239" i="63" s="1"/>
  <c r="EA240" i="63" s="1"/>
  <c r="EA241" i="63" s="1"/>
  <c r="EA242" i="63" s="1"/>
  <c r="EA243" i="63" s="1"/>
  <c r="EA244" i="63" s="1"/>
  <c r="EA245" i="63" s="1"/>
  <c r="EA246" i="63" s="1"/>
  <c r="EA247" i="63" s="1"/>
  <c r="EA248" i="63" s="1"/>
  <c r="EA249" i="63" s="1"/>
  <c r="EA250" i="63" s="1"/>
  <c r="EA251" i="63" s="1"/>
  <c r="EA252" i="63" s="1"/>
  <c r="EA253" i="63" s="1"/>
  <c r="EA254" i="63" s="1"/>
  <c r="EA255" i="63" s="1"/>
  <c r="EA256" i="63" s="1"/>
  <c r="EA257" i="63" s="1"/>
  <c r="EA258" i="63" s="1"/>
  <c r="EA259" i="63" s="1"/>
  <c r="EA260" i="63" s="1"/>
  <c r="EA261" i="63" s="1"/>
  <c r="EA262" i="63" s="1"/>
  <c r="EA263" i="63" s="1"/>
  <c r="EA264" i="63" s="1"/>
  <c r="EA265" i="63" s="1"/>
  <c r="EA266" i="63" s="1"/>
  <c r="EA267" i="63" s="1"/>
  <c r="EA268" i="63" s="1"/>
  <c r="EA269" i="63" s="1"/>
  <c r="EA270" i="63" s="1"/>
  <c r="EA271" i="63" s="1"/>
  <c r="EA272" i="63" s="1"/>
  <c r="EA273" i="63" s="1"/>
  <c r="EA274" i="63" s="1"/>
  <c r="EA275" i="63" s="1"/>
  <c r="EA276" i="63" s="1"/>
  <c r="EA277" i="63" s="1"/>
  <c r="EA278" i="63" s="1"/>
  <c r="EA279" i="63" s="1"/>
  <c r="EA280" i="63" s="1"/>
  <c r="EA281" i="63" s="1"/>
  <c r="EA282" i="63" s="1"/>
  <c r="EA283" i="63" s="1"/>
  <c r="EA284" i="63" s="1"/>
  <c r="EA285" i="63" s="1"/>
  <c r="EA286" i="63" s="1"/>
  <c r="EA287" i="63" s="1"/>
  <c r="EA288" i="63" s="1"/>
  <c r="EA289" i="63" s="1"/>
  <c r="EA290" i="63" s="1"/>
  <c r="EA291" i="63" s="1"/>
  <c r="EA292" i="63" s="1"/>
  <c r="EA293" i="63" s="1"/>
  <c r="EA294" i="63" s="1"/>
  <c r="EA295" i="63" s="1"/>
  <c r="EA296" i="63" s="1"/>
  <c r="EA297" i="63" s="1"/>
  <c r="EA298" i="63" s="1"/>
  <c r="EA299" i="63" s="1"/>
  <c r="EA300" i="63" s="1"/>
  <c r="EA301" i="63" s="1"/>
  <c r="EA302" i="63" s="1"/>
  <c r="EA303" i="63" s="1"/>
  <c r="EA304" i="63" s="1"/>
  <c r="EA305" i="63" s="1"/>
  <c r="EA306" i="63" s="1"/>
  <c r="EA307" i="63" s="1"/>
  <c r="EA308" i="63" s="1"/>
  <c r="EA7" i="63"/>
  <c r="EA6" i="63"/>
  <c r="EA5" i="63"/>
  <c r="EA4" i="63"/>
  <c r="DZ8" i="63"/>
  <c r="DZ9" i="63" s="1"/>
  <c r="DZ10" i="63" s="1"/>
  <c r="DZ11" i="63" s="1"/>
  <c r="DZ12" i="63" s="1"/>
  <c r="DZ13" i="63" s="1"/>
  <c r="DZ14" i="63" s="1"/>
  <c r="DZ15" i="63" s="1"/>
  <c r="DZ16" i="63" s="1"/>
  <c r="DZ17" i="63" s="1"/>
  <c r="DZ18" i="63" s="1"/>
  <c r="DZ19" i="63" s="1"/>
  <c r="DZ20" i="63" s="1"/>
  <c r="DZ21" i="63" s="1"/>
  <c r="DZ22" i="63" s="1"/>
  <c r="DZ23" i="63" s="1"/>
  <c r="DZ24" i="63" s="1"/>
  <c r="DZ25" i="63" s="1"/>
  <c r="DZ26" i="63" s="1"/>
  <c r="DZ27" i="63" s="1"/>
  <c r="DZ28" i="63" s="1"/>
  <c r="DZ29" i="63" s="1"/>
  <c r="DZ30" i="63" s="1"/>
  <c r="DZ31" i="63" s="1"/>
  <c r="DZ32" i="63" s="1"/>
  <c r="DZ33" i="63" s="1"/>
  <c r="DZ34" i="63" s="1"/>
  <c r="DZ35" i="63" s="1"/>
  <c r="DZ36" i="63" s="1"/>
  <c r="DZ37" i="63" s="1"/>
  <c r="DZ38" i="63" s="1"/>
  <c r="DZ39" i="63" s="1"/>
  <c r="DZ40" i="63" s="1"/>
  <c r="DZ41" i="63" s="1"/>
  <c r="DZ42" i="63" s="1"/>
  <c r="DZ43" i="63" s="1"/>
  <c r="DZ44" i="63" s="1"/>
  <c r="DZ45" i="63" s="1"/>
  <c r="DZ46" i="63" s="1"/>
  <c r="DZ47" i="63" s="1"/>
  <c r="DZ48" i="63" s="1"/>
  <c r="DZ49" i="63" s="1"/>
  <c r="DZ50" i="63" s="1"/>
  <c r="DZ51" i="63" s="1"/>
  <c r="DZ52" i="63" s="1"/>
  <c r="DZ53" i="63" s="1"/>
  <c r="DZ54" i="63" s="1"/>
  <c r="DZ55" i="63" s="1"/>
  <c r="DZ56" i="63" s="1"/>
  <c r="DZ57" i="63" s="1"/>
  <c r="DZ58" i="63" s="1"/>
  <c r="DZ59" i="63" s="1"/>
  <c r="DZ60" i="63" s="1"/>
  <c r="DZ61" i="63" s="1"/>
  <c r="DZ62" i="63" s="1"/>
  <c r="DZ63" i="63" s="1"/>
  <c r="DZ64" i="63" s="1"/>
  <c r="DZ65" i="63" s="1"/>
  <c r="DZ66" i="63" s="1"/>
  <c r="DZ67" i="63" s="1"/>
  <c r="DZ68" i="63" s="1"/>
  <c r="DZ69" i="63" s="1"/>
  <c r="DZ70" i="63" s="1"/>
  <c r="DZ71" i="63" s="1"/>
  <c r="DZ72" i="63" s="1"/>
  <c r="DZ73" i="63" s="1"/>
  <c r="DZ74" i="63" s="1"/>
  <c r="DZ75" i="63" s="1"/>
  <c r="DZ76" i="63" s="1"/>
  <c r="DZ77" i="63" s="1"/>
  <c r="DZ78" i="63" s="1"/>
  <c r="DZ79" i="63" s="1"/>
  <c r="DZ80" i="63" s="1"/>
  <c r="DZ81" i="63" s="1"/>
  <c r="DZ82" i="63" s="1"/>
  <c r="DZ83" i="63" s="1"/>
  <c r="DZ84" i="63" s="1"/>
  <c r="DZ85" i="63" s="1"/>
  <c r="DZ86" i="63" s="1"/>
  <c r="DZ87" i="63" s="1"/>
  <c r="DZ88" i="63" s="1"/>
  <c r="DZ89" i="63" s="1"/>
  <c r="DZ90" i="63" s="1"/>
  <c r="DZ91" i="63" s="1"/>
  <c r="DZ92" i="63" s="1"/>
  <c r="DZ93" i="63" s="1"/>
  <c r="DZ94" i="63" s="1"/>
  <c r="DZ95" i="63" s="1"/>
  <c r="DZ96" i="63" s="1"/>
  <c r="DZ97" i="63" s="1"/>
  <c r="DZ98" i="63" s="1"/>
  <c r="DZ99" i="63" s="1"/>
  <c r="DZ100" i="63" s="1"/>
  <c r="DZ101" i="63" s="1"/>
  <c r="DZ102" i="63" s="1"/>
  <c r="DZ103" i="63" s="1"/>
  <c r="DZ104" i="63" s="1"/>
  <c r="DZ105" i="63" s="1"/>
  <c r="DZ106" i="63" s="1"/>
  <c r="DZ107" i="63" s="1"/>
  <c r="DZ108" i="63" s="1"/>
  <c r="DZ109" i="63" s="1"/>
  <c r="DZ110" i="63" s="1"/>
  <c r="DZ111" i="63" s="1"/>
  <c r="DZ112" i="63" s="1"/>
  <c r="DZ113" i="63" s="1"/>
  <c r="DZ114" i="63" s="1"/>
  <c r="DZ115" i="63" s="1"/>
  <c r="DZ116" i="63" s="1"/>
  <c r="DZ117" i="63" s="1"/>
  <c r="DZ118" i="63" s="1"/>
  <c r="DZ119" i="63" s="1"/>
  <c r="DZ120" i="63" s="1"/>
  <c r="DZ121" i="63" s="1"/>
  <c r="DZ122" i="63" s="1"/>
  <c r="DZ123" i="63" s="1"/>
  <c r="DZ124" i="63" s="1"/>
  <c r="DZ125" i="63" s="1"/>
  <c r="DZ126" i="63" s="1"/>
  <c r="DZ127" i="63" s="1"/>
  <c r="DZ128" i="63" s="1"/>
  <c r="DZ129" i="63" s="1"/>
  <c r="DZ130" i="63" s="1"/>
  <c r="DZ131" i="63" s="1"/>
  <c r="DZ132" i="63" s="1"/>
  <c r="DZ133" i="63" s="1"/>
  <c r="DZ134" i="63" s="1"/>
  <c r="DZ135" i="63" s="1"/>
  <c r="DZ136" i="63" s="1"/>
  <c r="DZ137" i="63" s="1"/>
  <c r="DZ138" i="63" s="1"/>
  <c r="DZ139" i="63" s="1"/>
  <c r="DZ140" i="63" s="1"/>
  <c r="DZ141" i="63" s="1"/>
  <c r="DZ142" i="63" s="1"/>
  <c r="DZ143" i="63" s="1"/>
  <c r="DZ144" i="63" s="1"/>
  <c r="DZ145" i="63" s="1"/>
  <c r="DZ146" i="63" s="1"/>
  <c r="DZ147" i="63" s="1"/>
  <c r="DZ148" i="63" s="1"/>
  <c r="DZ149" i="63" s="1"/>
  <c r="DZ150" i="63" s="1"/>
  <c r="DZ151" i="63" s="1"/>
  <c r="DZ152" i="63" s="1"/>
  <c r="DZ153" i="63" s="1"/>
  <c r="DZ154" i="63" s="1"/>
  <c r="DZ155" i="63" s="1"/>
  <c r="DZ156" i="63" s="1"/>
  <c r="DZ157" i="63" s="1"/>
  <c r="DZ158" i="63" s="1"/>
  <c r="DZ159" i="63" s="1"/>
  <c r="DZ160" i="63" s="1"/>
  <c r="DZ161" i="63" s="1"/>
  <c r="DZ162" i="63" s="1"/>
  <c r="DZ163" i="63" s="1"/>
  <c r="DZ164" i="63" s="1"/>
  <c r="DZ165" i="63" s="1"/>
  <c r="DZ166" i="63" s="1"/>
  <c r="DZ167" i="63" s="1"/>
  <c r="DZ168" i="63" s="1"/>
  <c r="DZ169" i="63" s="1"/>
  <c r="DZ170" i="63" s="1"/>
  <c r="DZ171" i="63" s="1"/>
  <c r="DZ172" i="63" s="1"/>
  <c r="DZ173" i="63" s="1"/>
  <c r="DZ174" i="63" s="1"/>
  <c r="DZ175" i="63" s="1"/>
  <c r="DZ176" i="63" s="1"/>
  <c r="DZ177" i="63" s="1"/>
  <c r="DZ178" i="63" s="1"/>
  <c r="DZ179" i="63" s="1"/>
  <c r="DZ180" i="63" s="1"/>
  <c r="DZ181" i="63" s="1"/>
  <c r="DZ182" i="63" s="1"/>
  <c r="DZ183" i="63" s="1"/>
  <c r="DZ184" i="63" s="1"/>
  <c r="DZ185" i="63" s="1"/>
  <c r="DZ186" i="63" s="1"/>
  <c r="DZ187" i="63" s="1"/>
  <c r="DZ188" i="63" s="1"/>
  <c r="DZ189" i="63" s="1"/>
  <c r="DZ190" i="63" s="1"/>
  <c r="DZ191" i="63" s="1"/>
  <c r="DZ192" i="63" s="1"/>
  <c r="DZ193" i="63" s="1"/>
  <c r="DZ194" i="63" s="1"/>
  <c r="DZ195" i="63" s="1"/>
  <c r="DZ196" i="63" s="1"/>
  <c r="DZ197" i="63" s="1"/>
  <c r="DZ198" i="63" s="1"/>
  <c r="DZ199" i="63" s="1"/>
  <c r="DZ200" i="63" s="1"/>
  <c r="DZ201" i="63" s="1"/>
  <c r="DZ202" i="63" s="1"/>
  <c r="DZ203" i="63" s="1"/>
  <c r="DZ204" i="63" s="1"/>
  <c r="DZ205" i="63" s="1"/>
  <c r="DZ206" i="63" s="1"/>
  <c r="DZ207" i="63" s="1"/>
  <c r="DZ208" i="63" s="1"/>
  <c r="DZ209" i="63" s="1"/>
  <c r="DZ210" i="63" s="1"/>
  <c r="DZ211" i="63" s="1"/>
  <c r="DZ212" i="63" s="1"/>
  <c r="DZ213" i="63" s="1"/>
  <c r="DZ214" i="63" s="1"/>
  <c r="DZ215" i="63" s="1"/>
  <c r="DZ216" i="63" s="1"/>
  <c r="DZ217" i="63" s="1"/>
  <c r="DZ218" i="63" s="1"/>
  <c r="DZ219" i="63" s="1"/>
  <c r="DZ220" i="63" s="1"/>
  <c r="DZ221" i="63" s="1"/>
  <c r="DZ222" i="63" s="1"/>
  <c r="DZ223" i="63" s="1"/>
  <c r="DZ224" i="63" s="1"/>
  <c r="DZ225" i="63" s="1"/>
  <c r="DZ226" i="63" s="1"/>
  <c r="DZ227" i="63" s="1"/>
  <c r="DZ228" i="63" s="1"/>
  <c r="DZ229" i="63" s="1"/>
  <c r="DZ230" i="63" s="1"/>
  <c r="DZ231" i="63" s="1"/>
  <c r="DZ232" i="63" s="1"/>
  <c r="DZ233" i="63" s="1"/>
  <c r="DZ234" i="63" s="1"/>
  <c r="DZ235" i="63" s="1"/>
  <c r="DZ236" i="63" s="1"/>
  <c r="DZ237" i="63" s="1"/>
  <c r="DZ238" i="63" s="1"/>
  <c r="DZ239" i="63" s="1"/>
  <c r="DZ240" i="63" s="1"/>
  <c r="DZ241" i="63" s="1"/>
  <c r="DZ242" i="63" s="1"/>
  <c r="DZ243" i="63" s="1"/>
  <c r="DZ244" i="63" s="1"/>
  <c r="DZ245" i="63" s="1"/>
  <c r="DZ246" i="63" s="1"/>
  <c r="DZ247" i="63" s="1"/>
  <c r="DZ248" i="63" s="1"/>
  <c r="DZ249" i="63" s="1"/>
  <c r="DZ250" i="63" s="1"/>
  <c r="DZ251" i="63" s="1"/>
  <c r="DZ252" i="63" s="1"/>
  <c r="DZ253" i="63" s="1"/>
  <c r="DZ254" i="63" s="1"/>
  <c r="DZ255" i="63" s="1"/>
  <c r="DZ256" i="63" s="1"/>
  <c r="DZ257" i="63" s="1"/>
  <c r="DZ258" i="63" s="1"/>
  <c r="DZ259" i="63" s="1"/>
  <c r="DZ260" i="63" s="1"/>
  <c r="DZ261" i="63" s="1"/>
  <c r="DZ262" i="63" s="1"/>
  <c r="DZ263" i="63" s="1"/>
  <c r="DZ264" i="63" s="1"/>
  <c r="DZ265" i="63" s="1"/>
  <c r="DZ266" i="63" s="1"/>
  <c r="DZ267" i="63" s="1"/>
  <c r="DZ268" i="63" s="1"/>
  <c r="DZ269" i="63" s="1"/>
  <c r="DZ270" i="63" s="1"/>
  <c r="DZ271" i="63" s="1"/>
  <c r="DZ272" i="63" s="1"/>
  <c r="DZ273" i="63" s="1"/>
  <c r="DZ274" i="63" s="1"/>
  <c r="DZ275" i="63" s="1"/>
  <c r="DZ276" i="63" s="1"/>
  <c r="DZ277" i="63" s="1"/>
  <c r="DZ278" i="63" s="1"/>
  <c r="DZ279" i="63" s="1"/>
  <c r="DZ280" i="63" s="1"/>
  <c r="DZ281" i="63" s="1"/>
  <c r="DZ282" i="63" s="1"/>
  <c r="DZ283" i="63" s="1"/>
  <c r="DZ284" i="63" s="1"/>
  <c r="DZ285" i="63" s="1"/>
  <c r="DZ286" i="63" s="1"/>
  <c r="DZ287" i="63" s="1"/>
  <c r="DZ288" i="63" s="1"/>
  <c r="DZ289" i="63" s="1"/>
  <c r="DZ290" i="63" s="1"/>
  <c r="DZ291" i="63" s="1"/>
  <c r="DZ292" i="63" s="1"/>
  <c r="DZ293" i="63" s="1"/>
  <c r="DZ294" i="63" s="1"/>
  <c r="DZ295" i="63" s="1"/>
  <c r="DZ296" i="63" s="1"/>
  <c r="DZ297" i="63" s="1"/>
  <c r="DZ298" i="63" s="1"/>
  <c r="DZ299" i="63" s="1"/>
  <c r="DZ300" i="63" s="1"/>
  <c r="DZ301" i="63" s="1"/>
  <c r="DZ302" i="63" s="1"/>
  <c r="DZ303" i="63" s="1"/>
  <c r="DZ304" i="63" s="1"/>
  <c r="DZ305" i="63" s="1"/>
  <c r="DZ306" i="63" s="1"/>
  <c r="DZ307" i="63" s="1"/>
  <c r="DZ308" i="63" s="1"/>
  <c r="DZ7" i="63"/>
  <c r="DZ6" i="63"/>
  <c r="DZ5" i="63"/>
  <c r="DZ4" i="63"/>
  <c r="DY8" i="63"/>
  <c r="DY7" i="63"/>
  <c r="DY6" i="63"/>
  <c r="DY5" i="63"/>
  <c r="DY4" i="63"/>
  <c r="DX8" i="63"/>
  <c r="DX9" i="63" s="1"/>
  <c r="DX10" i="63" s="1"/>
  <c r="DX11" i="63" s="1"/>
  <c r="DX12" i="63" s="1"/>
  <c r="DX13" i="63" s="1"/>
  <c r="DX14" i="63" s="1"/>
  <c r="DX15" i="63" s="1"/>
  <c r="DX16" i="63" s="1"/>
  <c r="DX17" i="63" s="1"/>
  <c r="DX18" i="63" s="1"/>
  <c r="DX19" i="63" s="1"/>
  <c r="DX20" i="63" s="1"/>
  <c r="DX21" i="63" s="1"/>
  <c r="DX22" i="63" s="1"/>
  <c r="DX23" i="63" s="1"/>
  <c r="DX24" i="63" s="1"/>
  <c r="DX25" i="63" s="1"/>
  <c r="DX26" i="63" s="1"/>
  <c r="DX27" i="63" s="1"/>
  <c r="DX28" i="63" s="1"/>
  <c r="DX29" i="63" s="1"/>
  <c r="DX30" i="63" s="1"/>
  <c r="DX31" i="63" s="1"/>
  <c r="DX32" i="63" s="1"/>
  <c r="DX33" i="63" s="1"/>
  <c r="DX34" i="63" s="1"/>
  <c r="DX35" i="63" s="1"/>
  <c r="DX36" i="63" s="1"/>
  <c r="DX37" i="63" s="1"/>
  <c r="DX38" i="63" s="1"/>
  <c r="DX39" i="63" s="1"/>
  <c r="DX40" i="63" s="1"/>
  <c r="DX41" i="63" s="1"/>
  <c r="DX42" i="63" s="1"/>
  <c r="DX43" i="63" s="1"/>
  <c r="DX44" i="63" s="1"/>
  <c r="DX45" i="63" s="1"/>
  <c r="DX46" i="63" s="1"/>
  <c r="DX47" i="63" s="1"/>
  <c r="DX48" i="63" s="1"/>
  <c r="DX49" i="63" s="1"/>
  <c r="DX50" i="63" s="1"/>
  <c r="DX51" i="63" s="1"/>
  <c r="DX52" i="63" s="1"/>
  <c r="DX53" i="63" s="1"/>
  <c r="DX54" i="63" s="1"/>
  <c r="DX55" i="63" s="1"/>
  <c r="DX56" i="63" s="1"/>
  <c r="DX57" i="63" s="1"/>
  <c r="DX58" i="63" s="1"/>
  <c r="DX59" i="63" s="1"/>
  <c r="DX60" i="63" s="1"/>
  <c r="DX61" i="63" s="1"/>
  <c r="DX62" i="63" s="1"/>
  <c r="DX63" i="63" s="1"/>
  <c r="DX64" i="63" s="1"/>
  <c r="DX65" i="63" s="1"/>
  <c r="DX66" i="63" s="1"/>
  <c r="DX67" i="63" s="1"/>
  <c r="DX68" i="63" s="1"/>
  <c r="DX69" i="63" s="1"/>
  <c r="DX70" i="63" s="1"/>
  <c r="DX71" i="63" s="1"/>
  <c r="DX72" i="63" s="1"/>
  <c r="DX73" i="63" s="1"/>
  <c r="DX74" i="63" s="1"/>
  <c r="DX75" i="63" s="1"/>
  <c r="DX76" i="63" s="1"/>
  <c r="DX77" i="63" s="1"/>
  <c r="DX78" i="63" s="1"/>
  <c r="DX79" i="63" s="1"/>
  <c r="DX80" i="63" s="1"/>
  <c r="DX81" i="63" s="1"/>
  <c r="DX82" i="63" s="1"/>
  <c r="DX83" i="63" s="1"/>
  <c r="DX84" i="63" s="1"/>
  <c r="DX85" i="63" s="1"/>
  <c r="DX86" i="63" s="1"/>
  <c r="DX87" i="63" s="1"/>
  <c r="DX88" i="63" s="1"/>
  <c r="DX89" i="63" s="1"/>
  <c r="DX90" i="63" s="1"/>
  <c r="DX91" i="63" s="1"/>
  <c r="DX92" i="63" s="1"/>
  <c r="DX93" i="63" s="1"/>
  <c r="DX94" i="63" s="1"/>
  <c r="DX95" i="63" s="1"/>
  <c r="DX96" i="63" s="1"/>
  <c r="DX97" i="63" s="1"/>
  <c r="DX98" i="63" s="1"/>
  <c r="DX99" i="63" s="1"/>
  <c r="DX100" i="63" s="1"/>
  <c r="DX101" i="63" s="1"/>
  <c r="DX102" i="63" s="1"/>
  <c r="DX103" i="63" s="1"/>
  <c r="DX104" i="63" s="1"/>
  <c r="DX105" i="63" s="1"/>
  <c r="DX106" i="63" s="1"/>
  <c r="DX107" i="63" s="1"/>
  <c r="DX108" i="63" s="1"/>
  <c r="DX109" i="63" s="1"/>
  <c r="DX110" i="63" s="1"/>
  <c r="DX111" i="63" s="1"/>
  <c r="DX112" i="63" s="1"/>
  <c r="DX113" i="63" s="1"/>
  <c r="DX114" i="63" s="1"/>
  <c r="DX115" i="63" s="1"/>
  <c r="DX116" i="63" s="1"/>
  <c r="DX117" i="63" s="1"/>
  <c r="DX118" i="63" s="1"/>
  <c r="DX119" i="63" s="1"/>
  <c r="DX120" i="63" s="1"/>
  <c r="DX121" i="63" s="1"/>
  <c r="DX122" i="63" s="1"/>
  <c r="DX123" i="63" s="1"/>
  <c r="DX124" i="63" s="1"/>
  <c r="DX125" i="63" s="1"/>
  <c r="DX126" i="63" s="1"/>
  <c r="DX127" i="63" s="1"/>
  <c r="DX128" i="63" s="1"/>
  <c r="DX129" i="63" s="1"/>
  <c r="DX130" i="63" s="1"/>
  <c r="DX131" i="63" s="1"/>
  <c r="DX132" i="63" s="1"/>
  <c r="DX133" i="63" s="1"/>
  <c r="DX134" i="63" s="1"/>
  <c r="DX135" i="63" s="1"/>
  <c r="DX136" i="63" s="1"/>
  <c r="DX137" i="63" s="1"/>
  <c r="DX138" i="63" s="1"/>
  <c r="DX139" i="63" s="1"/>
  <c r="DX140" i="63" s="1"/>
  <c r="DX141" i="63" s="1"/>
  <c r="DX142" i="63" s="1"/>
  <c r="DX143" i="63" s="1"/>
  <c r="DX144" i="63" s="1"/>
  <c r="DX145" i="63" s="1"/>
  <c r="DX146" i="63" s="1"/>
  <c r="DX147" i="63" s="1"/>
  <c r="DX148" i="63" s="1"/>
  <c r="DX149" i="63" s="1"/>
  <c r="DX150" i="63" s="1"/>
  <c r="DX151" i="63" s="1"/>
  <c r="DX152" i="63" s="1"/>
  <c r="DX153" i="63" s="1"/>
  <c r="DX154" i="63" s="1"/>
  <c r="DX155" i="63" s="1"/>
  <c r="DX156" i="63" s="1"/>
  <c r="DX157" i="63" s="1"/>
  <c r="DX158" i="63" s="1"/>
  <c r="DX159" i="63" s="1"/>
  <c r="DX160" i="63" s="1"/>
  <c r="DX161" i="63" s="1"/>
  <c r="DX162" i="63" s="1"/>
  <c r="DX163" i="63" s="1"/>
  <c r="DX164" i="63" s="1"/>
  <c r="DX165" i="63" s="1"/>
  <c r="DX166" i="63" s="1"/>
  <c r="DX167" i="63" s="1"/>
  <c r="DX168" i="63" s="1"/>
  <c r="DX169" i="63" s="1"/>
  <c r="DX170" i="63" s="1"/>
  <c r="DX171" i="63" s="1"/>
  <c r="DX172" i="63" s="1"/>
  <c r="DX173" i="63" s="1"/>
  <c r="DX174" i="63" s="1"/>
  <c r="DX175" i="63" s="1"/>
  <c r="DX176" i="63" s="1"/>
  <c r="DX177" i="63" s="1"/>
  <c r="DX178" i="63" s="1"/>
  <c r="DX179" i="63" s="1"/>
  <c r="DX180" i="63" s="1"/>
  <c r="DX181" i="63" s="1"/>
  <c r="DX182" i="63" s="1"/>
  <c r="DX183" i="63" s="1"/>
  <c r="DX184" i="63" s="1"/>
  <c r="DX185" i="63" s="1"/>
  <c r="DX186" i="63" s="1"/>
  <c r="DX187" i="63" s="1"/>
  <c r="DX188" i="63" s="1"/>
  <c r="DX189" i="63" s="1"/>
  <c r="DX190" i="63" s="1"/>
  <c r="DX191" i="63" s="1"/>
  <c r="DX192" i="63" s="1"/>
  <c r="DX193" i="63" s="1"/>
  <c r="DX194" i="63" s="1"/>
  <c r="DX195" i="63" s="1"/>
  <c r="DX196" i="63" s="1"/>
  <c r="DX197" i="63" s="1"/>
  <c r="DX198" i="63" s="1"/>
  <c r="DX199" i="63" s="1"/>
  <c r="DX200" i="63" s="1"/>
  <c r="DX201" i="63" s="1"/>
  <c r="DX202" i="63" s="1"/>
  <c r="DX203" i="63" s="1"/>
  <c r="DX204" i="63" s="1"/>
  <c r="DX205" i="63" s="1"/>
  <c r="DX206" i="63" s="1"/>
  <c r="DX207" i="63" s="1"/>
  <c r="DX208" i="63" s="1"/>
  <c r="DX209" i="63" s="1"/>
  <c r="DX210" i="63" s="1"/>
  <c r="DX211" i="63" s="1"/>
  <c r="DX212" i="63" s="1"/>
  <c r="DX213" i="63" s="1"/>
  <c r="DX214" i="63" s="1"/>
  <c r="DX215" i="63" s="1"/>
  <c r="DX216" i="63" s="1"/>
  <c r="DX217" i="63" s="1"/>
  <c r="DX218" i="63" s="1"/>
  <c r="DX219" i="63" s="1"/>
  <c r="DX220" i="63" s="1"/>
  <c r="DX221" i="63" s="1"/>
  <c r="DX222" i="63" s="1"/>
  <c r="DX223" i="63" s="1"/>
  <c r="DX224" i="63" s="1"/>
  <c r="DX225" i="63" s="1"/>
  <c r="DX226" i="63" s="1"/>
  <c r="DX227" i="63" s="1"/>
  <c r="DX228" i="63" s="1"/>
  <c r="DX229" i="63" s="1"/>
  <c r="DX230" i="63" s="1"/>
  <c r="DX231" i="63" s="1"/>
  <c r="DX232" i="63" s="1"/>
  <c r="DX233" i="63" s="1"/>
  <c r="DX234" i="63" s="1"/>
  <c r="DX235" i="63" s="1"/>
  <c r="DX236" i="63" s="1"/>
  <c r="DX237" i="63" s="1"/>
  <c r="DX238" i="63" s="1"/>
  <c r="DX239" i="63" s="1"/>
  <c r="DX240" i="63" s="1"/>
  <c r="DX241" i="63" s="1"/>
  <c r="DX242" i="63" s="1"/>
  <c r="DX243" i="63" s="1"/>
  <c r="DX244" i="63" s="1"/>
  <c r="DX245" i="63" s="1"/>
  <c r="DX246" i="63" s="1"/>
  <c r="DX247" i="63" s="1"/>
  <c r="DX248" i="63" s="1"/>
  <c r="DX249" i="63" s="1"/>
  <c r="DX250" i="63" s="1"/>
  <c r="DX251" i="63" s="1"/>
  <c r="DX252" i="63" s="1"/>
  <c r="DX253" i="63" s="1"/>
  <c r="DX254" i="63" s="1"/>
  <c r="DX255" i="63" s="1"/>
  <c r="DX256" i="63" s="1"/>
  <c r="DX257" i="63" s="1"/>
  <c r="DX258" i="63" s="1"/>
  <c r="DX259" i="63" s="1"/>
  <c r="DX260" i="63" s="1"/>
  <c r="DX261" i="63" s="1"/>
  <c r="DX262" i="63" s="1"/>
  <c r="DX263" i="63" s="1"/>
  <c r="DX264" i="63" s="1"/>
  <c r="DX265" i="63" s="1"/>
  <c r="DX266" i="63" s="1"/>
  <c r="DX267" i="63" s="1"/>
  <c r="DX268" i="63" s="1"/>
  <c r="DX269" i="63" s="1"/>
  <c r="DX270" i="63" s="1"/>
  <c r="DX271" i="63" s="1"/>
  <c r="DX272" i="63" s="1"/>
  <c r="DX273" i="63" s="1"/>
  <c r="DX274" i="63" s="1"/>
  <c r="DX275" i="63" s="1"/>
  <c r="DX276" i="63" s="1"/>
  <c r="DX277" i="63" s="1"/>
  <c r="DX278" i="63" s="1"/>
  <c r="DX279" i="63" s="1"/>
  <c r="DX280" i="63" s="1"/>
  <c r="DX281" i="63" s="1"/>
  <c r="DX282" i="63" s="1"/>
  <c r="DX283" i="63" s="1"/>
  <c r="DX284" i="63" s="1"/>
  <c r="DX285" i="63" s="1"/>
  <c r="DX286" i="63" s="1"/>
  <c r="DX287" i="63" s="1"/>
  <c r="DX288" i="63" s="1"/>
  <c r="DX289" i="63" s="1"/>
  <c r="DX290" i="63" s="1"/>
  <c r="DX291" i="63" s="1"/>
  <c r="DX292" i="63" s="1"/>
  <c r="DX293" i="63" s="1"/>
  <c r="DX294" i="63" s="1"/>
  <c r="DX295" i="63" s="1"/>
  <c r="DX296" i="63" s="1"/>
  <c r="DX297" i="63" s="1"/>
  <c r="DX298" i="63" s="1"/>
  <c r="DX299" i="63" s="1"/>
  <c r="DX300" i="63" s="1"/>
  <c r="DX301" i="63" s="1"/>
  <c r="DX302" i="63" s="1"/>
  <c r="DX303" i="63" s="1"/>
  <c r="DX304" i="63" s="1"/>
  <c r="DX305" i="63" s="1"/>
  <c r="DX306" i="63" s="1"/>
  <c r="DX307" i="63" s="1"/>
  <c r="DX308" i="63" s="1"/>
  <c r="DX7" i="63"/>
  <c r="DX6" i="63"/>
  <c r="DX5" i="63"/>
  <c r="DX4" i="63"/>
  <c r="DW8" i="63"/>
  <c r="DW7" i="63"/>
  <c r="DW6" i="63"/>
  <c r="DW5" i="63"/>
  <c r="DW4" i="63"/>
  <c r="DV8" i="63"/>
  <c r="DV7" i="63"/>
  <c r="DV6" i="63"/>
  <c r="DV5" i="63"/>
  <c r="DV4" i="63"/>
  <c r="DU8" i="63"/>
  <c r="DU7" i="63"/>
  <c r="DU6" i="63"/>
  <c r="DU5" i="63"/>
  <c r="DU4" i="63"/>
  <c r="DT8" i="63"/>
  <c r="DT9" i="63" s="1"/>
  <c r="DT10" i="63" s="1"/>
  <c r="DT11" i="63" s="1"/>
  <c r="DT12" i="63" s="1"/>
  <c r="DT13" i="63" s="1"/>
  <c r="DT14" i="63" s="1"/>
  <c r="DT15" i="63" s="1"/>
  <c r="DT16" i="63" s="1"/>
  <c r="DT17" i="63" s="1"/>
  <c r="DT18" i="63" s="1"/>
  <c r="DT19" i="63" s="1"/>
  <c r="DT20" i="63" s="1"/>
  <c r="DT21" i="63" s="1"/>
  <c r="DT22" i="63" s="1"/>
  <c r="DT23" i="63" s="1"/>
  <c r="DT24" i="63" s="1"/>
  <c r="DT25" i="63" s="1"/>
  <c r="DT26" i="63" s="1"/>
  <c r="DT27" i="63" s="1"/>
  <c r="DT28" i="63" s="1"/>
  <c r="DT29" i="63" s="1"/>
  <c r="DT30" i="63" s="1"/>
  <c r="DT31" i="63" s="1"/>
  <c r="DT32" i="63" s="1"/>
  <c r="DT33" i="63" s="1"/>
  <c r="DT34" i="63" s="1"/>
  <c r="DT35" i="63" s="1"/>
  <c r="DT36" i="63" s="1"/>
  <c r="DT37" i="63" s="1"/>
  <c r="DT38" i="63" s="1"/>
  <c r="DT39" i="63" s="1"/>
  <c r="DT40" i="63" s="1"/>
  <c r="DT41" i="63" s="1"/>
  <c r="DT42" i="63" s="1"/>
  <c r="DT43" i="63" s="1"/>
  <c r="DT44" i="63" s="1"/>
  <c r="DT45" i="63" s="1"/>
  <c r="DT46" i="63" s="1"/>
  <c r="DT47" i="63" s="1"/>
  <c r="DT48" i="63" s="1"/>
  <c r="DT49" i="63" s="1"/>
  <c r="DT50" i="63" s="1"/>
  <c r="DT51" i="63" s="1"/>
  <c r="DT52" i="63" s="1"/>
  <c r="DT53" i="63" s="1"/>
  <c r="DT54" i="63" s="1"/>
  <c r="DT55" i="63" s="1"/>
  <c r="DT56" i="63" s="1"/>
  <c r="DT57" i="63" s="1"/>
  <c r="DT58" i="63" s="1"/>
  <c r="DT59" i="63" s="1"/>
  <c r="DT60" i="63" s="1"/>
  <c r="DT61" i="63" s="1"/>
  <c r="DT62" i="63" s="1"/>
  <c r="DT63" i="63" s="1"/>
  <c r="DT64" i="63" s="1"/>
  <c r="DT65" i="63" s="1"/>
  <c r="DT66" i="63" s="1"/>
  <c r="DT67" i="63" s="1"/>
  <c r="DT68" i="63" s="1"/>
  <c r="DT69" i="63" s="1"/>
  <c r="DT70" i="63" s="1"/>
  <c r="DT71" i="63" s="1"/>
  <c r="DT72" i="63" s="1"/>
  <c r="DT73" i="63" s="1"/>
  <c r="DT74" i="63" s="1"/>
  <c r="DT75" i="63" s="1"/>
  <c r="DT76" i="63" s="1"/>
  <c r="DT77" i="63" s="1"/>
  <c r="DT78" i="63" s="1"/>
  <c r="DT79" i="63" s="1"/>
  <c r="DT80" i="63" s="1"/>
  <c r="DT81" i="63" s="1"/>
  <c r="DT82" i="63" s="1"/>
  <c r="DT83" i="63" s="1"/>
  <c r="DT84" i="63" s="1"/>
  <c r="DT85" i="63" s="1"/>
  <c r="DT86" i="63" s="1"/>
  <c r="DT87" i="63" s="1"/>
  <c r="DT88" i="63" s="1"/>
  <c r="DT89" i="63" s="1"/>
  <c r="DT90" i="63" s="1"/>
  <c r="DT91" i="63" s="1"/>
  <c r="DT92" i="63" s="1"/>
  <c r="DT93" i="63" s="1"/>
  <c r="DT94" i="63" s="1"/>
  <c r="DT95" i="63" s="1"/>
  <c r="DT96" i="63" s="1"/>
  <c r="DT97" i="63" s="1"/>
  <c r="DT98" i="63" s="1"/>
  <c r="DT99" i="63" s="1"/>
  <c r="DT100" i="63" s="1"/>
  <c r="DT101" i="63" s="1"/>
  <c r="DT102" i="63" s="1"/>
  <c r="DT103" i="63" s="1"/>
  <c r="DT104" i="63" s="1"/>
  <c r="DT105" i="63" s="1"/>
  <c r="DT106" i="63" s="1"/>
  <c r="DT107" i="63" s="1"/>
  <c r="DT108" i="63" s="1"/>
  <c r="DT109" i="63" s="1"/>
  <c r="DT110" i="63" s="1"/>
  <c r="DT111" i="63" s="1"/>
  <c r="DT112" i="63" s="1"/>
  <c r="DT113" i="63" s="1"/>
  <c r="DT114" i="63" s="1"/>
  <c r="DT115" i="63" s="1"/>
  <c r="DT116" i="63" s="1"/>
  <c r="DT117" i="63" s="1"/>
  <c r="DT118" i="63" s="1"/>
  <c r="DT119" i="63" s="1"/>
  <c r="DT120" i="63" s="1"/>
  <c r="DT121" i="63" s="1"/>
  <c r="DT122" i="63" s="1"/>
  <c r="DT123" i="63" s="1"/>
  <c r="DT124" i="63" s="1"/>
  <c r="DT125" i="63" s="1"/>
  <c r="DT126" i="63" s="1"/>
  <c r="DT127" i="63" s="1"/>
  <c r="DT128" i="63" s="1"/>
  <c r="DT129" i="63" s="1"/>
  <c r="DT130" i="63" s="1"/>
  <c r="DT131" i="63" s="1"/>
  <c r="DT132" i="63" s="1"/>
  <c r="DT133" i="63" s="1"/>
  <c r="DT134" i="63" s="1"/>
  <c r="DT135" i="63" s="1"/>
  <c r="DT136" i="63" s="1"/>
  <c r="DT137" i="63" s="1"/>
  <c r="DT138" i="63" s="1"/>
  <c r="DT139" i="63" s="1"/>
  <c r="DT140" i="63" s="1"/>
  <c r="DT141" i="63" s="1"/>
  <c r="DT142" i="63" s="1"/>
  <c r="DT143" i="63" s="1"/>
  <c r="DT144" i="63" s="1"/>
  <c r="DT145" i="63" s="1"/>
  <c r="DT146" i="63" s="1"/>
  <c r="DT147" i="63" s="1"/>
  <c r="DT148" i="63" s="1"/>
  <c r="DT149" i="63" s="1"/>
  <c r="DT150" i="63" s="1"/>
  <c r="DT151" i="63" s="1"/>
  <c r="DT152" i="63" s="1"/>
  <c r="DT153" i="63" s="1"/>
  <c r="DT154" i="63" s="1"/>
  <c r="DT155" i="63" s="1"/>
  <c r="DT156" i="63" s="1"/>
  <c r="DT157" i="63" s="1"/>
  <c r="DT158" i="63" s="1"/>
  <c r="DT159" i="63" s="1"/>
  <c r="DT160" i="63" s="1"/>
  <c r="DT161" i="63" s="1"/>
  <c r="DT162" i="63" s="1"/>
  <c r="DT163" i="63" s="1"/>
  <c r="DT164" i="63" s="1"/>
  <c r="DT165" i="63" s="1"/>
  <c r="DT166" i="63" s="1"/>
  <c r="DT167" i="63" s="1"/>
  <c r="DT168" i="63" s="1"/>
  <c r="DT169" i="63" s="1"/>
  <c r="DT170" i="63" s="1"/>
  <c r="DT171" i="63" s="1"/>
  <c r="DT172" i="63" s="1"/>
  <c r="DT173" i="63" s="1"/>
  <c r="DT174" i="63" s="1"/>
  <c r="DT175" i="63" s="1"/>
  <c r="DT176" i="63" s="1"/>
  <c r="DT177" i="63" s="1"/>
  <c r="DT178" i="63" s="1"/>
  <c r="DT179" i="63" s="1"/>
  <c r="DT180" i="63" s="1"/>
  <c r="DT181" i="63" s="1"/>
  <c r="DT182" i="63" s="1"/>
  <c r="DT183" i="63" s="1"/>
  <c r="DT184" i="63" s="1"/>
  <c r="DT185" i="63" s="1"/>
  <c r="DT186" i="63" s="1"/>
  <c r="DT187" i="63" s="1"/>
  <c r="DT188" i="63" s="1"/>
  <c r="DT189" i="63" s="1"/>
  <c r="DT190" i="63" s="1"/>
  <c r="DT191" i="63" s="1"/>
  <c r="DT192" i="63" s="1"/>
  <c r="DT193" i="63" s="1"/>
  <c r="DT194" i="63" s="1"/>
  <c r="DT195" i="63" s="1"/>
  <c r="DT196" i="63" s="1"/>
  <c r="DT197" i="63" s="1"/>
  <c r="DT198" i="63" s="1"/>
  <c r="DT199" i="63" s="1"/>
  <c r="DT200" i="63" s="1"/>
  <c r="DT201" i="63" s="1"/>
  <c r="DT202" i="63" s="1"/>
  <c r="DT203" i="63" s="1"/>
  <c r="DT204" i="63" s="1"/>
  <c r="DT205" i="63" s="1"/>
  <c r="DT206" i="63" s="1"/>
  <c r="DT207" i="63" s="1"/>
  <c r="DT208" i="63" s="1"/>
  <c r="DT209" i="63" s="1"/>
  <c r="DT210" i="63" s="1"/>
  <c r="DT211" i="63" s="1"/>
  <c r="DT212" i="63" s="1"/>
  <c r="DT213" i="63" s="1"/>
  <c r="DT214" i="63" s="1"/>
  <c r="DT215" i="63" s="1"/>
  <c r="DT216" i="63" s="1"/>
  <c r="DT217" i="63" s="1"/>
  <c r="DT218" i="63" s="1"/>
  <c r="DT219" i="63" s="1"/>
  <c r="DT220" i="63" s="1"/>
  <c r="DT221" i="63" s="1"/>
  <c r="DT222" i="63" s="1"/>
  <c r="DT223" i="63" s="1"/>
  <c r="DT224" i="63" s="1"/>
  <c r="DT225" i="63" s="1"/>
  <c r="DT226" i="63" s="1"/>
  <c r="DT227" i="63" s="1"/>
  <c r="DT228" i="63" s="1"/>
  <c r="DT229" i="63" s="1"/>
  <c r="DT230" i="63" s="1"/>
  <c r="DT231" i="63" s="1"/>
  <c r="DT232" i="63" s="1"/>
  <c r="DT233" i="63" s="1"/>
  <c r="DT234" i="63" s="1"/>
  <c r="DT235" i="63" s="1"/>
  <c r="DT236" i="63" s="1"/>
  <c r="DT237" i="63" s="1"/>
  <c r="DT238" i="63" s="1"/>
  <c r="DT239" i="63" s="1"/>
  <c r="DT240" i="63" s="1"/>
  <c r="DT241" i="63" s="1"/>
  <c r="DT242" i="63" s="1"/>
  <c r="DT243" i="63" s="1"/>
  <c r="DT244" i="63" s="1"/>
  <c r="DT245" i="63" s="1"/>
  <c r="DT246" i="63" s="1"/>
  <c r="DT247" i="63" s="1"/>
  <c r="DT248" i="63" s="1"/>
  <c r="DT249" i="63" s="1"/>
  <c r="DT250" i="63" s="1"/>
  <c r="DT251" i="63" s="1"/>
  <c r="DT252" i="63" s="1"/>
  <c r="DT253" i="63" s="1"/>
  <c r="DT254" i="63" s="1"/>
  <c r="DT255" i="63" s="1"/>
  <c r="DT256" i="63" s="1"/>
  <c r="DT257" i="63" s="1"/>
  <c r="DT258" i="63" s="1"/>
  <c r="DT259" i="63" s="1"/>
  <c r="DT260" i="63" s="1"/>
  <c r="DT261" i="63" s="1"/>
  <c r="DT262" i="63" s="1"/>
  <c r="DT263" i="63" s="1"/>
  <c r="DT264" i="63" s="1"/>
  <c r="DT265" i="63" s="1"/>
  <c r="DT266" i="63" s="1"/>
  <c r="DT267" i="63" s="1"/>
  <c r="DT268" i="63" s="1"/>
  <c r="DT269" i="63" s="1"/>
  <c r="DT270" i="63" s="1"/>
  <c r="DT271" i="63" s="1"/>
  <c r="DT272" i="63" s="1"/>
  <c r="DT273" i="63" s="1"/>
  <c r="DT274" i="63" s="1"/>
  <c r="DT275" i="63" s="1"/>
  <c r="DT276" i="63" s="1"/>
  <c r="DT277" i="63" s="1"/>
  <c r="DT278" i="63" s="1"/>
  <c r="DT279" i="63" s="1"/>
  <c r="DT280" i="63" s="1"/>
  <c r="DT281" i="63" s="1"/>
  <c r="DT282" i="63" s="1"/>
  <c r="DT283" i="63" s="1"/>
  <c r="DT284" i="63" s="1"/>
  <c r="DT285" i="63" s="1"/>
  <c r="DT286" i="63" s="1"/>
  <c r="DT287" i="63" s="1"/>
  <c r="DT288" i="63" s="1"/>
  <c r="DT289" i="63" s="1"/>
  <c r="DT290" i="63" s="1"/>
  <c r="DT291" i="63" s="1"/>
  <c r="DT292" i="63" s="1"/>
  <c r="DT293" i="63" s="1"/>
  <c r="DT294" i="63" s="1"/>
  <c r="DT295" i="63" s="1"/>
  <c r="DT296" i="63" s="1"/>
  <c r="DT297" i="63" s="1"/>
  <c r="DT298" i="63" s="1"/>
  <c r="DT299" i="63" s="1"/>
  <c r="DT300" i="63" s="1"/>
  <c r="DT301" i="63" s="1"/>
  <c r="DT302" i="63" s="1"/>
  <c r="DT303" i="63" s="1"/>
  <c r="DT304" i="63" s="1"/>
  <c r="DT305" i="63" s="1"/>
  <c r="DT306" i="63" s="1"/>
  <c r="DT307" i="63" s="1"/>
  <c r="DT308" i="63" s="1"/>
  <c r="DT7" i="63"/>
  <c r="DT6" i="63"/>
  <c r="DT5" i="63"/>
  <c r="DT4" i="63"/>
  <c r="DS8" i="63"/>
  <c r="DS9" i="63" s="1"/>
  <c r="DS10" i="63" s="1"/>
  <c r="DS11" i="63" s="1"/>
  <c r="DS12" i="63" s="1"/>
  <c r="DS13" i="63" s="1"/>
  <c r="DS14" i="63" s="1"/>
  <c r="DS15" i="63" s="1"/>
  <c r="DS16" i="63" s="1"/>
  <c r="DS17" i="63" s="1"/>
  <c r="DS18" i="63" s="1"/>
  <c r="DS19" i="63" s="1"/>
  <c r="DS20" i="63" s="1"/>
  <c r="DS21" i="63" s="1"/>
  <c r="DS22" i="63" s="1"/>
  <c r="DS23" i="63" s="1"/>
  <c r="DS24" i="63" s="1"/>
  <c r="DS25" i="63" s="1"/>
  <c r="DS26" i="63" s="1"/>
  <c r="DS27" i="63" s="1"/>
  <c r="DS28" i="63" s="1"/>
  <c r="DS29" i="63" s="1"/>
  <c r="DS30" i="63" s="1"/>
  <c r="DS31" i="63" s="1"/>
  <c r="DS32" i="63" s="1"/>
  <c r="DS33" i="63" s="1"/>
  <c r="DS34" i="63" s="1"/>
  <c r="DS35" i="63" s="1"/>
  <c r="DS36" i="63" s="1"/>
  <c r="DS37" i="63" s="1"/>
  <c r="DS38" i="63" s="1"/>
  <c r="DS39" i="63" s="1"/>
  <c r="DS40" i="63" s="1"/>
  <c r="DS41" i="63" s="1"/>
  <c r="DS42" i="63" s="1"/>
  <c r="DS43" i="63" s="1"/>
  <c r="DS44" i="63" s="1"/>
  <c r="DS45" i="63" s="1"/>
  <c r="DS46" i="63" s="1"/>
  <c r="DS47" i="63" s="1"/>
  <c r="DS48" i="63" s="1"/>
  <c r="DS49" i="63" s="1"/>
  <c r="DS50" i="63" s="1"/>
  <c r="DS51" i="63" s="1"/>
  <c r="DS52" i="63" s="1"/>
  <c r="DS53" i="63" s="1"/>
  <c r="DS54" i="63" s="1"/>
  <c r="DS55" i="63" s="1"/>
  <c r="DS56" i="63" s="1"/>
  <c r="DS57" i="63" s="1"/>
  <c r="DS58" i="63" s="1"/>
  <c r="DS59" i="63" s="1"/>
  <c r="DS60" i="63" s="1"/>
  <c r="DS61" i="63" s="1"/>
  <c r="DS62" i="63" s="1"/>
  <c r="DS63" i="63" s="1"/>
  <c r="DS64" i="63" s="1"/>
  <c r="DS65" i="63" s="1"/>
  <c r="DS66" i="63" s="1"/>
  <c r="DS67" i="63" s="1"/>
  <c r="DS68" i="63" s="1"/>
  <c r="DS69" i="63" s="1"/>
  <c r="DS70" i="63" s="1"/>
  <c r="DS71" i="63" s="1"/>
  <c r="DS72" i="63" s="1"/>
  <c r="DS73" i="63" s="1"/>
  <c r="DS74" i="63" s="1"/>
  <c r="DS75" i="63" s="1"/>
  <c r="DS76" i="63" s="1"/>
  <c r="DS77" i="63" s="1"/>
  <c r="DS78" i="63" s="1"/>
  <c r="DS79" i="63" s="1"/>
  <c r="DS80" i="63" s="1"/>
  <c r="DS81" i="63" s="1"/>
  <c r="DS82" i="63" s="1"/>
  <c r="DS83" i="63" s="1"/>
  <c r="DS84" i="63" s="1"/>
  <c r="DS85" i="63" s="1"/>
  <c r="DS86" i="63" s="1"/>
  <c r="DS87" i="63" s="1"/>
  <c r="DS88" i="63" s="1"/>
  <c r="DS89" i="63" s="1"/>
  <c r="DS90" i="63" s="1"/>
  <c r="DS91" i="63" s="1"/>
  <c r="DS92" i="63" s="1"/>
  <c r="DS93" i="63" s="1"/>
  <c r="DS94" i="63" s="1"/>
  <c r="DS95" i="63" s="1"/>
  <c r="DS96" i="63" s="1"/>
  <c r="DS97" i="63" s="1"/>
  <c r="DS98" i="63" s="1"/>
  <c r="DS99" i="63" s="1"/>
  <c r="DS100" i="63" s="1"/>
  <c r="DS101" i="63" s="1"/>
  <c r="DS102" i="63" s="1"/>
  <c r="DS103" i="63" s="1"/>
  <c r="DS104" i="63" s="1"/>
  <c r="DS105" i="63" s="1"/>
  <c r="DS106" i="63" s="1"/>
  <c r="DS107" i="63" s="1"/>
  <c r="DS108" i="63" s="1"/>
  <c r="DS109" i="63" s="1"/>
  <c r="DS110" i="63" s="1"/>
  <c r="DS111" i="63" s="1"/>
  <c r="DS112" i="63" s="1"/>
  <c r="DS113" i="63" s="1"/>
  <c r="DS114" i="63" s="1"/>
  <c r="DS115" i="63" s="1"/>
  <c r="DS116" i="63" s="1"/>
  <c r="DS117" i="63" s="1"/>
  <c r="DS118" i="63" s="1"/>
  <c r="DS119" i="63" s="1"/>
  <c r="DS120" i="63" s="1"/>
  <c r="DS121" i="63" s="1"/>
  <c r="DS122" i="63" s="1"/>
  <c r="DS123" i="63" s="1"/>
  <c r="DS124" i="63" s="1"/>
  <c r="DS125" i="63" s="1"/>
  <c r="DS126" i="63" s="1"/>
  <c r="DS127" i="63" s="1"/>
  <c r="DS128" i="63" s="1"/>
  <c r="DS129" i="63" s="1"/>
  <c r="DS130" i="63" s="1"/>
  <c r="DS131" i="63" s="1"/>
  <c r="DS132" i="63" s="1"/>
  <c r="DS133" i="63" s="1"/>
  <c r="DS134" i="63" s="1"/>
  <c r="DS135" i="63" s="1"/>
  <c r="DS136" i="63" s="1"/>
  <c r="DS137" i="63" s="1"/>
  <c r="DS138" i="63" s="1"/>
  <c r="DS139" i="63" s="1"/>
  <c r="DS140" i="63" s="1"/>
  <c r="DS141" i="63" s="1"/>
  <c r="DS142" i="63" s="1"/>
  <c r="DS143" i="63" s="1"/>
  <c r="DS144" i="63" s="1"/>
  <c r="DS145" i="63" s="1"/>
  <c r="DS146" i="63" s="1"/>
  <c r="DS147" i="63" s="1"/>
  <c r="DS148" i="63" s="1"/>
  <c r="DS149" i="63" s="1"/>
  <c r="DS150" i="63" s="1"/>
  <c r="DS151" i="63" s="1"/>
  <c r="DS152" i="63" s="1"/>
  <c r="DS153" i="63" s="1"/>
  <c r="DS154" i="63" s="1"/>
  <c r="DS155" i="63" s="1"/>
  <c r="DS156" i="63" s="1"/>
  <c r="DS157" i="63" s="1"/>
  <c r="DS158" i="63" s="1"/>
  <c r="DS159" i="63" s="1"/>
  <c r="DS160" i="63" s="1"/>
  <c r="DS161" i="63" s="1"/>
  <c r="DS162" i="63" s="1"/>
  <c r="DS163" i="63" s="1"/>
  <c r="DS164" i="63" s="1"/>
  <c r="DS165" i="63" s="1"/>
  <c r="DS166" i="63" s="1"/>
  <c r="DS167" i="63" s="1"/>
  <c r="DS168" i="63" s="1"/>
  <c r="DS169" i="63" s="1"/>
  <c r="DS170" i="63" s="1"/>
  <c r="DS171" i="63" s="1"/>
  <c r="DS172" i="63" s="1"/>
  <c r="DS173" i="63" s="1"/>
  <c r="DS174" i="63" s="1"/>
  <c r="DS175" i="63" s="1"/>
  <c r="DS176" i="63" s="1"/>
  <c r="DS177" i="63" s="1"/>
  <c r="DS178" i="63" s="1"/>
  <c r="DS179" i="63" s="1"/>
  <c r="DS180" i="63" s="1"/>
  <c r="DS181" i="63" s="1"/>
  <c r="DS182" i="63" s="1"/>
  <c r="DS183" i="63" s="1"/>
  <c r="DS184" i="63" s="1"/>
  <c r="DS185" i="63" s="1"/>
  <c r="DS186" i="63" s="1"/>
  <c r="DS187" i="63" s="1"/>
  <c r="DS188" i="63" s="1"/>
  <c r="DS189" i="63" s="1"/>
  <c r="DS190" i="63" s="1"/>
  <c r="DS191" i="63" s="1"/>
  <c r="DS192" i="63" s="1"/>
  <c r="DS193" i="63" s="1"/>
  <c r="DS194" i="63" s="1"/>
  <c r="DS195" i="63" s="1"/>
  <c r="DS196" i="63" s="1"/>
  <c r="DS197" i="63" s="1"/>
  <c r="DS198" i="63" s="1"/>
  <c r="DS199" i="63" s="1"/>
  <c r="DS200" i="63" s="1"/>
  <c r="DS201" i="63" s="1"/>
  <c r="DS202" i="63" s="1"/>
  <c r="DS203" i="63" s="1"/>
  <c r="DS204" i="63" s="1"/>
  <c r="DS205" i="63" s="1"/>
  <c r="DS206" i="63" s="1"/>
  <c r="DS207" i="63" s="1"/>
  <c r="DS208" i="63" s="1"/>
  <c r="DS209" i="63" s="1"/>
  <c r="DS210" i="63" s="1"/>
  <c r="DS211" i="63" s="1"/>
  <c r="DS212" i="63" s="1"/>
  <c r="DS213" i="63" s="1"/>
  <c r="DS214" i="63" s="1"/>
  <c r="DS215" i="63" s="1"/>
  <c r="DS216" i="63" s="1"/>
  <c r="DS217" i="63" s="1"/>
  <c r="DS218" i="63" s="1"/>
  <c r="DS219" i="63" s="1"/>
  <c r="DS220" i="63" s="1"/>
  <c r="DS221" i="63" s="1"/>
  <c r="DS222" i="63" s="1"/>
  <c r="DS223" i="63" s="1"/>
  <c r="DS224" i="63" s="1"/>
  <c r="DS225" i="63" s="1"/>
  <c r="DS226" i="63" s="1"/>
  <c r="DS227" i="63" s="1"/>
  <c r="DS228" i="63" s="1"/>
  <c r="DS229" i="63" s="1"/>
  <c r="DS230" i="63" s="1"/>
  <c r="DS231" i="63" s="1"/>
  <c r="DS232" i="63" s="1"/>
  <c r="DS233" i="63" s="1"/>
  <c r="DS234" i="63" s="1"/>
  <c r="DS235" i="63" s="1"/>
  <c r="DS236" i="63" s="1"/>
  <c r="DS237" i="63" s="1"/>
  <c r="DS238" i="63" s="1"/>
  <c r="DS239" i="63" s="1"/>
  <c r="DS240" i="63" s="1"/>
  <c r="DS241" i="63" s="1"/>
  <c r="DS242" i="63" s="1"/>
  <c r="DS243" i="63" s="1"/>
  <c r="DS244" i="63" s="1"/>
  <c r="DS245" i="63" s="1"/>
  <c r="DS246" i="63" s="1"/>
  <c r="DS247" i="63" s="1"/>
  <c r="DS248" i="63" s="1"/>
  <c r="DS249" i="63" s="1"/>
  <c r="DS250" i="63" s="1"/>
  <c r="DS251" i="63" s="1"/>
  <c r="DS252" i="63" s="1"/>
  <c r="DS253" i="63" s="1"/>
  <c r="DS254" i="63" s="1"/>
  <c r="DS255" i="63" s="1"/>
  <c r="DS256" i="63" s="1"/>
  <c r="DS257" i="63" s="1"/>
  <c r="DS258" i="63" s="1"/>
  <c r="DS259" i="63" s="1"/>
  <c r="DS260" i="63" s="1"/>
  <c r="DS261" i="63" s="1"/>
  <c r="DS262" i="63" s="1"/>
  <c r="DS263" i="63" s="1"/>
  <c r="DS264" i="63" s="1"/>
  <c r="DS265" i="63" s="1"/>
  <c r="DS266" i="63" s="1"/>
  <c r="DS267" i="63" s="1"/>
  <c r="DS268" i="63" s="1"/>
  <c r="DS269" i="63" s="1"/>
  <c r="DS270" i="63" s="1"/>
  <c r="DS271" i="63" s="1"/>
  <c r="DS272" i="63" s="1"/>
  <c r="DS273" i="63" s="1"/>
  <c r="DS274" i="63" s="1"/>
  <c r="DS275" i="63" s="1"/>
  <c r="DS276" i="63" s="1"/>
  <c r="DS277" i="63" s="1"/>
  <c r="DS278" i="63" s="1"/>
  <c r="DS279" i="63" s="1"/>
  <c r="DS280" i="63" s="1"/>
  <c r="DS281" i="63" s="1"/>
  <c r="DS282" i="63" s="1"/>
  <c r="DS283" i="63" s="1"/>
  <c r="DS284" i="63" s="1"/>
  <c r="DS285" i="63" s="1"/>
  <c r="DS286" i="63" s="1"/>
  <c r="DS287" i="63" s="1"/>
  <c r="DS288" i="63" s="1"/>
  <c r="DS289" i="63" s="1"/>
  <c r="DS290" i="63" s="1"/>
  <c r="DS291" i="63" s="1"/>
  <c r="DS292" i="63" s="1"/>
  <c r="DS293" i="63" s="1"/>
  <c r="DS294" i="63" s="1"/>
  <c r="DS295" i="63" s="1"/>
  <c r="DS296" i="63" s="1"/>
  <c r="DS297" i="63" s="1"/>
  <c r="DS298" i="63" s="1"/>
  <c r="DS299" i="63" s="1"/>
  <c r="DS300" i="63" s="1"/>
  <c r="DS301" i="63" s="1"/>
  <c r="DS302" i="63" s="1"/>
  <c r="DS303" i="63" s="1"/>
  <c r="DS304" i="63" s="1"/>
  <c r="DS305" i="63" s="1"/>
  <c r="DS306" i="63" s="1"/>
  <c r="DS307" i="63" s="1"/>
  <c r="DS308" i="63" s="1"/>
  <c r="DS7" i="63"/>
  <c r="DS6" i="63"/>
  <c r="DS5" i="63"/>
  <c r="DS4" i="63"/>
  <c r="DR8" i="63"/>
  <c r="DR7" i="63"/>
  <c r="DR6" i="63"/>
  <c r="DR5" i="63"/>
  <c r="DR4" i="63"/>
  <c r="DQ8" i="63"/>
  <c r="DQ7" i="63"/>
  <c r="DQ6" i="63"/>
  <c r="DQ5" i="63"/>
  <c r="DQ4" i="63"/>
  <c r="DP8" i="63"/>
  <c r="DP7" i="63"/>
  <c r="DP6" i="63"/>
  <c r="DP5" i="63"/>
  <c r="DP4" i="63"/>
  <c r="DO8" i="63"/>
  <c r="DO7" i="63"/>
  <c r="DO6" i="63"/>
  <c r="DO5" i="63"/>
  <c r="DO4" i="63"/>
  <c r="DN8" i="63"/>
  <c r="DN7" i="63"/>
  <c r="DN6" i="63"/>
  <c r="DN9" i="63" s="1"/>
  <c r="DN10" i="63" s="1"/>
  <c r="DN11" i="63" s="1"/>
  <c r="DN12" i="63" s="1"/>
  <c r="DN13" i="63" s="1"/>
  <c r="DN14" i="63" s="1"/>
  <c r="DN15" i="63" s="1"/>
  <c r="DN16" i="63" s="1"/>
  <c r="DN17" i="63" s="1"/>
  <c r="DN18" i="63" s="1"/>
  <c r="DN19" i="63" s="1"/>
  <c r="DN20" i="63" s="1"/>
  <c r="DN21" i="63" s="1"/>
  <c r="DN22" i="63" s="1"/>
  <c r="DN23" i="63" s="1"/>
  <c r="DN24" i="63" s="1"/>
  <c r="DN25" i="63" s="1"/>
  <c r="DN26" i="63" s="1"/>
  <c r="DN27" i="63" s="1"/>
  <c r="DN28" i="63" s="1"/>
  <c r="DN29" i="63" s="1"/>
  <c r="DN30" i="63" s="1"/>
  <c r="DN31" i="63" s="1"/>
  <c r="DN32" i="63" s="1"/>
  <c r="DN33" i="63" s="1"/>
  <c r="DN34" i="63" s="1"/>
  <c r="DN35" i="63" s="1"/>
  <c r="DN36" i="63" s="1"/>
  <c r="DN37" i="63" s="1"/>
  <c r="DN38" i="63" s="1"/>
  <c r="DN39" i="63" s="1"/>
  <c r="DN40" i="63" s="1"/>
  <c r="DN41" i="63" s="1"/>
  <c r="DN42" i="63" s="1"/>
  <c r="DN43" i="63" s="1"/>
  <c r="DN44" i="63" s="1"/>
  <c r="DN45" i="63" s="1"/>
  <c r="DN46" i="63" s="1"/>
  <c r="DN47" i="63" s="1"/>
  <c r="DN48" i="63" s="1"/>
  <c r="DN49" i="63" s="1"/>
  <c r="DN50" i="63" s="1"/>
  <c r="DN51" i="63" s="1"/>
  <c r="DN52" i="63" s="1"/>
  <c r="DN53" i="63" s="1"/>
  <c r="DN54" i="63" s="1"/>
  <c r="DN55" i="63" s="1"/>
  <c r="DN56" i="63" s="1"/>
  <c r="DN57" i="63" s="1"/>
  <c r="DN58" i="63" s="1"/>
  <c r="DN59" i="63" s="1"/>
  <c r="DN60" i="63" s="1"/>
  <c r="DN61" i="63" s="1"/>
  <c r="DN62" i="63" s="1"/>
  <c r="DN63" i="63" s="1"/>
  <c r="DN64" i="63" s="1"/>
  <c r="DN65" i="63" s="1"/>
  <c r="DN66" i="63" s="1"/>
  <c r="DN67" i="63" s="1"/>
  <c r="DN68" i="63" s="1"/>
  <c r="DN69" i="63" s="1"/>
  <c r="DN70" i="63" s="1"/>
  <c r="DN71" i="63" s="1"/>
  <c r="DN72" i="63" s="1"/>
  <c r="DN73" i="63" s="1"/>
  <c r="DN74" i="63" s="1"/>
  <c r="DN75" i="63" s="1"/>
  <c r="DN76" i="63" s="1"/>
  <c r="DN77" i="63" s="1"/>
  <c r="DN78" i="63" s="1"/>
  <c r="DN79" i="63" s="1"/>
  <c r="DN80" i="63" s="1"/>
  <c r="DN81" i="63" s="1"/>
  <c r="DN82" i="63" s="1"/>
  <c r="DN83" i="63" s="1"/>
  <c r="DN84" i="63" s="1"/>
  <c r="DN85" i="63" s="1"/>
  <c r="DN86" i="63" s="1"/>
  <c r="DN87" i="63" s="1"/>
  <c r="DN88" i="63" s="1"/>
  <c r="DN89" i="63" s="1"/>
  <c r="DN90" i="63" s="1"/>
  <c r="DN91" i="63" s="1"/>
  <c r="DN92" i="63" s="1"/>
  <c r="DN93" i="63" s="1"/>
  <c r="DN94" i="63" s="1"/>
  <c r="DN95" i="63" s="1"/>
  <c r="DN96" i="63" s="1"/>
  <c r="DN97" i="63" s="1"/>
  <c r="DN98" i="63" s="1"/>
  <c r="DN99" i="63" s="1"/>
  <c r="DN100" i="63" s="1"/>
  <c r="DN101" i="63" s="1"/>
  <c r="DN102" i="63" s="1"/>
  <c r="DN103" i="63" s="1"/>
  <c r="DN104" i="63" s="1"/>
  <c r="DN105" i="63" s="1"/>
  <c r="DN106" i="63" s="1"/>
  <c r="DN107" i="63" s="1"/>
  <c r="DN108" i="63" s="1"/>
  <c r="DN109" i="63" s="1"/>
  <c r="DN110" i="63" s="1"/>
  <c r="DN111" i="63" s="1"/>
  <c r="DN112" i="63" s="1"/>
  <c r="DN113" i="63" s="1"/>
  <c r="DN114" i="63" s="1"/>
  <c r="DN115" i="63" s="1"/>
  <c r="DN116" i="63" s="1"/>
  <c r="DN117" i="63" s="1"/>
  <c r="DN118" i="63" s="1"/>
  <c r="DN119" i="63" s="1"/>
  <c r="DN120" i="63" s="1"/>
  <c r="DN121" i="63" s="1"/>
  <c r="DN122" i="63" s="1"/>
  <c r="DN123" i="63" s="1"/>
  <c r="DN124" i="63" s="1"/>
  <c r="DN125" i="63" s="1"/>
  <c r="DN126" i="63" s="1"/>
  <c r="DN127" i="63" s="1"/>
  <c r="DN128" i="63" s="1"/>
  <c r="DN129" i="63" s="1"/>
  <c r="DN130" i="63" s="1"/>
  <c r="DN131" i="63" s="1"/>
  <c r="DN132" i="63" s="1"/>
  <c r="DN133" i="63" s="1"/>
  <c r="DN134" i="63" s="1"/>
  <c r="DN135" i="63" s="1"/>
  <c r="DN136" i="63" s="1"/>
  <c r="DN137" i="63" s="1"/>
  <c r="DN138" i="63" s="1"/>
  <c r="DN139" i="63" s="1"/>
  <c r="DN140" i="63" s="1"/>
  <c r="DN141" i="63" s="1"/>
  <c r="DN142" i="63" s="1"/>
  <c r="DN143" i="63" s="1"/>
  <c r="DN144" i="63" s="1"/>
  <c r="DN145" i="63" s="1"/>
  <c r="DN146" i="63" s="1"/>
  <c r="DN147" i="63" s="1"/>
  <c r="DN148" i="63" s="1"/>
  <c r="DN149" i="63" s="1"/>
  <c r="DN150" i="63" s="1"/>
  <c r="DN151" i="63" s="1"/>
  <c r="DN152" i="63" s="1"/>
  <c r="DN153" i="63" s="1"/>
  <c r="DN154" i="63" s="1"/>
  <c r="DN155" i="63" s="1"/>
  <c r="DN156" i="63" s="1"/>
  <c r="DN157" i="63" s="1"/>
  <c r="DN158" i="63" s="1"/>
  <c r="DN159" i="63" s="1"/>
  <c r="DN160" i="63" s="1"/>
  <c r="DN161" i="63" s="1"/>
  <c r="DN162" i="63" s="1"/>
  <c r="DN163" i="63" s="1"/>
  <c r="DN164" i="63" s="1"/>
  <c r="DN165" i="63" s="1"/>
  <c r="DN166" i="63" s="1"/>
  <c r="DN167" i="63" s="1"/>
  <c r="DN168" i="63" s="1"/>
  <c r="DN169" i="63" s="1"/>
  <c r="DN170" i="63" s="1"/>
  <c r="DN171" i="63" s="1"/>
  <c r="DN172" i="63" s="1"/>
  <c r="DN173" i="63" s="1"/>
  <c r="DN174" i="63" s="1"/>
  <c r="DN175" i="63" s="1"/>
  <c r="DN176" i="63" s="1"/>
  <c r="DN177" i="63" s="1"/>
  <c r="DN178" i="63" s="1"/>
  <c r="DN179" i="63" s="1"/>
  <c r="DN180" i="63" s="1"/>
  <c r="DN181" i="63" s="1"/>
  <c r="DN182" i="63" s="1"/>
  <c r="DN183" i="63" s="1"/>
  <c r="DN184" i="63" s="1"/>
  <c r="DN185" i="63" s="1"/>
  <c r="DN186" i="63" s="1"/>
  <c r="DN187" i="63" s="1"/>
  <c r="DN188" i="63" s="1"/>
  <c r="DN189" i="63" s="1"/>
  <c r="DN190" i="63" s="1"/>
  <c r="DN191" i="63" s="1"/>
  <c r="DN192" i="63" s="1"/>
  <c r="DN193" i="63" s="1"/>
  <c r="DN194" i="63" s="1"/>
  <c r="DN195" i="63" s="1"/>
  <c r="DN196" i="63" s="1"/>
  <c r="DN197" i="63" s="1"/>
  <c r="DN198" i="63" s="1"/>
  <c r="DN199" i="63" s="1"/>
  <c r="DN200" i="63" s="1"/>
  <c r="DN201" i="63" s="1"/>
  <c r="DN202" i="63" s="1"/>
  <c r="DN203" i="63" s="1"/>
  <c r="DN204" i="63" s="1"/>
  <c r="DN205" i="63" s="1"/>
  <c r="DN206" i="63" s="1"/>
  <c r="DN207" i="63" s="1"/>
  <c r="DN208" i="63" s="1"/>
  <c r="DN209" i="63" s="1"/>
  <c r="DN210" i="63" s="1"/>
  <c r="DN211" i="63" s="1"/>
  <c r="DN212" i="63" s="1"/>
  <c r="DN213" i="63" s="1"/>
  <c r="DN214" i="63" s="1"/>
  <c r="DN215" i="63" s="1"/>
  <c r="DN216" i="63" s="1"/>
  <c r="DN217" i="63" s="1"/>
  <c r="DN218" i="63" s="1"/>
  <c r="DN219" i="63" s="1"/>
  <c r="DN220" i="63" s="1"/>
  <c r="DN221" i="63" s="1"/>
  <c r="DN222" i="63" s="1"/>
  <c r="DN223" i="63" s="1"/>
  <c r="DN224" i="63" s="1"/>
  <c r="DN225" i="63" s="1"/>
  <c r="DN226" i="63" s="1"/>
  <c r="DN227" i="63" s="1"/>
  <c r="DN228" i="63" s="1"/>
  <c r="DN229" i="63" s="1"/>
  <c r="DN230" i="63" s="1"/>
  <c r="DN231" i="63" s="1"/>
  <c r="DN232" i="63" s="1"/>
  <c r="DN233" i="63" s="1"/>
  <c r="DN234" i="63" s="1"/>
  <c r="DN235" i="63" s="1"/>
  <c r="DN236" i="63" s="1"/>
  <c r="DN237" i="63" s="1"/>
  <c r="DN238" i="63" s="1"/>
  <c r="DN239" i="63" s="1"/>
  <c r="DN240" i="63" s="1"/>
  <c r="DN241" i="63" s="1"/>
  <c r="DN242" i="63" s="1"/>
  <c r="DN243" i="63" s="1"/>
  <c r="DN244" i="63" s="1"/>
  <c r="DN245" i="63" s="1"/>
  <c r="DN246" i="63" s="1"/>
  <c r="DN247" i="63" s="1"/>
  <c r="DN248" i="63" s="1"/>
  <c r="DN249" i="63" s="1"/>
  <c r="DN250" i="63" s="1"/>
  <c r="DN251" i="63" s="1"/>
  <c r="DN252" i="63" s="1"/>
  <c r="DN253" i="63" s="1"/>
  <c r="DN254" i="63" s="1"/>
  <c r="DN255" i="63" s="1"/>
  <c r="DN256" i="63" s="1"/>
  <c r="DN257" i="63" s="1"/>
  <c r="DN258" i="63" s="1"/>
  <c r="DN259" i="63" s="1"/>
  <c r="DN260" i="63" s="1"/>
  <c r="DN261" i="63" s="1"/>
  <c r="DN262" i="63" s="1"/>
  <c r="DN263" i="63" s="1"/>
  <c r="DN264" i="63" s="1"/>
  <c r="DN265" i="63" s="1"/>
  <c r="DN266" i="63" s="1"/>
  <c r="DN267" i="63" s="1"/>
  <c r="DN268" i="63" s="1"/>
  <c r="DN269" i="63" s="1"/>
  <c r="DN270" i="63" s="1"/>
  <c r="DN271" i="63" s="1"/>
  <c r="DN272" i="63" s="1"/>
  <c r="DN273" i="63" s="1"/>
  <c r="DN274" i="63" s="1"/>
  <c r="DN275" i="63" s="1"/>
  <c r="DN276" i="63" s="1"/>
  <c r="DN277" i="63" s="1"/>
  <c r="DN278" i="63" s="1"/>
  <c r="DN279" i="63" s="1"/>
  <c r="DN280" i="63" s="1"/>
  <c r="DN281" i="63" s="1"/>
  <c r="DN282" i="63" s="1"/>
  <c r="DN283" i="63" s="1"/>
  <c r="DN284" i="63" s="1"/>
  <c r="DN285" i="63" s="1"/>
  <c r="DN286" i="63" s="1"/>
  <c r="DN287" i="63" s="1"/>
  <c r="DN288" i="63" s="1"/>
  <c r="DN289" i="63" s="1"/>
  <c r="DN290" i="63" s="1"/>
  <c r="DN291" i="63" s="1"/>
  <c r="DN292" i="63" s="1"/>
  <c r="DN293" i="63" s="1"/>
  <c r="DN294" i="63" s="1"/>
  <c r="DN295" i="63" s="1"/>
  <c r="DN296" i="63" s="1"/>
  <c r="DN297" i="63" s="1"/>
  <c r="DN298" i="63" s="1"/>
  <c r="DN299" i="63" s="1"/>
  <c r="DN300" i="63" s="1"/>
  <c r="DN301" i="63" s="1"/>
  <c r="DN302" i="63" s="1"/>
  <c r="DN303" i="63" s="1"/>
  <c r="DN304" i="63" s="1"/>
  <c r="DN305" i="63" s="1"/>
  <c r="DN306" i="63" s="1"/>
  <c r="DN307" i="63" s="1"/>
  <c r="DN308" i="63" s="1"/>
  <c r="DN5" i="63"/>
  <c r="DN4" i="63"/>
  <c r="DM8" i="63"/>
  <c r="DM9" i="63" s="1"/>
  <c r="DM10" i="63" s="1"/>
  <c r="DM11" i="63" s="1"/>
  <c r="DM12" i="63" s="1"/>
  <c r="DM13" i="63" s="1"/>
  <c r="DM14" i="63" s="1"/>
  <c r="DM15" i="63" s="1"/>
  <c r="DM16" i="63" s="1"/>
  <c r="DM17" i="63" s="1"/>
  <c r="DM18" i="63" s="1"/>
  <c r="DM19" i="63" s="1"/>
  <c r="DM20" i="63" s="1"/>
  <c r="DM21" i="63" s="1"/>
  <c r="DM22" i="63" s="1"/>
  <c r="DM23" i="63" s="1"/>
  <c r="DM24" i="63" s="1"/>
  <c r="DM25" i="63" s="1"/>
  <c r="DM26" i="63" s="1"/>
  <c r="DM27" i="63" s="1"/>
  <c r="DM28" i="63" s="1"/>
  <c r="DM29" i="63" s="1"/>
  <c r="DM30" i="63" s="1"/>
  <c r="DM31" i="63" s="1"/>
  <c r="DM32" i="63" s="1"/>
  <c r="DM33" i="63" s="1"/>
  <c r="DM34" i="63" s="1"/>
  <c r="DM35" i="63" s="1"/>
  <c r="DM36" i="63" s="1"/>
  <c r="DM37" i="63" s="1"/>
  <c r="DM38" i="63" s="1"/>
  <c r="DM39" i="63" s="1"/>
  <c r="DM40" i="63" s="1"/>
  <c r="DM41" i="63" s="1"/>
  <c r="DM42" i="63" s="1"/>
  <c r="DM43" i="63" s="1"/>
  <c r="DM44" i="63" s="1"/>
  <c r="DM45" i="63" s="1"/>
  <c r="DM46" i="63" s="1"/>
  <c r="DM47" i="63" s="1"/>
  <c r="DM48" i="63" s="1"/>
  <c r="DM49" i="63" s="1"/>
  <c r="DM50" i="63" s="1"/>
  <c r="DM51" i="63" s="1"/>
  <c r="DM52" i="63" s="1"/>
  <c r="DM53" i="63" s="1"/>
  <c r="DM54" i="63" s="1"/>
  <c r="DM55" i="63" s="1"/>
  <c r="DM56" i="63" s="1"/>
  <c r="DM57" i="63" s="1"/>
  <c r="DM58" i="63" s="1"/>
  <c r="DM59" i="63" s="1"/>
  <c r="DM60" i="63" s="1"/>
  <c r="DM61" i="63" s="1"/>
  <c r="DM62" i="63" s="1"/>
  <c r="DM63" i="63" s="1"/>
  <c r="DM64" i="63" s="1"/>
  <c r="DM65" i="63" s="1"/>
  <c r="DM66" i="63" s="1"/>
  <c r="DM67" i="63" s="1"/>
  <c r="DM68" i="63" s="1"/>
  <c r="DM69" i="63" s="1"/>
  <c r="DM70" i="63" s="1"/>
  <c r="DM71" i="63" s="1"/>
  <c r="DM72" i="63" s="1"/>
  <c r="DM73" i="63" s="1"/>
  <c r="DM74" i="63" s="1"/>
  <c r="DM75" i="63" s="1"/>
  <c r="DM76" i="63" s="1"/>
  <c r="DM77" i="63" s="1"/>
  <c r="DM78" i="63" s="1"/>
  <c r="DM79" i="63" s="1"/>
  <c r="DM80" i="63" s="1"/>
  <c r="DM81" i="63" s="1"/>
  <c r="DM82" i="63" s="1"/>
  <c r="DM83" i="63" s="1"/>
  <c r="DM84" i="63" s="1"/>
  <c r="DM85" i="63" s="1"/>
  <c r="DM86" i="63" s="1"/>
  <c r="DM87" i="63" s="1"/>
  <c r="DM88" i="63" s="1"/>
  <c r="DM89" i="63" s="1"/>
  <c r="DM90" i="63" s="1"/>
  <c r="DM91" i="63" s="1"/>
  <c r="DM92" i="63" s="1"/>
  <c r="DM93" i="63" s="1"/>
  <c r="DM94" i="63" s="1"/>
  <c r="DM95" i="63" s="1"/>
  <c r="DM96" i="63" s="1"/>
  <c r="DM97" i="63" s="1"/>
  <c r="DM98" i="63" s="1"/>
  <c r="DM99" i="63" s="1"/>
  <c r="DM100" i="63" s="1"/>
  <c r="DM101" i="63" s="1"/>
  <c r="DM102" i="63" s="1"/>
  <c r="DM103" i="63" s="1"/>
  <c r="DM104" i="63" s="1"/>
  <c r="DM105" i="63" s="1"/>
  <c r="DM106" i="63" s="1"/>
  <c r="DM107" i="63" s="1"/>
  <c r="DM108" i="63" s="1"/>
  <c r="DM109" i="63" s="1"/>
  <c r="DM110" i="63" s="1"/>
  <c r="DM111" i="63" s="1"/>
  <c r="DM112" i="63" s="1"/>
  <c r="DM113" i="63" s="1"/>
  <c r="DM114" i="63" s="1"/>
  <c r="DM115" i="63" s="1"/>
  <c r="DM116" i="63" s="1"/>
  <c r="DM117" i="63" s="1"/>
  <c r="DM118" i="63" s="1"/>
  <c r="DM119" i="63" s="1"/>
  <c r="DM120" i="63" s="1"/>
  <c r="DM121" i="63" s="1"/>
  <c r="DM122" i="63" s="1"/>
  <c r="DM123" i="63" s="1"/>
  <c r="DM124" i="63" s="1"/>
  <c r="DM125" i="63" s="1"/>
  <c r="DM126" i="63" s="1"/>
  <c r="DM127" i="63" s="1"/>
  <c r="DM128" i="63" s="1"/>
  <c r="DM129" i="63" s="1"/>
  <c r="DM130" i="63" s="1"/>
  <c r="DM131" i="63" s="1"/>
  <c r="DM132" i="63" s="1"/>
  <c r="DM133" i="63" s="1"/>
  <c r="DM134" i="63" s="1"/>
  <c r="DM135" i="63" s="1"/>
  <c r="DM136" i="63" s="1"/>
  <c r="DM137" i="63" s="1"/>
  <c r="DM138" i="63" s="1"/>
  <c r="DM139" i="63" s="1"/>
  <c r="DM140" i="63" s="1"/>
  <c r="DM141" i="63" s="1"/>
  <c r="DM142" i="63" s="1"/>
  <c r="DM143" i="63" s="1"/>
  <c r="DM144" i="63" s="1"/>
  <c r="DM145" i="63" s="1"/>
  <c r="DM146" i="63" s="1"/>
  <c r="DM147" i="63" s="1"/>
  <c r="DM148" i="63" s="1"/>
  <c r="DM149" i="63" s="1"/>
  <c r="DM150" i="63" s="1"/>
  <c r="DM151" i="63" s="1"/>
  <c r="DM152" i="63" s="1"/>
  <c r="DM153" i="63" s="1"/>
  <c r="DM154" i="63" s="1"/>
  <c r="DM155" i="63" s="1"/>
  <c r="DM156" i="63" s="1"/>
  <c r="DM157" i="63" s="1"/>
  <c r="DM158" i="63" s="1"/>
  <c r="DM159" i="63" s="1"/>
  <c r="DM160" i="63" s="1"/>
  <c r="DM161" i="63" s="1"/>
  <c r="DM162" i="63" s="1"/>
  <c r="DM163" i="63" s="1"/>
  <c r="DM164" i="63" s="1"/>
  <c r="DM165" i="63" s="1"/>
  <c r="DM166" i="63" s="1"/>
  <c r="DM167" i="63" s="1"/>
  <c r="DM168" i="63" s="1"/>
  <c r="DM169" i="63" s="1"/>
  <c r="DM170" i="63" s="1"/>
  <c r="DM171" i="63" s="1"/>
  <c r="DM172" i="63" s="1"/>
  <c r="DM173" i="63" s="1"/>
  <c r="DM174" i="63" s="1"/>
  <c r="DM175" i="63" s="1"/>
  <c r="DM176" i="63" s="1"/>
  <c r="DM177" i="63" s="1"/>
  <c r="DM178" i="63" s="1"/>
  <c r="DM179" i="63" s="1"/>
  <c r="DM180" i="63" s="1"/>
  <c r="DM181" i="63" s="1"/>
  <c r="DM182" i="63" s="1"/>
  <c r="DM183" i="63" s="1"/>
  <c r="DM184" i="63" s="1"/>
  <c r="DM185" i="63" s="1"/>
  <c r="DM186" i="63" s="1"/>
  <c r="DM187" i="63" s="1"/>
  <c r="DM188" i="63" s="1"/>
  <c r="DM189" i="63" s="1"/>
  <c r="DM190" i="63" s="1"/>
  <c r="DM191" i="63" s="1"/>
  <c r="DM192" i="63" s="1"/>
  <c r="DM193" i="63" s="1"/>
  <c r="DM194" i="63" s="1"/>
  <c r="DM195" i="63" s="1"/>
  <c r="DM196" i="63" s="1"/>
  <c r="DM197" i="63" s="1"/>
  <c r="DM198" i="63" s="1"/>
  <c r="DM199" i="63" s="1"/>
  <c r="DM200" i="63" s="1"/>
  <c r="DM201" i="63" s="1"/>
  <c r="DM202" i="63" s="1"/>
  <c r="DM203" i="63" s="1"/>
  <c r="DM204" i="63" s="1"/>
  <c r="DM205" i="63" s="1"/>
  <c r="DM206" i="63" s="1"/>
  <c r="DM207" i="63" s="1"/>
  <c r="DM208" i="63" s="1"/>
  <c r="DM209" i="63" s="1"/>
  <c r="DM210" i="63" s="1"/>
  <c r="DM211" i="63" s="1"/>
  <c r="DM212" i="63" s="1"/>
  <c r="DM213" i="63" s="1"/>
  <c r="DM214" i="63" s="1"/>
  <c r="DM215" i="63" s="1"/>
  <c r="DM216" i="63" s="1"/>
  <c r="DM217" i="63" s="1"/>
  <c r="DM218" i="63" s="1"/>
  <c r="DM219" i="63" s="1"/>
  <c r="DM220" i="63" s="1"/>
  <c r="DM221" i="63" s="1"/>
  <c r="DM222" i="63" s="1"/>
  <c r="DM223" i="63" s="1"/>
  <c r="DM224" i="63" s="1"/>
  <c r="DM225" i="63" s="1"/>
  <c r="DM226" i="63" s="1"/>
  <c r="DM227" i="63" s="1"/>
  <c r="DM228" i="63" s="1"/>
  <c r="DM229" i="63" s="1"/>
  <c r="DM230" i="63" s="1"/>
  <c r="DM231" i="63" s="1"/>
  <c r="DM232" i="63" s="1"/>
  <c r="DM233" i="63" s="1"/>
  <c r="DM234" i="63" s="1"/>
  <c r="DM235" i="63" s="1"/>
  <c r="DM236" i="63" s="1"/>
  <c r="DM237" i="63" s="1"/>
  <c r="DM238" i="63" s="1"/>
  <c r="DM239" i="63" s="1"/>
  <c r="DM240" i="63" s="1"/>
  <c r="DM241" i="63" s="1"/>
  <c r="DM242" i="63" s="1"/>
  <c r="DM243" i="63" s="1"/>
  <c r="DM244" i="63" s="1"/>
  <c r="DM245" i="63" s="1"/>
  <c r="DM246" i="63" s="1"/>
  <c r="DM247" i="63" s="1"/>
  <c r="DM248" i="63" s="1"/>
  <c r="DM249" i="63" s="1"/>
  <c r="DM250" i="63" s="1"/>
  <c r="DM251" i="63" s="1"/>
  <c r="DM252" i="63" s="1"/>
  <c r="DM253" i="63" s="1"/>
  <c r="DM254" i="63" s="1"/>
  <c r="DM255" i="63" s="1"/>
  <c r="DM256" i="63" s="1"/>
  <c r="DM257" i="63" s="1"/>
  <c r="DM258" i="63" s="1"/>
  <c r="DM259" i="63" s="1"/>
  <c r="DM260" i="63" s="1"/>
  <c r="DM261" i="63" s="1"/>
  <c r="DM262" i="63" s="1"/>
  <c r="DM263" i="63" s="1"/>
  <c r="DM264" i="63" s="1"/>
  <c r="DM265" i="63" s="1"/>
  <c r="DM266" i="63" s="1"/>
  <c r="DM267" i="63" s="1"/>
  <c r="DM268" i="63" s="1"/>
  <c r="DM269" i="63" s="1"/>
  <c r="DM270" i="63" s="1"/>
  <c r="DM271" i="63" s="1"/>
  <c r="DM272" i="63" s="1"/>
  <c r="DM273" i="63" s="1"/>
  <c r="DM274" i="63" s="1"/>
  <c r="DM275" i="63" s="1"/>
  <c r="DM276" i="63" s="1"/>
  <c r="DM277" i="63" s="1"/>
  <c r="DM278" i="63" s="1"/>
  <c r="DM279" i="63" s="1"/>
  <c r="DM280" i="63" s="1"/>
  <c r="DM281" i="63" s="1"/>
  <c r="DM282" i="63" s="1"/>
  <c r="DM283" i="63" s="1"/>
  <c r="DM284" i="63" s="1"/>
  <c r="DM285" i="63" s="1"/>
  <c r="DM286" i="63" s="1"/>
  <c r="DM287" i="63" s="1"/>
  <c r="DM288" i="63" s="1"/>
  <c r="DM289" i="63" s="1"/>
  <c r="DM290" i="63" s="1"/>
  <c r="DM291" i="63" s="1"/>
  <c r="DM292" i="63" s="1"/>
  <c r="DM293" i="63" s="1"/>
  <c r="DM294" i="63" s="1"/>
  <c r="DM295" i="63" s="1"/>
  <c r="DM296" i="63" s="1"/>
  <c r="DM297" i="63" s="1"/>
  <c r="DM298" i="63" s="1"/>
  <c r="DM299" i="63" s="1"/>
  <c r="DM300" i="63" s="1"/>
  <c r="DM301" i="63" s="1"/>
  <c r="DM302" i="63" s="1"/>
  <c r="DM303" i="63" s="1"/>
  <c r="DM304" i="63" s="1"/>
  <c r="DM305" i="63" s="1"/>
  <c r="DM306" i="63" s="1"/>
  <c r="DM307" i="63" s="1"/>
  <c r="DM308" i="63" s="1"/>
  <c r="DM7" i="63"/>
  <c r="DM6" i="63"/>
  <c r="DM5" i="63"/>
  <c r="DM4" i="63"/>
  <c r="DL8" i="63"/>
  <c r="DL9" i="63" s="1"/>
  <c r="DL10" i="63" s="1"/>
  <c r="DL11" i="63" s="1"/>
  <c r="DL12" i="63" s="1"/>
  <c r="DL13" i="63" s="1"/>
  <c r="DL14" i="63" s="1"/>
  <c r="DL15" i="63" s="1"/>
  <c r="DL16" i="63" s="1"/>
  <c r="DL17" i="63" s="1"/>
  <c r="DL18" i="63" s="1"/>
  <c r="DL19" i="63" s="1"/>
  <c r="DL20" i="63" s="1"/>
  <c r="DL21" i="63" s="1"/>
  <c r="DL22" i="63" s="1"/>
  <c r="DL23" i="63" s="1"/>
  <c r="DL24" i="63" s="1"/>
  <c r="DL25" i="63" s="1"/>
  <c r="DL26" i="63" s="1"/>
  <c r="DL27" i="63" s="1"/>
  <c r="DL28" i="63" s="1"/>
  <c r="DL29" i="63" s="1"/>
  <c r="DL30" i="63" s="1"/>
  <c r="DL31" i="63" s="1"/>
  <c r="DL32" i="63" s="1"/>
  <c r="DL33" i="63" s="1"/>
  <c r="DL34" i="63" s="1"/>
  <c r="DL35" i="63" s="1"/>
  <c r="DL36" i="63" s="1"/>
  <c r="DL37" i="63" s="1"/>
  <c r="DL38" i="63" s="1"/>
  <c r="DL39" i="63" s="1"/>
  <c r="DL40" i="63" s="1"/>
  <c r="DL41" i="63" s="1"/>
  <c r="DL42" i="63" s="1"/>
  <c r="DL43" i="63" s="1"/>
  <c r="DL44" i="63" s="1"/>
  <c r="DL45" i="63" s="1"/>
  <c r="DL46" i="63" s="1"/>
  <c r="DL47" i="63" s="1"/>
  <c r="DL48" i="63" s="1"/>
  <c r="DL49" i="63" s="1"/>
  <c r="DL50" i="63" s="1"/>
  <c r="DL51" i="63" s="1"/>
  <c r="DL52" i="63" s="1"/>
  <c r="DL53" i="63" s="1"/>
  <c r="DL54" i="63" s="1"/>
  <c r="DL55" i="63" s="1"/>
  <c r="DL56" i="63" s="1"/>
  <c r="DL57" i="63" s="1"/>
  <c r="DL58" i="63" s="1"/>
  <c r="DL59" i="63" s="1"/>
  <c r="DL60" i="63" s="1"/>
  <c r="DL61" i="63" s="1"/>
  <c r="DL62" i="63" s="1"/>
  <c r="DL63" i="63" s="1"/>
  <c r="DL64" i="63" s="1"/>
  <c r="DL65" i="63" s="1"/>
  <c r="DL66" i="63" s="1"/>
  <c r="DL67" i="63" s="1"/>
  <c r="DL68" i="63" s="1"/>
  <c r="DL69" i="63" s="1"/>
  <c r="DL70" i="63" s="1"/>
  <c r="DL71" i="63" s="1"/>
  <c r="DL72" i="63" s="1"/>
  <c r="DL73" i="63" s="1"/>
  <c r="DL74" i="63" s="1"/>
  <c r="DL75" i="63" s="1"/>
  <c r="DL76" i="63" s="1"/>
  <c r="DL77" i="63" s="1"/>
  <c r="DL78" i="63" s="1"/>
  <c r="DL79" i="63" s="1"/>
  <c r="DL80" i="63" s="1"/>
  <c r="DL81" i="63" s="1"/>
  <c r="DL82" i="63" s="1"/>
  <c r="DL83" i="63" s="1"/>
  <c r="DL84" i="63" s="1"/>
  <c r="DL85" i="63" s="1"/>
  <c r="DL86" i="63" s="1"/>
  <c r="DL87" i="63" s="1"/>
  <c r="DL88" i="63" s="1"/>
  <c r="DL89" i="63" s="1"/>
  <c r="DL90" i="63" s="1"/>
  <c r="DL91" i="63" s="1"/>
  <c r="DL92" i="63" s="1"/>
  <c r="DL93" i="63" s="1"/>
  <c r="DL94" i="63" s="1"/>
  <c r="DL95" i="63" s="1"/>
  <c r="DL96" i="63" s="1"/>
  <c r="DL97" i="63" s="1"/>
  <c r="DL98" i="63" s="1"/>
  <c r="DL99" i="63" s="1"/>
  <c r="DL100" i="63" s="1"/>
  <c r="DL101" i="63" s="1"/>
  <c r="DL102" i="63" s="1"/>
  <c r="DL103" i="63" s="1"/>
  <c r="DL104" i="63" s="1"/>
  <c r="DL105" i="63" s="1"/>
  <c r="DL106" i="63" s="1"/>
  <c r="DL107" i="63" s="1"/>
  <c r="DL108" i="63" s="1"/>
  <c r="DL109" i="63" s="1"/>
  <c r="DL110" i="63" s="1"/>
  <c r="DL111" i="63" s="1"/>
  <c r="DL112" i="63" s="1"/>
  <c r="DL113" i="63" s="1"/>
  <c r="DL114" i="63" s="1"/>
  <c r="DL115" i="63" s="1"/>
  <c r="DL116" i="63" s="1"/>
  <c r="DL117" i="63" s="1"/>
  <c r="DL118" i="63" s="1"/>
  <c r="DL119" i="63" s="1"/>
  <c r="DL120" i="63" s="1"/>
  <c r="DL121" i="63" s="1"/>
  <c r="DL122" i="63" s="1"/>
  <c r="DL123" i="63" s="1"/>
  <c r="DL124" i="63" s="1"/>
  <c r="DL125" i="63" s="1"/>
  <c r="DL126" i="63" s="1"/>
  <c r="DL127" i="63" s="1"/>
  <c r="DL128" i="63" s="1"/>
  <c r="DL129" i="63" s="1"/>
  <c r="DL130" i="63" s="1"/>
  <c r="DL131" i="63" s="1"/>
  <c r="DL132" i="63" s="1"/>
  <c r="DL133" i="63" s="1"/>
  <c r="DL134" i="63" s="1"/>
  <c r="DL135" i="63" s="1"/>
  <c r="DL136" i="63" s="1"/>
  <c r="DL137" i="63" s="1"/>
  <c r="DL138" i="63" s="1"/>
  <c r="DL139" i="63" s="1"/>
  <c r="DL140" i="63" s="1"/>
  <c r="DL141" i="63" s="1"/>
  <c r="DL142" i="63" s="1"/>
  <c r="DL143" i="63" s="1"/>
  <c r="DL144" i="63" s="1"/>
  <c r="DL145" i="63" s="1"/>
  <c r="DL146" i="63" s="1"/>
  <c r="DL147" i="63" s="1"/>
  <c r="DL148" i="63" s="1"/>
  <c r="DL149" i="63" s="1"/>
  <c r="DL150" i="63" s="1"/>
  <c r="DL151" i="63" s="1"/>
  <c r="DL152" i="63" s="1"/>
  <c r="DL153" i="63" s="1"/>
  <c r="DL154" i="63" s="1"/>
  <c r="DL155" i="63" s="1"/>
  <c r="DL156" i="63" s="1"/>
  <c r="DL157" i="63" s="1"/>
  <c r="DL158" i="63" s="1"/>
  <c r="DL159" i="63" s="1"/>
  <c r="DL160" i="63" s="1"/>
  <c r="DL161" i="63" s="1"/>
  <c r="DL162" i="63" s="1"/>
  <c r="DL163" i="63" s="1"/>
  <c r="DL164" i="63" s="1"/>
  <c r="DL165" i="63" s="1"/>
  <c r="DL166" i="63" s="1"/>
  <c r="DL167" i="63" s="1"/>
  <c r="DL168" i="63" s="1"/>
  <c r="DL169" i="63" s="1"/>
  <c r="DL170" i="63" s="1"/>
  <c r="DL171" i="63" s="1"/>
  <c r="DL172" i="63" s="1"/>
  <c r="DL173" i="63" s="1"/>
  <c r="DL174" i="63" s="1"/>
  <c r="DL175" i="63" s="1"/>
  <c r="DL176" i="63" s="1"/>
  <c r="DL177" i="63" s="1"/>
  <c r="DL178" i="63" s="1"/>
  <c r="DL179" i="63" s="1"/>
  <c r="DL180" i="63" s="1"/>
  <c r="DL181" i="63" s="1"/>
  <c r="DL182" i="63" s="1"/>
  <c r="DL183" i="63" s="1"/>
  <c r="DL184" i="63" s="1"/>
  <c r="DL185" i="63" s="1"/>
  <c r="DL186" i="63" s="1"/>
  <c r="DL187" i="63" s="1"/>
  <c r="DL188" i="63" s="1"/>
  <c r="DL189" i="63" s="1"/>
  <c r="DL190" i="63" s="1"/>
  <c r="DL191" i="63" s="1"/>
  <c r="DL192" i="63" s="1"/>
  <c r="DL193" i="63" s="1"/>
  <c r="DL194" i="63" s="1"/>
  <c r="DL195" i="63" s="1"/>
  <c r="DL196" i="63" s="1"/>
  <c r="DL197" i="63" s="1"/>
  <c r="DL198" i="63" s="1"/>
  <c r="DL199" i="63" s="1"/>
  <c r="DL200" i="63" s="1"/>
  <c r="DL201" i="63" s="1"/>
  <c r="DL202" i="63" s="1"/>
  <c r="DL203" i="63" s="1"/>
  <c r="DL204" i="63" s="1"/>
  <c r="DL205" i="63" s="1"/>
  <c r="DL206" i="63" s="1"/>
  <c r="DL207" i="63" s="1"/>
  <c r="DL208" i="63" s="1"/>
  <c r="DL209" i="63" s="1"/>
  <c r="DL210" i="63" s="1"/>
  <c r="DL211" i="63" s="1"/>
  <c r="DL212" i="63" s="1"/>
  <c r="DL213" i="63" s="1"/>
  <c r="DL214" i="63" s="1"/>
  <c r="DL215" i="63" s="1"/>
  <c r="DL216" i="63" s="1"/>
  <c r="DL217" i="63" s="1"/>
  <c r="DL218" i="63" s="1"/>
  <c r="DL219" i="63" s="1"/>
  <c r="DL220" i="63" s="1"/>
  <c r="DL221" i="63" s="1"/>
  <c r="DL222" i="63" s="1"/>
  <c r="DL223" i="63" s="1"/>
  <c r="DL224" i="63" s="1"/>
  <c r="DL225" i="63" s="1"/>
  <c r="DL226" i="63" s="1"/>
  <c r="DL227" i="63" s="1"/>
  <c r="DL228" i="63" s="1"/>
  <c r="DL229" i="63" s="1"/>
  <c r="DL230" i="63" s="1"/>
  <c r="DL231" i="63" s="1"/>
  <c r="DL232" i="63" s="1"/>
  <c r="DL233" i="63" s="1"/>
  <c r="DL234" i="63" s="1"/>
  <c r="DL235" i="63" s="1"/>
  <c r="DL236" i="63" s="1"/>
  <c r="DL237" i="63" s="1"/>
  <c r="DL238" i="63" s="1"/>
  <c r="DL239" i="63" s="1"/>
  <c r="DL240" i="63" s="1"/>
  <c r="DL241" i="63" s="1"/>
  <c r="DL242" i="63" s="1"/>
  <c r="DL243" i="63" s="1"/>
  <c r="DL244" i="63" s="1"/>
  <c r="DL245" i="63" s="1"/>
  <c r="DL246" i="63" s="1"/>
  <c r="DL247" i="63" s="1"/>
  <c r="DL248" i="63" s="1"/>
  <c r="DL249" i="63" s="1"/>
  <c r="DL250" i="63" s="1"/>
  <c r="DL251" i="63" s="1"/>
  <c r="DL252" i="63" s="1"/>
  <c r="DL253" i="63" s="1"/>
  <c r="DL254" i="63" s="1"/>
  <c r="DL255" i="63" s="1"/>
  <c r="DL256" i="63" s="1"/>
  <c r="DL257" i="63" s="1"/>
  <c r="DL258" i="63" s="1"/>
  <c r="DL259" i="63" s="1"/>
  <c r="DL260" i="63" s="1"/>
  <c r="DL261" i="63" s="1"/>
  <c r="DL262" i="63" s="1"/>
  <c r="DL263" i="63" s="1"/>
  <c r="DL264" i="63" s="1"/>
  <c r="DL265" i="63" s="1"/>
  <c r="DL266" i="63" s="1"/>
  <c r="DL267" i="63" s="1"/>
  <c r="DL268" i="63" s="1"/>
  <c r="DL269" i="63" s="1"/>
  <c r="DL270" i="63" s="1"/>
  <c r="DL271" i="63" s="1"/>
  <c r="DL272" i="63" s="1"/>
  <c r="DL273" i="63" s="1"/>
  <c r="DL274" i="63" s="1"/>
  <c r="DL275" i="63" s="1"/>
  <c r="DL276" i="63" s="1"/>
  <c r="DL277" i="63" s="1"/>
  <c r="DL278" i="63" s="1"/>
  <c r="DL279" i="63" s="1"/>
  <c r="DL280" i="63" s="1"/>
  <c r="DL281" i="63" s="1"/>
  <c r="DL282" i="63" s="1"/>
  <c r="DL283" i="63" s="1"/>
  <c r="DL284" i="63" s="1"/>
  <c r="DL285" i="63" s="1"/>
  <c r="DL286" i="63" s="1"/>
  <c r="DL287" i="63" s="1"/>
  <c r="DL288" i="63" s="1"/>
  <c r="DL289" i="63" s="1"/>
  <c r="DL290" i="63" s="1"/>
  <c r="DL291" i="63" s="1"/>
  <c r="DL292" i="63" s="1"/>
  <c r="DL293" i="63" s="1"/>
  <c r="DL294" i="63" s="1"/>
  <c r="DL295" i="63" s="1"/>
  <c r="DL296" i="63" s="1"/>
  <c r="DL297" i="63" s="1"/>
  <c r="DL298" i="63" s="1"/>
  <c r="DL299" i="63" s="1"/>
  <c r="DL300" i="63" s="1"/>
  <c r="DL301" i="63" s="1"/>
  <c r="DL302" i="63" s="1"/>
  <c r="DL303" i="63" s="1"/>
  <c r="DL304" i="63" s="1"/>
  <c r="DL305" i="63" s="1"/>
  <c r="DL306" i="63" s="1"/>
  <c r="DL307" i="63" s="1"/>
  <c r="DL308" i="63" s="1"/>
  <c r="DL7" i="63"/>
  <c r="DL6" i="63"/>
  <c r="DL5" i="63"/>
  <c r="DL4" i="63"/>
  <c r="DK8" i="63"/>
  <c r="DK9" i="63" s="1"/>
  <c r="DK10" i="63" s="1"/>
  <c r="DK11" i="63" s="1"/>
  <c r="DK12" i="63" s="1"/>
  <c r="DK13" i="63" s="1"/>
  <c r="DK14" i="63" s="1"/>
  <c r="DK15" i="63" s="1"/>
  <c r="DK16" i="63" s="1"/>
  <c r="DK17" i="63" s="1"/>
  <c r="DK18" i="63" s="1"/>
  <c r="DK19" i="63" s="1"/>
  <c r="DK20" i="63" s="1"/>
  <c r="DK21" i="63" s="1"/>
  <c r="DK22" i="63" s="1"/>
  <c r="DK23" i="63" s="1"/>
  <c r="DK24" i="63" s="1"/>
  <c r="DK25" i="63" s="1"/>
  <c r="DK26" i="63" s="1"/>
  <c r="DK27" i="63" s="1"/>
  <c r="DK28" i="63" s="1"/>
  <c r="DK29" i="63" s="1"/>
  <c r="DK30" i="63" s="1"/>
  <c r="DK31" i="63" s="1"/>
  <c r="DK32" i="63" s="1"/>
  <c r="DK33" i="63" s="1"/>
  <c r="DK34" i="63" s="1"/>
  <c r="DK35" i="63" s="1"/>
  <c r="DK36" i="63" s="1"/>
  <c r="DK37" i="63" s="1"/>
  <c r="DK38" i="63" s="1"/>
  <c r="DK39" i="63" s="1"/>
  <c r="DK40" i="63" s="1"/>
  <c r="DK41" i="63" s="1"/>
  <c r="DK42" i="63" s="1"/>
  <c r="DK43" i="63" s="1"/>
  <c r="DK44" i="63" s="1"/>
  <c r="DK45" i="63" s="1"/>
  <c r="DK46" i="63" s="1"/>
  <c r="DK47" i="63" s="1"/>
  <c r="DK48" i="63" s="1"/>
  <c r="DK49" i="63" s="1"/>
  <c r="DK50" i="63" s="1"/>
  <c r="DK51" i="63" s="1"/>
  <c r="DK52" i="63" s="1"/>
  <c r="DK53" i="63" s="1"/>
  <c r="DK54" i="63" s="1"/>
  <c r="DK55" i="63" s="1"/>
  <c r="DK56" i="63" s="1"/>
  <c r="DK57" i="63" s="1"/>
  <c r="DK58" i="63" s="1"/>
  <c r="DK59" i="63" s="1"/>
  <c r="DK60" i="63" s="1"/>
  <c r="DK61" i="63" s="1"/>
  <c r="DK62" i="63" s="1"/>
  <c r="DK63" i="63" s="1"/>
  <c r="DK64" i="63" s="1"/>
  <c r="DK65" i="63" s="1"/>
  <c r="DK66" i="63" s="1"/>
  <c r="DK67" i="63" s="1"/>
  <c r="DK68" i="63" s="1"/>
  <c r="DK69" i="63" s="1"/>
  <c r="DK70" i="63" s="1"/>
  <c r="DK71" i="63" s="1"/>
  <c r="DK72" i="63" s="1"/>
  <c r="DK73" i="63" s="1"/>
  <c r="DK74" i="63" s="1"/>
  <c r="DK75" i="63" s="1"/>
  <c r="DK76" i="63" s="1"/>
  <c r="DK77" i="63" s="1"/>
  <c r="DK78" i="63" s="1"/>
  <c r="DK79" i="63" s="1"/>
  <c r="DK80" i="63" s="1"/>
  <c r="DK81" i="63" s="1"/>
  <c r="DK82" i="63" s="1"/>
  <c r="DK83" i="63" s="1"/>
  <c r="DK84" i="63" s="1"/>
  <c r="DK85" i="63" s="1"/>
  <c r="DK86" i="63" s="1"/>
  <c r="DK87" i="63" s="1"/>
  <c r="DK88" i="63" s="1"/>
  <c r="DK89" i="63" s="1"/>
  <c r="DK90" i="63" s="1"/>
  <c r="DK91" i="63" s="1"/>
  <c r="DK92" i="63" s="1"/>
  <c r="DK93" i="63" s="1"/>
  <c r="DK94" i="63" s="1"/>
  <c r="DK95" i="63" s="1"/>
  <c r="DK96" i="63" s="1"/>
  <c r="DK97" i="63" s="1"/>
  <c r="DK98" i="63" s="1"/>
  <c r="DK99" i="63" s="1"/>
  <c r="DK100" i="63" s="1"/>
  <c r="DK101" i="63" s="1"/>
  <c r="DK102" i="63" s="1"/>
  <c r="DK103" i="63" s="1"/>
  <c r="DK104" i="63" s="1"/>
  <c r="DK105" i="63" s="1"/>
  <c r="DK106" i="63" s="1"/>
  <c r="DK107" i="63" s="1"/>
  <c r="DK108" i="63" s="1"/>
  <c r="DK109" i="63" s="1"/>
  <c r="DK110" i="63" s="1"/>
  <c r="DK111" i="63" s="1"/>
  <c r="DK112" i="63" s="1"/>
  <c r="DK113" i="63" s="1"/>
  <c r="DK114" i="63" s="1"/>
  <c r="DK115" i="63" s="1"/>
  <c r="DK116" i="63" s="1"/>
  <c r="DK117" i="63" s="1"/>
  <c r="DK118" i="63" s="1"/>
  <c r="DK119" i="63" s="1"/>
  <c r="DK120" i="63" s="1"/>
  <c r="DK121" i="63" s="1"/>
  <c r="DK122" i="63" s="1"/>
  <c r="DK123" i="63" s="1"/>
  <c r="DK124" i="63" s="1"/>
  <c r="DK125" i="63" s="1"/>
  <c r="DK126" i="63" s="1"/>
  <c r="DK127" i="63" s="1"/>
  <c r="DK128" i="63" s="1"/>
  <c r="DK129" i="63" s="1"/>
  <c r="DK130" i="63" s="1"/>
  <c r="DK131" i="63" s="1"/>
  <c r="DK132" i="63" s="1"/>
  <c r="DK133" i="63" s="1"/>
  <c r="DK134" i="63" s="1"/>
  <c r="DK135" i="63" s="1"/>
  <c r="DK136" i="63" s="1"/>
  <c r="DK137" i="63" s="1"/>
  <c r="DK138" i="63" s="1"/>
  <c r="DK139" i="63" s="1"/>
  <c r="DK140" i="63" s="1"/>
  <c r="DK141" i="63" s="1"/>
  <c r="DK142" i="63" s="1"/>
  <c r="DK143" i="63" s="1"/>
  <c r="DK144" i="63" s="1"/>
  <c r="DK145" i="63" s="1"/>
  <c r="DK146" i="63" s="1"/>
  <c r="DK147" i="63" s="1"/>
  <c r="DK148" i="63" s="1"/>
  <c r="DK149" i="63" s="1"/>
  <c r="DK150" i="63" s="1"/>
  <c r="DK151" i="63" s="1"/>
  <c r="DK152" i="63" s="1"/>
  <c r="DK153" i="63" s="1"/>
  <c r="DK154" i="63" s="1"/>
  <c r="DK155" i="63" s="1"/>
  <c r="DK156" i="63" s="1"/>
  <c r="DK157" i="63" s="1"/>
  <c r="DK158" i="63" s="1"/>
  <c r="DK159" i="63" s="1"/>
  <c r="DK160" i="63" s="1"/>
  <c r="DK161" i="63" s="1"/>
  <c r="DK162" i="63" s="1"/>
  <c r="DK163" i="63" s="1"/>
  <c r="DK164" i="63" s="1"/>
  <c r="DK165" i="63" s="1"/>
  <c r="DK166" i="63" s="1"/>
  <c r="DK167" i="63" s="1"/>
  <c r="DK168" i="63" s="1"/>
  <c r="DK169" i="63" s="1"/>
  <c r="DK170" i="63" s="1"/>
  <c r="DK171" i="63" s="1"/>
  <c r="DK172" i="63" s="1"/>
  <c r="DK173" i="63" s="1"/>
  <c r="DK174" i="63" s="1"/>
  <c r="DK175" i="63" s="1"/>
  <c r="DK176" i="63" s="1"/>
  <c r="DK177" i="63" s="1"/>
  <c r="DK178" i="63" s="1"/>
  <c r="DK179" i="63" s="1"/>
  <c r="DK180" i="63" s="1"/>
  <c r="DK181" i="63" s="1"/>
  <c r="DK182" i="63" s="1"/>
  <c r="DK183" i="63" s="1"/>
  <c r="DK184" i="63" s="1"/>
  <c r="DK185" i="63" s="1"/>
  <c r="DK186" i="63" s="1"/>
  <c r="DK187" i="63" s="1"/>
  <c r="DK188" i="63" s="1"/>
  <c r="DK189" i="63" s="1"/>
  <c r="DK190" i="63" s="1"/>
  <c r="DK191" i="63" s="1"/>
  <c r="DK192" i="63" s="1"/>
  <c r="DK193" i="63" s="1"/>
  <c r="DK194" i="63" s="1"/>
  <c r="DK195" i="63" s="1"/>
  <c r="DK196" i="63" s="1"/>
  <c r="DK197" i="63" s="1"/>
  <c r="DK198" i="63" s="1"/>
  <c r="DK199" i="63" s="1"/>
  <c r="DK200" i="63" s="1"/>
  <c r="DK201" i="63" s="1"/>
  <c r="DK202" i="63" s="1"/>
  <c r="DK203" i="63" s="1"/>
  <c r="DK204" i="63" s="1"/>
  <c r="DK205" i="63" s="1"/>
  <c r="DK206" i="63" s="1"/>
  <c r="DK207" i="63" s="1"/>
  <c r="DK208" i="63" s="1"/>
  <c r="DK209" i="63" s="1"/>
  <c r="DK210" i="63" s="1"/>
  <c r="DK211" i="63" s="1"/>
  <c r="DK212" i="63" s="1"/>
  <c r="DK213" i="63" s="1"/>
  <c r="DK214" i="63" s="1"/>
  <c r="DK215" i="63" s="1"/>
  <c r="DK216" i="63" s="1"/>
  <c r="DK217" i="63" s="1"/>
  <c r="DK218" i="63" s="1"/>
  <c r="DK219" i="63" s="1"/>
  <c r="DK220" i="63" s="1"/>
  <c r="DK221" i="63" s="1"/>
  <c r="DK222" i="63" s="1"/>
  <c r="DK223" i="63" s="1"/>
  <c r="DK224" i="63" s="1"/>
  <c r="DK225" i="63" s="1"/>
  <c r="DK226" i="63" s="1"/>
  <c r="DK227" i="63" s="1"/>
  <c r="DK228" i="63" s="1"/>
  <c r="DK229" i="63" s="1"/>
  <c r="DK230" i="63" s="1"/>
  <c r="DK231" i="63" s="1"/>
  <c r="DK232" i="63" s="1"/>
  <c r="DK233" i="63" s="1"/>
  <c r="DK234" i="63" s="1"/>
  <c r="DK235" i="63" s="1"/>
  <c r="DK236" i="63" s="1"/>
  <c r="DK237" i="63" s="1"/>
  <c r="DK238" i="63" s="1"/>
  <c r="DK239" i="63" s="1"/>
  <c r="DK240" i="63" s="1"/>
  <c r="DK241" i="63" s="1"/>
  <c r="DK242" i="63" s="1"/>
  <c r="DK243" i="63" s="1"/>
  <c r="DK244" i="63" s="1"/>
  <c r="DK245" i="63" s="1"/>
  <c r="DK246" i="63" s="1"/>
  <c r="DK247" i="63" s="1"/>
  <c r="DK248" i="63" s="1"/>
  <c r="DK249" i="63" s="1"/>
  <c r="DK250" i="63" s="1"/>
  <c r="DK251" i="63" s="1"/>
  <c r="DK252" i="63" s="1"/>
  <c r="DK253" i="63" s="1"/>
  <c r="DK254" i="63" s="1"/>
  <c r="DK255" i="63" s="1"/>
  <c r="DK256" i="63" s="1"/>
  <c r="DK257" i="63" s="1"/>
  <c r="DK258" i="63" s="1"/>
  <c r="DK259" i="63" s="1"/>
  <c r="DK260" i="63" s="1"/>
  <c r="DK261" i="63" s="1"/>
  <c r="DK262" i="63" s="1"/>
  <c r="DK263" i="63" s="1"/>
  <c r="DK264" i="63" s="1"/>
  <c r="DK265" i="63" s="1"/>
  <c r="DK266" i="63" s="1"/>
  <c r="DK267" i="63" s="1"/>
  <c r="DK268" i="63" s="1"/>
  <c r="DK269" i="63" s="1"/>
  <c r="DK270" i="63" s="1"/>
  <c r="DK271" i="63" s="1"/>
  <c r="DK272" i="63" s="1"/>
  <c r="DK273" i="63" s="1"/>
  <c r="DK274" i="63" s="1"/>
  <c r="DK275" i="63" s="1"/>
  <c r="DK276" i="63" s="1"/>
  <c r="DK277" i="63" s="1"/>
  <c r="DK278" i="63" s="1"/>
  <c r="DK279" i="63" s="1"/>
  <c r="DK280" i="63" s="1"/>
  <c r="DK281" i="63" s="1"/>
  <c r="DK282" i="63" s="1"/>
  <c r="DK283" i="63" s="1"/>
  <c r="DK284" i="63" s="1"/>
  <c r="DK285" i="63" s="1"/>
  <c r="DK286" i="63" s="1"/>
  <c r="DK287" i="63" s="1"/>
  <c r="DK288" i="63" s="1"/>
  <c r="DK289" i="63" s="1"/>
  <c r="DK290" i="63" s="1"/>
  <c r="DK291" i="63" s="1"/>
  <c r="DK292" i="63" s="1"/>
  <c r="DK293" i="63" s="1"/>
  <c r="DK294" i="63" s="1"/>
  <c r="DK295" i="63" s="1"/>
  <c r="DK296" i="63" s="1"/>
  <c r="DK297" i="63" s="1"/>
  <c r="DK298" i="63" s="1"/>
  <c r="DK299" i="63" s="1"/>
  <c r="DK300" i="63" s="1"/>
  <c r="DK301" i="63" s="1"/>
  <c r="DK302" i="63" s="1"/>
  <c r="DK303" i="63" s="1"/>
  <c r="DK304" i="63" s="1"/>
  <c r="DK305" i="63" s="1"/>
  <c r="DK306" i="63" s="1"/>
  <c r="DK307" i="63" s="1"/>
  <c r="DK308" i="63" s="1"/>
  <c r="DK7" i="63"/>
  <c r="DK6" i="63"/>
  <c r="DK5" i="63"/>
  <c r="DK4" i="63"/>
  <c r="DJ8" i="63"/>
  <c r="DJ9" i="63" s="1"/>
  <c r="DJ10" i="63" s="1"/>
  <c r="DJ11" i="63" s="1"/>
  <c r="DJ12" i="63" s="1"/>
  <c r="DJ13" i="63" s="1"/>
  <c r="DJ14" i="63" s="1"/>
  <c r="DJ15" i="63" s="1"/>
  <c r="DJ16" i="63" s="1"/>
  <c r="DJ17" i="63" s="1"/>
  <c r="DJ18" i="63" s="1"/>
  <c r="DJ19" i="63" s="1"/>
  <c r="DJ20" i="63" s="1"/>
  <c r="DJ21" i="63" s="1"/>
  <c r="DJ22" i="63" s="1"/>
  <c r="DJ23" i="63" s="1"/>
  <c r="DJ24" i="63" s="1"/>
  <c r="DJ25" i="63" s="1"/>
  <c r="DJ26" i="63" s="1"/>
  <c r="DJ27" i="63" s="1"/>
  <c r="DJ28" i="63" s="1"/>
  <c r="DJ29" i="63" s="1"/>
  <c r="DJ30" i="63" s="1"/>
  <c r="DJ31" i="63" s="1"/>
  <c r="DJ32" i="63" s="1"/>
  <c r="DJ33" i="63" s="1"/>
  <c r="DJ34" i="63" s="1"/>
  <c r="DJ35" i="63" s="1"/>
  <c r="DJ36" i="63" s="1"/>
  <c r="DJ37" i="63" s="1"/>
  <c r="DJ38" i="63" s="1"/>
  <c r="DJ39" i="63" s="1"/>
  <c r="DJ40" i="63" s="1"/>
  <c r="DJ41" i="63" s="1"/>
  <c r="DJ42" i="63" s="1"/>
  <c r="DJ43" i="63" s="1"/>
  <c r="DJ44" i="63" s="1"/>
  <c r="DJ45" i="63" s="1"/>
  <c r="DJ46" i="63" s="1"/>
  <c r="DJ47" i="63" s="1"/>
  <c r="DJ48" i="63" s="1"/>
  <c r="DJ49" i="63" s="1"/>
  <c r="DJ50" i="63" s="1"/>
  <c r="DJ51" i="63" s="1"/>
  <c r="DJ52" i="63" s="1"/>
  <c r="DJ53" i="63" s="1"/>
  <c r="DJ54" i="63" s="1"/>
  <c r="DJ55" i="63" s="1"/>
  <c r="DJ56" i="63" s="1"/>
  <c r="DJ57" i="63" s="1"/>
  <c r="DJ58" i="63" s="1"/>
  <c r="DJ59" i="63" s="1"/>
  <c r="DJ60" i="63" s="1"/>
  <c r="DJ61" i="63" s="1"/>
  <c r="DJ62" i="63" s="1"/>
  <c r="DJ63" i="63" s="1"/>
  <c r="DJ64" i="63" s="1"/>
  <c r="DJ65" i="63" s="1"/>
  <c r="DJ66" i="63" s="1"/>
  <c r="DJ67" i="63" s="1"/>
  <c r="DJ68" i="63" s="1"/>
  <c r="DJ69" i="63" s="1"/>
  <c r="DJ70" i="63" s="1"/>
  <c r="DJ71" i="63" s="1"/>
  <c r="DJ72" i="63" s="1"/>
  <c r="DJ73" i="63" s="1"/>
  <c r="DJ74" i="63" s="1"/>
  <c r="DJ75" i="63" s="1"/>
  <c r="DJ76" i="63" s="1"/>
  <c r="DJ77" i="63" s="1"/>
  <c r="DJ78" i="63" s="1"/>
  <c r="DJ79" i="63" s="1"/>
  <c r="DJ80" i="63" s="1"/>
  <c r="DJ81" i="63" s="1"/>
  <c r="DJ82" i="63" s="1"/>
  <c r="DJ83" i="63" s="1"/>
  <c r="DJ84" i="63" s="1"/>
  <c r="DJ85" i="63" s="1"/>
  <c r="DJ86" i="63" s="1"/>
  <c r="DJ87" i="63" s="1"/>
  <c r="DJ88" i="63" s="1"/>
  <c r="DJ89" i="63" s="1"/>
  <c r="DJ90" i="63" s="1"/>
  <c r="DJ91" i="63" s="1"/>
  <c r="DJ92" i="63" s="1"/>
  <c r="DJ93" i="63" s="1"/>
  <c r="DJ94" i="63" s="1"/>
  <c r="DJ95" i="63" s="1"/>
  <c r="DJ96" i="63" s="1"/>
  <c r="DJ97" i="63" s="1"/>
  <c r="DJ98" i="63" s="1"/>
  <c r="DJ99" i="63" s="1"/>
  <c r="DJ100" i="63" s="1"/>
  <c r="DJ101" i="63" s="1"/>
  <c r="DJ102" i="63" s="1"/>
  <c r="DJ103" i="63" s="1"/>
  <c r="DJ104" i="63" s="1"/>
  <c r="DJ105" i="63" s="1"/>
  <c r="DJ106" i="63" s="1"/>
  <c r="DJ107" i="63" s="1"/>
  <c r="DJ108" i="63" s="1"/>
  <c r="DJ109" i="63" s="1"/>
  <c r="DJ110" i="63" s="1"/>
  <c r="DJ111" i="63" s="1"/>
  <c r="DJ112" i="63" s="1"/>
  <c r="DJ113" i="63" s="1"/>
  <c r="DJ114" i="63" s="1"/>
  <c r="DJ115" i="63" s="1"/>
  <c r="DJ116" i="63" s="1"/>
  <c r="DJ117" i="63" s="1"/>
  <c r="DJ118" i="63" s="1"/>
  <c r="DJ119" i="63" s="1"/>
  <c r="DJ120" i="63" s="1"/>
  <c r="DJ121" i="63" s="1"/>
  <c r="DJ122" i="63" s="1"/>
  <c r="DJ123" i="63" s="1"/>
  <c r="DJ124" i="63" s="1"/>
  <c r="DJ125" i="63" s="1"/>
  <c r="DJ126" i="63" s="1"/>
  <c r="DJ127" i="63" s="1"/>
  <c r="DJ128" i="63" s="1"/>
  <c r="DJ129" i="63" s="1"/>
  <c r="DJ130" i="63" s="1"/>
  <c r="DJ131" i="63" s="1"/>
  <c r="DJ132" i="63" s="1"/>
  <c r="DJ133" i="63" s="1"/>
  <c r="DJ134" i="63" s="1"/>
  <c r="DJ135" i="63" s="1"/>
  <c r="DJ136" i="63" s="1"/>
  <c r="DJ137" i="63" s="1"/>
  <c r="DJ138" i="63" s="1"/>
  <c r="DJ139" i="63" s="1"/>
  <c r="DJ140" i="63" s="1"/>
  <c r="DJ141" i="63" s="1"/>
  <c r="DJ142" i="63" s="1"/>
  <c r="DJ143" i="63" s="1"/>
  <c r="DJ144" i="63" s="1"/>
  <c r="DJ145" i="63" s="1"/>
  <c r="DJ146" i="63" s="1"/>
  <c r="DJ147" i="63" s="1"/>
  <c r="DJ148" i="63" s="1"/>
  <c r="DJ149" i="63" s="1"/>
  <c r="DJ150" i="63" s="1"/>
  <c r="DJ151" i="63" s="1"/>
  <c r="DJ152" i="63" s="1"/>
  <c r="DJ153" i="63" s="1"/>
  <c r="DJ154" i="63" s="1"/>
  <c r="DJ155" i="63" s="1"/>
  <c r="DJ156" i="63" s="1"/>
  <c r="DJ157" i="63" s="1"/>
  <c r="DJ158" i="63" s="1"/>
  <c r="DJ159" i="63" s="1"/>
  <c r="DJ160" i="63" s="1"/>
  <c r="DJ161" i="63" s="1"/>
  <c r="DJ162" i="63" s="1"/>
  <c r="DJ163" i="63" s="1"/>
  <c r="DJ164" i="63" s="1"/>
  <c r="DJ165" i="63" s="1"/>
  <c r="DJ166" i="63" s="1"/>
  <c r="DJ167" i="63" s="1"/>
  <c r="DJ168" i="63" s="1"/>
  <c r="DJ169" i="63" s="1"/>
  <c r="DJ170" i="63" s="1"/>
  <c r="DJ171" i="63" s="1"/>
  <c r="DJ172" i="63" s="1"/>
  <c r="DJ173" i="63" s="1"/>
  <c r="DJ174" i="63" s="1"/>
  <c r="DJ175" i="63" s="1"/>
  <c r="DJ176" i="63" s="1"/>
  <c r="DJ177" i="63" s="1"/>
  <c r="DJ178" i="63" s="1"/>
  <c r="DJ179" i="63" s="1"/>
  <c r="DJ180" i="63" s="1"/>
  <c r="DJ181" i="63" s="1"/>
  <c r="DJ182" i="63" s="1"/>
  <c r="DJ183" i="63" s="1"/>
  <c r="DJ184" i="63" s="1"/>
  <c r="DJ185" i="63" s="1"/>
  <c r="DJ186" i="63" s="1"/>
  <c r="DJ187" i="63" s="1"/>
  <c r="DJ188" i="63" s="1"/>
  <c r="DJ189" i="63" s="1"/>
  <c r="DJ190" i="63" s="1"/>
  <c r="DJ191" i="63" s="1"/>
  <c r="DJ192" i="63" s="1"/>
  <c r="DJ193" i="63" s="1"/>
  <c r="DJ194" i="63" s="1"/>
  <c r="DJ195" i="63" s="1"/>
  <c r="DJ196" i="63" s="1"/>
  <c r="DJ197" i="63" s="1"/>
  <c r="DJ198" i="63" s="1"/>
  <c r="DJ199" i="63" s="1"/>
  <c r="DJ200" i="63" s="1"/>
  <c r="DJ201" i="63" s="1"/>
  <c r="DJ202" i="63" s="1"/>
  <c r="DJ203" i="63" s="1"/>
  <c r="DJ204" i="63" s="1"/>
  <c r="DJ205" i="63" s="1"/>
  <c r="DJ206" i="63" s="1"/>
  <c r="DJ207" i="63" s="1"/>
  <c r="DJ208" i="63" s="1"/>
  <c r="DJ209" i="63" s="1"/>
  <c r="DJ210" i="63" s="1"/>
  <c r="DJ211" i="63" s="1"/>
  <c r="DJ212" i="63" s="1"/>
  <c r="DJ213" i="63" s="1"/>
  <c r="DJ214" i="63" s="1"/>
  <c r="DJ215" i="63" s="1"/>
  <c r="DJ216" i="63" s="1"/>
  <c r="DJ217" i="63" s="1"/>
  <c r="DJ218" i="63" s="1"/>
  <c r="DJ219" i="63" s="1"/>
  <c r="DJ220" i="63" s="1"/>
  <c r="DJ221" i="63" s="1"/>
  <c r="DJ222" i="63" s="1"/>
  <c r="DJ223" i="63" s="1"/>
  <c r="DJ224" i="63" s="1"/>
  <c r="DJ225" i="63" s="1"/>
  <c r="DJ226" i="63" s="1"/>
  <c r="DJ227" i="63" s="1"/>
  <c r="DJ228" i="63" s="1"/>
  <c r="DJ229" i="63" s="1"/>
  <c r="DJ230" i="63" s="1"/>
  <c r="DJ231" i="63" s="1"/>
  <c r="DJ232" i="63" s="1"/>
  <c r="DJ233" i="63" s="1"/>
  <c r="DJ234" i="63" s="1"/>
  <c r="DJ235" i="63" s="1"/>
  <c r="DJ236" i="63" s="1"/>
  <c r="DJ237" i="63" s="1"/>
  <c r="DJ238" i="63" s="1"/>
  <c r="DJ239" i="63" s="1"/>
  <c r="DJ240" i="63" s="1"/>
  <c r="DJ241" i="63" s="1"/>
  <c r="DJ242" i="63" s="1"/>
  <c r="DJ243" i="63" s="1"/>
  <c r="DJ244" i="63" s="1"/>
  <c r="DJ245" i="63" s="1"/>
  <c r="DJ246" i="63" s="1"/>
  <c r="DJ247" i="63" s="1"/>
  <c r="DJ248" i="63" s="1"/>
  <c r="DJ249" i="63" s="1"/>
  <c r="DJ250" i="63" s="1"/>
  <c r="DJ251" i="63" s="1"/>
  <c r="DJ252" i="63" s="1"/>
  <c r="DJ253" i="63" s="1"/>
  <c r="DJ254" i="63" s="1"/>
  <c r="DJ255" i="63" s="1"/>
  <c r="DJ256" i="63" s="1"/>
  <c r="DJ257" i="63" s="1"/>
  <c r="DJ258" i="63" s="1"/>
  <c r="DJ259" i="63" s="1"/>
  <c r="DJ260" i="63" s="1"/>
  <c r="DJ261" i="63" s="1"/>
  <c r="DJ262" i="63" s="1"/>
  <c r="DJ263" i="63" s="1"/>
  <c r="DJ264" i="63" s="1"/>
  <c r="DJ265" i="63" s="1"/>
  <c r="DJ266" i="63" s="1"/>
  <c r="DJ267" i="63" s="1"/>
  <c r="DJ268" i="63" s="1"/>
  <c r="DJ269" i="63" s="1"/>
  <c r="DJ270" i="63" s="1"/>
  <c r="DJ271" i="63" s="1"/>
  <c r="DJ272" i="63" s="1"/>
  <c r="DJ273" i="63" s="1"/>
  <c r="DJ274" i="63" s="1"/>
  <c r="DJ275" i="63" s="1"/>
  <c r="DJ276" i="63" s="1"/>
  <c r="DJ277" i="63" s="1"/>
  <c r="DJ278" i="63" s="1"/>
  <c r="DJ279" i="63" s="1"/>
  <c r="DJ280" i="63" s="1"/>
  <c r="DJ281" i="63" s="1"/>
  <c r="DJ282" i="63" s="1"/>
  <c r="DJ283" i="63" s="1"/>
  <c r="DJ284" i="63" s="1"/>
  <c r="DJ285" i="63" s="1"/>
  <c r="DJ286" i="63" s="1"/>
  <c r="DJ287" i="63" s="1"/>
  <c r="DJ288" i="63" s="1"/>
  <c r="DJ289" i="63" s="1"/>
  <c r="DJ290" i="63" s="1"/>
  <c r="DJ291" i="63" s="1"/>
  <c r="DJ292" i="63" s="1"/>
  <c r="DJ293" i="63" s="1"/>
  <c r="DJ294" i="63" s="1"/>
  <c r="DJ295" i="63" s="1"/>
  <c r="DJ296" i="63" s="1"/>
  <c r="DJ297" i="63" s="1"/>
  <c r="DJ298" i="63" s="1"/>
  <c r="DJ299" i="63" s="1"/>
  <c r="DJ300" i="63" s="1"/>
  <c r="DJ301" i="63" s="1"/>
  <c r="DJ302" i="63" s="1"/>
  <c r="DJ303" i="63" s="1"/>
  <c r="DJ304" i="63" s="1"/>
  <c r="DJ305" i="63" s="1"/>
  <c r="DJ306" i="63" s="1"/>
  <c r="DJ307" i="63" s="1"/>
  <c r="DJ308" i="63" s="1"/>
  <c r="DJ7" i="63"/>
  <c r="DJ6" i="63"/>
  <c r="DJ5" i="63"/>
  <c r="DJ4" i="63"/>
  <c r="DI8" i="63"/>
  <c r="DI9" i="63" s="1"/>
  <c r="DI10" i="63" s="1"/>
  <c r="DI11" i="63" s="1"/>
  <c r="DI12" i="63" s="1"/>
  <c r="DI13" i="63" s="1"/>
  <c r="DI14" i="63" s="1"/>
  <c r="DI15" i="63" s="1"/>
  <c r="DI16" i="63" s="1"/>
  <c r="DI17" i="63" s="1"/>
  <c r="DI18" i="63" s="1"/>
  <c r="DI19" i="63" s="1"/>
  <c r="DI20" i="63" s="1"/>
  <c r="DI21" i="63" s="1"/>
  <c r="DI22" i="63" s="1"/>
  <c r="DI23" i="63" s="1"/>
  <c r="DI24" i="63" s="1"/>
  <c r="DI25" i="63" s="1"/>
  <c r="DI26" i="63" s="1"/>
  <c r="DI27" i="63" s="1"/>
  <c r="DI28" i="63" s="1"/>
  <c r="DI29" i="63" s="1"/>
  <c r="DI30" i="63" s="1"/>
  <c r="DI31" i="63" s="1"/>
  <c r="DI32" i="63" s="1"/>
  <c r="DI33" i="63" s="1"/>
  <c r="DI34" i="63" s="1"/>
  <c r="DI35" i="63" s="1"/>
  <c r="DI36" i="63" s="1"/>
  <c r="DI37" i="63" s="1"/>
  <c r="DI38" i="63" s="1"/>
  <c r="DI39" i="63" s="1"/>
  <c r="DI40" i="63" s="1"/>
  <c r="DI41" i="63" s="1"/>
  <c r="DI42" i="63" s="1"/>
  <c r="DI43" i="63" s="1"/>
  <c r="DI44" i="63" s="1"/>
  <c r="DI45" i="63" s="1"/>
  <c r="DI46" i="63" s="1"/>
  <c r="DI47" i="63" s="1"/>
  <c r="DI48" i="63" s="1"/>
  <c r="DI49" i="63" s="1"/>
  <c r="DI50" i="63" s="1"/>
  <c r="DI51" i="63" s="1"/>
  <c r="DI52" i="63" s="1"/>
  <c r="DI53" i="63" s="1"/>
  <c r="DI54" i="63" s="1"/>
  <c r="DI55" i="63" s="1"/>
  <c r="DI56" i="63" s="1"/>
  <c r="DI57" i="63" s="1"/>
  <c r="DI58" i="63" s="1"/>
  <c r="DI59" i="63" s="1"/>
  <c r="DI60" i="63" s="1"/>
  <c r="DI61" i="63" s="1"/>
  <c r="DI62" i="63" s="1"/>
  <c r="DI63" i="63" s="1"/>
  <c r="DI64" i="63" s="1"/>
  <c r="DI65" i="63" s="1"/>
  <c r="DI66" i="63" s="1"/>
  <c r="DI67" i="63" s="1"/>
  <c r="DI68" i="63" s="1"/>
  <c r="DI69" i="63" s="1"/>
  <c r="DI70" i="63" s="1"/>
  <c r="DI71" i="63" s="1"/>
  <c r="DI72" i="63" s="1"/>
  <c r="DI73" i="63" s="1"/>
  <c r="DI74" i="63" s="1"/>
  <c r="DI75" i="63" s="1"/>
  <c r="DI76" i="63" s="1"/>
  <c r="DI77" i="63" s="1"/>
  <c r="DI78" i="63" s="1"/>
  <c r="DI79" i="63" s="1"/>
  <c r="DI80" i="63" s="1"/>
  <c r="DI81" i="63" s="1"/>
  <c r="DI82" i="63" s="1"/>
  <c r="DI83" i="63" s="1"/>
  <c r="DI84" i="63" s="1"/>
  <c r="DI85" i="63" s="1"/>
  <c r="DI86" i="63" s="1"/>
  <c r="DI87" i="63" s="1"/>
  <c r="DI88" i="63" s="1"/>
  <c r="DI89" i="63" s="1"/>
  <c r="DI90" i="63" s="1"/>
  <c r="DI91" i="63" s="1"/>
  <c r="DI92" i="63" s="1"/>
  <c r="DI93" i="63" s="1"/>
  <c r="DI94" i="63" s="1"/>
  <c r="DI95" i="63" s="1"/>
  <c r="DI96" i="63" s="1"/>
  <c r="DI97" i="63" s="1"/>
  <c r="DI98" i="63" s="1"/>
  <c r="DI99" i="63" s="1"/>
  <c r="DI100" i="63" s="1"/>
  <c r="DI101" i="63" s="1"/>
  <c r="DI102" i="63" s="1"/>
  <c r="DI103" i="63" s="1"/>
  <c r="DI104" i="63" s="1"/>
  <c r="DI105" i="63" s="1"/>
  <c r="DI106" i="63" s="1"/>
  <c r="DI107" i="63" s="1"/>
  <c r="DI108" i="63" s="1"/>
  <c r="DI109" i="63" s="1"/>
  <c r="DI110" i="63" s="1"/>
  <c r="DI111" i="63" s="1"/>
  <c r="DI112" i="63" s="1"/>
  <c r="DI113" i="63" s="1"/>
  <c r="DI114" i="63" s="1"/>
  <c r="DI115" i="63" s="1"/>
  <c r="DI116" i="63" s="1"/>
  <c r="DI117" i="63" s="1"/>
  <c r="DI118" i="63" s="1"/>
  <c r="DI119" i="63" s="1"/>
  <c r="DI120" i="63" s="1"/>
  <c r="DI121" i="63" s="1"/>
  <c r="DI122" i="63" s="1"/>
  <c r="DI123" i="63" s="1"/>
  <c r="DI124" i="63" s="1"/>
  <c r="DI125" i="63" s="1"/>
  <c r="DI126" i="63" s="1"/>
  <c r="DI127" i="63" s="1"/>
  <c r="DI128" i="63" s="1"/>
  <c r="DI129" i="63" s="1"/>
  <c r="DI130" i="63" s="1"/>
  <c r="DI131" i="63" s="1"/>
  <c r="DI132" i="63" s="1"/>
  <c r="DI133" i="63" s="1"/>
  <c r="DI134" i="63" s="1"/>
  <c r="DI135" i="63" s="1"/>
  <c r="DI136" i="63" s="1"/>
  <c r="DI137" i="63" s="1"/>
  <c r="DI138" i="63" s="1"/>
  <c r="DI139" i="63" s="1"/>
  <c r="DI140" i="63" s="1"/>
  <c r="DI141" i="63" s="1"/>
  <c r="DI142" i="63" s="1"/>
  <c r="DI143" i="63" s="1"/>
  <c r="DI144" i="63" s="1"/>
  <c r="DI145" i="63" s="1"/>
  <c r="DI146" i="63" s="1"/>
  <c r="DI147" i="63" s="1"/>
  <c r="DI148" i="63" s="1"/>
  <c r="DI149" i="63" s="1"/>
  <c r="DI150" i="63" s="1"/>
  <c r="DI151" i="63" s="1"/>
  <c r="DI152" i="63" s="1"/>
  <c r="DI153" i="63" s="1"/>
  <c r="DI154" i="63" s="1"/>
  <c r="DI155" i="63" s="1"/>
  <c r="DI156" i="63" s="1"/>
  <c r="DI157" i="63" s="1"/>
  <c r="DI158" i="63" s="1"/>
  <c r="DI159" i="63" s="1"/>
  <c r="DI160" i="63" s="1"/>
  <c r="DI161" i="63" s="1"/>
  <c r="DI162" i="63" s="1"/>
  <c r="DI163" i="63" s="1"/>
  <c r="DI164" i="63" s="1"/>
  <c r="DI165" i="63" s="1"/>
  <c r="DI166" i="63" s="1"/>
  <c r="DI167" i="63" s="1"/>
  <c r="DI168" i="63" s="1"/>
  <c r="DI169" i="63" s="1"/>
  <c r="DI170" i="63" s="1"/>
  <c r="DI171" i="63" s="1"/>
  <c r="DI172" i="63" s="1"/>
  <c r="DI173" i="63" s="1"/>
  <c r="DI174" i="63" s="1"/>
  <c r="DI175" i="63" s="1"/>
  <c r="DI176" i="63" s="1"/>
  <c r="DI177" i="63" s="1"/>
  <c r="DI178" i="63" s="1"/>
  <c r="DI179" i="63" s="1"/>
  <c r="DI180" i="63" s="1"/>
  <c r="DI181" i="63" s="1"/>
  <c r="DI182" i="63" s="1"/>
  <c r="DI183" i="63" s="1"/>
  <c r="DI184" i="63" s="1"/>
  <c r="DI185" i="63" s="1"/>
  <c r="DI186" i="63" s="1"/>
  <c r="DI187" i="63" s="1"/>
  <c r="DI188" i="63" s="1"/>
  <c r="DI189" i="63" s="1"/>
  <c r="DI190" i="63" s="1"/>
  <c r="DI191" i="63" s="1"/>
  <c r="DI192" i="63" s="1"/>
  <c r="DI193" i="63" s="1"/>
  <c r="DI194" i="63" s="1"/>
  <c r="DI195" i="63" s="1"/>
  <c r="DI196" i="63" s="1"/>
  <c r="DI197" i="63" s="1"/>
  <c r="DI198" i="63" s="1"/>
  <c r="DI199" i="63" s="1"/>
  <c r="DI200" i="63" s="1"/>
  <c r="DI201" i="63" s="1"/>
  <c r="DI202" i="63" s="1"/>
  <c r="DI203" i="63" s="1"/>
  <c r="DI204" i="63" s="1"/>
  <c r="DI205" i="63" s="1"/>
  <c r="DI206" i="63" s="1"/>
  <c r="DI207" i="63" s="1"/>
  <c r="DI208" i="63" s="1"/>
  <c r="DI209" i="63" s="1"/>
  <c r="DI210" i="63" s="1"/>
  <c r="DI211" i="63" s="1"/>
  <c r="DI212" i="63" s="1"/>
  <c r="DI213" i="63" s="1"/>
  <c r="DI214" i="63" s="1"/>
  <c r="DI215" i="63" s="1"/>
  <c r="DI216" i="63" s="1"/>
  <c r="DI217" i="63" s="1"/>
  <c r="DI218" i="63" s="1"/>
  <c r="DI219" i="63" s="1"/>
  <c r="DI220" i="63" s="1"/>
  <c r="DI221" i="63" s="1"/>
  <c r="DI222" i="63" s="1"/>
  <c r="DI223" i="63" s="1"/>
  <c r="DI224" i="63" s="1"/>
  <c r="DI225" i="63" s="1"/>
  <c r="DI226" i="63" s="1"/>
  <c r="DI227" i="63" s="1"/>
  <c r="DI228" i="63" s="1"/>
  <c r="DI229" i="63" s="1"/>
  <c r="DI230" i="63" s="1"/>
  <c r="DI231" i="63" s="1"/>
  <c r="DI232" i="63" s="1"/>
  <c r="DI233" i="63" s="1"/>
  <c r="DI234" i="63" s="1"/>
  <c r="DI235" i="63" s="1"/>
  <c r="DI236" i="63" s="1"/>
  <c r="DI237" i="63" s="1"/>
  <c r="DI238" i="63" s="1"/>
  <c r="DI239" i="63" s="1"/>
  <c r="DI240" i="63" s="1"/>
  <c r="DI241" i="63" s="1"/>
  <c r="DI242" i="63" s="1"/>
  <c r="DI243" i="63" s="1"/>
  <c r="DI244" i="63" s="1"/>
  <c r="DI245" i="63" s="1"/>
  <c r="DI246" i="63" s="1"/>
  <c r="DI247" i="63" s="1"/>
  <c r="DI248" i="63" s="1"/>
  <c r="DI249" i="63" s="1"/>
  <c r="DI250" i="63" s="1"/>
  <c r="DI251" i="63" s="1"/>
  <c r="DI252" i="63" s="1"/>
  <c r="DI253" i="63" s="1"/>
  <c r="DI254" i="63" s="1"/>
  <c r="DI255" i="63" s="1"/>
  <c r="DI256" i="63" s="1"/>
  <c r="DI257" i="63" s="1"/>
  <c r="DI258" i="63" s="1"/>
  <c r="DI259" i="63" s="1"/>
  <c r="DI260" i="63" s="1"/>
  <c r="DI261" i="63" s="1"/>
  <c r="DI262" i="63" s="1"/>
  <c r="DI263" i="63" s="1"/>
  <c r="DI264" i="63" s="1"/>
  <c r="DI265" i="63" s="1"/>
  <c r="DI266" i="63" s="1"/>
  <c r="DI267" i="63" s="1"/>
  <c r="DI268" i="63" s="1"/>
  <c r="DI269" i="63" s="1"/>
  <c r="DI270" i="63" s="1"/>
  <c r="DI271" i="63" s="1"/>
  <c r="DI272" i="63" s="1"/>
  <c r="DI273" i="63" s="1"/>
  <c r="DI274" i="63" s="1"/>
  <c r="DI275" i="63" s="1"/>
  <c r="DI276" i="63" s="1"/>
  <c r="DI277" i="63" s="1"/>
  <c r="DI278" i="63" s="1"/>
  <c r="DI279" i="63" s="1"/>
  <c r="DI280" i="63" s="1"/>
  <c r="DI281" i="63" s="1"/>
  <c r="DI282" i="63" s="1"/>
  <c r="DI283" i="63" s="1"/>
  <c r="DI284" i="63" s="1"/>
  <c r="DI285" i="63" s="1"/>
  <c r="DI286" i="63" s="1"/>
  <c r="DI287" i="63" s="1"/>
  <c r="DI288" i="63" s="1"/>
  <c r="DI289" i="63" s="1"/>
  <c r="DI290" i="63" s="1"/>
  <c r="DI291" i="63" s="1"/>
  <c r="DI292" i="63" s="1"/>
  <c r="DI293" i="63" s="1"/>
  <c r="DI294" i="63" s="1"/>
  <c r="DI295" i="63" s="1"/>
  <c r="DI296" i="63" s="1"/>
  <c r="DI297" i="63" s="1"/>
  <c r="DI298" i="63" s="1"/>
  <c r="DI299" i="63" s="1"/>
  <c r="DI300" i="63" s="1"/>
  <c r="DI301" i="63" s="1"/>
  <c r="DI302" i="63" s="1"/>
  <c r="DI303" i="63" s="1"/>
  <c r="DI304" i="63" s="1"/>
  <c r="DI305" i="63" s="1"/>
  <c r="DI306" i="63" s="1"/>
  <c r="DI307" i="63" s="1"/>
  <c r="DI308" i="63" s="1"/>
  <c r="DI7" i="63"/>
  <c r="DI6" i="63"/>
  <c r="DI5" i="63"/>
  <c r="DI4" i="63"/>
  <c r="DH8" i="63"/>
  <c r="DH7" i="63"/>
  <c r="DH6" i="63"/>
  <c r="DH5" i="63"/>
  <c r="DH4" i="63"/>
  <c r="DG8" i="63"/>
  <c r="DG7" i="63"/>
  <c r="DG6" i="63"/>
  <c r="DG5" i="63"/>
  <c r="DG4" i="63"/>
  <c r="DF8" i="63"/>
  <c r="DF9" i="63" s="1"/>
  <c r="DF10" i="63" s="1"/>
  <c r="DF11" i="63" s="1"/>
  <c r="DF12" i="63" s="1"/>
  <c r="DF13" i="63" s="1"/>
  <c r="DF14" i="63" s="1"/>
  <c r="DF15" i="63" s="1"/>
  <c r="DF16" i="63" s="1"/>
  <c r="DF17" i="63" s="1"/>
  <c r="DF18" i="63" s="1"/>
  <c r="DF19" i="63" s="1"/>
  <c r="DF20" i="63" s="1"/>
  <c r="DF21" i="63" s="1"/>
  <c r="DF22" i="63" s="1"/>
  <c r="DF23" i="63" s="1"/>
  <c r="DF24" i="63" s="1"/>
  <c r="DF25" i="63" s="1"/>
  <c r="DF26" i="63" s="1"/>
  <c r="DF27" i="63" s="1"/>
  <c r="DF28" i="63" s="1"/>
  <c r="DF29" i="63" s="1"/>
  <c r="DF30" i="63" s="1"/>
  <c r="DF31" i="63" s="1"/>
  <c r="DF32" i="63" s="1"/>
  <c r="DF33" i="63" s="1"/>
  <c r="DF34" i="63" s="1"/>
  <c r="DF35" i="63" s="1"/>
  <c r="DF36" i="63" s="1"/>
  <c r="DF37" i="63" s="1"/>
  <c r="DF38" i="63" s="1"/>
  <c r="DF39" i="63" s="1"/>
  <c r="DF40" i="63" s="1"/>
  <c r="DF41" i="63" s="1"/>
  <c r="DF42" i="63" s="1"/>
  <c r="DF43" i="63" s="1"/>
  <c r="DF44" i="63" s="1"/>
  <c r="DF45" i="63" s="1"/>
  <c r="DF46" i="63" s="1"/>
  <c r="DF47" i="63" s="1"/>
  <c r="DF48" i="63" s="1"/>
  <c r="DF49" i="63" s="1"/>
  <c r="DF50" i="63" s="1"/>
  <c r="DF51" i="63" s="1"/>
  <c r="DF52" i="63" s="1"/>
  <c r="DF53" i="63" s="1"/>
  <c r="DF54" i="63" s="1"/>
  <c r="DF55" i="63" s="1"/>
  <c r="DF56" i="63" s="1"/>
  <c r="DF57" i="63" s="1"/>
  <c r="DF58" i="63" s="1"/>
  <c r="DF59" i="63" s="1"/>
  <c r="DF60" i="63" s="1"/>
  <c r="DF61" i="63" s="1"/>
  <c r="DF62" i="63" s="1"/>
  <c r="DF63" i="63" s="1"/>
  <c r="DF64" i="63" s="1"/>
  <c r="DF65" i="63" s="1"/>
  <c r="DF66" i="63" s="1"/>
  <c r="DF67" i="63" s="1"/>
  <c r="DF68" i="63" s="1"/>
  <c r="DF69" i="63" s="1"/>
  <c r="DF70" i="63" s="1"/>
  <c r="DF71" i="63" s="1"/>
  <c r="DF72" i="63" s="1"/>
  <c r="DF73" i="63" s="1"/>
  <c r="DF74" i="63" s="1"/>
  <c r="DF75" i="63" s="1"/>
  <c r="DF76" i="63" s="1"/>
  <c r="DF77" i="63" s="1"/>
  <c r="DF78" i="63" s="1"/>
  <c r="DF79" i="63" s="1"/>
  <c r="DF80" i="63" s="1"/>
  <c r="DF81" i="63" s="1"/>
  <c r="DF82" i="63" s="1"/>
  <c r="DF83" i="63" s="1"/>
  <c r="DF84" i="63" s="1"/>
  <c r="DF85" i="63" s="1"/>
  <c r="DF86" i="63" s="1"/>
  <c r="DF87" i="63" s="1"/>
  <c r="DF88" i="63" s="1"/>
  <c r="DF89" i="63" s="1"/>
  <c r="DF90" i="63" s="1"/>
  <c r="DF91" i="63" s="1"/>
  <c r="DF92" i="63" s="1"/>
  <c r="DF93" i="63" s="1"/>
  <c r="DF94" i="63" s="1"/>
  <c r="DF95" i="63" s="1"/>
  <c r="DF96" i="63" s="1"/>
  <c r="DF97" i="63" s="1"/>
  <c r="DF98" i="63" s="1"/>
  <c r="DF99" i="63" s="1"/>
  <c r="DF100" i="63" s="1"/>
  <c r="DF101" i="63" s="1"/>
  <c r="DF102" i="63" s="1"/>
  <c r="DF103" i="63" s="1"/>
  <c r="DF104" i="63" s="1"/>
  <c r="DF105" i="63" s="1"/>
  <c r="DF106" i="63" s="1"/>
  <c r="DF107" i="63" s="1"/>
  <c r="DF108" i="63" s="1"/>
  <c r="DF109" i="63" s="1"/>
  <c r="DF110" i="63" s="1"/>
  <c r="DF111" i="63" s="1"/>
  <c r="DF112" i="63" s="1"/>
  <c r="DF113" i="63" s="1"/>
  <c r="DF114" i="63" s="1"/>
  <c r="DF115" i="63" s="1"/>
  <c r="DF116" i="63" s="1"/>
  <c r="DF117" i="63" s="1"/>
  <c r="DF118" i="63" s="1"/>
  <c r="DF119" i="63" s="1"/>
  <c r="DF120" i="63" s="1"/>
  <c r="DF121" i="63" s="1"/>
  <c r="DF122" i="63" s="1"/>
  <c r="DF123" i="63" s="1"/>
  <c r="DF124" i="63" s="1"/>
  <c r="DF125" i="63" s="1"/>
  <c r="DF126" i="63" s="1"/>
  <c r="DF127" i="63" s="1"/>
  <c r="DF128" i="63" s="1"/>
  <c r="DF129" i="63" s="1"/>
  <c r="DF130" i="63" s="1"/>
  <c r="DF131" i="63" s="1"/>
  <c r="DF132" i="63" s="1"/>
  <c r="DF133" i="63" s="1"/>
  <c r="DF134" i="63" s="1"/>
  <c r="DF135" i="63" s="1"/>
  <c r="DF136" i="63" s="1"/>
  <c r="DF137" i="63" s="1"/>
  <c r="DF138" i="63" s="1"/>
  <c r="DF139" i="63" s="1"/>
  <c r="DF140" i="63" s="1"/>
  <c r="DF141" i="63" s="1"/>
  <c r="DF142" i="63" s="1"/>
  <c r="DF143" i="63" s="1"/>
  <c r="DF144" i="63" s="1"/>
  <c r="DF145" i="63" s="1"/>
  <c r="DF146" i="63" s="1"/>
  <c r="DF147" i="63" s="1"/>
  <c r="DF148" i="63" s="1"/>
  <c r="DF149" i="63" s="1"/>
  <c r="DF150" i="63" s="1"/>
  <c r="DF151" i="63" s="1"/>
  <c r="DF152" i="63" s="1"/>
  <c r="DF153" i="63" s="1"/>
  <c r="DF154" i="63" s="1"/>
  <c r="DF155" i="63" s="1"/>
  <c r="DF156" i="63" s="1"/>
  <c r="DF157" i="63" s="1"/>
  <c r="DF158" i="63" s="1"/>
  <c r="DF159" i="63" s="1"/>
  <c r="DF160" i="63" s="1"/>
  <c r="DF161" i="63" s="1"/>
  <c r="DF162" i="63" s="1"/>
  <c r="DF163" i="63" s="1"/>
  <c r="DF164" i="63" s="1"/>
  <c r="DF165" i="63" s="1"/>
  <c r="DF166" i="63" s="1"/>
  <c r="DF167" i="63" s="1"/>
  <c r="DF168" i="63" s="1"/>
  <c r="DF169" i="63" s="1"/>
  <c r="DF170" i="63" s="1"/>
  <c r="DF171" i="63" s="1"/>
  <c r="DF172" i="63" s="1"/>
  <c r="DF173" i="63" s="1"/>
  <c r="DF174" i="63" s="1"/>
  <c r="DF175" i="63" s="1"/>
  <c r="DF176" i="63" s="1"/>
  <c r="DF177" i="63" s="1"/>
  <c r="DF178" i="63" s="1"/>
  <c r="DF179" i="63" s="1"/>
  <c r="DF180" i="63" s="1"/>
  <c r="DF181" i="63" s="1"/>
  <c r="DF182" i="63" s="1"/>
  <c r="DF183" i="63" s="1"/>
  <c r="DF184" i="63" s="1"/>
  <c r="DF185" i="63" s="1"/>
  <c r="DF186" i="63" s="1"/>
  <c r="DF187" i="63" s="1"/>
  <c r="DF188" i="63" s="1"/>
  <c r="DF189" i="63" s="1"/>
  <c r="DF190" i="63" s="1"/>
  <c r="DF191" i="63" s="1"/>
  <c r="DF192" i="63" s="1"/>
  <c r="DF193" i="63" s="1"/>
  <c r="DF194" i="63" s="1"/>
  <c r="DF195" i="63" s="1"/>
  <c r="DF196" i="63" s="1"/>
  <c r="DF197" i="63" s="1"/>
  <c r="DF198" i="63" s="1"/>
  <c r="DF199" i="63" s="1"/>
  <c r="DF200" i="63" s="1"/>
  <c r="DF201" i="63" s="1"/>
  <c r="DF202" i="63" s="1"/>
  <c r="DF203" i="63" s="1"/>
  <c r="DF204" i="63" s="1"/>
  <c r="DF205" i="63" s="1"/>
  <c r="DF206" i="63" s="1"/>
  <c r="DF207" i="63" s="1"/>
  <c r="DF208" i="63" s="1"/>
  <c r="DF209" i="63" s="1"/>
  <c r="DF210" i="63" s="1"/>
  <c r="DF211" i="63" s="1"/>
  <c r="DF212" i="63" s="1"/>
  <c r="DF213" i="63" s="1"/>
  <c r="DF214" i="63" s="1"/>
  <c r="DF215" i="63" s="1"/>
  <c r="DF216" i="63" s="1"/>
  <c r="DF217" i="63" s="1"/>
  <c r="DF218" i="63" s="1"/>
  <c r="DF219" i="63" s="1"/>
  <c r="DF220" i="63" s="1"/>
  <c r="DF221" i="63" s="1"/>
  <c r="DF222" i="63" s="1"/>
  <c r="DF223" i="63" s="1"/>
  <c r="DF224" i="63" s="1"/>
  <c r="DF225" i="63" s="1"/>
  <c r="DF226" i="63" s="1"/>
  <c r="DF227" i="63" s="1"/>
  <c r="DF228" i="63" s="1"/>
  <c r="DF229" i="63" s="1"/>
  <c r="DF230" i="63" s="1"/>
  <c r="DF231" i="63" s="1"/>
  <c r="DF232" i="63" s="1"/>
  <c r="DF233" i="63" s="1"/>
  <c r="DF234" i="63" s="1"/>
  <c r="DF235" i="63" s="1"/>
  <c r="DF236" i="63" s="1"/>
  <c r="DF237" i="63" s="1"/>
  <c r="DF238" i="63" s="1"/>
  <c r="DF239" i="63" s="1"/>
  <c r="DF240" i="63" s="1"/>
  <c r="DF241" i="63" s="1"/>
  <c r="DF242" i="63" s="1"/>
  <c r="DF243" i="63" s="1"/>
  <c r="DF244" i="63" s="1"/>
  <c r="DF245" i="63" s="1"/>
  <c r="DF246" i="63" s="1"/>
  <c r="DF247" i="63" s="1"/>
  <c r="DF248" i="63" s="1"/>
  <c r="DF249" i="63" s="1"/>
  <c r="DF250" i="63" s="1"/>
  <c r="DF251" i="63" s="1"/>
  <c r="DF252" i="63" s="1"/>
  <c r="DF253" i="63" s="1"/>
  <c r="DF254" i="63" s="1"/>
  <c r="DF255" i="63" s="1"/>
  <c r="DF256" i="63" s="1"/>
  <c r="DF257" i="63" s="1"/>
  <c r="DF258" i="63" s="1"/>
  <c r="DF259" i="63" s="1"/>
  <c r="DF260" i="63" s="1"/>
  <c r="DF261" i="63" s="1"/>
  <c r="DF262" i="63" s="1"/>
  <c r="DF263" i="63" s="1"/>
  <c r="DF264" i="63" s="1"/>
  <c r="DF265" i="63" s="1"/>
  <c r="DF266" i="63" s="1"/>
  <c r="DF267" i="63" s="1"/>
  <c r="DF268" i="63" s="1"/>
  <c r="DF269" i="63" s="1"/>
  <c r="DF270" i="63" s="1"/>
  <c r="DF271" i="63" s="1"/>
  <c r="DF272" i="63" s="1"/>
  <c r="DF273" i="63" s="1"/>
  <c r="DF274" i="63" s="1"/>
  <c r="DF275" i="63" s="1"/>
  <c r="DF276" i="63" s="1"/>
  <c r="DF277" i="63" s="1"/>
  <c r="DF278" i="63" s="1"/>
  <c r="DF279" i="63" s="1"/>
  <c r="DF280" i="63" s="1"/>
  <c r="DF281" i="63" s="1"/>
  <c r="DF282" i="63" s="1"/>
  <c r="DF283" i="63" s="1"/>
  <c r="DF284" i="63" s="1"/>
  <c r="DF285" i="63" s="1"/>
  <c r="DF286" i="63" s="1"/>
  <c r="DF287" i="63" s="1"/>
  <c r="DF288" i="63" s="1"/>
  <c r="DF289" i="63" s="1"/>
  <c r="DF290" i="63" s="1"/>
  <c r="DF291" i="63" s="1"/>
  <c r="DF292" i="63" s="1"/>
  <c r="DF293" i="63" s="1"/>
  <c r="DF294" i="63" s="1"/>
  <c r="DF295" i="63" s="1"/>
  <c r="DF296" i="63" s="1"/>
  <c r="DF297" i="63" s="1"/>
  <c r="DF298" i="63" s="1"/>
  <c r="DF299" i="63" s="1"/>
  <c r="DF300" i="63" s="1"/>
  <c r="DF301" i="63" s="1"/>
  <c r="DF302" i="63" s="1"/>
  <c r="DF303" i="63" s="1"/>
  <c r="DF304" i="63" s="1"/>
  <c r="DF305" i="63" s="1"/>
  <c r="DF306" i="63" s="1"/>
  <c r="DF307" i="63" s="1"/>
  <c r="DF308" i="63" s="1"/>
  <c r="DF7" i="63"/>
  <c r="DF6" i="63"/>
  <c r="DF5" i="63"/>
  <c r="DF4" i="63"/>
  <c r="DE8" i="63"/>
  <c r="DE7" i="63"/>
  <c r="DE6" i="63"/>
  <c r="DE5" i="63"/>
  <c r="DE4" i="63"/>
  <c r="DD8" i="63"/>
  <c r="DD9" i="63" s="1"/>
  <c r="DD10" i="63" s="1"/>
  <c r="DD11" i="63" s="1"/>
  <c r="DD12" i="63" s="1"/>
  <c r="DD13" i="63" s="1"/>
  <c r="DD14" i="63" s="1"/>
  <c r="DD15" i="63" s="1"/>
  <c r="DD16" i="63" s="1"/>
  <c r="DD17" i="63" s="1"/>
  <c r="DD18" i="63" s="1"/>
  <c r="DD19" i="63" s="1"/>
  <c r="DD20" i="63" s="1"/>
  <c r="DD21" i="63" s="1"/>
  <c r="DD22" i="63" s="1"/>
  <c r="DD23" i="63" s="1"/>
  <c r="DD24" i="63" s="1"/>
  <c r="DD25" i="63" s="1"/>
  <c r="DD26" i="63" s="1"/>
  <c r="DD27" i="63" s="1"/>
  <c r="DD28" i="63" s="1"/>
  <c r="DD29" i="63" s="1"/>
  <c r="DD30" i="63" s="1"/>
  <c r="DD31" i="63" s="1"/>
  <c r="DD32" i="63" s="1"/>
  <c r="DD33" i="63" s="1"/>
  <c r="DD34" i="63" s="1"/>
  <c r="DD35" i="63" s="1"/>
  <c r="DD36" i="63" s="1"/>
  <c r="DD37" i="63" s="1"/>
  <c r="DD38" i="63" s="1"/>
  <c r="DD39" i="63" s="1"/>
  <c r="DD40" i="63" s="1"/>
  <c r="DD41" i="63" s="1"/>
  <c r="DD42" i="63" s="1"/>
  <c r="DD43" i="63" s="1"/>
  <c r="DD44" i="63" s="1"/>
  <c r="DD45" i="63" s="1"/>
  <c r="DD46" i="63" s="1"/>
  <c r="DD47" i="63" s="1"/>
  <c r="DD48" i="63" s="1"/>
  <c r="DD49" i="63" s="1"/>
  <c r="DD50" i="63" s="1"/>
  <c r="DD51" i="63" s="1"/>
  <c r="DD52" i="63" s="1"/>
  <c r="DD53" i="63" s="1"/>
  <c r="DD54" i="63" s="1"/>
  <c r="DD55" i="63" s="1"/>
  <c r="DD56" i="63" s="1"/>
  <c r="DD57" i="63" s="1"/>
  <c r="DD58" i="63" s="1"/>
  <c r="DD59" i="63" s="1"/>
  <c r="DD60" i="63" s="1"/>
  <c r="DD61" i="63" s="1"/>
  <c r="DD62" i="63" s="1"/>
  <c r="DD63" i="63" s="1"/>
  <c r="DD64" i="63" s="1"/>
  <c r="DD65" i="63" s="1"/>
  <c r="DD66" i="63" s="1"/>
  <c r="DD67" i="63" s="1"/>
  <c r="DD68" i="63" s="1"/>
  <c r="DD69" i="63" s="1"/>
  <c r="DD70" i="63" s="1"/>
  <c r="DD71" i="63" s="1"/>
  <c r="DD72" i="63" s="1"/>
  <c r="DD73" i="63" s="1"/>
  <c r="DD74" i="63" s="1"/>
  <c r="DD75" i="63" s="1"/>
  <c r="DD76" i="63" s="1"/>
  <c r="DD77" i="63" s="1"/>
  <c r="DD78" i="63" s="1"/>
  <c r="DD79" i="63" s="1"/>
  <c r="DD80" i="63" s="1"/>
  <c r="DD81" i="63" s="1"/>
  <c r="DD82" i="63" s="1"/>
  <c r="DD83" i="63" s="1"/>
  <c r="DD84" i="63" s="1"/>
  <c r="DD85" i="63" s="1"/>
  <c r="DD86" i="63" s="1"/>
  <c r="DD87" i="63" s="1"/>
  <c r="DD88" i="63" s="1"/>
  <c r="DD89" i="63" s="1"/>
  <c r="DD90" i="63" s="1"/>
  <c r="DD91" i="63" s="1"/>
  <c r="DD92" i="63" s="1"/>
  <c r="DD93" i="63" s="1"/>
  <c r="DD94" i="63" s="1"/>
  <c r="DD95" i="63" s="1"/>
  <c r="DD96" i="63" s="1"/>
  <c r="DD97" i="63" s="1"/>
  <c r="DD98" i="63" s="1"/>
  <c r="DD99" i="63" s="1"/>
  <c r="DD100" i="63" s="1"/>
  <c r="DD101" i="63" s="1"/>
  <c r="DD102" i="63" s="1"/>
  <c r="DD103" i="63" s="1"/>
  <c r="DD104" i="63" s="1"/>
  <c r="DD105" i="63" s="1"/>
  <c r="DD106" i="63" s="1"/>
  <c r="DD107" i="63" s="1"/>
  <c r="DD108" i="63" s="1"/>
  <c r="DD109" i="63" s="1"/>
  <c r="DD110" i="63" s="1"/>
  <c r="DD111" i="63" s="1"/>
  <c r="DD112" i="63" s="1"/>
  <c r="DD113" i="63" s="1"/>
  <c r="DD114" i="63" s="1"/>
  <c r="DD115" i="63" s="1"/>
  <c r="DD116" i="63" s="1"/>
  <c r="DD117" i="63" s="1"/>
  <c r="DD118" i="63" s="1"/>
  <c r="DD119" i="63" s="1"/>
  <c r="DD120" i="63" s="1"/>
  <c r="DD121" i="63" s="1"/>
  <c r="DD122" i="63" s="1"/>
  <c r="DD123" i="63" s="1"/>
  <c r="DD124" i="63" s="1"/>
  <c r="DD125" i="63" s="1"/>
  <c r="DD126" i="63" s="1"/>
  <c r="DD127" i="63" s="1"/>
  <c r="DD128" i="63" s="1"/>
  <c r="DD129" i="63" s="1"/>
  <c r="DD130" i="63" s="1"/>
  <c r="DD131" i="63" s="1"/>
  <c r="DD132" i="63" s="1"/>
  <c r="DD133" i="63" s="1"/>
  <c r="DD134" i="63" s="1"/>
  <c r="DD135" i="63" s="1"/>
  <c r="DD136" i="63" s="1"/>
  <c r="DD137" i="63" s="1"/>
  <c r="DD138" i="63" s="1"/>
  <c r="DD139" i="63" s="1"/>
  <c r="DD140" i="63" s="1"/>
  <c r="DD141" i="63" s="1"/>
  <c r="DD142" i="63" s="1"/>
  <c r="DD143" i="63" s="1"/>
  <c r="DD144" i="63" s="1"/>
  <c r="DD145" i="63" s="1"/>
  <c r="DD146" i="63" s="1"/>
  <c r="DD147" i="63" s="1"/>
  <c r="DD148" i="63" s="1"/>
  <c r="DD149" i="63" s="1"/>
  <c r="DD150" i="63" s="1"/>
  <c r="DD151" i="63" s="1"/>
  <c r="DD152" i="63" s="1"/>
  <c r="DD153" i="63" s="1"/>
  <c r="DD154" i="63" s="1"/>
  <c r="DD155" i="63" s="1"/>
  <c r="DD156" i="63" s="1"/>
  <c r="DD157" i="63" s="1"/>
  <c r="DD158" i="63" s="1"/>
  <c r="DD159" i="63" s="1"/>
  <c r="DD160" i="63" s="1"/>
  <c r="DD161" i="63" s="1"/>
  <c r="DD162" i="63" s="1"/>
  <c r="DD163" i="63" s="1"/>
  <c r="DD164" i="63" s="1"/>
  <c r="DD165" i="63" s="1"/>
  <c r="DD166" i="63" s="1"/>
  <c r="DD167" i="63" s="1"/>
  <c r="DD168" i="63" s="1"/>
  <c r="DD169" i="63" s="1"/>
  <c r="DD170" i="63" s="1"/>
  <c r="DD171" i="63" s="1"/>
  <c r="DD172" i="63" s="1"/>
  <c r="DD173" i="63" s="1"/>
  <c r="DD174" i="63" s="1"/>
  <c r="DD175" i="63" s="1"/>
  <c r="DD176" i="63" s="1"/>
  <c r="DD177" i="63" s="1"/>
  <c r="DD178" i="63" s="1"/>
  <c r="DD179" i="63" s="1"/>
  <c r="DD180" i="63" s="1"/>
  <c r="DD181" i="63" s="1"/>
  <c r="DD182" i="63" s="1"/>
  <c r="DD183" i="63" s="1"/>
  <c r="DD184" i="63" s="1"/>
  <c r="DD185" i="63" s="1"/>
  <c r="DD186" i="63" s="1"/>
  <c r="DD187" i="63" s="1"/>
  <c r="DD188" i="63" s="1"/>
  <c r="DD189" i="63" s="1"/>
  <c r="DD190" i="63" s="1"/>
  <c r="DD191" i="63" s="1"/>
  <c r="DD192" i="63" s="1"/>
  <c r="DD193" i="63" s="1"/>
  <c r="DD194" i="63" s="1"/>
  <c r="DD195" i="63" s="1"/>
  <c r="DD196" i="63" s="1"/>
  <c r="DD197" i="63" s="1"/>
  <c r="DD198" i="63" s="1"/>
  <c r="DD199" i="63" s="1"/>
  <c r="DD200" i="63" s="1"/>
  <c r="DD201" i="63" s="1"/>
  <c r="DD202" i="63" s="1"/>
  <c r="DD203" i="63" s="1"/>
  <c r="DD204" i="63" s="1"/>
  <c r="DD205" i="63" s="1"/>
  <c r="DD206" i="63" s="1"/>
  <c r="DD207" i="63" s="1"/>
  <c r="DD208" i="63" s="1"/>
  <c r="DD209" i="63" s="1"/>
  <c r="DD210" i="63" s="1"/>
  <c r="DD211" i="63" s="1"/>
  <c r="DD212" i="63" s="1"/>
  <c r="DD213" i="63" s="1"/>
  <c r="DD214" i="63" s="1"/>
  <c r="DD215" i="63" s="1"/>
  <c r="DD216" i="63" s="1"/>
  <c r="DD217" i="63" s="1"/>
  <c r="DD218" i="63" s="1"/>
  <c r="DD219" i="63" s="1"/>
  <c r="DD220" i="63" s="1"/>
  <c r="DD221" i="63" s="1"/>
  <c r="DD222" i="63" s="1"/>
  <c r="DD223" i="63" s="1"/>
  <c r="DD224" i="63" s="1"/>
  <c r="DD225" i="63" s="1"/>
  <c r="DD226" i="63" s="1"/>
  <c r="DD227" i="63" s="1"/>
  <c r="DD228" i="63" s="1"/>
  <c r="DD229" i="63" s="1"/>
  <c r="DD230" i="63" s="1"/>
  <c r="DD231" i="63" s="1"/>
  <c r="DD232" i="63" s="1"/>
  <c r="DD233" i="63" s="1"/>
  <c r="DD234" i="63" s="1"/>
  <c r="DD235" i="63" s="1"/>
  <c r="DD236" i="63" s="1"/>
  <c r="DD237" i="63" s="1"/>
  <c r="DD238" i="63" s="1"/>
  <c r="DD239" i="63" s="1"/>
  <c r="DD240" i="63" s="1"/>
  <c r="DD241" i="63" s="1"/>
  <c r="DD242" i="63" s="1"/>
  <c r="DD243" i="63" s="1"/>
  <c r="DD244" i="63" s="1"/>
  <c r="DD245" i="63" s="1"/>
  <c r="DD246" i="63" s="1"/>
  <c r="DD247" i="63" s="1"/>
  <c r="DD248" i="63" s="1"/>
  <c r="DD249" i="63" s="1"/>
  <c r="DD250" i="63" s="1"/>
  <c r="DD251" i="63" s="1"/>
  <c r="DD252" i="63" s="1"/>
  <c r="DD253" i="63" s="1"/>
  <c r="DD254" i="63" s="1"/>
  <c r="DD255" i="63" s="1"/>
  <c r="DD256" i="63" s="1"/>
  <c r="DD257" i="63" s="1"/>
  <c r="DD258" i="63" s="1"/>
  <c r="DD259" i="63" s="1"/>
  <c r="DD260" i="63" s="1"/>
  <c r="DD261" i="63" s="1"/>
  <c r="DD262" i="63" s="1"/>
  <c r="DD263" i="63" s="1"/>
  <c r="DD264" i="63" s="1"/>
  <c r="DD265" i="63" s="1"/>
  <c r="DD266" i="63" s="1"/>
  <c r="DD267" i="63" s="1"/>
  <c r="DD268" i="63" s="1"/>
  <c r="DD269" i="63" s="1"/>
  <c r="DD270" i="63" s="1"/>
  <c r="DD271" i="63" s="1"/>
  <c r="DD272" i="63" s="1"/>
  <c r="DD273" i="63" s="1"/>
  <c r="DD274" i="63" s="1"/>
  <c r="DD275" i="63" s="1"/>
  <c r="DD276" i="63" s="1"/>
  <c r="DD277" i="63" s="1"/>
  <c r="DD278" i="63" s="1"/>
  <c r="DD279" i="63" s="1"/>
  <c r="DD280" i="63" s="1"/>
  <c r="DD281" i="63" s="1"/>
  <c r="DD282" i="63" s="1"/>
  <c r="DD283" i="63" s="1"/>
  <c r="DD284" i="63" s="1"/>
  <c r="DD285" i="63" s="1"/>
  <c r="DD286" i="63" s="1"/>
  <c r="DD287" i="63" s="1"/>
  <c r="DD288" i="63" s="1"/>
  <c r="DD289" i="63" s="1"/>
  <c r="DD290" i="63" s="1"/>
  <c r="DD291" i="63" s="1"/>
  <c r="DD292" i="63" s="1"/>
  <c r="DD293" i="63" s="1"/>
  <c r="DD294" i="63" s="1"/>
  <c r="DD295" i="63" s="1"/>
  <c r="DD296" i="63" s="1"/>
  <c r="DD297" i="63" s="1"/>
  <c r="DD298" i="63" s="1"/>
  <c r="DD299" i="63" s="1"/>
  <c r="DD300" i="63" s="1"/>
  <c r="DD301" i="63" s="1"/>
  <c r="DD302" i="63" s="1"/>
  <c r="DD303" i="63" s="1"/>
  <c r="DD304" i="63" s="1"/>
  <c r="DD305" i="63" s="1"/>
  <c r="DD306" i="63" s="1"/>
  <c r="DD307" i="63" s="1"/>
  <c r="DD308" i="63" s="1"/>
  <c r="DD7" i="63"/>
  <c r="DD6" i="63"/>
  <c r="DD5" i="63"/>
  <c r="DD4" i="63"/>
  <c r="DC8" i="63"/>
  <c r="DC9" i="63" s="1"/>
  <c r="DC10" i="63" s="1"/>
  <c r="DC11" i="63" s="1"/>
  <c r="DC12" i="63" s="1"/>
  <c r="DC13" i="63" s="1"/>
  <c r="DC14" i="63" s="1"/>
  <c r="DC15" i="63" s="1"/>
  <c r="DC16" i="63" s="1"/>
  <c r="DC17" i="63" s="1"/>
  <c r="DC18" i="63" s="1"/>
  <c r="DC19" i="63" s="1"/>
  <c r="DC20" i="63" s="1"/>
  <c r="DC21" i="63" s="1"/>
  <c r="DC22" i="63" s="1"/>
  <c r="DC23" i="63" s="1"/>
  <c r="DC24" i="63" s="1"/>
  <c r="DC25" i="63" s="1"/>
  <c r="DC26" i="63" s="1"/>
  <c r="DC27" i="63" s="1"/>
  <c r="DC28" i="63" s="1"/>
  <c r="DC29" i="63" s="1"/>
  <c r="DC30" i="63" s="1"/>
  <c r="DC31" i="63" s="1"/>
  <c r="DC32" i="63" s="1"/>
  <c r="DC33" i="63" s="1"/>
  <c r="DC34" i="63" s="1"/>
  <c r="DC35" i="63" s="1"/>
  <c r="DC36" i="63" s="1"/>
  <c r="DC37" i="63" s="1"/>
  <c r="DC38" i="63" s="1"/>
  <c r="DC39" i="63" s="1"/>
  <c r="DC40" i="63" s="1"/>
  <c r="DC41" i="63" s="1"/>
  <c r="DC42" i="63" s="1"/>
  <c r="DC43" i="63" s="1"/>
  <c r="DC44" i="63" s="1"/>
  <c r="DC45" i="63" s="1"/>
  <c r="DC46" i="63" s="1"/>
  <c r="DC47" i="63" s="1"/>
  <c r="DC48" i="63" s="1"/>
  <c r="DC49" i="63" s="1"/>
  <c r="DC50" i="63" s="1"/>
  <c r="DC51" i="63" s="1"/>
  <c r="DC52" i="63" s="1"/>
  <c r="DC53" i="63" s="1"/>
  <c r="DC54" i="63" s="1"/>
  <c r="DC55" i="63" s="1"/>
  <c r="DC56" i="63" s="1"/>
  <c r="DC57" i="63" s="1"/>
  <c r="DC58" i="63" s="1"/>
  <c r="DC59" i="63" s="1"/>
  <c r="DC60" i="63" s="1"/>
  <c r="DC61" i="63" s="1"/>
  <c r="DC62" i="63" s="1"/>
  <c r="DC63" i="63" s="1"/>
  <c r="DC64" i="63" s="1"/>
  <c r="DC65" i="63" s="1"/>
  <c r="DC66" i="63" s="1"/>
  <c r="DC67" i="63" s="1"/>
  <c r="DC68" i="63" s="1"/>
  <c r="DC69" i="63" s="1"/>
  <c r="DC70" i="63" s="1"/>
  <c r="DC71" i="63" s="1"/>
  <c r="DC72" i="63" s="1"/>
  <c r="DC73" i="63" s="1"/>
  <c r="DC74" i="63" s="1"/>
  <c r="DC75" i="63" s="1"/>
  <c r="DC76" i="63" s="1"/>
  <c r="DC77" i="63" s="1"/>
  <c r="DC78" i="63" s="1"/>
  <c r="DC79" i="63" s="1"/>
  <c r="DC80" i="63" s="1"/>
  <c r="DC81" i="63" s="1"/>
  <c r="DC82" i="63" s="1"/>
  <c r="DC83" i="63" s="1"/>
  <c r="DC84" i="63" s="1"/>
  <c r="DC85" i="63" s="1"/>
  <c r="DC86" i="63" s="1"/>
  <c r="DC87" i="63" s="1"/>
  <c r="DC88" i="63" s="1"/>
  <c r="DC89" i="63" s="1"/>
  <c r="DC90" i="63" s="1"/>
  <c r="DC91" i="63" s="1"/>
  <c r="DC92" i="63" s="1"/>
  <c r="DC93" i="63" s="1"/>
  <c r="DC94" i="63" s="1"/>
  <c r="DC95" i="63" s="1"/>
  <c r="DC96" i="63" s="1"/>
  <c r="DC97" i="63" s="1"/>
  <c r="DC98" i="63" s="1"/>
  <c r="DC99" i="63" s="1"/>
  <c r="DC100" i="63" s="1"/>
  <c r="DC101" i="63" s="1"/>
  <c r="DC102" i="63" s="1"/>
  <c r="DC103" i="63" s="1"/>
  <c r="DC104" i="63" s="1"/>
  <c r="DC105" i="63" s="1"/>
  <c r="DC106" i="63" s="1"/>
  <c r="DC107" i="63" s="1"/>
  <c r="DC108" i="63" s="1"/>
  <c r="DC109" i="63" s="1"/>
  <c r="DC110" i="63" s="1"/>
  <c r="DC111" i="63" s="1"/>
  <c r="DC112" i="63" s="1"/>
  <c r="DC113" i="63" s="1"/>
  <c r="DC114" i="63" s="1"/>
  <c r="DC115" i="63" s="1"/>
  <c r="DC116" i="63" s="1"/>
  <c r="DC117" i="63" s="1"/>
  <c r="DC118" i="63" s="1"/>
  <c r="DC119" i="63" s="1"/>
  <c r="DC120" i="63" s="1"/>
  <c r="DC121" i="63" s="1"/>
  <c r="DC122" i="63" s="1"/>
  <c r="DC123" i="63" s="1"/>
  <c r="DC124" i="63" s="1"/>
  <c r="DC125" i="63" s="1"/>
  <c r="DC126" i="63" s="1"/>
  <c r="DC127" i="63" s="1"/>
  <c r="DC128" i="63" s="1"/>
  <c r="DC129" i="63" s="1"/>
  <c r="DC130" i="63" s="1"/>
  <c r="DC131" i="63" s="1"/>
  <c r="DC132" i="63" s="1"/>
  <c r="DC133" i="63" s="1"/>
  <c r="DC134" i="63" s="1"/>
  <c r="DC135" i="63" s="1"/>
  <c r="DC136" i="63" s="1"/>
  <c r="DC137" i="63" s="1"/>
  <c r="DC138" i="63" s="1"/>
  <c r="DC139" i="63" s="1"/>
  <c r="DC140" i="63" s="1"/>
  <c r="DC141" i="63" s="1"/>
  <c r="DC142" i="63" s="1"/>
  <c r="DC143" i="63" s="1"/>
  <c r="DC144" i="63" s="1"/>
  <c r="DC145" i="63" s="1"/>
  <c r="DC146" i="63" s="1"/>
  <c r="DC147" i="63" s="1"/>
  <c r="DC148" i="63" s="1"/>
  <c r="DC149" i="63" s="1"/>
  <c r="DC150" i="63" s="1"/>
  <c r="DC151" i="63" s="1"/>
  <c r="DC152" i="63" s="1"/>
  <c r="DC153" i="63" s="1"/>
  <c r="DC154" i="63" s="1"/>
  <c r="DC155" i="63" s="1"/>
  <c r="DC156" i="63" s="1"/>
  <c r="DC157" i="63" s="1"/>
  <c r="DC158" i="63" s="1"/>
  <c r="DC159" i="63" s="1"/>
  <c r="DC160" i="63" s="1"/>
  <c r="DC161" i="63" s="1"/>
  <c r="DC162" i="63" s="1"/>
  <c r="DC163" i="63" s="1"/>
  <c r="DC164" i="63" s="1"/>
  <c r="DC165" i="63" s="1"/>
  <c r="DC166" i="63" s="1"/>
  <c r="DC167" i="63" s="1"/>
  <c r="DC168" i="63" s="1"/>
  <c r="DC169" i="63" s="1"/>
  <c r="DC170" i="63" s="1"/>
  <c r="DC171" i="63" s="1"/>
  <c r="DC172" i="63" s="1"/>
  <c r="DC173" i="63" s="1"/>
  <c r="DC174" i="63" s="1"/>
  <c r="DC175" i="63" s="1"/>
  <c r="DC176" i="63" s="1"/>
  <c r="DC177" i="63" s="1"/>
  <c r="DC178" i="63" s="1"/>
  <c r="DC179" i="63" s="1"/>
  <c r="DC180" i="63" s="1"/>
  <c r="DC181" i="63" s="1"/>
  <c r="DC182" i="63" s="1"/>
  <c r="DC183" i="63" s="1"/>
  <c r="DC184" i="63" s="1"/>
  <c r="DC185" i="63" s="1"/>
  <c r="DC186" i="63" s="1"/>
  <c r="DC187" i="63" s="1"/>
  <c r="DC188" i="63" s="1"/>
  <c r="DC189" i="63" s="1"/>
  <c r="DC190" i="63" s="1"/>
  <c r="DC191" i="63" s="1"/>
  <c r="DC192" i="63" s="1"/>
  <c r="DC193" i="63" s="1"/>
  <c r="DC194" i="63" s="1"/>
  <c r="DC195" i="63" s="1"/>
  <c r="DC196" i="63" s="1"/>
  <c r="DC197" i="63" s="1"/>
  <c r="DC198" i="63" s="1"/>
  <c r="DC199" i="63" s="1"/>
  <c r="DC200" i="63" s="1"/>
  <c r="DC201" i="63" s="1"/>
  <c r="DC202" i="63" s="1"/>
  <c r="DC203" i="63" s="1"/>
  <c r="DC204" i="63" s="1"/>
  <c r="DC205" i="63" s="1"/>
  <c r="DC206" i="63" s="1"/>
  <c r="DC207" i="63" s="1"/>
  <c r="DC208" i="63" s="1"/>
  <c r="DC209" i="63" s="1"/>
  <c r="DC210" i="63" s="1"/>
  <c r="DC211" i="63" s="1"/>
  <c r="DC212" i="63" s="1"/>
  <c r="DC213" i="63" s="1"/>
  <c r="DC214" i="63" s="1"/>
  <c r="DC215" i="63" s="1"/>
  <c r="DC216" i="63" s="1"/>
  <c r="DC217" i="63" s="1"/>
  <c r="DC218" i="63" s="1"/>
  <c r="DC219" i="63" s="1"/>
  <c r="DC220" i="63" s="1"/>
  <c r="DC221" i="63" s="1"/>
  <c r="DC222" i="63" s="1"/>
  <c r="DC223" i="63" s="1"/>
  <c r="DC224" i="63" s="1"/>
  <c r="DC225" i="63" s="1"/>
  <c r="DC226" i="63" s="1"/>
  <c r="DC227" i="63" s="1"/>
  <c r="DC228" i="63" s="1"/>
  <c r="DC229" i="63" s="1"/>
  <c r="DC230" i="63" s="1"/>
  <c r="DC231" i="63" s="1"/>
  <c r="DC232" i="63" s="1"/>
  <c r="DC233" i="63" s="1"/>
  <c r="DC234" i="63" s="1"/>
  <c r="DC235" i="63" s="1"/>
  <c r="DC236" i="63" s="1"/>
  <c r="DC237" i="63" s="1"/>
  <c r="DC238" i="63" s="1"/>
  <c r="DC239" i="63" s="1"/>
  <c r="DC240" i="63" s="1"/>
  <c r="DC241" i="63" s="1"/>
  <c r="DC242" i="63" s="1"/>
  <c r="DC243" i="63" s="1"/>
  <c r="DC244" i="63" s="1"/>
  <c r="DC245" i="63" s="1"/>
  <c r="DC246" i="63" s="1"/>
  <c r="DC247" i="63" s="1"/>
  <c r="DC248" i="63" s="1"/>
  <c r="DC249" i="63" s="1"/>
  <c r="DC250" i="63" s="1"/>
  <c r="DC251" i="63" s="1"/>
  <c r="DC252" i="63" s="1"/>
  <c r="DC253" i="63" s="1"/>
  <c r="DC254" i="63" s="1"/>
  <c r="DC255" i="63" s="1"/>
  <c r="DC256" i="63" s="1"/>
  <c r="DC257" i="63" s="1"/>
  <c r="DC258" i="63" s="1"/>
  <c r="DC259" i="63" s="1"/>
  <c r="DC260" i="63" s="1"/>
  <c r="DC261" i="63" s="1"/>
  <c r="DC262" i="63" s="1"/>
  <c r="DC263" i="63" s="1"/>
  <c r="DC264" i="63" s="1"/>
  <c r="DC265" i="63" s="1"/>
  <c r="DC266" i="63" s="1"/>
  <c r="DC267" i="63" s="1"/>
  <c r="DC268" i="63" s="1"/>
  <c r="DC269" i="63" s="1"/>
  <c r="DC270" i="63" s="1"/>
  <c r="DC271" i="63" s="1"/>
  <c r="DC272" i="63" s="1"/>
  <c r="DC273" i="63" s="1"/>
  <c r="DC274" i="63" s="1"/>
  <c r="DC275" i="63" s="1"/>
  <c r="DC276" i="63" s="1"/>
  <c r="DC277" i="63" s="1"/>
  <c r="DC278" i="63" s="1"/>
  <c r="DC279" i="63" s="1"/>
  <c r="DC280" i="63" s="1"/>
  <c r="DC281" i="63" s="1"/>
  <c r="DC282" i="63" s="1"/>
  <c r="DC283" i="63" s="1"/>
  <c r="DC284" i="63" s="1"/>
  <c r="DC285" i="63" s="1"/>
  <c r="DC286" i="63" s="1"/>
  <c r="DC287" i="63" s="1"/>
  <c r="DC288" i="63" s="1"/>
  <c r="DC289" i="63" s="1"/>
  <c r="DC290" i="63" s="1"/>
  <c r="DC291" i="63" s="1"/>
  <c r="DC292" i="63" s="1"/>
  <c r="DC293" i="63" s="1"/>
  <c r="DC294" i="63" s="1"/>
  <c r="DC295" i="63" s="1"/>
  <c r="DC296" i="63" s="1"/>
  <c r="DC297" i="63" s="1"/>
  <c r="DC298" i="63" s="1"/>
  <c r="DC299" i="63" s="1"/>
  <c r="DC300" i="63" s="1"/>
  <c r="DC301" i="63" s="1"/>
  <c r="DC302" i="63" s="1"/>
  <c r="DC303" i="63" s="1"/>
  <c r="DC304" i="63" s="1"/>
  <c r="DC305" i="63" s="1"/>
  <c r="DC306" i="63" s="1"/>
  <c r="DC307" i="63" s="1"/>
  <c r="DC308" i="63" s="1"/>
  <c r="DC7" i="63"/>
  <c r="DC6" i="63"/>
  <c r="DC5" i="63"/>
  <c r="DC4" i="63"/>
  <c r="DB8" i="63"/>
  <c r="DB7" i="63"/>
  <c r="DB6" i="63"/>
  <c r="DB5" i="63"/>
  <c r="DB4" i="63"/>
  <c r="DA8" i="63"/>
  <c r="DA9" i="63" s="1"/>
  <c r="DA10" i="63" s="1"/>
  <c r="DA11" i="63" s="1"/>
  <c r="DA12" i="63" s="1"/>
  <c r="DA13" i="63" s="1"/>
  <c r="DA14" i="63" s="1"/>
  <c r="DA15" i="63" s="1"/>
  <c r="DA16" i="63" s="1"/>
  <c r="DA17" i="63" s="1"/>
  <c r="DA18" i="63" s="1"/>
  <c r="DA19" i="63" s="1"/>
  <c r="DA20" i="63" s="1"/>
  <c r="DA21" i="63" s="1"/>
  <c r="DA22" i="63" s="1"/>
  <c r="DA23" i="63" s="1"/>
  <c r="DA24" i="63" s="1"/>
  <c r="DA25" i="63" s="1"/>
  <c r="DA26" i="63" s="1"/>
  <c r="DA27" i="63" s="1"/>
  <c r="DA28" i="63" s="1"/>
  <c r="DA29" i="63" s="1"/>
  <c r="DA30" i="63" s="1"/>
  <c r="DA31" i="63" s="1"/>
  <c r="DA32" i="63" s="1"/>
  <c r="DA33" i="63" s="1"/>
  <c r="DA34" i="63" s="1"/>
  <c r="DA35" i="63" s="1"/>
  <c r="DA36" i="63" s="1"/>
  <c r="DA37" i="63" s="1"/>
  <c r="DA38" i="63" s="1"/>
  <c r="DA39" i="63" s="1"/>
  <c r="DA40" i="63" s="1"/>
  <c r="DA41" i="63" s="1"/>
  <c r="DA42" i="63" s="1"/>
  <c r="DA43" i="63" s="1"/>
  <c r="DA44" i="63" s="1"/>
  <c r="DA45" i="63" s="1"/>
  <c r="DA46" i="63" s="1"/>
  <c r="DA47" i="63" s="1"/>
  <c r="DA48" i="63" s="1"/>
  <c r="DA49" i="63" s="1"/>
  <c r="DA50" i="63" s="1"/>
  <c r="DA51" i="63" s="1"/>
  <c r="DA52" i="63" s="1"/>
  <c r="DA53" i="63" s="1"/>
  <c r="DA54" i="63" s="1"/>
  <c r="DA55" i="63" s="1"/>
  <c r="DA56" i="63" s="1"/>
  <c r="DA57" i="63" s="1"/>
  <c r="DA58" i="63" s="1"/>
  <c r="DA59" i="63" s="1"/>
  <c r="DA60" i="63" s="1"/>
  <c r="DA61" i="63" s="1"/>
  <c r="DA62" i="63" s="1"/>
  <c r="DA63" i="63" s="1"/>
  <c r="DA64" i="63" s="1"/>
  <c r="DA65" i="63" s="1"/>
  <c r="DA66" i="63" s="1"/>
  <c r="DA67" i="63" s="1"/>
  <c r="DA68" i="63" s="1"/>
  <c r="DA69" i="63" s="1"/>
  <c r="DA70" i="63" s="1"/>
  <c r="DA71" i="63" s="1"/>
  <c r="DA72" i="63" s="1"/>
  <c r="DA73" i="63" s="1"/>
  <c r="DA74" i="63" s="1"/>
  <c r="DA75" i="63" s="1"/>
  <c r="DA76" i="63" s="1"/>
  <c r="DA77" i="63" s="1"/>
  <c r="DA78" i="63" s="1"/>
  <c r="DA79" i="63" s="1"/>
  <c r="DA80" i="63" s="1"/>
  <c r="DA81" i="63" s="1"/>
  <c r="DA82" i="63" s="1"/>
  <c r="DA83" i="63" s="1"/>
  <c r="DA84" i="63" s="1"/>
  <c r="DA85" i="63" s="1"/>
  <c r="DA86" i="63" s="1"/>
  <c r="DA87" i="63" s="1"/>
  <c r="DA88" i="63" s="1"/>
  <c r="DA89" i="63" s="1"/>
  <c r="DA90" i="63" s="1"/>
  <c r="DA91" i="63" s="1"/>
  <c r="DA92" i="63" s="1"/>
  <c r="DA93" i="63" s="1"/>
  <c r="DA94" i="63" s="1"/>
  <c r="DA95" i="63" s="1"/>
  <c r="DA96" i="63" s="1"/>
  <c r="DA97" i="63" s="1"/>
  <c r="DA98" i="63" s="1"/>
  <c r="DA99" i="63" s="1"/>
  <c r="DA100" i="63" s="1"/>
  <c r="DA101" i="63" s="1"/>
  <c r="DA102" i="63" s="1"/>
  <c r="DA103" i="63" s="1"/>
  <c r="DA104" i="63" s="1"/>
  <c r="DA105" i="63" s="1"/>
  <c r="DA106" i="63" s="1"/>
  <c r="DA107" i="63" s="1"/>
  <c r="DA108" i="63" s="1"/>
  <c r="DA109" i="63" s="1"/>
  <c r="DA110" i="63" s="1"/>
  <c r="DA111" i="63" s="1"/>
  <c r="DA112" i="63" s="1"/>
  <c r="DA113" i="63" s="1"/>
  <c r="DA114" i="63" s="1"/>
  <c r="DA115" i="63" s="1"/>
  <c r="DA116" i="63" s="1"/>
  <c r="DA117" i="63" s="1"/>
  <c r="DA118" i="63" s="1"/>
  <c r="DA119" i="63" s="1"/>
  <c r="DA120" i="63" s="1"/>
  <c r="DA121" i="63" s="1"/>
  <c r="DA122" i="63" s="1"/>
  <c r="DA123" i="63" s="1"/>
  <c r="DA124" i="63" s="1"/>
  <c r="DA125" i="63" s="1"/>
  <c r="DA126" i="63" s="1"/>
  <c r="DA127" i="63" s="1"/>
  <c r="DA128" i="63" s="1"/>
  <c r="DA129" i="63" s="1"/>
  <c r="DA130" i="63" s="1"/>
  <c r="DA131" i="63" s="1"/>
  <c r="DA132" i="63" s="1"/>
  <c r="DA133" i="63" s="1"/>
  <c r="DA134" i="63" s="1"/>
  <c r="DA135" i="63" s="1"/>
  <c r="DA136" i="63" s="1"/>
  <c r="DA137" i="63" s="1"/>
  <c r="DA138" i="63" s="1"/>
  <c r="DA139" i="63" s="1"/>
  <c r="DA140" i="63" s="1"/>
  <c r="DA141" i="63" s="1"/>
  <c r="DA142" i="63" s="1"/>
  <c r="DA143" i="63" s="1"/>
  <c r="DA144" i="63" s="1"/>
  <c r="DA145" i="63" s="1"/>
  <c r="DA146" i="63" s="1"/>
  <c r="DA147" i="63" s="1"/>
  <c r="DA148" i="63" s="1"/>
  <c r="DA149" i="63" s="1"/>
  <c r="DA150" i="63" s="1"/>
  <c r="DA151" i="63" s="1"/>
  <c r="DA152" i="63" s="1"/>
  <c r="DA153" i="63" s="1"/>
  <c r="DA154" i="63" s="1"/>
  <c r="DA155" i="63" s="1"/>
  <c r="DA156" i="63" s="1"/>
  <c r="DA157" i="63" s="1"/>
  <c r="DA158" i="63" s="1"/>
  <c r="DA159" i="63" s="1"/>
  <c r="DA160" i="63" s="1"/>
  <c r="DA161" i="63" s="1"/>
  <c r="DA162" i="63" s="1"/>
  <c r="DA163" i="63" s="1"/>
  <c r="DA164" i="63" s="1"/>
  <c r="DA165" i="63" s="1"/>
  <c r="DA166" i="63" s="1"/>
  <c r="DA167" i="63" s="1"/>
  <c r="DA168" i="63" s="1"/>
  <c r="DA169" i="63" s="1"/>
  <c r="DA170" i="63" s="1"/>
  <c r="DA171" i="63" s="1"/>
  <c r="DA172" i="63" s="1"/>
  <c r="DA173" i="63" s="1"/>
  <c r="DA174" i="63" s="1"/>
  <c r="DA175" i="63" s="1"/>
  <c r="DA176" i="63" s="1"/>
  <c r="DA177" i="63" s="1"/>
  <c r="DA178" i="63" s="1"/>
  <c r="DA179" i="63" s="1"/>
  <c r="DA180" i="63" s="1"/>
  <c r="DA181" i="63" s="1"/>
  <c r="DA182" i="63" s="1"/>
  <c r="DA183" i="63" s="1"/>
  <c r="DA184" i="63" s="1"/>
  <c r="DA185" i="63" s="1"/>
  <c r="DA186" i="63" s="1"/>
  <c r="DA187" i="63" s="1"/>
  <c r="DA188" i="63" s="1"/>
  <c r="DA189" i="63" s="1"/>
  <c r="DA190" i="63" s="1"/>
  <c r="DA191" i="63" s="1"/>
  <c r="DA192" i="63" s="1"/>
  <c r="DA193" i="63" s="1"/>
  <c r="DA194" i="63" s="1"/>
  <c r="DA195" i="63" s="1"/>
  <c r="DA196" i="63" s="1"/>
  <c r="DA197" i="63" s="1"/>
  <c r="DA198" i="63" s="1"/>
  <c r="DA199" i="63" s="1"/>
  <c r="DA200" i="63" s="1"/>
  <c r="DA201" i="63" s="1"/>
  <c r="DA202" i="63" s="1"/>
  <c r="DA203" i="63" s="1"/>
  <c r="DA204" i="63" s="1"/>
  <c r="DA205" i="63" s="1"/>
  <c r="DA206" i="63" s="1"/>
  <c r="DA207" i="63" s="1"/>
  <c r="DA208" i="63" s="1"/>
  <c r="DA209" i="63" s="1"/>
  <c r="DA210" i="63" s="1"/>
  <c r="DA211" i="63" s="1"/>
  <c r="DA212" i="63" s="1"/>
  <c r="DA213" i="63" s="1"/>
  <c r="DA214" i="63" s="1"/>
  <c r="DA215" i="63" s="1"/>
  <c r="DA216" i="63" s="1"/>
  <c r="DA217" i="63" s="1"/>
  <c r="DA218" i="63" s="1"/>
  <c r="DA219" i="63" s="1"/>
  <c r="DA220" i="63" s="1"/>
  <c r="DA221" i="63" s="1"/>
  <c r="DA222" i="63" s="1"/>
  <c r="DA223" i="63" s="1"/>
  <c r="DA224" i="63" s="1"/>
  <c r="DA225" i="63" s="1"/>
  <c r="DA226" i="63" s="1"/>
  <c r="DA227" i="63" s="1"/>
  <c r="DA228" i="63" s="1"/>
  <c r="DA229" i="63" s="1"/>
  <c r="DA230" i="63" s="1"/>
  <c r="DA231" i="63" s="1"/>
  <c r="DA232" i="63" s="1"/>
  <c r="DA233" i="63" s="1"/>
  <c r="DA234" i="63" s="1"/>
  <c r="DA235" i="63" s="1"/>
  <c r="DA236" i="63" s="1"/>
  <c r="DA237" i="63" s="1"/>
  <c r="DA238" i="63" s="1"/>
  <c r="DA239" i="63" s="1"/>
  <c r="DA240" i="63" s="1"/>
  <c r="DA241" i="63" s="1"/>
  <c r="DA242" i="63" s="1"/>
  <c r="DA243" i="63" s="1"/>
  <c r="DA244" i="63" s="1"/>
  <c r="DA245" i="63" s="1"/>
  <c r="DA246" i="63" s="1"/>
  <c r="DA247" i="63" s="1"/>
  <c r="DA248" i="63" s="1"/>
  <c r="DA249" i="63" s="1"/>
  <c r="DA250" i="63" s="1"/>
  <c r="DA251" i="63" s="1"/>
  <c r="DA252" i="63" s="1"/>
  <c r="DA253" i="63" s="1"/>
  <c r="DA254" i="63" s="1"/>
  <c r="DA255" i="63" s="1"/>
  <c r="DA256" i="63" s="1"/>
  <c r="DA257" i="63" s="1"/>
  <c r="DA258" i="63" s="1"/>
  <c r="DA259" i="63" s="1"/>
  <c r="DA260" i="63" s="1"/>
  <c r="DA261" i="63" s="1"/>
  <c r="DA262" i="63" s="1"/>
  <c r="DA263" i="63" s="1"/>
  <c r="DA264" i="63" s="1"/>
  <c r="DA265" i="63" s="1"/>
  <c r="DA266" i="63" s="1"/>
  <c r="DA267" i="63" s="1"/>
  <c r="DA268" i="63" s="1"/>
  <c r="DA269" i="63" s="1"/>
  <c r="DA270" i="63" s="1"/>
  <c r="DA271" i="63" s="1"/>
  <c r="DA272" i="63" s="1"/>
  <c r="DA273" i="63" s="1"/>
  <c r="DA274" i="63" s="1"/>
  <c r="DA275" i="63" s="1"/>
  <c r="DA276" i="63" s="1"/>
  <c r="DA277" i="63" s="1"/>
  <c r="DA278" i="63" s="1"/>
  <c r="DA279" i="63" s="1"/>
  <c r="DA280" i="63" s="1"/>
  <c r="DA281" i="63" s="1"/>
  <c r="DA282" i="63" s="1"/>
  <c r="DA283" i="63" s="1"/>
  <c r="DA284" i="63" s="1"/>
  <c r="DA285" i="63" s="1"/>
  <c r="DA286" i="63" s="1"/>
  <c r="DA287" i="63" s="1"/>
  <c r="DA288" i="63" s="1"/>
  <c r="DA289" i="63" s="1"/>
  <c r="DA290" i="63" s="1"/>
  <c r="DA291" i="63" s="1"/>
  <c r="DA292" i="63" s="1"/>
  <c r="DA293" i="63" s="1"/>
  <c r="DA294" i="63" s="1"/>
  <c r="DA295" i="63" s="1"/>
  <c r="DA296" i="63" s="1"/>
  <c r="DA297" i="63" s="1"/>
  <c r="DA298" i="63" s="1"/>
  <c r="DA299" i="63" s="1"/>
  <c r="DA300" i="63" s="1"/>
  <c r="DA301" i="63" s="1"/>
  <c r="DA302" i="63" s="1"/>
  <c r="DA303" i="63" s="1"/>
  <c r="DA304" i="63" s="1"/>
  <c r="DA305" i="63" s="1"/>
  <c r="DA306" i="63" s="1"/>
  <c r="DA307" i="63" s="1"/>
  <c r="DA308" i="63" s="1"/>
  <c r="DA7" i="63"/>
  <c r="DA6" i="63"/>
  <c r="DA5" i="63"/>
  <c r="DA4" i="63"/>
  <c r="CZ8" i="63"/>
  <c r="CZ9" i="63" s="1"/>
  <c r="CZ10" i="63" s="1"/>
  <c r="CZ11" i="63" s="1"/>
  <c r="CZ12" i="63" s="1"/>
  <c r="CZ13" i="63" s="1"/>
  <c r="CZ14" i="63" s="1"/>
  <c r="CZ15" i="63" s="1"/>
  <c r="CZ16" i="63" s="1"/>
  <c r="CZ17" i="63" s="1"/>
  <c r="CZ18" i="63" s="1"/>
  <c r="CZ19" i="63" s="1"/>
  <c r="CZ20" i="63" s="1"/>
  <c r="CZ21" i="63" s="1"/>
  <c r="CZ22" i="63" s="1"/>
  <c r="CZ23" i="63" s="1"/>
  <c r="CZ24" i="63" s="1"/>
  <c r="CZ25" i="63" s="1"/>
  <c r="CZ26" i="63" s="1"/>
  <c r="CZ27" i="63" s="1"/>
  <c r="CZ28" i="63" s="1"/>
  <c r="CZ29" i="63" s="1"/>
  <c r="CZ30" i="63" s="1"/>
  <c r="CZ31" i="63" s="1"/>
  <c r="CZ32" i="63" s="1"/>
  <c r="CZ33" i="63" s="1"/>
  <c r="CZ34" i="63" s="1"/>
  <c r="CZ35" i="63" s="1"/>
  <c r="CZ36" i="63" s="1"/>
  <c r="CZ37" i="63" s="1"/>
  <c r="CZ38" i="63" s="1"/>
  <c r="CZ39" i="63" s="1"/>
  <c r="CZ40" i="63" s="1"/>
  <c r="CZ41" i="63" s="1"/>
  <c r="CZ42" i="63" s="1"/>
  <c r="CZ43" i="63" s="1"/>
  <c r="CZ44" i="63" s="1"/>
  <c r="CZ45" i="63" s="1"/>
  <c r="CZ46" i="63" s="1"/>
  <c r="CZ47" i="63" s="1"/>
  <c r="CZ48" i="63" s="1"/>
  <c r="CZ49" i="63" s="1"/>
  <c r="CZ50" i="63" s="1"/>
  <c r="CZ51" i="63" s="1"/>
  <c r="CZ52" i="63" s="1"/>
  <c r="CZ53" i="63" s="1"/>
  <c r="CZ54" i="63" s="1"/>
  <c r="CZ55" i="63" s="1"/>
  <c r="CZ56" i="63" s="1"/>
  <c r="CZ57" i="63" s="1"/>
  <c r="CZ58" i="63" s="1"/>
  <c r="CZ59" i="63" s="1"/>
  <c r="CZ60" i="63" s="1"/>
  <c r="CZ61" i="63" s="1"/>
  <c r="CZ62" i="63" s="1"/>
  <c r="CZ63" i="63" s="1"/>
  <c r="CZ64" i="63" s="1"/>
  <c r="CZ65" i="63" s="1"/>
  <c r="CZ66" i="63" s="1"/>
  <c r="CZ67" i="63" s="1"/>
  <c r="CZ68" i="63" s="1"/>
  <c r="CZ69" i="63" s="1"/>
  <c r="CZ70" i="63" s="1"/>
  <c r="CZ71" i="63" s="1"/>
  <c r="CZ72" i="63" s="1"/>
  <c r="CZ73" i="63" s="1"/>
  <c r="CZ74" i="63" s="1"/>
  <c r="CZ75" i="63" s="1"/>
  <c r="CZ76" i="63" s="1"/>
  <c r="CZ77" i="63" s="1"/>
  <c r="CZ78" i="63" s="1"/>
  <c r="CZ79" i="63" s="1"/>
  <c r="CZ80" i="63" s="1"/>
  <c r="CZ81" i="63" s="1"/>
  <c r="CZ82" i="63" s="1"/>
  <c r="CZ83" i="63" s="1"/>
  <c r="CZ84" i="63" s="1"/>
  <c r="CZ85" i="63" s="1"/>
  <c r="CZ86" i="63" s="1"/>
  <c r="CZ87" i="63" s="1"/>
  <c r="CZ88" i="63" s="1"/>
  <c r="CZ89" i="63" s="1"/>
  <c r="CZ90" i="63" s="1"/>
  <c r="CZ91" i="63" s="1"/>
  <c r="CZ92" i="63" s="1"/>
  <c r="CZ93" i="63" s="1"/>
  <c r="CZ94" i="63" s="1"/>
  <c r="CZ95" i="63" s="1"/>
  <c r="CZ96" i="63" s="1"/>
  <c r="CZ97" i="63" s="1"/>
  <c r="CZ98" i="63" s="1"/>
  <c r="CZ99" i="63" s="1"/>
  <c r="CZ100" i="63" s="1"/>
  <c r="CZ101" i="63" s="1"/>
  <c r="CZ102" i="63" s="1"/>
  <c r="CZ103" i="63" s="1"/>
  <c r="CZ104" i="63" s="1"/>
  <c r="CZ105" i="63" s="1"/>
  <c r="CZ106" i="63" s="1"/>
  <c r="CZ107" i="63" s="1"/>
  <c r="CZ108" i="63" s="1"/>
  <c r="CZ109" i="63" s="1"/>
  <c r="CZ110" i="63" s="1"/>
  <c r="CZ111" i="63" s="1"/>
  <c r="CZ112" i="63" s="1"/>
  <c r="CZ113" i="63" s="1"/>
  <c r="CZ114" i="63" s="1"/>
  <c r="CZ115" i="63" s="1"/>
  <c r="CZ116" i="63" s="1"/>
  <c r="CZ117" i="63" s="1"/>
  <c r="CZ118" i="63" s="1"/>
  <c r="CZ119" i="63" s="1"/>
  <c r="CZ120" i="63" s="1"/>
  <c r="CZ121" i="63" s="1"/>
  <c r="CZ122" i="63" s="1"/>
  <c r="CZ123" i="63" s="1"/>
  <c r="CZ124" i="63" s="1"/>
  <c r="CZ125" i="63" s="1"/>
  <c r="CZ126" i="63" s="1"/>
  <c r="CZ127" i="63" s="1"/>
  <c r="CZ128" i="63" s="1"/>
  <c r="CZ129" i="63" s="1"/>
  <c r="CZ130" i="63" s="1"/>
  <c r="CZ131" i="63" s="1"/>
  <c r="CZ132" i="63" s="1"/>
  <c r="CZ133" i="63" s="1"/>
  <c r="CZ134" i="63" s="1"/>
  <c r="CZ135" i="63" s="1"/>
  <c r="CZ136" i="63" s="1"/>
  <c r="CZ137" i="63" s="1"/>
  <c r="CZ138" i="63" s="1"/>
  <c r="CZ139" i="63" s="1"/>
  <c r="CZ140" i="63" s="1"/>
  <c r="CZ141" i="63" s="1"/>
  <c r="CZ142" i="63" s="1"/>
  <c r="CZ143" i="63" s="1"/>
  <c r="CZ144" i="63" s="1"/>
  <c r="CZ145" i="63" s="1"/>
  <c r="CZ146" i="63" s="1"/>
  <c r="CZ147" i="63" s="1"/>
  <c r="CZ148" i="63" s="1"/>
  <c r="CZ149" i="63" s="1"/>
  <c r="CZ150" i="63" s="1"/>
  <c r="CZ151" i="63" s="1"/>
  <c r="CZ152" i="63" s="1"/>
  <c r="CZ153" i="63" s="1"/>
  <c r="CZ154" i="63" s="1"/>
  <c r="CZ155" i="63" s="1"/>
  <c r="CZ156" i="63" s="1"/>
  <c r="CZ157" i="63" s="1"/>
  <c r="CZ158" i="63" s="1"/>
  <c r="CZ159" i="63" s="1"/>
  <c r="CZ160" i="63" s="1"/>
  <c r="CZ161" i="63" s="1"/>
  <c r="CZ162" i="63" s="1"/>
  <c r="CZ163" i="63" s="1"/>
  <c r="CZ164" i="63" s="1"/>
  <c r="CZ165" i="63" s="1"/>
  <c r="CZ166" i="63" s="1"/>
  <c r="CZ167" i="63" s="1"/>
  <c r="CZ168" i="63" s="1"/>
  <c r="CZ169" i="63" s="1"/>
  <c r="CZ170" i="63" s="1"/>
  <c r="CZ171" i="63" s="1"/>
  <c r="CZ172" i="63" s="1"/>
  <c r="CZ173" i="63" s="1"/>
  <c r="CZ174" i="63" s="1"/>
  <c r="CZ175" i="63" s="1"/>
  <c r="CZ176" i="63" s="1"/>
  <c r="CZ177" i="63" s="1"/>
  <c r="CZ178" i="63" s="1"/>
  <c r="CZ179" i="63" s="1"/>
  <c r="CZ180" i="63" s="1"/>
  <c r="CZ181" i="63" s="1"/>
  <c r="CZ182" i="63" s="1"/>
  <c r="CZ183" i="63" s="1"/>
  <c r="CZ184" i="63" s="1"/>
  <c r="CZ185" i="63" s="1"/>
  <c r="CZ186" i="63" s="1"/>
  <c r="CZ187" i="63" s="1"/>
  <c r="CZ188" i="63" s="1"/>
  <c r="CZ189" i="63" s="1"/>
  <c r="CZ190" i="63" s="1"/>
  <c r="CZ191" i="63" s="1"/>
  <c r="CZ192" i="63" s="1"/>
  <c r="CZ193" i="63" s="1"/>
  <c r="CZ194" i="63" s="1"/>
  <c r="CZ195" i="63" s="1"/>
  <c r="CZ196" i="63" s="1"/>
  <c r="CZ197" i="63" s="1"/>
  <c r="CZ198" i="63" s="1"/>
  <c r="CZ199" i="63" s="1"/>
  <c r="CZ200" i="63" s="1"/>
  <c r="CZ201" i="63" s="1"/>
  <c r="CZ202" i="63" s="1"/>
  <c r="CZ203" i="63" s="1"/>
  <c r="CZ204" i="63" s="1"/>
  <c r="CZ205" i="63" s="1"/>
  <c r="CZ206" i="63" s="1"/>
  <c r="CZ207" i="63" s="1"/>
  <c r="CZ208" i="63" s="1"/>
  <c r="CZ209" i="63" s="1"/>
  <c r="CZ210" i="63" s="1"/>
  <c r="CZ211" i="63" s="1"/>
  <c r="CZ212" i="63" s="1"/>
  <c r="CZ213" i="63" s="1"/>
  <c r="CZ214" i="63" s="1"/>
  <c r="CZ215" i="63" s="1"/>
  <c r="CZ216" i="63" s="1"/>
  <c r="CZ217" i="63" s="1"/>
  <c r="CZ218" i="63" s="1"/>
  <c r="CZ219" i="63" s="1"/>
  <c r="CZ220" i="63" s="1"/>
  <c r="CZ221" i="63" s="1"/>
  <c r="CZ222" i="63" s="1"/>
  <c r="CZ223" i="63" s="1"/>
  <c r="CZ224" i="63" s="1"/>
  <c r="CZ225" i="63" s="1"/>
  <c r="CZ226" i="63" s="1"/>
  <c r="CZ227" i="63" s="1"/>
  <c r="CZ228" i="63" s="1"/>
  <c r="CZ229" i="63" s="1"/>
  <c r="CZ230" i="63" s="1"/>
  <c r="CZ231" i="63" s="1"/>
  <c r="CZ232" i="63" s="1"/>
  <c r="CZ233" i="63" s="1"/>
  <c r="CZ234" i="63" s="1"/>
  <c r="CZ235" i="63" s="1"/>
  <c r="CZ236" i="63" s="1"/>
  <c r="CZ237" i="63" s="1"/>
  <c r="CZ238" i="63" s="1"/>
  <c r="CZ239" i="63" s="1"/>
  <c r="CZ240" i="63" s="1"/>
  <c r="CZ241" i="63" s="1"/>
  <c r="CZ242" i="63" s="1"/>
  <c r="CZ243" i="63" s="1"/>
  <c r="CZ244" i="63" s="1"/>
  <c r="CZ245" i="63" s="1"/>
  <c r="CZ246" i="63" s="1"/>
  <c r="CZ247" i="63" s="1"/>
  <c r="CZ248" i="63" s="1"/>
  <c r="CZ249" i="63" s="1"/>
  <c r="CZ250" i="63" s="1"/>
  <c r="CZ251" i="63" s="1"/>
  <c r="CZ252" i="63" s="1"/>
  <c r="CZ253" i="63" s="1"/>
  <c r="CZ254" i="63" s="1"/>
  <c r="CZ255" i="63" s="1"/>
  <c r="CZ256" i="63" s="1"/>
  <c r="CZ257" i="63" s="1"/>
  <c r="CZ258" i="63" s="1"/>
  <c r="CZ259" i="63" s="1"/>
  <c r="CZ260" i="63" s="1"/>
  <c r="CZ261" i="63" s="1"/>
  <c r="CZ262" i="63" s="1"/>
  <c r="CZ263" i="63" s="1"/>
  <c r="CZ264" i="63" s="1"/>
  <c r="CZ265" i="63" s="1"/>
  <c r="CZ266" i="63" s="1"/>
  <c r="CZ267" i="63" s="1"/>
  <c r="CZ268" i="63" s="1"/>
  <c r="CZ269" i="63" s="1"/>
  <c r="CZ270" i="63" s="1"/>
  <c r="CZ271" i="63" s="1"/>
  <c r="CZ272" i="63" s="1"/>
  <c r="CZ273" i="63" s="1"/>
  <c r="CZ274" i="63" s="1"/>
  <c r="CZ275" i="63" s="1"/>
  <c r="CZ276" i="63" s="1"/>
  <c r="CZ277" i="63" s="1"/>
  <c r="CZ278" i="63" s="1"/>
  <c r="CZ279" i="63" s="1"/>
  <c r="CZ280" i="63" s="1"/>
  <c r="CZ281" i="63" s="1"/>
  <c r="CZ282" i="63" s="1"/>
  <c r="CZ283" i="63" s="1"/>
  <c r="CZ284" i="63" s="1"/>
  <c r="CZ285" i="63" s="1"/>
  <c r="CZ286" i="63" s="1"/>
  <c r="CZ287" i="63" s="1"/>
  <c r="CZ288" i="63" s="1"/>
  <c r="CZ289" i="63" s="1"/>
  <c r="CZ290" i="63" s="1"/>
  <c r="CZ291" i="63" s="1"/>
  <c r="CZ292" i="63" s="1"/>
  <c r="CZ293" i="63" s="1"/>
  <c r="CZ294" i="63" s="1"/>
  <c r="CZ295" i="63" s="1"/>
  <c r="CZ296" i="63" s="1"/>
  <c r="CZ297" i="63" s="1"/>
  <c r="CZ298" i="63" s="1"/>
  <c r="CZ299" i="63" s="1"/>
  <c r="CZ300" i="63" s="1"/>
  <c r="CZ301" i="63" s="1"/>
  <c r="CZ302" i="63" s="1"/>
  <c r="CZ303" i="63" s="1"/>
  <c r="CZ304" i="63" s="1"/>
  <c r="CZ305" i="63" s="1"/>
  <c r="CZ306" i="63" s="1"/>
  <c r="CZ307" i="63" s="1"/>
  <c r="CZ308" i="63" s="1"/>
  <c r="CZ7" i="63"/>
  <c r="CZ6" i="63"/>
  <c r="CZ5" i="63"/>
  <c r="CZ4" i="63"/>
  <c r="CY8" i="63"/>
  <c r="CY7" i="63"/>
  <c r="CY6" i="63"/>
  <c r="CY5" i="63"/>
  <c r="CY4" i="63"/>
  <c r="CX8" i="63"/>
  <c r="CX9" i="63" s="1"/>
  <c r="CX10" i="63" s="1"/>
  <c r="CX11" i="63" s="1"/>
  <c r="CX12" i="63" s="1"/>
  <c r="CX13" i="63" s="1"/>
  <c r="CX14" i="63" s="1"/>
  <c r="CX15" i="63" s="1"/>
  <c r="CX16" i="63" s="1"/>
  <c r="CX17" i="63" s="1"/>
  <c r="CX18" i="63" s="1"/>
  <c r="CX19" i="63" s="1"/>
  <c r="CX20" i="63" s="1"/>
  <c r="CX21" i="63" s="1"/>
  <c r="CX22" i="63" s="1"/>
  <c r="CX23" i="63" s="1"/>
  <c r="CX24" i="63" s="1"/>
  <c r="CX25" i="63" s="1"/>
  <c r="CX26" i="63" s="1"/>
  <c r="CX27" i="63" s="1"/>
  <c r="CX28" i="63" s="1"/>
  <c r="CX29" i="63" s="1"/>
  <c r="CX30" i="63" s="1"/>
  <c r="CX31" i="63" s="1"/>
  <c r="CX32" i="63" s="1"/>
  <c r="CX33" i="63" s="1"/>
  <c r="CX34" i="63" s="1"/>
  <c r="CX35" i="63" s="1"/>
  <c r="CX36" i="63" s="1"/>
  <c r="CX37" i="63" s="1"/>
  <c r="CX38" i="63" s="1"/>
  <c r="CX39" i="63" s="1"/>
  <c r="CX40" i="63" s="1"/>
  <c r="CX41" i="63" s="1"/>
  <c r="CX42" i="63" s="1"/>
  <c r="CX43" i="63" s="1"/>
  <c r="CX44" i="63" s="1"/>
  <c r="CX45" i="63" s="1"/>
  <c r="CX46" i="63" s="1"/>
  <c r="CX47" i="63" s="1"/>
  <c r="CX48" i="63" s="1"/>
  <c r="CX49" i="63" s="1"/>
  <c r="CX50" i="63" s="1"/>
  <c r="CX51" i="63" s="1"/>
  <c r="CX52" i="63" s="1"/>
  <c r="CX53" i="63" s="1"/>
  <c r="CX54" i="63" s="1"/>
  <c r="CX55" i="63" s="1"/>
  <c r="CX56" i="63" s="1"/>
  <c r="CX57" i="63" s="1"/>
  <c r="CX58" i="63" s="1"/>
  <c r="CX59" i="63" s="1"/>
  <c r="CX60" i="63" s="1"/>
  <c r="CX61" i="63" s="1"/>
  <c r="CX62" i="63" s="1"/>
  <c r="CX63" i="63" s="1"/>
  <c r="CX64" i="63" s="1"/>
  <c r="CX65" i="63" s="1"/>
  <c r="CX66" i="63" s="1"/>
  <c r="CX67" i="63" s="1"/>
  <c r="CX68" i="63" s="1"/>
  <c r="CX69" i="63" s="1"/>
  <c r="CX70" i="63" s="1"/>
  <c r="CX71" i="63" s="1"/>
  <c r="CX72" i="63" s="1"/>
  <c r="CX73" i="63" s="1"/>
  <c r="CX74" i="63" s="1"/>
  <c r="CX75" i="63" s="1"/>
  <c r="CX76" i="63" s="1"/>
  <c r="CX77" i="63" s="1"/>
  <c r="CX78" i="63" s="1"/>
  <c r="CX79" i="63" s="1"/>
  <c r="CX80" i="63" s="1"/>
  <c r="CX81" i="63" s="1"/>
  <c r="CX82" i="63" s="1"/>
  <c r="CX83" i="63" s="1"/>
  <c r="CX84" i="63" s="1"/>
  <c r="CX85" i="63" s="1"/>
  <c r="CX86" i="63" s="1"/>
  <c r="CX87" i="63" s="1"/>
  <c r="CX88" i="63" s="1"/>
  <c r="CX89" i="63" s="1"/>
  <c r="CX90" i="63" s="1"/>
  <c r="CX91" i="63" s="1"/>
  <c r="CX92" i="63" s="1"/>
  <c r="CX93" i="63" s="1"/>
  <c r="CX94" i="63" s="1"/>
  <c r="CX95" i="63" s="1"/>
  <c r="CX96" i="63" s="1"/>
  <c r="CX97" i="63" s="1"/>
  <c r="CX98" i="63" s="1"/>
  <c r="CX99" i="63" s="1"/>
  <c r="CX100" i="63" s="1"/>
  <c r="CX101" i="63" s="1"/>
  <c r="CX102" i="63" s="1"/>
  <c r="CX103" i="63" s="1"/>
  <c r="CX104" i="63" s="1"/>
  <c r="CX105" i="63" s="1"/>
  <c r="CX106" i="63" s="1"/>
  <c r="CX107" i="63" s="1"/>
  <c r="CX108" i="63" s="1"/>
  <c r="CX109" i="63" s="1"/>
  <c r="CX110" i="63" s="1"/>
  <c r="CX111" i="63" s="1"/>
  <c r="CX112" i="63" s="1"/>
  <c r="CX113" i="63" s="1"/>
  <c r="CX114" i="63" s="1"/>
  <c r="CX115" i="63" s="1"/>
  <c r="CX116" i="63" s="1"/>
  <c r="CX117" i="63" s="1"/>
  <c r="CX118" i="63" s="1"/>
  <c r="CX119" i="63" s="1"/>
  <c r="CX120" i="63" s="1"/>
  <c r="CX121" i="63" s="1"/>
  <c r="CX122" i="63" s="1"/>
  <c r="CX123" i="63" s="1"/>
  <c r="CX124" i="63" s="1"/>
  <c r="CX125" i="63" s="1"/>
  <c r="CX126" i="63" s="1"/>
  <c r="CX127" i="63" s="1"/>
  <c r="CX128" i="63" s="1"/>
  <c r="CX129" i="63" s="1"/>
  <c r="CX130" i="63" s="1"/>
  <c r="CX131" i="63" s="1"/>
  <c r="CX132" i="63" s="1"/>
  <c r="CX133" i="63" s="1"/>
  <c r="CX134" i="63" s="1"/>
  <c r="CX135" i="63" s="1"/>
  <c r="CX136" i="63" s="1"/>
  <c r="CX137" i="63" s="1"/>
  <c r="CX138" i="63" s="1"/>
  <c r="CX139" i="63" s="1"/>
  <c r="CX140" i="63" s="1"/>
  <c r="CX141" i="63" s="1"/>
  <c r="CX142" i="63" s="1"/>
  <c r="CX143" i="63" s="1"/>
  <c r="CX144" i="63" s="1"/>
  <c r="CX145" i="63" s="1"/>
  <c r="CX146" i="63" s="1"/>
  <c r="CX147" i="63" s="1"/>
  <c r="CX148" i="63" s="1"/>
  <c r="CX149" i="63" s="1"/>
  <c r="CX150" i="63" s="1"/>
  <c r="CX151" i="63" s="1"/>
  <c r="CX152" i="63" s="1"/>
  <c r="CX153" i="63" s="1"/>
  <c r="CX154" i="63" s="1"/>
  <c r="CX155" i="63" s="1"/>
  <c r="CX156" i="63" s="1"/>
  <c r="CX157" i="63" s="1"/>
  <c r="CX158" i="63" s="1"/>
  <c r="CX159" i="63" s="1"/>
  <c r="CX160" i="63" s="1"/>
  <c r="CX161" i="63" s="1"/>
  <c r="CX162" i="63" s="1"/>
  <c r="CX163" i="63" s="1"/>
  <c r="CX164" i="63" s="1"/>
  <c r="CX165" i="63" s="1"/>
  <c r="CX166" i="63" s="1"/>
  <c r="CX167" i="63" s="1"/>
  <c r="CX168" i="63" s="1"/>
  <c r="CX169" i="63" s="1"/>
  <c r="CX170" i="63" s="1"/>
  <c r="CX171" i="63" s="1"/>
  <c r="CX172" i="63" s="1"/>
  <c r="CX173" i="63" s="1"/>
  <c r="CX174" i="63" s="1"/>
  <c r="CX175" i="63" s="1"/>
  <c r="CX176" i="63" s="1"/>
  <c r="CX177" i="63" s="1"/>
  <c r="CX178" i="63" s="1"/>
  <c r="CX179" i="63" s="1"/>
  <c r="CX180" i="63" s="1"/>
  <c r="CX181" i="63" s="1"/>
  <c r="CX182" i="63" s="1"/>
  <c r="CX183" i="63" s="1"/>
  <c r="CX184" i="63" s="1"/>
  <c r="CX185" i="63" s="1"/>
  <c r="CX186" i="63" s="1"/>
  <c r="CX187" i="63" s="1"/>
  <c r="CX188" i="63" s="1"/>
  <c r="CX189" i="63" s="1"/>
  <c r="CX190" i="63" s="1"/>
  <c r="CX191" i="63" s="1"/>
  <c r="CX192" i="63" s="1"/>
  <c r="CX193" i="63" s="1"/>
  <c r="CX194" i="63" s="1"/>
  <c r="CX195" i="63" s="1"/>
  <c r="CX196" i="63" s="1"/>
  <c r="CX197" i="63" s="1"/>
  <c r="CX198" i="63" s="1"/>
  <c r="CX199" i="63" s="1"/>
  <c r="CX200" i="63" s="1"/>
  <c r="CX201" i="63" s="1"/>
  <c r="CX202" i="63" s="1"/>
  <c r="CX203" i="63" s="1"/>
  <c r="CX204" i="63" s="1"/>
  <c r="CX205" i="63" s="1"/>
  <c r="CX206" i="63" s="1"/>
  <c r="CX207" i="63" s="1"/>
  <c r="CX208" i="63" s="1"/>
  <c r="CX209" i="63" s="1"/>
  <c r="CX210" i="63" s="1"/>
  <c r="CX211" i="63" s="1"/>
  <c r="CX212" i="63" s="1"/>
  <c r="CX213" i="63" s="1"/>
  <c r="CX214" i="63" s="1"/>
  <c r="CX215" i="63" s="1"/>
  <c r="CX216" i="63" s="1"/>
  <c r="CX217" i="63" s="1"/>
  <c r="CX218" i="63" s="1"/>
  <c r="CX219" i="63" s="1"/>
  <c r="CX220" i="63" s="1"/>
  <c r="CX221" i="63" s="1"/>
  <c r="CX222" i="63" s="1"/>
  <c r="CX223" i="63" s="1"/>
  <c r="CX224" i="63" s="1"/>
  <c r="CX225" i="63" s="1"/>
  <c r="CX226" i="63" s="1"/>
  <c r="CX227" i="63" s="1"/>
  <c r="CX228" i="63" s="1"/>
  <c r="CX229" i="63" s="1"/>
  <c r="CX230" i="63" s="1"/>
  <c r="CX231" i="63" s="1"/>
  <c r="CX232" i="63" s="1"/>
  <c r="CX233" i="63" s="1"/>
  <c r="CX234" i="63" s="1"/>
  <c r="CX235" i="63" s="1"/>
  <c r="CX236" i="63" s="1"/>
  <c r="CX237" i="63" s="1"/>
  <c r="CX238" i="63" s="1"/>
  <c r="CX239" i="63" s="1"/>
  <c r="CX240" i="63" s="1"/>
  <c r="CX241" i="63" s="1"/>
  <c r="CX242" i="63" s="1"/>
  <c r="CX243" i="63" s="1"/>
  <c r="CX244" i="63" s="1"/>
  <c r="CX245" i="63" s="1"/>
  <c r="CX246" i="63" s="1"/>
  <c r="CX247" i="63" s="1"/>
  <c r="CX248" i="63" s="1"/>
  <c r="CX249" i="63" s="1"/>
  <c r="CX250" i="63" s="1"/>
  <c r="CX251" i="63" s="1"/>
  <c r="CX252" i="63" s="1"/>
  <c r="CX253" i="63" s="1"/>
  <c r="CX254" i="63" s="1"/>
  <c r="CX255" i="63" s="1"/>
  <c r="CX256" i="63" s="1"/>
  <c r="CX257" i="63" s="1"/>
  <c r="CX258" i="63" s="1"/>
  <c r="CX259" i="63" s="1"/>
  <c r="CX260" i="63" s="1"/>
  <c r="CX261" i="63" s="1"/>
  <c r="CX262" i="63" s="1"/>
  <c r="CX263" i="63" s="1"/>
  <c r="CX264" i="63" s="1"/>
  <c r="CX265" i="63" s="1"/>
  <c r="CX266" i="63" s="1"/>
  <c r="CX267" i="63" s="1"/>
  <c r="CX268" i="63" s="1"/>
  <c r="CX269" i="63" s="1"/>
  <c r="CX270" i="63" s="1"/>
  <c r="CX271" i="63" s="1"/>
  <c r="CX272" i="63" s="1"/>
  <c r="CX273" i="63" s="1"/>
  <c r="CX274" i="63" s="1"/>
  <c r="CX275" i="63" s="1"/>
  <c r="CX276" i="63" s="1"/>
  <c r="CX277" i="63" s="1"/>
  <c r="CX278" i="63" s="1"/>
  <c r="CX279" i="63" s="1"/>
  <c r="CX280" i="63" s="1"/>
  <c r="CX281" i="63" s="1"/>
  <c r="CX282" i="63" s="1"/>
  <c r="CX283" i="63" s="1"/>
  <c r="CX284" i="63" s="1"/>
  <c r="CX285" i="63" s="1"/>
  <c r="CX286" i="63" s="1"/>
  <c r="CX287" i="63" s="1"/>
  <c r="CX288" i="63" s="1"/>
  <c r="CX289" i="63" s="1"/>
  <c r="CX290" i="63" s="1"/>
  <c r="CX291" i="63" s="1"/>
  <c r="CX292" i="63" s="1"/>
  <c r="CX293" i="63" s="1"/>
  <c r="CX294" i="63" s="1"/>
  <c r="CX295" i="63" s="1"/>
  <c r="CX296" i="63" s="1"/>
  <c r="CX297" i="63" s="1"/>
  <c r="CX298" i="63" s="1"/>
  <c r="CX299" i="63" s="1"/>
  <c r="CX300" i="63" s="1"/>
  <c r="CX301" i="63" s="1"/>
  <c r="CX302" i="63" s="1"/>
  <c r="CX303" i="63" s="1"/>
  <c r="CX304" i="63" s="1"/>
  <c r="CX305" i="63" s="1"/>
  <c r="CX306" i="63" s="1"/>
  <c r="CX307" i="63" s="1"/>
  <c r="CX308" i="63" s="1"/>
  <c r="CX7" i="63"/>
  <c r="CX6" i="63"/>
  <c r="CX5" i="63"/>
  <c r="CX4" i="63"/>
  <c r="CW8" i="63"/>
  <c r="CW9" i="63" s="1"/>
  <c r="CW10" i="63" s="1"/>
  <c r="CW11" i="63" s="1"/>
  <c r="CW12" i="63" s="1"/>
  <c r="CW13" i="63" s="1"/>
  <c r="CW14" i="63" s="1"/>
  <c r="CW15" i="63" s="1"/>
  <c r="CW16" i="63" s="1"/>
  <c r="CW17" i="63" s="1"/>
  <c r="CW18" i="63" s="1"/>
  <c r="CW19" i="63" s="1"/>
  <c r="CW20" i="63" s="1"/>
  <c r="CW21" i="63" s="1"/>
  <c r="CW22" i="63" s="1"/>
  <c r="CW23" i="63" s="1"/>
  <c r="CW24" i="63" s="1"/>
  <c r="CW25" i="63" s="1"/>
  <c r="CW26" i="63" s="1"/>
  <c r="CW27" i="63" s="1"/>
  <c r="CW28" i="63" s="1"/>
  <c r="CW29" i="63" s="1"/>
  <c r="CW30" i="63" s="1"/>
  <c r="CW31" i="63" s="1"/>
  <c r="CW32" i="63" s="1"/>
  <c r="CW33" i="63" s="1"/>
  <c r="CW34" i="63" s="1"/>
  <c r="CW35" i="63" s="1"/>
  <c r="CW36" i="63" s="1"/>
  <c r="CW37" i="63" s="1"/>
  <c r="CW38" i="63" s="1"/>
  <c r="CW39" i="63" s="1"/>
  <c r="CW40" i="63" s="1"/>
  <c r="CW41" i="63" s="1"/>
  <c r="CW42" i="63" s="1"/>
  <c r="CW43" i="63" s="1"/>
  <c r="CW44" i="63" s="1"/>
  <c r="CW45" i="63" s="1"/>
  <c r="CW46" i="63" s="1"/>
  <c r="CW47" i="63" s="1"/>
  <c r="CW48" i="63" s="1"/>
  <c r="CW49" i="63" s="1"/>
  <c r="CW50" i="63" s="1"/>
  <c r="CW51" i="63" s="1"/>
  <c r="CW52" i="63" s="1"/>
  <c r="CW53" i="63" s="1"/>
  <c r="CW54" i="63" s="1"/>
  <c r="CW55" i="63" s="1"/>
  <c r="CW56" i="63" s="1"/>
  <c r="CW57" i="63" s="1"/>
  <c r="CW58" i="63" s="1"/>
  <c r="CW59" i="63" s="1"/>
  <c r="CW60" i="63" s="1"/>
  <c r="CW61" i="63" s="1"/>
  <c r="CW62" i="63" s="1"/>
  <c r="CW63" i="63" s="1"/>
  <c r="CW64" i="63" s="1"/>
  <c r="CW65" i="63" s="1"/>
  <c r="CW66" i="63" s="1"/>
  <c r="CW67" i="63" s="1"/>
  <c r="CW68" i="63" s="1"/>
  <c r="CW69" i="63" s="1"/>
  <c r="CW70" i="63" s="1"/>
  <c r="CW71" i="63" s="1"/>
  <c r="CW72" i="63" s="1"/>
  <c r="CW73" i="63" s="1"/>
  <c r="CW74" i="63" s="1"/>
  <c r="CW75" i="63" s="1"/>
  <c r="CW76" i="63" s="1"/>
  <c r="CW77" i="63" s="1"/>
  <c r="CW78" i="63" s="1"/>
  <c r="CW79" i="63" s="1"/>
  <c r="CW80" i="63" s="1"/>
  <c r="CW81" i="63" s="1"/>
  <c r="CW82" i="63" s="1"/>
  <c r="CW83" i="63" s="1"/>
  <c r="CW84" i="63" s="1"/>
  <c r="CW85" i="63" s="1"/>
  <c r="CW86" i="63" s="1"/>
  <c r="CW87" i="63" s="1"/>
  <c r="CW88" i="63" s="1"/>
  <c r="CW89" i="63" s="1"/>
  <c r="CW90" i="63" s="1"/>
  <c r="CW91" i="63" s="1"/>
  <c r="CW92" i="63" s="1"/>
  <c r="CW93" i="63" s="1"/>
  <c r="CW94" i="63" s="1"/>
  <c r="CW95" i="63" s="1"/>
  <c r="CW96" i="63" s="1"/>
  <c r="CW97" i="63" s="1"/>
  <c r="CW98" i="63" s="1"/>
  <c r="CW99" i="63" s="1"/>
  <c r="CW100" i="63" s="1"/>
  <c r="CW101" i="63" s="1"/>
  <c r="CW102" i="63" s="1"/>
  <c r="CW103" i="63" s="1"/>
  <c r="CW104" i="63" s="1"/>
  <c r="CW105" i="63" s="1"/>
  <c r="CW106" i="63" s="1"/>
  <c r="CW107" i="63" s="1"/>
  <c r="CW108" i="63" s="1"/>
  <c r="CW109" i="63" s="1"/>
  <c r="CW110" i="63" s="1"/>
  <c r="CW111" i="63" s="1"/>
  <c r="CW112" i="63" s="1"/>
  <c r="CW113" i="63" s="1"/>
  <c r="CW114" i="63" s="1"/>
  <c r="CW115" i="63" s="1"/>
  <c r="CW116" i="63" s="1"/>
  <c r="CW117" i="63" s="1"/>
  <c r="CW118" i="63" s="1"/>
  <c r="CW119" i="63" s="1"/>
  <c r="CW120" i="63" s="1"/>
  <c r="CW121" i="63" s="1"/>
  <c r="CW122" i="63" s="1"/>
  <c r="CW123" i="63" s="1"/>
  <c r="CW124" i="63" s="1"/>
  <c r="CW125" i="63" s="1"/>
  <c r="CW126" i="63" s="1"/>
  <c r="CW127" i="63" s="1"/>
  <c r="CW128" i="63" s="1"/>
  <c r="CW129" i="63" s="1"/>
  <c r="CW130" i="63" s="1"/>
  <c r="CW131" i="63" s="1"/>
  <c r="CW132" i="63" s="1"/>
  <c r="CW133" i="63" s="1"/>
  <c r="CW134" i="63" s="1"/>
  <c r="CW135" i="63" s="1"/>
  <c r="CW136" i="63" s="1"/>
  <c r="CW137" i="63" s="1"/>
  <c r="CW138" i="63" s="1"/>
  <c r="CW139" i="63" s="1"/>
  <c r="CW140" i="63" s="1"/>
  <c r="CW141" i="63" s="1"/>
  <c r="CW142" i="63" s="1"/>
  <c r="CW143" i="63" s="1"/>
  <c r="CW144" i="63" s="1"/>
  <c r="CW145" i="63" s="1"/>
  <c r="CW146" i="63" s="1"/>
  <c r="CW147" i="63" s="1"/>
  <c r="CW148" i="63" s="1"/>
  <c r="CW149" i="63" s="1"/>
  <c r="CW150" i="63" s="1"/>
  <c r="CW151" i="63" s="1"/>
  <c r="CW152" i="63" s="1"/>
  <c r="CW153" i="63" s="1"/>
  <c r="CW154" i="63" s="1"/>
  <c r="CW155" i="63" s="1"/>
  <c r="CW156" i="63" s="1"/>
  <c r="CW157" i="63" s="1"/>
  <c r="CW158" i="63" s="1"/>
  <c r="CW159" i="63" s="1"/>
  <c r="CW160" i="63" s="1"/>
  <c r="CW161" i="63" s="1"/>
  <c r="CW162" i="63" s="1"/>
  <c r="CW163" i="63" s="1"/>
  <c r="CW164" i="63" s="1"/>
  <c r="CW165" i="63" s="1"/>
  <c r="CW166" i="63" s="1"/>
  <c r="CW167" i="63" s="1"/>
  <c r="CW168" i="63" s="1"/>
  <c r="CW169" i="63" s="1"/>
  <c r="CW170" i="63" s="1"/>
  <c r="CW171" i="63" s="1"/>
  <c r="CW172" i="63" s="1"/>
  <c r="CW173" i="63" s="1"/>
  <c r="CW174" i="63" s="1"/>
  <c r="CW175" i="63" s="1"/>
  <c r="CW176" i="63" s="1"/>
  <c r="CW177" i="63" s="1"/>
  <c r="CW178" i="63" s="1"/>
  <c r="CW179" i="63" s="1"/>
  <c r="CW180" i="63" s="1"/>
  <c r="CW181" i="63" s="1"/>
  <c r="CW182" i="63" s="1"/>
  <c r="CW183" i="63" s="1"/>
  <c r="CW184" i="63" s="1"/>
  <c r="CW185" i="63" s="1"/>
  <c r="CW186" i="63" s="1"/>
  <c r="CW187" i="63" s="1"/>
  <c r="CW188" i="63" s="1"/>
  <c r="CW189" i="63" s="1"/>
  <c r="CW190" i="63" s="1"/>
  <c r="CW191" i="63" s="1"/>
  <c r="CW192" i="63" s="1"/>
  <c r="CW193" i="63" s="1"/>
  <c r="CW194" i="63" s="1"/>
  <c r="CW195" i="63" s="1"/>
  <c r="CW196" i="63" s="1"/>
  <c r="CW197" i="63" s="1"/>
  <c r="CW198" i="63" s="1"/>
  <c r="CW199" i="63" s="1"/>
  <c r="CW200" i="63" s="1"/>
  <c r="CW201" i="63" s="1"/>
  <c r="CW202" i="63" s="1"/>
  <c r="CW203" i="63" s="1"/>
  <c r="CW204" i="63" s="1"/>
  <c r="CW205" i="63" s="1"/>
  <c r="CW206" i="63" s="1"/>
  <c r="CW207" i="63" s="1"/>
  <c r="CW208" i="63" s="1"/>
  <c r="CW209" i="63" s="1"/>
  <c r="CW210" i="63" s="1"/>
  <c r="CW211" i="63" s="1"/>
  <c r="CW212" i="63" s="1"/>
  <c r="CW213" i="63" s="1"/>
  <c r="CW214" i="63" s="1"/>
  <c r="CW215" i="63" s="1"/>
  <c r="CW216" i="63" s="1"/>
  <c r="CW217" i="63" s="1"/>
  <c r="CW218" i="63" s="1"/>
  <c r="CW219" i="63" s="1"/>
  <c r="CW220" i="63" s="1"/>
  <c r="CW221" i="63" s="1"/>
  <c r="CW222" i="63" s="1"/>
  <c r="CW223" i="63" s="1"/>
  <c r="CW224" i="63" s="1"/>
  <c r="CW225" i="63" s="1"/>
  <c r="CW226" i="63" s="1"/>
  <c r="CW227" i="63" s="1"/>
  <c r="CW228" i="63" s="1"/>
  <c r="CW229" i="63" s="1"/>
  <c r="CW230" i="63" s="1"/>
  <c r="CW231" i="63" s="1"/>
  <c r="CW232" i="63" s="1"/>
  <c r="CW233" i="63" s="1"/>
  <c r="CW234" i="63" s="1"/>
  <c r="CW235" i="63" s="1"/>
  <c r="CW236" i="63" s="1"/>
  <c r="CW237" i="63" s="1"/>
  <c r="CW238" i="63" s="1"/>
  <c r="CW239" i="63" s="1"/>
  <c r="CW240" i="63" s="1"/>
  <c r="CW241" i="63" s="1"/>
  <c r="CW242" i="63" s="1"/>
  <c r="CW243" i="63" s="1"/>
  <c r="CW244" i="63" s="1"/>
  <c r="CW245" i="63" s="1"/>
  <c r="CW246" i="63" s="1"/>
  <c r="CW247" i="63" s="1"/>
  <c r="CW248" i="63" s="1"/>
  <c r="CW249" i="63" s="1"/>
  <c r="CW250" i="63" s="1"/>
  <c r="CW251" i="63" s="1"/>
  <c r="CW252" i="63" s="1"/>
  <c r="CW253" i="63" s="1"/>
  <c r="CW254" i="63" s="1"/>
  <c r="CW255" i="63" s="1"/>
  <c r="CW256" i="63" s="1"/>
  <c r="CW257" i="63" s="1"/>
  <c r="CW258" i="63" s="1"/>
  <c r="CW259" i="63" s="1"/>
  <c r="CW260" i="63" s="1"/>
  <c r="CW261" i="63" s="1"/>
  <c r="CW262" i="63" s="1"/>
  <c r="CW263" i="63" s="1"/>
  <c r="CW264" i="63" s="1"/>
  <c r="CW265" i="63" s="1"/>
  <c r="CW266" i="63" s="1"/>
  <c r="CW267" i="63" s="1"/>
  <c r="CW268" i="63" s="1"/>
  <c r="CW269" i="63" s="1"/>
  <c r="CW270" i="63" s="1"/>
  <c r="CW271" i="63" s="1"/>
  <c r="CW272" i="63" s="1"/>
  <c r="CW273" i="63" s="1"/>
  <c r="CW274" i="63" s="1"/>
  <c r="CW275" i="63" s="1"/>
  <c r="CW276" i="63" s="1"/>
  <c r="CW277" i="63" s="1"/>
  <c r="CW278" i="63" s="1"/>
  <c r="CW279" i="63" s="1"/>
  <c r="CW280" i="63" s="1"/>
  <c r="CW281" i="63" s="1"/>
  <c r="CW282" i="63" s="1"/>
  <c r="CW283" i="63" s="1"/>
  <c r="CW284" i="63" s="1"/>
  <c r="CW285" i="63" s="1"/>
  <c r="CW286" i="63" s="1"/>
  <c r="CW287" i="63" s="1"/>
  <c r="CW288" i="63" s="1"/>
  <c r="CW289" i="63" s="1"/>
  <c r="CW290" i="63" s="1"/>
  <c r="CW291" i="63" s="1"/>
  <c r="CW292" i="63" s="1"/>
  <c r="CW293" i="63" s="1"/>
  <c r="CW294" i="63" s="1"/>
  <c r="CW295" i="63" s="1"/>
  <c r="CW296" i="63" s="1"/>
  <c r="CW297" i="63" s="1"/>
  <c r="CW298" i="63" s="1"/>
  <c r="CW299" i="63" s="1"/>
  <c r="CW300" i="63" s="1"/>
  <c r="CW301" i="63" s="1"/>
  <c r="CW302" i="63" s="1"/>
  <c r="CW303" i="63" s="1"/>
  <c r="CW304" i="63" s="1"/>
  <c r="CW305" i="63" s="1"/>
  <c r="CW306" i="63" s="1"/>
  <c r="CW307" i="63" s="1"/>
  <c r="CW308" i="63" s="1"/>
  <c r="CW7" i="63"/>
  <c r="CW6" i="63"/>
  <c r="CW5" i="63"/>
  <c r="CW4" i="63"/>
  <c r="CV8" i="63"/>
  <c r="CV7" i="63"/>
  <c r="CV6" i="63"/>
  <c r="CV5" i="63"/>
  <c r="CV4" i="63"/>
  <c r="CU8" i="63"/>
  <c r="CU7" i="63"/>
  <c r="CU6" i="63"/>
  <c r="CU5" i="63"/>
  <c r="CU4" i="63"/>
  <c r="CT8" i="63"/>
  <c r="CT9" i="63" s="1"/>
  <c r="CT10" i="63" s="1"/>
  <c r="CT11" i="63" s="1"/>
  <c r="CT12" i="63" s="1"/>
  <c r="CT13" i="63" s="1"/>
  <c r="CT14" i="63" s="1"/>
  <c r="CT15" i="63" s="1"/>
  <c r="CT16" i="63" s="1"/>
  <c r="CT17" i="63" s="1"/>
  <c r="CT18" i="63" s="1"/>
  <c r="CT19" i="63" s="1"/>
  <c r="CT20" i="63" s="1"/>
  <c r="CT21" i="63" s="1"/>
  <c r="CT22" i="63" s="1"/>
  <c r="CT23" i="63" s="1"/>
  <c r="CT24" i="63" s="1"/>
  <c r="CT25" i="63" s="1"/>
  <c r="CT26" i="63" s="1"/>
  <c r="CT27" i="63" s="1"/>
  <c r="CT28" i="63" s="1"/>
  <c r="CT29" i="63" s="1"/>
  <c r="CT30" i="63" s="1"/>
  <c r="CT31" i="63" s="1"/>
  <c r="CT32" i="63" s="1"/>
  <c r="CT33" i="63" s="1"/>
  <c r="CT34" i="63" s="1"/>
  <c r="CT35" i="63" s="1"/>
  <c r="CT36" i="63" s="1"/>
  <c r="CT37" i="63" s="1"/>
  <c r="CT38" i="63" s="1"/>
  <c r="CT39" i="63" s="1"/>
  <c r="CT40" i="63" s="1"/>
  <c r="CT41" i="63" s="1"/>
  <c r="CT42" i="63" s="1"/>
  <c r="CT43" i="63" s="1"/>
  <c r="CT44" i="63" s="1"/>
  <c r="CT45" i="63" s="1"/>
  <c r="CT46" i="63" s="1"/>
  <c r="CT47" i="63" s="1"/>
  <c r="CT48" i="63" s="1"/>
  <c r="CT49" i="63" s="1"/>
  <c r="CT50" i="63" s="1"/>
  <c r="CT51" i="63" s="1"/>
  <c r="CT52" i="63" s="1"/>
  <c r="CT53" i="63" s="1"/>
  <c r="CT54" i="63" s="1"/>
  <c r="CT55" i="63" s="1"/>
  <c r="CT56" i="63" s="1"/>
  <c r="CT57" i="63" s="1"/>
  <c r="CT58" i="63" s="1"/>
  <c r="CT59" i="63" s="1"/>
  <c r="CT60" i="63" s="1"/>
  <c r="CT61" i="63" s="1"/>
  <c r="CT62" i="63" s="1"/>
  <c r="CT63" i="63" s="1"/>
  <c r="CT64" i="63" s="1"/>
  <c r="CT65" i="63" s="1"/>
  <c r="CT66" i="63" s="1"/>
  <c r="CT67" i="63" s="1"/>
  <c r="CT68" i="63" s="1"/>
  <c r="CT69" i="63" s="1"/>
  <c r="CT70" i="63" s="1"/>
  <c r="CT71" i="63" s="1"/>
  <c r="CT72" i="63" s="1"/>
  <c r="CT73" i="63" s="1"/>
  <c r="CT74" i="63" s="1"/>
  <c r="CT75" i="63" s="1"/>
  <c r="CT76" i="63" s="1"/>
  <c r="CT77" i="63" s="1"/>
  <c r="CT78" i="63" s="1"/>
  <c r="CT79" i="63" s="1"/>
  <c r="CT80" i="63" s="1"/>
  <c r="CT81" i="63" s="1"/>
  <c r="CT82" i="63" s="1"/>
  <c r="CT83" i="63" s="1"/>
  <c r="CT84" i="63" s="1"/>
  <c r="CT85" i="63" s="1"/>
  <c r="CT86" i="63" s="1"/>
  <c r="CT87" i="63" s="1"/>
  <c r="CT88" i="63" s="1"/>
  <c r="CT89" i="63" s="1"/>
  <c r="CT90" i="63" s="1"/>
  <c r="CT91" i="63" s="1"/>
  <c r="CT92" i="63" s="1"/>
  <c r="CT93" i="63" s="1"/>
  <c r="CT94" i="63" s="1"/>
  <c r="CT95" i="63" s="1"/>
  <c r="CT96" i="63" s="1"/>
  <c r="CT97" i="63" s="1"/>
  <c r="CT98" i="63" s="1"/>
  <c r="CT99" i="63" s="1"/>
  <c r="CT100" i="63" s="1"/>
  <c r="CT101" i="63" s="1"/>
  <c r="CT102" i="63" s="1"/>
  <c r="CT103" i="63" s="1"/>
  <c r="CT104" i="63" s="1"/>
  <c r="CT105" i="63" s="1"/>
  <c r="CT106" i="63" s="1"/>
  <c r="CT107" i="63" s="1"/>
  <c r="CT108" i="63" s="1"/>
  <c r="CT109" i="63" s="1"/>
  <c r="CT110" i="63" s="1"/>
  <c r="CT111" i="63" s="1"/>
  <c r="CT112" i="63" s="1"/>
  <c r="CT113" i="63" s="1"/>
  <c r="CT114" i="63" s="1"/>
  <c r="CT115" i="63" s="1"/>
  <c r="CT116" i="63" s="1"/>
  <c r="CT117" i="63" s="1"/>
  <c r="CT118" i="63" s="1"/>
  <c r="CT119" i="63" s="1"/>
  <c r="CT120" i="63" s="1"/>
  <c r="CT121" i="63" s="1"/>
  <c r="CT122" i="63" s="1"/>
  <c r="CT123" i="63" s="1"/>
  <c r="CT124" i="63" s="1"/>
  <c r="CT125" i="63" s="1"/>
  <c r="CT126" i="63" s="1"/>
  <c r="CT127" i="63" s="1"/>
  <c r="CT128" i="63" s="1"/>
  <c r="CT129" i="63" s="1"/>
  <c r="CT130" i="63" s="1"/>
  <c r="CT131" i="63" s="1"/>
  <c r="CT132" i="63" s="1"/>
  <c r="CT133" i="63" s="1"/>
  <c r="CT134" i="63" s="1"/>
  <c r="CT135" i="63" s="1"/>
  <c r="CT136" i="63" s="1"/>
  <c r="CT137" i="63" s="1"/>
  <c r="CT138" i="63" s="1"/>
  <c r="CT139" i="63" s="1"/>
  <c r="CT140" i="63" s="1"/>
  <c r="CT141" i="63" s="1"/>
  <c r="CT142" i="63" s="1"/>
  <c r="CT143" i="63" s="1"/>
  <c r="CT144" i="63" s="1"/>
  <c r="CT145" i="63" s="1"/>
  <c r="CT146" i="63" s="1"/>
  <c r="CT147" i="63" s="1"/>
  <c r="CT148" i="63" s="1"/>
  <c r="CT149" i="63" s="1"/>
  <c r="CT150" i="63" s="1"/>
  <c r="CT151" i="63" s="1"/>
  <c r="CT152" i="63" s="1"/>
  <c r="CT153" i="63" s="1"/>
  <c r="CT154" i="63" s="1"/>
  <c r="CT155" i="63" s="1"/>
  <c r="CT156" i="63" s="1"/>
  <c r="CT157" i="63" s="1"/>
  <c r="CT158" i="63" s="1"/>
  <c r="CT159" i="63" s="1"/>
  <c r="CT160" i="63" s="1"/>
  <c r="CT161" i="63" s="1"/>
  <c r="CT162" i="63" s="1"/>
  <c r="CT163" i="63" s="1"/>
  <c r="CT164" i="63" s="1"/>
  <c r="CT165" i="63" s="1"/>
  <c r="CT166" i="63" s="1"/>
  <c r="CT167" i="63" s="1"/>
  <c r="CT168" i="63" s="1"/>
  <c r="CT169" i="63" s="1"/>
  <c r="CT170" i="63" s="1"/>
  <c r="CT171" i="63" s="1"/>
  <c r="CT172" i="63" s="1"/>
  <c r="CT173" i="63" s="1"/>
  <c r="CT174" i="63" s="1"/>
  <c r="CT175" i="63" s="1"/>
  <c r="CT176" i="63" s="1"/>
  <c r="CT177" i="63" s="1"/>
  <c r="CT178" i="63" s="1"/>
  <c r="CT179" i="63" s="1"/>
  <c r="CT180" i="63" s="1"/>
  <c r="CT181" i="63" s="1"/>
  <c r="CT182" i="63" s="1"/>
  <c r="CT183" i="63" s="1"/>
  <c r="CT184" i="63" s="1"/>
  <c r="CT185" i="63" s="1"/>
  <c r="CT186" i="63" s="1"/>
  <c r="CT187" i="63" s="1"/>
  <c r="CT188" i="63" s="1"/>
  <c r="CT189" i="63" s="1"/>
  <c r="CT190" i="63" s="1"/>
  <c r="CT191" i="63" s="1"/>
  <c r="CT192" i="63" s="1"/>
  <c r="CT193" i="63" s="1"/>
  <c r="CT194" i="63" s="1"/>
  <c r="CT195" i="63" s="1"/>
  <c r="CT196" i="63" s="1"/>
  <c r="CT197" i="63" s="1"/>
  <c r="CT198" i="63" s="1"/>
  <c r="CT199" i="63" s="1"/>
  <c r="CT200" i="63" s="1"/>
  <c r="CT201" i="63" s="1"/>
  <c r="CT202" i="63" s="1"/>
  <c r="CT203" i="63" s="1"/>
  <c r="CT204" i="63" s="1"/>
  <c r="CT205" i="63" s="1"/>
  <c r="CT206" i="63" s="1"/>
  <c r="CT207" i="63" s="1"/>
  <c r="CT208" i="63" s="1"/>
  <c r="CT209" i="63" s="1"/>
  <c r="CT210" i="63" s="1"/>
  <c r="CT211" i="63" s="1"/>
  <c r="CT212" i="63" s="1"/>
  <c r="CT213" i="63" s="1"/>
  <c r="CT214" i="63" s="1"/>
  <c r="CT215" i="63" s="1"/>
  <c r="CT216" i="63" s="1"/>
  <c r="CT217" i="63" s="1"/>
  <c r="CT218" i="63" s="1"/>
  <c r="CT219" i="63" s="1"/>
  <c r="CT220" i="63" s="1"/>
  <c r="CT221" i="63" s="1"/>
  <c r="CT222" i="63" s="1"/>
  <c r="CT223" i="63" s="1"/>
  <c r="CT224" i="63" s="1"/>
  <c r="CT225" i="63" s="1"/>
  <c r="CT226" i="63" s="1"/>
  <c r="CT227" i="63" s="1"/>
  <c r="CT228" i="63" s="1"/>
  <c r="CT229" i="63" s="1"/>
  <c r="CT230" i="63" s="1"/>
  <c r="CT231" i="63" s="1"/>
  <c r="CT232" i="63" s="1"/>
  <c r="CT233" i="63" s="1"/>
  <c r="CT234" i="63" s="1"/>
  <c r="CT235" i="63" s="1"/>
  <c r="CT236" i="63" s="1"/>
  <c r="CT237" i="63" s="1"/>
  <c r="CT238" i="63" s="1"/>
  <c r="CT239" i="63" s="1"/>
  <c r="CT240" i="63" s="1"/>
  <c r="CT241" i="63" s="1"/>
  <c r="CT242" i="63" s="1"/>
  <c r="CT243" i="63" s="1"/>
  <c r="CT244" i="63" s="1"/>
  <c r="CT245" i="63" s="1"/>
  <c r="CT246" i="63" s="1"/>
  <c r="CT247" i="63" s="1"/>
  <c r="CT248" i="63" s="1"/>
  <c r="CT249" i="63" s="1"/>
  <c r="CT250" i="63" s="1"/>
  <c r="CT251" i="63" s="1"/>
  <c r="CT252" i="63" s="1"/>
  <c r="CT253" i="63" s="1"/>
  <c r="CT254" i="63" s="1"/>
  <c r="CT255" i="63" s="1"/>
  <c r="CT256" i="63" s="1"/>
  <c r="CT257" i="63" s="1"/>
  <c r="CT258" i="63" s="1"/>
  <c r="CT259" i="63" s="1"/>
  <c r="CT260" i="63" s="1"/>
  <c r="CT261" i="63" s="1"/>
  <c r="CT262" i="63" s="1"/>
  <c r="CT263" i="63" s="1"/>
  <c r="CT264" i="63" s="1"/>
  <c r="CT265" i="63" s="1"/>
  <c r="CT266" i="63" s="1"/>
  <c r="CT267" i="63" s="1"/>
  <c r="CT268" i="63" s="1"/>
  <c r="CT269" i="63" s="1"/>
  <c r="CT270" i="63" s="1"/>
  <c r="CT271" i="63" s="1"/>
  <c r="CT272" i="63" s="1"/>
  <c r="CT273" i="63" s="1"/>
  <c r="CT274" i="63" s="1"/>
  <c r="CT275" i="63" s="1"/>
  <c r="CT276" i="63" s="1"/>
  <c r="CT277" i="63" s="1"/>
  <c r="CT278" i="63" s="1"/>
  <c r="CT279" i="63" s="1"/>
  <c r="CT280" i="63" s="1"/>
  <c r="CT281" i="63" s="1"/>
  <c r="CT282" i="63" s="1"/>
  <c r="CT283" i="63" s="1"/>
  <c r="CT284" i="63" s="1"/>
  <c r="CT285" i="63" s="1"/>
  <c r="CT286" i="63" s="1"/>
  <c r="CT287" i="63" s="1"/>
  <c r="CT288" i="63" s="1"/>
  <c r="CT289" i="63" s="1"/>
  <c r="CT290" i="63" s="1"/>
  <c r="CT291" i="63" s="1"/>
  <c r="CT292" i="63" s="1"/>
  <c r="CT293" i="63" s="1"/>
  <c r="CT294" i="63" s="1"/>
  <c r="CT295" i="63" s="1"/>
  <c r="CT296" i="63" s="1"/>
  <c r="CT297" i="63" s="1"/>
  <c r="CT298" i="63" s="1"/>
  <c r="CT299" i="63" s="1"/>
  <c r="CT300" i="63" s="1"/>
  <c r="CT301" i="63" s="1"/>
  <c r="CT302" i="63" s="1"/>
  <c r="CT303" i="63" s="1"/>
  <c r="CT304" i="63" s="1"/>
  <c r="CT305" i="63" s="1"/>
  <c r="CT306" i="63" s="1"/>
  <c r="CT307" i="63" s="1"/>
  <c r="CT308" i="63" s="1"/>
  <c r="CT7" i="63"/>
  <c r="CT6" i="63"/>
  <c r="CT5" i="63"/>
  <c r="CT4" i="63"/>
  <c r="CS8" i="63"/>
  <c r="CS9" i="63" s="1"/>
  <c r="CS10" i="63" s="1"/>
  <c r="CS11" i="63" s="1"/>
  <c r="CS12" i="63" s="1"/>
  <c r="CS13" i="63" s="1"/>
  <c r="CS14" i="63" s="1"/>
  <c r="CS15" i="63" s="1"/>
  <c r="CS16" i="63" s="1"/>
  <c r="CS17" i="63" s="1"/>
  <c r="CS18" i="63" s="1"/>
  <c r="CS19" i="63" s="1"/>
  <c r="CS20" i="63" s="1"/>
  <c r="CS21" i="63" s="1"/>
  <c r="CS22" i="63" s="1"/>
  <c r="CS23" i="63" s="1"/>
  <c r="CS24" i="63" s="1"/>
  <c r="CS25" i="63" s="1"/>
  <c r="CS26" i="63" s="1"/>
  <c r="CS27" i="63" s="1"/>
  <c r="CS28" i="63" s="1"/>
  <c r="CS29" i="63" s="1"/>
  <c r="CS30" i="63" s="1"/>
  <c r="CS31" i="63" s="1"/>
  <c r="CS32" i="63" s="1"/>
  <c r="CS33" i="63" s="1"/>
  <c r="CS34" i="63" s="1"/>
  <c r="CS35" i="63" s="1"/>
  <c r="CS36" i="63" s="1"/>
  <c r="CS37" i="63" s="1"/>
  <c r="CS38" i="63" s="1"/>
  <c r="CS39" i="63" s="1"/>
  <c r="CS40" i="63" s="1"/>
  <c r="CS41" i="63" s="1"/>
  <c r="CS42" i="63" s="1"/>
  <c r="CS43" i="63" s="1"/>
  <c r="CS44" i="63" s="1"/>
  <c r="CS45" i="63" s="1"/>
  <c r="CS46" i="63" s="1"/>
  <c r="CS47" i="63" s="1"/>
  <c r="CS48" i="63" s="1"/>
  <c r="CS49" i="63" s="1"/>
  <c r="CS50" i="63" s="1"/>
  <c r="CS51" i="63" s="1"/>
  <c r="CS52" i="63" s="1"/>
  <c r="CS53" i="63" s="1"/>
  <c r="CS54" i="63" s="1"/>
  <c r="CS55" i="63" s="1"/>
  <c r="CS56" i="63" s="1"/>
  <c r="CS57" i="63" s="1"/>
  <c r="CS58" i="63" s="1"/>
  <c r="CS59" i="63" s="1"/>
  <c r="CS60" i="63" s="1"/>
  <c r="CS61" i="63" s="1"/>
  <c r="CS62" i="63" s="1"/>
  <c r="CS63" i="63" s="1"/>
  <c r="CS64" i="63" s="1"/>
  <c r="CS65" i="63" s="1"/>
  <c r="CS66" i="63" s="1"/>
  <c r="CS67" i="63" s="1"/>
  <c r="CS68" i="63" s="1"/>
  <c r="CS69" i="63" s="1"/>
  <c r="CS70" i="63" s="1"/>
  <c r="CS71" i="63" s="1"/>
  <c r="CS72" i="63" s="1"/>
  <c r="CS73" i="63" s="1"/>
  <c r="CS74" i="63" s="1"/>
  <c r="CS75" i="63" s="1"/>
  <c r="CS76" i="63" s="1"/>
  <c r="CS77" i="63" s="1"/>
  <c r="CS78" i="63" s="1"/>
  <c r="CS79" i="63" s="1"/>
  <c r="CS80" i="63" s="1"/>
  <c r="CS81" i="63" s="1"/>
  <c r="CS82" i="63" s="1"/>
  <c r="CS83" i="63" s="1"/>
  <c r="CS84" i="63" s="1"/>
  <c r="CS85" i="63" s="1"/>
  <c r="CS86" i="63" s="1"/>
  <c r="CS87" i="63" s="1"/>
  <c r="CS88" i="63" s="1"/>
  <c r="CS89" i="63" s="1"/>
  <c r="CS90" i="63" s="1"/>
  <c r="CS91" i="63" s="1"/>
  <c r="CS92" i="63" s="1"/>
  <c r="CS93" i="63" s="1"/>
  <c r="CS94" i="63" s="1"/>
  <c r="CS95" i="63" s="1"/>
  <c r="CS96" i="63" s="1"/>
  <c r="CS97" i="63" s="1"/>
  <c r="CS98" i="63" s="1"/>
  <c r="CS99" i="63" s="1"/>
  <c r="CS100" i="63" s="1"/>
  <c r="CS101" i="63" s="1"/>
  <c r="CS102" i="63" s="1"/>
  <c r="CS103" i="63" s="1"/>
  <c r="CS104" i="63" s="1"/>
  <c r="CS105" i="63" s="1"/>
  <c r="CS106" i="63" s="1"/>
  <c r="CS107" i="63" s="1"/>
  <c r="CS108" i="63" s="1"/>
  <c r="CS109" i="63" s="1"/>
  <c r="CS110" i="63" s="1"/>
  <c r="CS111" i="63" s="1"/>
  <c r="CS112" i="63" s="1"/>
  <c r="CS113" i="63" s="1"/>
  <c r="CS114" i="63" s="1"/>
  <c r="CS115" i="63" s="1"/>
  <c r="CS116" i="63" s="1"/>
  <c r="CS117" i="63" s="1"/>
  <c r="CS118" i="63" s="1"/>
  <c r="CS119" i="63" s="1"/>
  <c r="CS120" i="63" s="1"/>
  <c r="CS121" i="63" s="1"/>
  <c r="CS122" i="63" s="1"/>
  <c r="CS123" i="63" s="1"/>
  <c r="CS124" i="63" s="1"/>
  <c r="CS125" i="63" s="1"/>
  <c r="CS126" i="63" s="1"/>
  <c r="CS127" i="63" s="1"/>
  <c r="CS128" i="63" s="1"/>
  <c r="CS129" i="63" s="1"/>
  <c r="CS130" i="63" s="1"/>
  <c r="CS131" i="63" s="1"/>
  <c r="CS132" i="63" s="1"/>
  <c r="CS133" i="63" s="1"/>
  <c r="CS134" i="63" s="1"/>
  <c r="CS135" i="63" s="1"/>
  <c r="CS136" i="63" s="1"/>
  <c r="CS137" i="63" s="1"/>
  <c r="CS138" i="63" s="1"/>
  <c r="CS139" i="63" s="1"/>
  <c r="CS140" i="63" s="1"/>
  <c r="CS141" i="63" s="1"/>
  <c r="CS142" i="63" s="1"/>
  <c r="CS143" i="63" s="1"/>
  <c r="CS144" i="63" s="1"/>
  <c r="CS145" i="63" s="1"/>
  <c r="CS146" i="63" s="1"/>
  <c r="CS147" i="63" s="1"/>
  <c r="CS148" i="63" s="1"/>
  <c r="CS149" i="63" s="1"/>
  <c r="CS150" i="63" s="1"/>
  <c r="CS151" i="63" s="1"/>
  <c r="CS152" i="63" s="1"/>
  <c r="CS153" i="63" s="1"/>
  <c r="CS154" i="63" s="1"/>
  <c r="CS155" i="63" s="1"/>
  <c r="CS156" i="63" s="1"/>
  <c r="CS157" i="63" s="1"/>
  <c r="CS158" i="63" s="1"/>
  <c r="CS159" i="63" s="1"/>
  <c r="CS160" i="63" s="1"/>
  <c r="CS161" i="63" s="1"/>
  <c r="CS162" i="63" s="1"/>
  <c r="CS163" i="63" s="1"/>
  <c r="CS164" i="63" s="1"/>
  <c r="CS165" i="63" s="1"/>
  <c r="CS166" i="63" s="1"/>
  <c r="CS167" i="63" s="1"/>
  <c r="CS168" i="63" s="1"/>
  <c r="CS169" i="63" s="1"/>
  <c r="CS170" i="63" s="1"/>
  <c r="CS171" i="63" s="1"/>
  <c r="CS172" i="63" s="1"/>
  <c r="CS173" i="63" s="1"/>
  <c r="CS174" i="63" s="1"/>
  <c r="CS175" i="63" s="1"/>
  <c r="CS176" i="63" s="1"/>
  <c r="CS177" i="63" s="1"/>
  <c r="CS178" i="63" s="1"/>
  <c r="CS179" i="63" s="1"/>
  <c r="CS180" i="63" s="1"/>
  <c r="CS181" i="63" s="1"/>
  <c r="CS182" i="63" s="1"/>
  <c r="CS183" i="63" s="1"/>
  <c r="CS184" i="63" s="1"/>
  <c r="CS185" i="63" s="1"/>
  <c r="CS186" i="63" s="1"/>
  <c r="CS187" i="63" s="1"/>
  <c r="CS188" i="63" s="1"/>
  <c r="CS189" i="63" s="1"/>
  <c r="CS190" i="63" s="1"/>
  <c r="CS191" i="63" s="1"/>
  <c r="CS192" i="63" s="1"/>
  <c r="CS193" i="63" s="1"/>
  <c r="CS194" i="63" s="1"/>
  <c r="CS195" i="63" s="1"/>
  <c r="CS196" i="63" s="1"/>
  <c r="CS197" i="63" s="1"/>
  <c r="CS198" i="63" s="1"/>
  <c r="CS199" i="63" s="1"/>
  <c r="CS200" i="63" s="1"/>
  <c r="CS201" i="63" s="1"/>
  <c r="CS202" i="63" s="1"/>
  <c r="CS203" i="63" s="1"/>
  <c r="CS204" i="63" s="1"/>
  <c r="CS205" i="63" s="1"/>
  <c r="CS206" i="63" s="1"/>
  <c r="CS207" i="63" s="1"/>
  <c r="CS208" i="63" s="1"/>
  <c r="CS209" i="63" s="1"/>
  <c r="CS210" i="63" s="1"/>
  <c r="CS211" i="63" s="1"/>
  <c r="CS212" i="63" s="1"/>
  <c r="CS213" i="63" s="1"/>
  <c r="CS214" i="63" s="1"/>
  <c r="CS215" i="63" s="1"/>
  <c r="CS216" i="63" s="1"/>
  <c r="CS217" i="63" s="1"/>
  <c r="CS218" i="63" s="1"/>
  <c r="CS219" i="63" s="1"/>
  <c r="CS220" i="63" s="1"/>
  <c r="CS221" i="63" s="1"/>
  <c r="CS222" i="63" s="1"/>
  <c r="CS223" i="63" s="1"/>
  <c r="CS224" i="63" s="1"/>
  <c r="CS225" i="63" s="1"/>
  <c r="CS226" i="63" s="1"/>
  <c r="CS227" i="63" s="1"/>
  <c r="CS228" i="63" s="1"/>
  <c r="CS229" i="63" s="1"/>
  <c r="CS230" i="63" s="1"/>
  <c r="CS231" i="63" s="1"/>
  <c r="CS232" i="63" s="1"/>
  <c r="CS233" i="63" s="1"/>
  <c r="CS234" i="63" s="1"/>
  <c r="CS235" i="63" s="1"/>
  <c r="CS236" i="63" s="1"/>
  <c r="CS237" i="63" s="1"/>
  <c r="CS238" i="63" s="1"/>
  <c r="CS239" i="63" s="1"/>
  <c r="CS240" i="63" s="1"/>
  <c r="CS241" i="63" s="1"/>
  <c r="CS242" i="63" s="1"/>
  <c r="CS243" i="63" s="1"/>
  <c r="CS244" i="63" s="1"/>
  <c r="CS245" i="63" s="1"/>
  <c r="CS246" i="63" s="1"/>
  <c r="CS247" i="63" s="1"/>
  <c r="CS248" i="63" s="1"/>
  <c r="CS249" i="63" s="1"/>
  <c r="CS250" i="63" s="1"/>
  <c r="CS251" i="63" s="1"/>
  <c r="CS252" i="63" s="1"/>
  <c r="CS253" i="63" s="1"/>
  <c r="CS254" i="63" s="1"/>
  <c r="CS255" i="63" s="1"/>
  <c r="CS256" i="63" s="1"/>
  <c r="CS257" i="63" s="1"/>
  <c r="CS258" i="63" s="1"/>
  <c r="CS259" i="63" s="1"/>
  <c r="CS260" i="63" s="1"/>
  <c r="CS261" i="63" s="1"/>
  <c r="CS262" i="63" s="1"/>
  <c r="CS263" i="63" s="1"/>
  <c r="CS264" i="63" s="1"/>
  <c r="CS265" i="63" s="1"/>
  <c r="CS266" i="63" s="1"/>
  <c r="CS267" i="63" s="1"/>
  <c r="CS268" i="63" s="1"/>
  <c r="CS269" i="63" s="1"/>
  <c r="CS270" i="63" s="1"/>
  <c r="CS271" i="63" s="1"/>
  <c r="CS272" i="63" s="1"/>
  <c r="CS273" i="63" s="1"/>
  <c r="CS274" i="63" s="1"/>
  <c r="CS275" i="63" s="1"/>
  <c r="CS276" i="63" s="1"/>
  <c r="CS277" i="63" s="1"/>
  <c r="CS278" i="63" s="1"/>
  <c r="CS279" i="63" s="1"/>
  <c r="CS280" i="63" s="1"/>
  <c r="CS281" i="63" s="1"/>
  <c r="CS282" i="63" s="1"/>
  <c r="CS283" i="63" s="1"/>
  <c r="CS284" i="63" s="1"/>
  <c r="CS285" i="63" s="1"/>
  <c r="CS286" i="63" s="1"/>
  <c r="CS287" i="63" s="1"/>
  <c r="CS288" i="63" s="1"/>
  <c r="CS289" i="63" s="1"/>
  <c r="CS290" i="63" s="1"/>
  <c r="CS291" i="63" s="1"/>
  <c r="CS292" i="63" s="1"/>
  <c r="CS293" i="63" s="1"/>
  <c r="CS294" i="63" s="1"/>
  <c r="CS295" i="63" s="1"/>
  <c r="CS296" i="63" s="1"/>
  <c r="CS297" i="63" s="1"/>
  <c r="CS298" i="63" s="1"/>
  <c r="CS299" i="63" s="1"/>
  <c r="CS300" i="63" s="1"/>
  <c r="CS301" i="63" s="1"/>
  <c r="CS302" i="63" s="1"/>
  <c r="CS303" i="63" s="1"/>
  <c r="CS304" i="63" s="1"/>
  <c r="CS305" i="63" s="1"/>
  <c r="CS306" i="63" s="1"/>
  <c r="CS307" i="63" s="1"/>
  <c r="CS308" i="63" s="1"/>
  <c r="CS7" i="63"/>
  <c r="CS6" i="63"/>
  <c r="CS5" i="63"/>
  <c r="CS4" i="63"/>
  <c r="CR8" i="63"/>
  <c r="CR9" i="63" s="1"/>
  <c r="CR10" i="63" s="1"/>
  <c r="CR11" i="63" s="1"/>
  <c r="CR12" i="63" s="1"/>
  <c r="CR13" i="63" s="1"/>
  <c r="CR14" i="63" s="1"/>
  <c r="CR15" i="63" s="1"/>
  <c r="CR16" i="63" s="1"/>
  <c r="CR17" i="63" s="1"/>
  <c r="CR18" i="63" s="1"/>
  <c r="CR19" i="63" s="1"/>
  <c r="CR20" i="63" s="1"/>
  <c r="CR21" i="63" s="1"/>
  <c r="CR22" i="63" s="1"/>
  <c r="CR23" i="63" s="1"/>
  <c r="CR24" i="63" s="1"/>
  <c r="CR25" i="63" s="1"/>
  <c r="CR26" i="63" s="1"/>
  <c r="CR27" i="63" s="1"/>
  <c r="CR28" i="63" s="1"/>
  <c r="CR29" i="63" s="1"/>
  <c r="CR30" i="63" s="1"/>
  <c r="CR31" i="63" s="1"/>
  <c r="CR32" i="63" s="1"/>
  <c r="CR33" i="63" s="1"/>
  <c r="CR34" i="63" s="1"/>
  <c r="CR35" i="63" s="1"/>
  <c r="CR36" i="63" s="1"/>
  <c r="CR37" i="63" s="1"/>
  <c r="CR38" i="63" s="1"/>
  <c r="CR39" i="63" s="1"/>
  <c r="CR40" i="63" s="1"/>
  <c r="CR41" i="63" s="1"/>
  <c r="CR42" i="63" s="1"/>
  <c r="CR43" i="63" s="1"/>
  <c r="CR44" i="63" s="1"/>
  <c r="CR45" i="63" s="1"/>
  <c r="CR46" i="63" s="1"/>
  <c r="CR47" i="63" s="1"/>
  <c r="CR48" i="63" s="1"/>
  <c r="CR49" i="63" s="1"/>
  <c r="CR50" i="63" s="1"/>
  <c r="CR51" i="63" s="1"/>
  <c r="CR52" i="63" s="1"/>
  <c r="CR53" i="63" s="1"/>
  <c r="CR54" i="63" s="1"/>
  <c r="CR55" i="63" s="1"/>
  <c r="CR56" i="63" s="1"/>
  <c r="CR57" i="63" s="1"/>
  <c r="CR58" i="63" s="1"/>
  <c r="CR59" i="63" s="1"/>
  <c r="CR60" i="63" s="1"/>
  <c r="CR61" i="63" s="1"/>
  <c r="CR62" i="63" s="1"/>
  <c r="CR63" i="63" s="1"/>
  <c r="CR64" i="63" s="1"/>
  <c r="CR65" i="63" s="1"/>
  <c r="CR66" i="63" s="1"/>
  <c r="CR67" i="63" s="1"/>
  <c r="CR68" i="63" s="1"/>
  <c r="CR69" i="63" s="1"/>
  <c r="CR70" i="63" s="1"/>
  <c r="CR71" i="63" s="1"/>
  <c r="CR72" i="63" s="1"/>
  <c r="CR73" i="63" s="1"/>
  <c r="CR74" i="63" s="1"/>
  <c r="CR75" i="63" s="1"/>
  <c r="CR76" i="63" s="1"/>
  <c r="CR77" i="63" s="1"/>
  <c r="CR78" i="63" s="1"/>
  <c r="CR79" i="63" s="1"/>
  <c r="CR80" i="63" s="1"/>
  <c r="CR81" i="63" s="1"/>
  <c r="CR82" i="63" s="1"/>
  <c r="CR83" i="63" s="1"/>
  <c r="CR84" i="63" s="1"/>
  <c r="CR85" i="63" s="1"/>
  <c r="CR86" i="63" s="1"/>
  <c r="CR87" i="63" s="1"/>
  <c r="CR88" i="63" s="1"/>
  <c r="CR89" i="63" s="1"/>
  <c r="CR90" i="63" s="1"/>
  <c r="CR91" i="63" s="1"/>
  <c r="CR92" i="63" s="1"/>
  <c r="CR93" i="63" s="1"/>
  <c r="CR94" i="63" s="1"/>
  <c r="CR95" i="63" s="1"/>
  <c r="CR96" i="63" s="1"/>
  <c r="CR97" i="63" s="1"/>
  <c r="CR98" i="63" s="1"/>
  <c r="CR99" i="63" s="1"/>
  <c r="CR100" i="63" s="1"/>
  <c r="CR101" i="63" s="1"/>
  <c r="CR102" i="63" s="1"/>
  <c r="CR103" i="63" s="1"/>
  <c r="CR104" i="63" s="1"/>
  <c r="CR105" i="63" s="1"/>
  <c r="CR106" i="63" s="1"/>
  <c r="CR107" i="63" s="1"/>
  <c r="CR108" i="63" s="1"/>
  <c r="CR109" i="63" s="1"/>
  <c r="CR110" i="63" s="1"/>
  <c r="CR111" i="63" s="1"/>
  <c r="CR112" i="63" s="1"/>
  <c r="CR113" i="63" s="1"/>
  <c r="CR114" i="63" s="1"/>
  <c r="CR115" i="63" s="1"/>
  <c r="CR116" i="63" s="1"/>
  <c r="CR117" i="63" s="1"/>
  <c r="CR118" i="63" s="1"/>
  <c r="CR119" i="63" s="1"/>
  <c r="CR120" i="63" s="1"/>
  <c r="CR121" i="63" s="1"/>
  <c r="CR122" i="63" s="1"/>
  <c r="CR123" i="63" s="1"/>
  <c r="CR124" i="63" s="1"/>
  <c r="CR125" i="63" s="1"/>
  <c r="CR126" i="63" s="1"/>
  <c r="CR127" i="63" s="1"/>
  <c r="CR128" i="63" s="1"/>
  <c r="CR129" i="63" s="1"/>
  <c r="CR130" i="63" s="1"/>
  <c r="CR131" i="63" s="1"/>
  <c r="CR132" i="63" s="1"/>
  <c r="CR133" i="63" s="1"/>
  <c r="CR134" i="63" s="1"/>
  <c r="CR135" i="63" s="1"/>
  <c r="CR136" i="63" s="1"/>
  <c r="CR137" i="63" s="1"/>
  <c r="CR138" i="63" s="1"/>
  <c r="CR139" i="63" s="1"/>
  <c r="CR140" i="63" s="1"/>
  <c r="CR141" i="63" s="1"/>
  <c r="CR142" i="63" s="1"/>
  <c r="CR143" i="63" s="1"/>
  <c r="CR144" i="63" s="1"/>
  <c r="CR145" i="63" s="1"/>
  <c r="CR146" i="63" s="1"/>
  <c r="CR147" i="63" s="1"/>
  <c r="CR148" i="63" s="1"/>
  <c r="CR149" i="63" s="1"/>
  <c r="CR150" i="63" s="1"/>
  <c r="CR151" i="63" s="1"/>
  <c r="CR152" i="63" s="1"/>
  <c r="CR153" i="63" s="1"/>
  <c r="CR154" i="63" s="1"/>
  <c r="CR155" i="63" s="1"/>
  <c r="CR156" i="63" s="1"/>
  <c r="CR157" i="63" s="1"/>
  <c r="CR158" i="63" s="1"/>
  <c r="CR159" i="63" s="1"/>
  <c r="CR160" i="63" s="1"/>
  <c r="CR161" i="63" s="1"/>
  <c r="CR162" i="63" s="1"/>
  <c r="CR163" i="63" s="1"/>
  <c r="CR164" i="63" s="1"/>
  <c r="CR165" i="63" s="1"/>
  <c r="CR166" i="63" s="1"/>
  <c r="CR167" i="63" s="1"/>
  <c r="CR168" i="63" s="1"/>
  <c r="CR169" i="63" s="1"/>
  <c r="CR170" i="63" s="1"/>
  <c r="CR171" i="63" s="1"/>
  <c r="CR172" i="63" s="1"/>
  <c r="CR173" i="63" s="1"/>
  <c r="CR174" i="63" s="1"/>
  <c r="CR175" i="63" s="1"/>
  <c r="CR176" i="63" s="1"/>
  <c r="CR177" i="63" s="1"/>
  <c r="CR178" i="63" s="1"/>
  <c r="CR179" i="63" s="1"/>
  <c r="CR180" i="63" s="1"/>
  <c r="CR181" i="63" s="1"/>
  <c r="CR182" i="63" s="1"/>
  <c r="CR183" i="63" s="1"/>
  <c r="CR184" i="63" s="1"/>
  <c r="CR185" i="63" s="1"/>
  <c r="CR186" i="63" s="1"/>
  <c r="CR187" i="63" s="1"/>
  <c r="CR188" i="63" s="1"/>
  <c r="CR189" i="63" s="1"/>
  <c r="CR190" i="63" s="1"/>
  <c r="CR191" i="63" s="1"/>
  <c r="CR192" i="63" s="1"/>
  <c r="CR193" i="63" s="1"/>
  <c r="CR194" i="63" s="1"/>
  <c r="CR195" i="63" s="1"/>
  <c r="CR196" i="63" s="1"/>
  <c r="CR197" i="63" s="1"/>
  <c r="CR198" i="63" s="1"/>
  <c r="CR199" i="63" s="1"/>
  <c r="CR200" i="63" s="1"/>
  <c r="CR201" i="63" s="1"/>
  <c r="CR202" i="63" s="1"/>
  <c r="CR203" i="63" s="1"/>
  <c r="CR204" i="63" s="1"/>
  <c r="CR205" i="63" s="1"/>
  <c r="CR206" i="63" s="1"/>
  <c r="CR207" i="63" s="1"/>
  <c r="CR208" i="63" s="1"/>
  <c r="CR209" i="63" s="1"/>
  <c r="CR210" i="63" s="1"/>
  <c r="CR211" i="63" s="1"/>
  <c r="CR212" i="63" s="1"/>
  <c r="CR213" i="63" s="1"/>
  <c r="CR214" i="63" s="1"/>
  <c r="CR215" i="63" s="1"/>
  <c r="CR216" i="63" s="1"/>
  <c r="CR217" i="63" s="1"/>
  <c r="CR218" i="63" s="1"/>
  <c r="CR219" i="63" s="1"/>
  <c r="CR220" i="63" s="1"/>
  <c r="CR221" i="63" s="1"/>
  <c r="CR222" i="63" s="1"/>
  <c r="CR223" i="63" s="1"/>
  <c r="CR224" i="63" s="1"/>
  <c r="CR225" i="63" s="1"/>
  <c r="CR226" i="63" s="1"/>
  <c r="CR227" i="63" s="1"/>
  <c r="CR228" i="63" s="1"/>
  <c r="CR229" i="63" s="1"/>
  <c r="CR230" i="63" s="1"/>
  <c r="CR231" i="63" s="1"/>
  <c r="CR232" i="63" s="1"/>
  <c r="CR233" i="63" s="1"/>
  <c r="CR234" i="63" s="1"/>
  <c r="CR235" i="63" s="1"/>
  <c r="CR236" i="63" s="1"/>
  <c r="CR237" i="63" s="1"/>
  <c r="CR238" i="63" s="1"/>
  <c r="CR239" i="63" s="1"/>
  <c r="CR240" i="63" s="1"/>
  <c r="CR241" i="63" s="1"/>
  <c r="CR242" i="63" s="1"/>
  <c r="CR243" i="63" s="1"/>
  <c r="CR244" i="63" s="1"/>
  <c r="CR245" i="63" s="1"/>
  <c r="CR246" i="63" s="1"/>
  <c r="CR247" i="63" s="1"/>
  <c r="CR248" i="63" s="1"/>
  <c r="CR249" i="63" s="1"/>
  <c r="CR250" i="63" s="1"/>
  <c r="CR251" i="63" s="1"/>
  <c r="CR252" i="63" s="1"/>
  <c r="CR253" i="63" s="1"/>
  <c r="CR254" i="63" s="1"/>
  <c r="CR255" i="63" s="1"/>
  <c r="CR256" i="63" s="1"/>
  <c r="CR257" i="63" s="1"/>
  <c r="CR258" i="63" s="1"/>
  <c r="CR259" i="63" s="1"/>
  <c r="CR260" i="63" s="1"/>
  <c r="CR261" i="63" s="1"/>
  <c r="CR262" i="63" s="1"/>
  <c r="CR263" i="63" s="1"/>
  <c r="CR264" i="63" s="1"/>
  <c r="CR265" i="63" s="1"/>
  <c r="CR266" i="63" s="1"/>
  <c r="CR267" i="63" s="1"/>
  <c r="CR268" i="63" s="1"/>
  <c r="CR269" i="63" s="1"/>
  <c r="CR270" i="63" s="1"/>
  <c r="CR271" i="63" s="1"/>
  <c r="CR272" i="63" s="1"/>
  <c r="CR273" i="63" s="1"/>
  <c r="CR274" i="63" s="1"/>
  <c r="CR275" i="63" s="1"/>
  <c r="CR276" i="63" s="1"/>
  <c r="CR277" i="63" s="1"/>
  <c r="CR278" i="63" s="1"/>
  <c r="CR279" i="63" s="1"/>
  <c r="CR280" i="63" s="1"/>
  <c r="CR281" i="63" s="1"/>
  <c r="CR282" i="63" s="1"/>
  <c r="CR283" i="63" s="1"/>
  <c r="CR284" i="63" s="1"/>
  <c r="CR285" i="63" s="1"/>
  <c r="CR286" i="63" s="1"/>
  <c r="CR287" i="63" s="1"/>
  <c r="CR288" i="63" s="1"/>
  <c r="CR289" i="63" s="1"/>
  <c r="CR290" i="63" s="1"/>
  <c r="CR291" i="63" s="1"/>
  <c r="CR292" i="63" s="1"/>
  <c r="CR293" i="63" s="1"/>
  <c r="CR294" i="63" s="1"/>
  <c r="CR295" i="63" s="1"/>
  <c r="CR296" i="63" s="1"/>
  <c r="CR297" i="63" s="1"/>
  <c r="CR298" i="63" s="1"/>
  <c r="CR299" i="63" s="1"/>
  <c r="CR300" i="63" s="1"/>
  <c r="CR301" i="63" s="1"/>
  <c r="CR302" i="63" s="1"/>
  <c r="CR303" i="63" s="1"/>
  <c r="CR304" i="63" s="1"/>
  <c r="CR305" i="63" s="1"/>
  <c r="CR306" i="63" s="1"/>
  <c r="CR307" i="63" s="1"/>
  <c r="CR308" i="63" s="1"/>
  <c r="CR7" i="63"/>
  <c r="CR6" i="63"/>
  <c r="CR5" i="63"/>
  <c r="CR4" i="63"/>
  <c r="CQ8" i="63"/>
  <c r="CQ9" i="63" s="1"/>
  <c r="CQ10" i="63" s="1"/>
  <c r="CQ11" i="63" s="1"/>
  <c r="CQ12" i="63" s="1"/>
  <c r="CQ13" i="63" s="1"/>
  <c r="CQ14" i="63" s="1"/>
  <c r="CQ15" i="63" s="1"/>
  <c r="CQ16" i="63" s="1"/>
  <c r="CQ17" i="63" s="1"/>
  <c r="CQ18" i="63" s="1"/>
  <c r="CQ19" i="63" s="1"/>
  <c r="CQ20" i="63" s="1"/>
  <c r="CQ21" i="63" s="1"/>
  <c r="CQ22" i="63" s="1"/>
  <c r="CQ23" i="63" s="1"/>
  <c r="CQ24" i="63" s="1"/>
  <c r="CQ25" i="63" s="1"/>
  <c r="CQ26" i="63" s="1"/>
  <c r="CQ27" i="63" s="1"/>
  <c r="CQ28" i="63" s="1"/>
  <c r="CQ29" i="63" s="1"/>
  <c r="CQ30" i="63" s="1"/>
  <c r="CQ31" i="63" s="1"/>
  <c r="CQ32" i="63" s="1"/>
  <c r="CQ33" i="63" s="1"/>
  <c r="CQ34" i="63" s="1"/>
  <c r="CQ35" i="63" s="1"/>
  <c r="CQ36" i="63" s="1"/>
  <c r="CQ37" i="63" s="1"/>
  <c r="CQ38" i="63" s="1"/>
  <c r="CQ39" i="63" s="1"/>
  <c r="CQ40" i="63" s="1"/>
  <c r="CQ41" i="63" s="1"/>
  <c r="CQ42" i="63" s="1"/>
  <c r="CQ43" i="63" s="1"/>
  <c r="CQ44" i="63" s="1"/>
  <c r="CQ45" i="63" s="1"/>
  <c r="CQ46" i="63" s="1"/>
  <c r="CQ47" i="63" s="1"/>
  <c r="CQ48" i="63" s="1"/>
  <c r="CQ49" i="63" s="1"/>
  <c r="CQ50" i="63" s="1"/>
  <c r="CQ51" i="63" s="1"/>
  <c r="CQ52" i="63" s="1"/>
  <c r="CQ53" i="63" s="1"/>
  <c r="CQ54" i="63" s="1"/>
  <c r="CQ55" i="63" s="1"/>
  <c r="CQ56" i="63" s="1"/>
  <c r="CQ57" i="63" s="1"/>
  <c r="CQ58" i="63" s="1"/>
  <c r="CQ59" i="63" s="1"/>
  <c r="CQ60" i="63" s="1"/>
  <c r="CQ61" i="63" s="1"/>
  <c r="CQ62" i="63" s="1"/>
  <c r="CQ63" i="63" s="1"/>
  <c r="CQ64" i="63" s="1"/>
  <c r="CQ65" i="63" s="1"/>
  <c r="CQ66" i="63" s="1"/>
  <c r="CQ67" i="63" s="1"/>
  <c r="CQ68" i="63" s="1"/>
  <c r="CQ69" i="63" s="1"/>
  <c r="CQ70" i="63" s="1"/>
  <c r="CQ71" i="63" s="1"/>
  <c r="CQ72" i="63" s="1"/>
  <c r="CQ73" i="63" s="1"/>
  <c r="CQ74" i="63" s="1"/>
  <c r="CQ75" i="63" s="1"/>
  <c r="CQ76" i="63" s="1"/>
  <c r="CQ77" i="63" s="1"/>
  <c r="CQ78" i="63" s="1"/>
  <c r="CQ79" i="63" s="1"/>
  <c r="CQ80" i="63" s="1"/>
  <c r="CQ81" i="63" s="1"/>
  <c r="CQ82" i="63" s="1"/>
  <c r="CQ83" i="63" s="1"/>
  <c r="CQ84" i="63" s="1"/>
  <c r="CQ85" i="63" s="1"/>
  <c r="CQ86" i="63" s="1"/>
  <c r="CQ87" i="63" s="1"/>
  <c r="CQ88" i="63" s="1"/>
  <c r="CQ89" i="63" s="1"/>
  <c r="CQ90" i="63" s="1"/>
  <c r="CQ91" i="63" s="1"/>
  <c r="CQ92" i="63" s="1"/>
  <c r="CQ93" i="63" s="1"/>
  <c r="CQ94" i="63" s="1"/>
  <c r="CQ95" i="63" s="1"/>
  <c r="CQ96" i="63" s="1"/>
  <c r="CQ97" i="63" s="1"/>
  <c r="CQ98" i="63" s="1"/>
  <c r="CQ99" i="63" s="1"/>
  <c r="CQ100" i="63" s="1"/>
  <c r="CQ101" i="63" s="1"/>
  <c r="CQ102" i="63" s="1"/>
  <c r="CQ103" i="63" s="1"/>
  <c r="CQ104" i="63" s="1"/>
  <c r="CQ105" i="63" s="1"/>
  <c r="CQ106" i="63" s="1"/>
  <c r="CQ107" i="63" s="1"/>
  <c r="CQ108" i="63" s="1"/>
  <c r="CQ109" i="63" s="1"/>
  <c r="CQ110" i="63" s="1"/>
  <c r="CQ111" i="63" s="1"/>
  <c r="CQ112" i="63" s="1"/>
  <c r="CQ113" i="63" s="1"/>
  <c r="CQ114" i="63" s="1"/>
  <c r="CQ115" i="63" s="1"/>
  <c r="CQ116" i="63" s="1"/>
  <c r="CQ117" i="63" s="1"/>
  <c r="CQ118" i="63" s="1"/>
  <c r="CQ119" i="63" s="1"/>
  <c r="CQ120" i="63" s="1"/>
  <c r="CQ121" i="63" s="1"/>
  <c r="CQ122" i="63" s="1"/>
  <c r="CQ123" i="63" s="1"/>
  <c r="CQ124" i="63" s="1"/>
  <c r="CQ125" i="63" s="1"/>
  <c r="CQ126" i="63" s="1"/>
  <c r="CQ127" i="63" s="1"/>
  <c r="CQ128" i="63" s="1"/>
  <c r="CQ129" i="63" s="1"/>
  <c r="CQ130" i="63" s="1"/>
  <c r="CQ131" i="63" s="1"/>
  <c r="CQ132" i="63" s="1"/>
  <c r="CQ133" i="63" s="1"/>
  <c r="CQ134" i="63" s="1"/>
  <c r="CQ135" i="63" s="1"/>
  <c r="CQ136" i="63" s="1"/>
  <c r="CQ137" i="63" s="1"/>
  <c r="CQ138" i="63" s="1"/>
  <c r="CQ139" i="63" s="1"/>
  <c r="CQ140" i="63" s="1"/>
  <c r="CQ141" i="63" s="1"/>
  <c r="CQ142" i="63" s="1"/>
  <c r="CQ143" i="63" s="1"/>
  <c r="CQ144" i="63" s="1"/>
  <c r="CQ145" i="63" s="1"/>
  <c r="CQ146" i="63" s="1"/>
  <c r="CQ147" i="63" s="1"/>
  <c r="CQ148" i="63" s="1"/>
  <c r="CQ149" i="63" s="1"/>
  <c r="CQ150" i="63" s="1"/>
  <c r="CQ151" i="63" s="1"/>
  <c r="CQ152" i="63" s="1"/>
  <c r="CQ153" i="63" s="1"/>
  <c r="CQ154" i="63" s="1"/>
  <c r="CQ155" i="63" s="1"/>
  <c r="CQ156" i="63" s="1"/>
  <c r="CQ157" i="63" s="1"/>
  <c r="CQ158" i="63" s="1"/>
  <c r="CQ159" i="63" s="1"/>
  <c r="CQ160" i="63" s="1"/>
  <c r="CQ161" i="63" s="1"/>
  <c r="CQ162" i="63" s="1"/>
  <c r="CQ163" i="63" s="1"/>
  <c r="CQ164" i="63" s="1"/>
  <c r="CQ165" i="63" s="1"/>
  <c r="CQ166" i="63" s="1"/>
  <c r="CQ167" i="63" s="1"/>
  <c r="CQ168" i="63" s="1"/>
  <c r="CQ169" i="63" s="1"/>
  <c r="CQ170" i="63" s="1"/>
  <c r="CQ171" i="63" s="1"/>
  <c r="CQ172" i="63" s="1"/>
  <c r="CQ173" i="63" s="1"/>
  <c r="CQ174" i="63" s="1"/>
  <c r="CQ175" i="63" s="1"/>
  <c r="CQ176" i="63" s="1"/>
  <c r="CQ177" i="63" s="1"/>
  <c r="CQ178" i="63" s="1"/>
  <c r="CQ179" i="63" s="1"/>
  <c r="CQ180" i="63" s="1"/>
  <c r="CQ181" i="63" s="1"/>
  <c r="CQ182" i="63" s="1"/>
  <c r="CQ183" i="63" s="1"/>
  <c r="CQ184" i="63" s="1"/>
  <c r="CQ185" i="63" s="1"/>
  <c r="CQ186" i="63" s="1"/>
  <c r="CQ187" i="63" s="1"/>
  <c r="CQ188" i="63" s="1"/>
  <c r="CQ189" i="63" s="1"/>
  <c r="CQ190" i="63" s="1"/>
  <c r="CQ191" i="63" s="1"/>
  <c r="CQ192" i="63" s="1"/>
  <c r="CQ193" i="63" s="1"/>
  <c r="CQ194" i="63" s="1"/>
  <c r="CQ195" i="63" s="1"/>
  <c r="CQ196" i="63" s="1"/>
  <c r="CQ197" i="63" s="1"/>
  <c r="CQ198" i="63" s="1"/>
  <c r="CQ199" i="63" s="1"/>
  <c r="CQ200" i="63" s="1"/>
  <c r="CQ201" i="63" s="1"/>
  <c r="CQ202" i="63" s="1"/>
  <c r="CQ203" i="63" s="1"/>
  <c r="CQ204" i="63" s="1"/>
  <c r="CQ205" i="63" s="1"/>
  <c r="CQ206" i="63" s="1"/>
  <c r="CQ207" i="63" s="1"/>
  <c r="CQ208" i="63" s="1"/>
  <c r="CQ209" i="63" s="1"/>
  <c r="CQ210" i="63" s="1"/>
  <c r="CQ211" i="63" s="1"/>
  <c r="CQ212" i="63" s="1"/>
  <c r="CQ213" i="63" s="1"/>
  <c r="CQ214" i="63" s="1"/>
  <c r="CQ215" i="63" s="1"/>
  <c r="CQ216" i="63" s="1"/>
  <c r="CQ217" i="63" s="1"/>
  <c r="CQ218" i="63" s="1"/>
  <c r="CQ219" i="63" s="1"/>
  <c r="CQ220" i="63" s="1"/>
  <c r="CQ221" i="63" s="1"/>
  <c r="CQ222" i="63" s="1"/>
  <c r="CQ223" i="63" s="1"/>
  <c r="CQ224" i="63" s="1"/>
  <c r="CQ225" i="63" s="1"/>
  <c r="CQ226" i="63" s="1"/>
  <c r="CQ227" i="63" s="1"/>
  <c r="CQ228" i="63" s="1"/>
  <c r="CQ229" i="63" s="1"/>
  <c r="CQ230" i="63" s="1"/>
  <c r="CQ231" i="63" s="1"/>
  <c r="CQ232" i="63" s="1"/>
  <c r="CQ233" i="63" s="1"/>
  <c r="CQ234" i="63" s="1"/>
  <c r="CQ235" i="63" s="1"/>
  <c r="CQ236" i="63" s="1"/>
  <c r="CQ237" i="63" s="1"/>
  <c r="CQ238" i="63" s="1"/>
  <c r="CQ239" i="63" s="1"/>
  <c r="CQ240" i="63" s="1"/>
  <c r="CQ241" i="63" s="1"/>
  <c r="CQ242" i="63" s="1"/>
  <c r="CQ243" i="63" s="1"/>
  <c r="CQ244" i="63" s="1"/>
  <c r="CQ245" i="63" s="1"/>
  <c r="CQ246" i="63" s="1"/>
  <c r="CQ247" i="63" s="1"/>
  <c r="CQ248" i="63" s="1"/>
  <c r="CQ249" i="63" s="1"/>
  <c r="CQ250" i="63" s="1"/>
  <c r="CQ251" i="63" s="1"/>
  <c r="CQ252" i="63" s="1"/>
  <c r="CQ253" i="63" s="1"/>
  <c r="CQ254" i="63" s="1"/>
  <c r="CQ255" i="63" s="1"/>
  <c r="CQ256" i="63" s="1"/>
  <c r="CQ257" i="63" s="1"/>
  <c r="CQ258" i="63" s="1"/>
  <c r="CQ259" i="63" s="1"/>
  <c r="CQ260" i="63" s="1"/>
  <c r="CQ261" i="63" s="1"/>
  <c r="CQ262" i="63" s="1"/>
  <c r="CQ263" i="63" s="1"/>
  <c r="CQ264" i="63" s="1"/>
  <c r="CQ265" i="63" s="1"/>
  <c r="CQ266" i="63" s="1"/>
  <c r="CQ267" i="63" s="1"/>
  <c r="CQ268" i="63" s="1"/>
  <c r="CQ269" i="63" s="1"/>
  <c r="CQ270" i="63" s="1"/>
  <c r="CQ271" i="63" s="1"/>
  <c r="CQ272" i="63" s="1"/>
  <c r="CQ273" i="63" s="1"/>
  <c r="CQ274" i="63" s="1"/>
  <c r="CQ275" i="63" s="1"/>
  <c r="CQ276" i="63" s="1"/>
  <c r="CQ277" i="63" s="1"/>
  <c r="CQ278" i="63" s="1"/>
  <c r="CQ279" i="63" s="1"/>
  <c r="CQ280" i="63" s="1"/>
  <c r="CQ281" i="63" s="1"/>
  <c r="CQ282" i="63" s="1"/>
  <c r="CQ283" i="63" s="1"/>
  <c r="CQ284" i="63" s="1"/>
  <c r="CQ285" i="63" s="1"/>
  <c r="CQ286" i="63" s="1"/>
  <c r="CQ287" i="63" s="1"/>
  <c r="CQ288" i="63" s="1"/>
  <c r="CQ289" i="63" s="1"/>
  <c r="CQ290" i="63" s="1"/>
  <c r="CQ291" i="63" s="1"/>
  <c r="CQ292" i="63" s="1"/>
  <c r="CQ293" i="63" s="1"/>
  <c r="CQ294" i="63" s="1"/>
  <c r="CQ295" i="63" s="1"/>
  <c r="CQ296" i="63" s="1"/>
  <c r="CQ297" i="63" s="1"/>
  <c r="CQ298" i="63" s="1"/>
  <c r="CQ299" i="63" s="1"/>
  <c r="CQ300" i="63" s="1"/>
  <c r="CQ301" i="63" s="1"/>
  <c r="CQ302" i="63" s="1"/>
  <c r="CQ303" i="63" s="1"/>
  <c r="CQ304" i="63" s="1"/>
  <c r="CQ305" i="63" s="1"/>
  <c r="CQ306" i="63" s="1"/>
  <c r="CQ307" i="63" s="1"/>
  <c r="CQ308" i="63" s="1"/>
  <c r="CQ7" i="63"/>
  <c r="CQ6" i="63"/>
  <c r="CQ5" i="63"/>
  <c r="CQ4" i="63"/>
  <c r="CP8" i="63"/>
  <c r="CP7" i="63"/>
  <c r="CP6" i="63"/>
  <c r="CP5" i="63"/>
  <c r="CP4" i="63"/>
  <c r="CO8" i="63"/>
  <c r="CO7" i="63"/>
  <c r="CO6" i="63"/>
  <c r="CO5" i="63"/>
  <c r="CO4" i="63"/>
  <c r="CN8" i="63"/>
  <c r="CN9" i="63" s="1"/>
  <c r="CN10" i="63" s="1"/>
  <c r="CN11" i="63" s="1"/>
  <c r="CN12" i="63" s="1"/>
  <c r="CN13" i="63" s="1"/>
  <c r="CN14" i="63" s="1"/>
  <c r="CN15" i="63" s="1"/>
  <c r="CN16" i="63" s="1"/>
  <c r="CN17" i="63" s="1"/>
  <c r="CN18" i="63" s="1"/>
  <c r="CN19" i="63" s="1"/>
  <c r="CN20" i="63" s="1"/>
  <c r="CN21" i="63" s="1"/>
  <c r="CN22" i="63" s="1"/>
  <c r="CN23" i="63" s="1"/>
  <c r="CN24" i="63" s="1"/>
  <c r="CN25" i="63" s="1"/>
  <c r="CN26" i="63" s="1"/>
  <c r="CN27" i="63" s="1"/>
  <c r="CN28" i="63" s="1"/>
  <c r="CN29" i="63" s="1"/>
  <c r="CN30" i="63" s="1"/>
  <c r="CN31" i="63" s="1"/>
  <c r="CN32" i="63" s="1"/>
  <c r="CN33" i="63" s="1"/>
  <c r="CN34" i="63" s="1"/>
  <c r="CN35" i="63" s="1"/>
  <c r="CN36" i="63" s="1"/>
  <c r="CN37" i="63" s="1"/>
  <c r="CN38" i="63" s="1"/>
  <c r="CN39" i="63" s="1"/>
  <c r="CN40" i="63" s="1"/>
  <c r="CN41" i="63" s="1"/>
  <c r="CN42" i="63" s="1"/>
  <c r="CN43" i="63" s="1"/>
  <c r="CN44" i="63" s="1"/>
  <c r="CN45" i="63" s="1"/>
  <c r="CN46" i="63" s="1"/>
  <c r="CN47" i="63" s="1"/>
  <c r="CN48" i="63" s="1"/>
  <c r="CN49" i="63" s="1"/>
  <c r="CN50" i="63" s="1"/>
  <c r="CN51" i="63" s="1"/>
  <c r="CN52" i="63" s="1"/>
  <c r="CN53" i="63" s="1"/>
  <c r="CN54" i="63" s="1"/>
  <c r="CN55" i="63" s="1"/>
  <c r="CN56" i="63" s="1"/>
  <c r="CN57" i="63" s="1"/>
  <c r="CN58" i="63" s="1"/>
  <c r="CN59" i="63" s="1"/>
  <c r="CN60" i="63" s="1"/>
  <c r="CN61" i="63" s="1"/>
  <c r="CN62" i="63" s="1"/>
  <c r="CN63" i="63" s="1"/>
  <c r="CN64" i="63" s="1"/>
  <c r="CN65" i="63" s="1"/>
  <c r="CN66" i="63" s="1"/>
  <c r="CN67" i="63" s="1"/>
  <c r="CN68" i="63" s="1"/>
  <c r="CN69" i="63" s="1"/>
  <c r="CN70" i="63" s="1"/>
  <c r="CN71" i="63" s="1"/>
  <c r="CN72" i="63" s="1"/>
  <c r="CN73" i="63" s="1"/>
  <c r="CN74" i="63" s="1"/>
  <c r="CN75" i="63" s="1"/>
  <c r="CN76" i="63" s="1"/>
  <c r="CN77" i="63" s="1"/>
  <c r="CN78" i="63" s="1"/>
  <c r="CN79" i="63" s="1"/>
  <c r="CN80" i="63" s="1"/>
  <c r="CN81" i="63" s="1"/>
  <c r="CN82" i="63" s="1"/>
  <c r="CN83" i="63" s="1"/>
  <c r="CN84" i="63" s="1"/>
  <c r="CN85" i="63" s="1"/>
  <c r="CN86" i="63" s="1"/>
  <c r="CN87" i="63" s="1"/>
  <c r="CN88" i="63" s="1"/>
  <c r="CN89" i="63" s="1"/>
  <c r="CN90" i="63" s="1"/>
  <c r="CN91" i="63" s="1"/>
  <c r="CN92" i="63" s="1"/>
  <c r="CN93" i="63" s="1"/>
  <c r="CN94" i="63" s="1"/>
  <c r="CN95" i="63" s="1"/>
  <c r="CN96" i="63" s="1"/>
  <c r="CN97" i="63" s="1"/>
  <c r="CN98" i="63" s="1"/>
  <c r="CN99" i="63" s="1"/>
  <c r="CN100" i="63" s="1"/>
  <c r="CN101" i="63" s="1"/>
  <c r="CN102" i="63" s="1"/>
  <c r="CN103" i="63" s="1"/>
  <c r="CN104" i="63" s="1"/>
  <c r="CN105" i="63" s="1"/>
  <c r="CN106" i="63" s="1"/>
  <c r="CN107" i="63" s="1"/>
  <c r="CN108" i="63" s="1"/>
  <c r="CN109" i="63" s="1"/>
  <c r="CN110" i="63" s="1"/>
  <c r="CN111" i="63" s="1"/>
  <c r="CN112" i="63" s="1"/>
  <c r="CN113" i="63" s="1"/>
  <c r="CN114" i="63" s="1"/>
  <c r="CN115" i="63" s="1"/>
  <c r="CN116" i="63" s="1"/>
  <c r="CN117" i="63" s="1"/>
  <c r="CN118" i="63" s="1"/>
  <c r="CN119" i="63" s="1"/>
  <c r="CN120" i="63" s="1"/>
  <c r="CN121" i="63" s="1"/>
  <c r="CN122" i="63" s="1"/>
  <c r="CN123" i="63" s="1"/>
  <c r="CN124" i="63" s="1"/>
  <c r="CN125" i="63" s="1"/>
  <c r="CN126" i="63" s="1"/>
  <c r="CN127" i="63" s="1"/>
  <c r="CN128" i="63" s="1"/>
  <c r="CN129" i="63" s="1"/>
  <c r="CN130" i="63" s="1"/>
  <c r="CN131" i="63" s="1"/>
  <c r="CN132" i="63" s="1"/>
  <c r="CN133" i="63" s="1"/>
  <c r="CN134" i="63" s="1"/>
  <c r="CN135" i="63" s="1"/>
  <c r="CN136" i="63" s="1"/>
  <c r="CN137" i="63" s="1"/>
  <c r="CN138" i="63" s="1"/>
  <c r="CN139" i="63" s="1"/>
  <c r="CN140" i="63" s="1"/>
  <c r="CN141" i="63" s="1"/>
  <c r="CN142" i="63" s="1"/>
  <c r="CN143" i="63" s="1"/>
  <c r="CN144" i="63" s="1"/>
  <c r="CN145" i="63" s="1"/>
  <c r="CN146" i="63" s="1"/>
  <c r="CN147" i="63" s="1"/>
  <c r="CN148" i="63" s="1"/>
  <c r="CN149" i="63" s="1"/>
  <c r="CN150" i="63" s="1"/>
  <c r="CN151" i="63" s="1"/>
  <c r="CN152" i="63" s="1"/>
  <c r="CN153" i="63" s="1"/>
  <c r="CN154" i="63" s="1"/>
  <c r="CN155" i="63" s="1"/>
  <c r="CN156" i="63" s="1"/>
  <c r="CN157" i="63" s="1"/>
  <c r="CN158" i="63" s="1"/>
  <c r="CN159" i="63" s="1"/>
  <c r="CN160" i="63" s="1"/>
  <c r="CN161" i="63" s="1"/>
  <c r="CN162" i="63" s="1"/>
  <c r="CN163" i="63" s="1"/>
  <c r="CN164" i="63" s="1"/>
  <c r="CN165" i="63" s="1"/>
  <c r="CN166" i="63" s="1"/>
  <c r="CN167" i="63" s="1"/>
  <c r="CN168" i="63" s="1"/>
  <c r="CN169" i="63" s="1"/>
  <c r="CN170" i="63" s="1"/>
  <c r="CN171" i="63" s="1"/>
  <c r="CN172" i="63" s="1"/>
  <c r="CN173" i="63" s="1"/>
  <c r="CN174" i="63" s="1"/>
  <c r="CN175" i="63" s="1"/>
  <c r="CN176" i="63" s="1"/>
  <c r="CN177" i="63" s="1"/>
  <c r="CN178" i="63" s="1"/>
  <c r="CN179" i="63" s="1"/>
  <c r="CN180" i="63" s="1"/>
  <c r="CN181" i="63" s="1"/>
  <c r="CN182" i="63" s="1"/>
  <c r="CN183" i="63" s="1"/>
  <c r="CN184" i="63" s="1"/>
  <c r="CN185" i="63" s="1"/>
  <c r="CN186" i="63" s="1"/>
  <c r="CN187" i="63" s="1"/>
  <c r="CN188" i="63" s="1"/>
  <c r="CN189" i="63" s="1"/>
  <c r="CN190" i="63" s="1"/>
  <c r="CN191" i="63" s="1"/>
  <c r="CN192" i="63" s="1"/>
  <c r="CN193" i="63" s="1"/>
  <c r="CN194" i="63" s="1"/>
  <c r="CN195" i="63" s="1"/>
  <c r="CN196" i="63" s="1"/>
  <c r="CN197" i="63" s="1"/>
  <c r="CN198" i="63" s="1"/>
  <c r="CN199" i="63" s="1"/>
  <c r="CN200" i="63" s="1"/>
  <c r="CN201" i="63" s="1"/>
  <c r="CN202" i="63" s="1"/>
  <c r="CN203" i="63" s="1"/>
  <c r="CN204" i="63" s="1"/>
  <c r="CN205" i="63" s="1"/>
  <c r="CN206" i="63" s="1"/>
  <c r="CN207" i="63" s="1"/>
  <c r="CN208" i="63" s="1"/>
  <c r="CN209" i="63" s="1"/>
  <c r="CN210" i="63" s="1"/>
  <c r="CN211" i="63" s="1"/>
  <c r="CN212" i="63" s="1"/>
  <c r="CN213" i="63" s="1"/>
  <c r="CN214" i="63" s="1"/>
  <c r="CN215" i="63" s="1"/>
  <c r="CN216" i="63" s="1"/>
  <c r="CN217" i="63" s="1"/>
  <c r="CN218" i="63" s="1"/>
  <c r="CN219" i="63" s="1"/>
  <c r="CN220" i="63" s="1"/>
  <c r="CN221" i="63" s="1"/>
  <c r="CN222" i="63" s="1"/>
  <c r="CN223" i="63" s="1"/>
  <c r="CN224" i="63" s="1"/>
  <c r="CN225" i="63" s="1"/>
  <c r="CN226" i="63" s="1"/>
  <c r="CN227" i="63" s="1"/>
  <c r="CN228" i="63" s="1"/>
  <c r="CN229" i="63" s="1"/>
  <c r="CN230" i="63" s="1"/>
  <c r="CN231" i="63" s="1"/>
  <c r="CN232" i="63" s="1"/>
  <c r="CN233" i="63" s="1"/>
  <c r="CN234" i="63" s="1"/>
  <c r="CN235" i="63" s="1"/>
  <c r="CN236" i="63" s="1"/>
  <c r="CN237" i="63" s="1"/>
  <c r="CN238" i="63" s="1"/>
  <c r="CN239" i="63" s="1"/>
  <c r="CN240" i="63" s="1"/>
  <c r="CN241" i="63" s="1"/>
  <c r="CN242" i="63" s="1"/>
  <c r="CN243" i="63" s="1"/>
  <c r="CN244" i="63" s="1"/>
  <c r="CN245" i="63" s="1"/>
  <c r="CN246" i="63" s="1"/>
  <c r="CN247" i="63" s="1"/>
  <c r="CN248" i="63" s="1"/>
  <c r="CN249" i="63" s="1"/>
  <c r="CN250" i="63" s="1"/>
  <c r="CN251" i="63" s="1"/>
  <c r="CN252" i="63" s="1"/>
  <c r="CN253" i="63" s="1"/>
  <c r="CN254" i="63" s="1"/>
  <c r="CN255" i="63" s="1"/>
  <c r="CN256" i="63" s="1"/>
  <c r="CN257" i="63" s="1"/>
  <c r="CN258" i="63" s="1"/>
  <c r="CN259" i="63" s="1"/>
  <c r="CN260" i="63" s="1"/>
  <c r="CN261" i="63" s="1"/>
  <c r="CN262" i="63" s="1"/>
  <c r="CN263" i="63" s="1"/>
  <c r="CN264" i="63" s="1"/>
  <c r="CN265" i="63" s="1"/>
  <c r="CN266" i="63" s="1"/>
  <c r="CN267" i="63" s="1"/>
  <c r="CN268" i="63" s="1"/>
  <c r="CN269" i="63" s="1"/>
  <c r="CN270" i="63" s="1"/>
  <c r="CN271" i="63" s="1"/>
  <c r="CN272" i="63" s="1"/>
  <c r="CN273" i="63" s="1"/>
  <c r="CN274" i="63" s="1"/>
  <c r="CN275" i="63" s="1"/>
  <c r="CN276" i="63" s="1"/>
  <c r="CN277" i="63" s="1"/>
  <c r="CN278" i="63" s="1"/>
  <c r="CN279" i="63" s="1"/>
  <c r="CN280" i="63" s="1"/>
  <c r="CN281" i="63" s="1"/>
  <c r="CN282" i="63" s="1"/>
  <c r="CN283" i="63" s="1"/>
  <c r="CN284" i="63" s="1"/>
  <c r="CN285" i="63" s="1"/>
  <c r="CN286" i="63" s="1"/>
  <c r="CN287" i="63" s="1"/>
  <c r="CN288" i="63" s="1"/>
  <c r="CN289" i="63" s="1"/>
  <c r="CN290" i="63" s="1"/>
  <c r="CN291" i="63" s="1"/>
  <c r="CN292" i="63" s="1"/>
  <c r="CN293" i="63" s="1"/>
  <c r="CN294" i="63" s="1"/>
  <c r="CN295" i="63" s="1"/>
  <c r="CN296" i="63" s="1"/>
  <c r="CN297" i="63" s="1"/>
  <c r="CN298" i="63" s="1"/>
  <c r="CN299" i="63" s="1"/>
  <c r="CN300" i="63" s="1"/>
  <c r="CN301" i="63" s="1"/>
  <c r="CN302" i="63" s="1"/>
  <c r="CN303" i="63" s="1"/>
  <c r="CN304" i="63" s="1"/>
  <c r="CN305" i="63" s="1"/>
  <c r="CN306" i="63" s="1"/>
  <c r="CN307" i="63" s="1"/>
  <c r="CN308" i="63" s="1"/>
  <c r="CN7" i="63"/>
  <c r="CN6" i="63"/>
  <c r="CN5" i="63"/>
  <c r="CN4" i="63"/>
  <c r="CM8" i="63"/>
  <c r="CM9" i="63" s="1"/>
  <c r="CM10" i="63" s="1"/>
  <c r="CM11" i="63" s="1"/>
  <c r="CM12" i="63" s="1"/>
  <c r="CM13" i="63" s="1"/>
  <c r="CM14" i="63" s="1"/>
  <c r="CM15" i="63" s="1"/>
  <c r="CM16" i="63" s="1"/>
  <c r="CM17" i="63" s="1"/>
  <c r="CM18" i="63" s="1"/>
  <c r="CM19" i="63" s="1"/>
  <c r="CM20" i="63" s="1"/>
  <c r="CM21" i="63" s="1"/>
  <c r="CM22" i="63" s="1"/>
  <c r="CM23" i="63" s="1"/>
  <c r="CM24" i="63" s="1"/>
  <c r="CM25" i="63" s="1"/>
  <c r="CM26" i="63" s="1"/>
  <c r="CM27" i="63" s="1"/>
  <c r="CM28" i="63" s="1"/>
  <c r="CM29" i="63" s="1"/>
  <c r="CM30" i="63" s="1"/>
  <c r="CM31" i="63" s="1"/>
  <c r="CM32" i="63" s="1"/>
  <c r="CM33" i="63" s="1"/>
  <c r="CM34" i="63" s="1"/>
  <c r="CM35" i="63" s="1"/>
  <c r="CM36" i="63" s="1"/>
  <c r="CM37" i="63" s="1"/>
  <c r="CM38" i="63" s="1"/>
  <c r="CM39" i="63" s="1"/>
  <c r="CM40" i="63" s="1"/>
  <c r="CM41" i="63" s="1"/>
  <c r="CM42" i="63" s="1"/>
  <c r="CM43" i="63" s="1"/>
  <c r="CM44" i="63" s="1"/>
  <c r="CM45" i="63" s="1"/>
  <c r="CM46" i="63" s="1"/>
  <c r="CM47" i="63" s="1"/>
  <c r="CM48" i="63" s="1"/>
  <c r="CM49" i="63" s="1"/>
  <c r="CM50" i="63" s="1"/>
  <c r="CM51" i="63" s="1"/>
  <c r="CM52" i="63" s="1"/>
  <c r="CM53" i="63" s="1"/>
  <c r="CM54" i="63" s="1"/>
  <c r="CM55" i="63" s="1"/>
  <c r="CM56" i="63" s="1"/>
  <c r="CM57" i="63" s="1"/>
  <c r="CM58" i="63" s="1"/>
  <c r="CM59" i="63" s="1"/>
  <c r="CM60" i="63" s="1"/>
  <c r="CM61" i="63" s="1"/>
  <c r="CM62" i="63" s="1"/>
  <c r="CM63" i="63" s="1"/>
  <c r="CM64" i="63" s="1"/>
  <c r="CM65" i="63" s="1"/>
  <c r="CM66" i="63" s="1"/>
  <c r="CM67" i="63" s="1"/>
  <c r="CM68" i="63" s="1"/>
  <c r="CM69" i="63" s="1"/>
  <c r="CM70" i="63" s="1"/>
  <c r="CM71" i="63" s="1"/>
  <c r="CM72" i="63" s="1"/>
  <c r="CM73" i="63" s="1"/>
  <c r="CM74" i="63" s="1"/>
  <c r="CM75" i="63" s="1"/>
  <c r="CM76" i="63" s="1"/>
  <c r="CM77" i="63" s="1"/>
  <c r="CM78" i="63" s="1"/>
  <c r="CM79" i="63" s="1"/>
  <c r="CM80" i="63" s="1"/>
  <c r="CM81" i="63" s="1"/>
  <c r="CM82" i="63" s="1"/>
  <c r="CM83" i="63" s="1"/>
  <c r="CM84" i="63" s="1"/>
  <c r="CM85" i="63" s="1"/>
  <c r="CM86" i="63" s="1"/>
  <c r="CM87" i="63" s="1"/>
  <c r="CM88" i="63" s="1"/>
  <c r="CM89" i="63" s="1"/>
  <c r="CM90" i="63" s="1"/>
  <c r="CM91" i="63" s="1"/>
  <c r="CM92" i="63" s="1"/>
  <c r="CM93" i="63" s="1"/>
  <c r="CM94" i="63" s="1"/>
  <c r="CM95" i="63" s="1"/>
  <c r="CM96" i="63" s="1"/>
  <c r="CM97" i="63" s="1"/>
  <c r="CM98" i="63" s="1"/>
  <c r="CM99" i="63" s="1"/>
  <c r="CM100" i="63" s="1"/>
  <c r="CM101" i="63" s="1"/>
  <c r="CM102" i="63" s="1"/>
  <c r="CM103" i="63" s="1"/>
  <c r="CM104" i="63" s="1"/>
  <c r="CM105" i="63" s="1"/>
  <c r="CM106" i="63" s="1"/>
  <c r="CM107" i="63" s="1"/>
  <c r="CM108" i="63" s="1"/>
  <c r="CM109" i="63" s="1"/>
  <c r="CM110" i="63" s="1"/>
  <c r="CM111" i="63" s="1"/>
  <c r="CM112" i="63" s="1"/>
  <c r="CM113" i="63" s="1"/>
  <c r="CM114" i="63" s="1"/>
  <c r="CM115" i="63" s="1"/>
  <c r="CM116" i="63" s="1"/>
  <c r="CM117" i="63" s="1"/>
  <c r="CM118" i="63" s="1"/>
  <c r="CM119" i="63" s="1"/>
  <c r="CM120" i="63" s="1"/>
  <c r="CM121" i="63" s="1"/>
  <c r="CM122" i="63" s="1"/>
  <c r="CM123" i="63" s="1"/>
  <c r="CM124" i="63" s="1"/>
  <c r="CM125" i="63" s="1"/>
  <c r="CM126" i="63" s="1"/>
  <c r="CM127" i="63" s="1"/>
  <c r="CM128" i="63" s="1"/>
  <c r="CM129" i="63" s="1"/>
  <c r="CM130" i="63" s="1"/>
  <c r="CM131" i="63" s="1"/>
  <c r="CM132" i="63" s="1"/>
  <c r="CM133" i="63" s="1"/>
  <c r="CM134" i="63" s="1"/>
  <c r="CM135" i="63" s="1"/>
  <c r="CM136" i="63" s="1"/>
  <c r="CM137" i="63" s="1"/>
  <c r="CM138" i="63" s="1"/>
  <c r="CM139" i="63" s="1"/>
  <c r="CM140" i="63" s="1"/>
  <c r="CM141" i="63" s="1"/>
  <c r="CM142" i="63" s="1"/>
  <c r="CM143" i="63" s="1"/>
  <c r="CM144" i="63" s="1"/>
  <c r="CM145" i="63" s="1"/>
  <c r="CM146" i="63" s="1"/>
  <c r="CM147" i="63" s="1"/>
  <c r="CM148" i="63" s="1"/>
  <c r="CM149" i="63" s="1"/>
  <c r="CM150" i="63" s="1"/>
  <c r="CM151" i="63" s="1"/>
  <c r="CM152" i="63" s="1"/>
  <c r="CM153" i="63" s="1"/>
  <c r="CM154" i="63" s="1"/>
  <c r="CM155" i="63" s="1"/>
  <c r="CM156" i="63" s="1"/>
  <c r="CM157" i="63" s="1"/>
  <c r="CM158" i="63" s="1"/>
  <c r="CM159" i="63" s="1"/>
  <c r="CM160" i="63" s="1"/>
  <c r="CM161" i="63" s="1"/>
  <c r="CM162" i="63" s="1"/>
  <c r="CM163" i="63" s="1"/>
  <c r="CM164" i="63" s="1"/>
  <c r="CM165" i="63" s="1"/>
  <c r="CM166" i="63" s="1"/>
  <c r="CM167" i="63" s="1"/>
  <c r="CM168" i="63" s="1"/>
  <c r="CM169" i="63" s="1"/>
  <c r="CM170" i="63" s="1"/>
  <c r="CM171" i="63" s="1"/>
  <c r="CM172" i="63" s="1"/>
  <c r="CM173" i="63" s="1"/>
  <c r="CM174" i="63" s="1"/>
  <c r="CM175" i="63" s="1"/>
  <c r="CM176" i="63" s="1"/>
  <c r="CM177" i="63" s="1"/>
  <c r="CM178" i="63" s="1"/>
  <c r="CM179" i="63" s="1"/>
  <c r="CM180" i="63" s="1"/>
  <c r="CM181" i="63" s="1"/>
  <c r="CM182" i="63" s="1"/>
  <c r="CM183" i="63" s="1"/>
  <c r="CM184" i="63" s="1"/>
  <c r="CM185" i="63" s="1"/>
  <c r="CM186" i="63" s="1"/>
  <c r="CM187" i="63" s="1"/>
  <c r="CM188" i="63" s="1"/>
  <c r="CM189" i="63" s="1"/>
  <c r="CM190" i="63" s="1"/>
  <c r="CM191" i="63" s="1"/>
  <c r="CM192" i="63" s="1"/>
  <c r="CM193" i="63" s="1"/>
  <c r="CM194" i="63" s="1"/>
  <c r="CM195" i="63" s="1"/>
  <c r="CM196" i="63" s="1"/>
  <c r="CM197" i="63" s="1"/>
  <c r="CM198" i="63" s="1"/>
  <c r="CM199" i="63" s="1"/>
  <c r="CM200" i="63" s="1"/>
  <c r="CM201" i="63" s="1"/>
  <c r="CM202" i="63" s="1"/>
  <c r="CM203" i="63" s="1"/>
  <c r="CM204" i="63" s="1"/>
  <c r="CM205" i="63" s="1"/>
  <c r="CM206" i="63" s="1"/>
  <c r="CM207" i="63" s="1"/>
  <c r="CM208" i="63" s="1"/>
  <c r="CM209" i="63" s="1"/>
  <c r="CM210" i="63" s="1"/>
  <c r="CM211" i="63" s="1"/>
  <c r="CM212" i="63" s="1"/>
  <c r="CM213" i="63" s="1"/>
  <c r="CM214" i="63" s="1"/>
  <c r="CM215" i="63" s="1"/>
  <c r="CM216" i="63" s="1"/>
  <c r="CM217" i="63" s="1"/>
  <c r="CM218" i="63" s="1"/>
  <c r="CM219" i="63" s="1"/>
  <c r="CM220" i="63" s="1"/>
  <c r="CM221" i="63" s="1"/>
  <c r="CM222" i="63" s="1"/>
  <c r="CM223" i="63" s="1"/>
  <c r="CM224" i="63" s="1"/>
  <c r="CM225" i="63" s="1"/>
  <c r="CM226" i="63" s="1"/>
  <c r="CM227" i="63" s="1"/>
  <c r="CM228" i="63" s="1"/>
  <c r="CM229" i="63" s="1"/>
  <c r="CM230" i="63" s="1"/>
  <c r="CM231" i="63" s="1"/>
  <c r="CM232" i="63" s="1"/>
  <c r="CM233" i="63" s="1"/>
  <c r="CM234" i="63" s="1"/>
  <c r="CM235" i="63" s="1"/>
  <c r="CM236" i="63" s="1"/>
  <c r="CM237" i="63" s="1"/>
  <c r="CM238" i="63" s="1"/>
  <c r="CM239" i="63" s="1"/>
  <c r="CM240" i="63" s="1"/>
  <c r="CM241" i="63" s="1"/>
  <c r="CM242" i="63" s="1"/>
  <c r="CM243" i="63" s="1"/>
  <c r="CM244" i="63" s="1"/>
  <c r="CM245" i="63" s="1"/>
  <c r="CM246" i="63" s="1"/>
  <c r="CM247" i="63" s="1"/>
  <c r="CM248" i="63" s="1"/>
  <c r="CM249" i="63" s="1"/>
  <c r="CM250" i="63" s="1"/>
  <c r="CM251" i="63" s="1"/>
  <c r="CM252" i="63" s="1"/>
  <c r="CM253" i="63" s="1"/>
  <c r="CM254" i="63" s="1"/>
  <c r="CM255" i="63" s="1"/>
  <c r="CM256" i="63" s="1"/>
  <c r="CM257" i="63" s="1"/>
  <c r="CM258" i="63" s="1"/>
  <c r="CM259" i="63" s="1"/>
  <c r="CM260" i="63" s="1"/>
  <c r="CM261" i="63" s="1"/>
  <c r="CM262" i="63" s="1"/>
  <c r="CM263" i="63" s="1"/>
  <c r="CM264" i="63" s="1"/>
  <c r="CM265" i="63" s="1"/>
  <c r="CM266" i="63" s="1"/>
  <c r="CM267" i="63" s="1"/>
  <c r="CM268" i="63" s="1"/>
  <c r="CM269" i="63" s="1"/>
  <c r="CM270" i="63" s="1"/>
  <c r="CM271" i="63" s="1"/>
  <c r="CM272" i="63" s="1"/>
  <c r="CM273" i="63" s="1"/>
  <c r="CM274" i="63" s="1"/>
  <c r="CM275" i="63" s="1"/>
  <c r="CM276" i="63" s="1"/>
  <c r="CM277" i="63" s="1"/>
  <c r="CM278" i="63" s="1"/>
  <c r="CM279" i="63" s="1"/>
  <c r="CM280" i="63" s="1"/>
  <c r="CM281" i="63" s="1"/>
  <c r="CM282" i="63" s="1"/>
  <c r="CM283" i="63" s="1"/>
  <c r="CM284" i="63" s="1"/>
  <c r="CM285" i="63" s="1"/>
  <c r="CM286" i="63" s="1"/>
  <c r="CM287" i="63" s="1"/>
  <c r="CM288" i="63" s="1"/>
  <c r="CM289" i="63" s="1"/>
  <c r="CM290" i="63" s="1"/>
  <c r="CM291" i="63" s="1"/>
  <c r="CM292" i="63" s="1"/>
  <c r="CM293" i="63" s="1"/>
  <c r="CM294" i="63" s="1"/>
  <c r="CM295" i="63" s="1"/>
  <c r="CM296" i="63" s="1"/>
  <c r="CM297" i="63" s="1"/>
  <c r="CM298" i="63" s="1"/>
  <c r="CM299" i="63" s="1"/>
  <c r="CM300" i="63" s="1"/>
  <c r="CM301" i="63" s="1"/>
  <c r="CM302" i="63" s="1"/>
  <c r="CM303" i="63" s="1"/>
  <c r="CM304" i="63" s="1"/>
  <c r="CM305" i="63" s="1"/>
  <c r="CM306" i="63" s="1"/>
  <c r="CM307" i="63" s="1"/>
  <c r="CM308" i="63" s="1"/>
  <c r="CM7" i="63"/>
  <c r="CM6" i="63"/>
  <c r="CM5" i="63"/>
  <c r="CM4" i="63"/>
  <c r="CL8" i="63"/>
  <c r="CL7" i="63"/>
  <c r="CL6" i="63"/>
  <c r="CL5" i="63"/>
  <c r="CL4" i="63"/>
  <c r="CK8" i="63"/>
  <c r="CK9" i="63" s="1"/>
  <c r="CK10" i="63" s="1"/>
  <c r="CK11" i="63" s="1"/>
  <c r="CK12" i="63" s="1"/>
  <c r="CK13" i="63" s="1"/>
  <c r="CK14" i="63" s="1"/>
  <c r="CK15" i="63" s="1"/>
  <c r="CK16" i="63" s="1"/>
  <c r="CK17" i="63" s="1"/>
  <c r="CK18" i="63" s="1"/>
  <c r="CK19" i="63" s="1"/>
  <c r="CK20" i="63" s="1"/>
  <c r="CK21" i="63" s="1"/>
  <c r="CK22" i="63" s="1"/>
  <c r="CK23" i="63" s="1"/>
  <c r="CK24" i="63" s="1"/>
  <c r="CK25" i="63" s="1"/>
  <c r="CK26" i="63" s="1"/>
  <c r="CK27" i="63" s="1"/>
  <c r="CK28" i="63" s="1"/>
  <c r="CK29" i="63" s="1"/>
  <c r="CK30" i="63" s="1"/>
  <c r="CK31" i="63" s="1"/>
  <c r="CK32" i="63" s="1"/>
  <c r="CK33" i="63" s="1"/>
  <c r="CK34" i="63" s="1"/>
  <c r="CK35" i="63" s="1"/>
  <c r="CK36" i="63" s="1"/>
  <c r="CK37" i="63" s="1"/>
  <c r="CK38" i="63" s="1"/>
  <c r="CK39" i="63" s="1"/>
  <c r="CK40" i="63" s="1"/>
  <c r="CK41" i="63" s="1"/>
  <c r="CK42" i="63" s="1"/>
  <c r="CK43" i="63" s="1"/>
  <c r="CK44" i="63" s="1"/>
  <c r="CK45" i="63" s="1"/>
  <c r="CK46" i="63" s="1"/>
  <c r="CK47" i="63" s="1"/>
  <c r="CK48" i="63" s="1"/>
  <c r="CK49" i="63" s="1"/>
  <c r="CK50" i="63" s="1"/>
  <c r="CK51" i="63" s="1"/>
  <c r="CK52" i="63" s="1"/>
  <c r="CK53" i="63" s="1"/>
  <c r="CK54" i="63" s="1"/>
  <c r="CK55" i="63" s="1"/>
  <c r="CK56" i="63" s="1"/>
  <c r="CK57" i="63" s="1"/>
  <c r="CK58" i="63" s="1"/>
  <c r="CK59" i="63" s="1"/>
  <c r="CK60" i="63" s="1"/>
  <c r="CK61" i="63" s="1"/>
  <c r="CK62" i="63" s="1"/>
  <c r="CK63" i="63" s="1"/>
  <c r="CK64" i="63" s="1"/>
  <c r="CK65" i="63" s="1"/>
  <c r="CK66" i="63" s="1"/>
  <c r="CK67" i="63" s="1"/>
  <c r="CK68" i="63" s="1"/>
  <c r="CK69" i="63" s="1"/>
  <c r="CK70" i="63" s="1"/>
  <c r="CK71" i="63" s="1"/>
  <c r="CK72" i="63" s="1"/>
  <c r="CK73" i="63" s="1"/>
  <c r="CK74" i="63" s="1"/>
  <c r="CK75" i="63" s="1"/>
  <c r="CK76" i="63" s="1"/>
  <c r="CK77" i="63" s="1"/>
  <c r="CK78" i="63" s="1"/>
  <c r="CK79" i="63" s="1"/>
  <c r="CK80" i="63" s="1"/>
  <c r="CK81" i="63" s="1"/>
  <c r="CK82" i="63" s="1"/>
  <c r="CK83" i="63" s="1"/>
  <c r="CK84" i="63" s="1"/>
  <c r="CK85" i="63" s="1"/>
  <c r="CK86" i="63" s="1"/>
  <c r="CK87" i="63" s="1"/>
  <c r="CK88" i="63" s="1"/>
  <c r="CK89" i="63" s="1"/>
  <c r="CK90" i="63" s="1"/>
  <c r="CK91" i="63" s="1"/>
  <c r="CK92" i="63" s="1"/>
  <c r="CK93" i="63" s="1"/>
  <c r="CK94" i="63" s="1"/>
  <c r="CK95" i="63" s="1"/>
  <c r="CK96" i="63" s="1"/>
  <c r="CK97" i="63" s="1"/>
  <c r="CK98" i="63" s="1"/>
  <c r="CK99" i="63" s="1"/>
  <c r="CK100" i="63" s="1"/>
  <c r="CK101" i="63" s="1"/>
  <c r="CK102" i="63" s="1"/>
  <c r="CK103" i="63" s="1"/>
  <c r="CK104" i="63" s="1"/>
  <c r="CK105" i="63" s="1"/>
  <c r="CK106" i="63" s="1"/>
  <c r="CK107" i="63" s="1"/>
  <c r="CK108" i="63" s="1"/>
  <c r="CK109" i="63" s="1"/>
  <c r="CK110" i="63" s="1"/>
  <c r="CK111" i="63" s="1"/>
  <c r="CK112" i="63" s="1"/>
  <c r="CK113" i="63" s="1"/>
  <c r="CK114" i="63" s="1"/>
  <c r="CK115" i="63" s="1"/>
  <c r="CK116" i="63" s="1"/>
  <c r="CK117" i="63" s="1"/>
  <c r="CK118" i="63" s="1"/>
  <c r="CK119" i="63" s="1"/>
  <c r="CK120" i="63" s="1"/>
  <c r="CK121" i="63" s="1"/>
  <c r="CK122" i="63" s="1"/>
  <c r="CK123" i="63" s="1"/>
  <c r="CK124" i="63" s="1"/>
  <c r="CK125" i="63" s="1"/>
  <c r="CK126" i="63" s="1"/>
  <c r="CK127" i="63" s="1"/>
  <c r="CK128" i="63" s="1"/>
  <c r="CK129" i="63" s="1"/>
  <c r="CK130" i="63" s="1"/>
  <c r="CK131" i="63" s="1"/>
  <c r="CK132" i="63" s="1"/>
  <c r="CK133" i="63" s="1"/>
  <c r="CK134" i="63" s="1"/>
  <c r="CK135" i="63" s="1"/>
  <c r="CK136" i="63" s="1"/>
  <c r="CK137" i="63" s="1"/>
  <c r="CK138" i="63" s="1"/>
  <c r="CK139" i="63" s="1"/>
  <c r="CK140" i="63" s="1"/>
  <c r="CK141" i="63" s="1"/>
  <c r="CK142" i="63" s="1"/>
  <c r="CK143" i="63" s="1"/>
  <c r="CK144" i="63" s="1"/>
  <c r="CK145" i="63" s="1"/>
  <c r="CK146" i="63" s="1"/>
  <c r="CK147" i="63" s="1"/>
  <c r="CK148" i="63" s="1"/>
  <c r="CK149" i="63" s="1"/>
  <c r="CK150" i="63" s="1"/>
  <c r="CK151" i="63" s="1"/>
  <c r="CK152" i="63" s="1"/>
  <c r="CK153" i="63" s="1"/>
  <c r="CK154" i="63" s="1"/>
  <c r="CK155" i="63" s="1"/>
  <c r="CK156" i="63" s="1"/>
  <c r="CK157" i="63" s="1"/>
  <c r="CK158" i="63" s="1"/>
  <c r="CK159" i="63" s="1"/>
  <c r="CK160" i="63" s="1"/>
  <c r="CK161" i="63" s="1"/>
  <c r="CK162" i="63" s="1"/>
  <c r="CK163" i="63" s="1"/>
  <c r="CK164" i="63" s="1"/>
  <c r="CK165" i="63" s="1"/>
  <c r="CK166" i="63" s="1"/>
  <c r="CK167" i="63" s="1"/>
  <c r="CK168" i="63" s="1"/>
  <c r="CK169" i="63" s="1"/>
  <c r="CK170" i="63" s="1"/>
  <c r="CK171" i="63" s="1"/>
  <c r="CK172" i="63" s="1"/>
  <c r="CK173" i="63" s="1"/>
  <c r="CK174" i="63" s="1"/>
  <c r="CK175" i="63" s="1"/>
  <c r="CK176" i="63" s="1"/>
  <c r="CK177" i="63" s="1"/>
  <c r="CK178" i="63" s="1"/>
  <c r="CK179" i="63" s="1"/>
  <c r="CK180" i="63" s="1"/>
  <c r="CK181" i="63" s="1"/>
  <c r="CK182" i="63" s="1"/>
  <c r="CK183" i="63" s="1"/>
  <c r="CK184" i="63" s="1"/>
  <c r="CK185" i="63" s="1"/>
  <c r="CK186" i="63" s="1"/>
  <c r="CK187" i="63" s="1"/>
  <c r="CK188" i="63" s="1"/>
  <c r="CK189" i="63" s="1"/>
  <c r="CK190" i="63" s="1"/>
  <c r="CK191" i="63" s="1"/>
  <c r="CK192" i="63" s="1"/>
  <c r="CK193" i="63" s="1"/>
  <c r="CK194" i="63" s="1"/>
  <c r="CK195" i="63" s="1"/>
  <c r="CK196" i="63" s="1"/>
  <c r="CK197" i="63" s="1"/>
  <c r="CK198" i="63" s="1"/>
  <c r="CK199" i="63" s="1"/>
  <c r="CK200" i="63" s="1"/>
  <c r="CK201" i="63" s="1"/>
  <c r="CK202" i="63" s="1"/>
  <c r="CK203" i="63" s="1"/>
  <c r="CK204" i="63" s="1"/>
  <c r="CK205" i="63" s="1"/>
  <c r="CK206" i="63" s="1"/>
  <c r="CK207" i="63" s="1"/>
  <c r="CK208" i="63" s="1"/>
  <c r="CK209" i="63" s="1"/>
  <c r="CK210" i="63" s="1"/>
  <c r="CK211" i="63" s="1"/>
  <c r="CK212" i="63" s="1"/>
  <c r="CK213" i="63" s="1"/>
  <c r="CK214" i="63" s="1"/>
  <c r="CK215" i="63" s="1"/>
  <c r="CK216" i="63" s="1"/>
  <c r="CK217" i="63" s="1"/>
  <c r="CK218" i="63" s="1"/>
  <c r="CK219" i="63" s="1"/>
  <c r="CK220" i="63" s="1"/>
  <c r="CK221" i="63" s="1"/>
  <c r="CK222" i="63" s="1"/>
  <c r="CK223" i="63" s="1"/>
  <c r="CK224" i="63" s="1"/>
  <c r="CK225" i="63" s="1"/>
  <c r="CK226" i="63" s="1"/>
  <c r="CK227" i="63" s="1"/>
  <c r="CK228" i="63" s="1"/>
  <c r="CK229" i="63" s="1"/>
  <c r="CK230" i="63" s="1"/>
  <c r="CK231" i="63" s="1"/>
  <c r="CK232" i="63" s="1"/>
  <c r="CK233" i="63" s="1"/>
  <c r="CK234" i="63" s="1"/>
  <c r="CK235" i="63" s="1"/>
  <c r="CK236" i="63" s="1"/>
  <c r="CK237" i="63" s="1"/>
  <c r="CK238" i="63" s="1"/>
  <c r="CK239" i="63" s="1"/>
  <c r="CK240" i="63" s="1"/>
  <c r="CK241" i="63" s="1"/>
  <c r="CK242" i="63" s="1"/>
  <c r="CK243" i="63" s="1"/>
  <c r="CK244" i="63" s="1"/>
  <c r="CK245" i="63" s="1"/>
  <c r="CK246" i="63" s="1"/>
  <c r="CK247" i="63" s="1"/>
  <c r="CK248" i="63" s="1"/>
  <c r="CK249" i="63" s="1"/>
  <c r="CK250" i="63" s="1"/>
  <c r="CK251" i="63" s="1"/>
  <c r="CK252" i="63" s="1"/>
  <c r="CK253" i="63" s="1"/>
  <c r="CK254" i="63" s="1"/>
  <c r="CK255" i="63" s="1"/>
  <c r="CK256" i="63" s="1"/>
  <c r="CK257" i="63" s="1"/>
  <c r="CK258" i="63" s="1"/>
  <c r="CK259" i="63" s="1"/>
  <c r="CK260" i="63" s="1"/>
  <c r="CK261" i="63" s="1"/>
  <c r="CK262" i="63" s="1"/>
  <c r="CK263" i="63" s="1"/>
  <c r="CK264" i="63" s="1"/>
  <c r="CK265" i="63" s="1"/>
  <c r="CK266" i="63" s="1"/>
  <c r="CK267" i="63" s="1"/>
  <c r="CK268" i="63" s="1"/>
  <c r="CK269" i="63" s="1"/>
  <c r="CK270" i="63" s="1"/>
  <c r="CK271" i="63" s="1"/>
  <c r="CK272" i="63" s="1"/>
  <c r="CK273" i="63" s="1"/>
  <c r="CK274" i="63" s="1"/>
  <c r="CK275" i="63" s="1"/>
  <c r="CK276" i="63" s="1"/>
  <c r="CK277" i="63" s="1"/>
  <c r="CK278" i="63" s="1"/>
  <c r="CK279" i="63" s="1"/>
  <c r="CK280" i="63" s="1"/>
  <c r="CK281" i="63" s="1"/>
  <c r="CK282" i="63" s="1"/>
  <c r="CK283" i="63" s="1"/>
  <c r="CK284" i="63" s="1"/>
  <c r="CK285" i="63" s="1"/>
  <c r="CK286" i="63" s="1"/>
  <c r="CK287" i="63" s="1"/>
  <c r="CK288" i="63" s="1"/>
  <c r="CK289" i="63" s="1"/>
  <c r="CK290" i="63" s="1"/>
  <c r="CK291" i="63" s="1"/>
  <c r="CK292" i="63" s="1"/>
  <c r="CK293" i="63" s="1"/>
  <c r="CK294" i="63" s="1"/>
  <c r="CK295" i="63" s="1"/>
  <c r="CK296" i="63" s="1"/>
  <c r="CK297" i="63" s="1"/>
  <c r="CK298" i="63" s="1"/>
  <c r="CK299" i="63" s="1"/>
  <c r="CK300" i="63" s="1"/>
  <c r="CK301" i="63" s="1"/>
  <c r="CK302" i="63" s="1"/>
  <c r="CK303" i="63" s="1"/>
  <c r="CK304" i="63" s="1"/>
  <c r="CK305" i="63" s="1"/>
  <c r="CK306" i="63" s="1"/>
  <c r="CK307" i="63" s="1"/>
  <c r="CK308" i="63" s="1"/>
  <c r="CK7" i="63"/>
  <c r="CK6" i="63"/>
  <c r="CK5" i="63"/>
  <c r="CK4" i="63"/>
  <c r="CJ8" i="63"/>
  <c r="CJ9" i="63" s="1"/>
  <c r="CJ10" i="63" s="1"/>
  <c r="CJ11" i="63" s="1"/>
  <c r="CJ12" i="63" s="1"/>
  <c r="CJ13" i="63" s="1"/>
  <c r="CJ14" i="63" s="1"/>
  <c r="CJ15" i="63" s="1"/>
  <c r="CJ16" i="63" s="1"/>
  <c r="CJ17" i="63" s="1"/>
  <c r="CJ18" i="63" s="1"/>
  <c r="CJ19" i="63" s="1"/>
  <c r="CJ20" i="63" s="1"/>
  <c r="CJ21" i="63" s="1"/>
  <c r="CJ22" i="63" s="1"/>
  <c r="CJ23" i="63" s="1"/>
  <c r="CJ24" i="63" s="1"/>
  <c r="CJ25" i="63" s="1"/>
  <c r="CJ26" i="63" s="1"/>
  <c r="CJ27" i="63" s="1"/>
  <c r="CJ28" i="63" s="1"/>
  <c r="CJ29" i="63" s="1"/>
  <c r="CJ30" i="63" s="1"/>
  <c r="CJ31" i="63" s="1"/>
  <c r="CJ32" i="63" s="1"/>
  <c r="CJ33" i="63" s="1"/>
  <c r="CJ34" i="63" s="1"/>
  <c r="CJ35" i="63" s="1"/>
  <c r="CJ36" i="63" s="1"/>
  <c r="CJ37" i="63" s="1"/>
  <c r="CJ38" i="63" s="1"/>
  <c r="CJ39" i="63" s="1"/>
  <c r="CJ40" i="63" s="1"/>
  <c r="CJ41" i="63" s="1"/>
  <c r="CJ42" i="63" s="1"/>
  <c r="CJ43" i="63" s="1"/>
  <c r="CJ44" i="63" s="1"/>
  <c r="CJ45" i="63" s="1"/>
  <c r="CJ46" i="63" s="1"/>
  <c r="CJ47" i="63" s="1"/>
  <c r="CJ48" i="63" s="1"/>
  <c r="CJ49" i="63" s="1"/>
  <c r="CJ50" i="63" s="1"/>
  <c r="CJ51" i="63" s="1"/>
  <c r="CJ52" i="63" s="1"/>
  <c r="CJ53" i="63" s="1"/>
  <c r="CJ54" i="63" s="1"/>
  <c r="CJ55" i="63" s="1"/>
  <c r="CJ56" i="63" s="1"/>
  <c r="CJ57" i="63" s="1"/>
  <c r="CJ58" i="63" s="1"/>
  <c r="CJ59" i="63" s="1"/>
  <c r="CJ60" i="63" s="1"/>
  <c r="CJ61" i="63" s="1"/>
  <c r="CJ62" i="63" s="1"/>
  <c r="CJ63" i="63" s="1"/>
  <c r="CJ64" i="63" s="1"/>
  <c r="CJ65" i="63" s="1"/>
  <c r="CJ66" i="63" s="1"/>
  <c r="CJ67" i="63" s="1"/>
  <c r="CJ68" i="63" s="1"/>
  <c r="CJ69" i="63" s="1"/>
  <c r="CJ70" i="63" s="1"/>
  <c r="CJ71" i="63" s="1"/>
  <c r="CJ72" i="63" s="1"/>
  <c r="CJ73" i="63" s="1"/>
  <c r="CJ74" i="63" s="1"/>
  <c r="CJ75" i="63" s="1"/>
  <c r="CJ76" i="63" s="1"/>
  <c r="CJ77" i="63" s="1"/>
  <c r="CJ78" i="63" s="1"/>
  <c r="CJ79" i="63" s="1"/>
  <c r="CJ80" i="63" s="1"/>
  <c r="CJ81" i="63" s="1"/>
  <c r="CJ82" i="63" s="1"/>
  <c r="CJ83" i="63" s="1"/>
  <c r="CJ84" i="63" s="1"/>
  <c r="CJ85" i="63" s="1"/>
  <c r="CJ86" i="63" s="1"/>
  <c r="CJ87" i="63" s="1"/>
  <c r="CJ88" i="63" s="1"/>
  <c r="CJ89" i="63" s="1"/>
  <c r="CJ90" i="63" s="1"/>
  <c r="CJ91" i="63" s="1"/>
  <c r="CJ92" i="63" s="1"/>
  <c r="CJ93" i="63" s="1"/>
  <c r="CJ94" i="63" s="1"/>
  <c r="CJ95" i="63" s="1"/>
  <c r="CJ96" i="63" s="1"/>
  <c r="CJ97" i="63" s="1"/>
  <c r="CJ98" i="63" s="1"/>
  <c r="CJ99" i="63" s="1"/>
  <c r="CJ100" i="63" s="1"/>
  <c r="CJ101" i="63" s="1"/>
  <c r="CJ102" i="63" s="1"/>
  <c r="CJ103" i="63" s="1"/>
  <c r="CJ104" i="63" s="1"/>
  <c r="CJ105" i="63" s="1"/>
  <c r="CJ106" i="63" s="1"/>
  <c r="CJ107" i="63" s="1"/>
  <c r="CJ108" i="63" s="1"/>
  <c r="CJ109" i="63" s="1"/>
  <c r="CJ110" i="63" s="1"/>
  <c r="CJ111" i="63" s="1"/>
  <c r="CJ112" i="63" s="1"/>
  <c r="CJ113" i="63" s="1"/>
  <c r="CJ114" i="63" s="1"/>
  <c r="CJ115" i="63" s="1"/>
  <c r="CJ116" i="63" s="1"/>
  <c r="CJ117" i="63" s="1"/>
  <c r="CJ118" i="63" s="1"/>
  <c r="CJ119" i="63" s="1"/>
  <c r="CJ120" i="63" s="1"/>
  <c r="CJ121" i="63" s="1"/>
  <c r="CJ122" i="63" s="1"/>
  <c r="CJ123" i="63" s="1"/>
  <c r="CJ124" i="63" s="1"/>
  <c r="CJ125" i="63" s="1"/>
  <c r="CJ126" i="63" s="1"/>
  <c r="CJ127" i="63" s="1"/>
  <c r="CJ128" i="63" s="1"/>
  <c r="CJ129" i="63" s="1"/>
  <c r="CJ130" i="63" s="1"/>
  <c r="CJ131" i="63" s="1"/>
  <c r="CJ132" i="63" s="1"/>
  <c r="CJ133" i="63" s="1"/>
  <c r="CJ134" i="63" s="1"/>
  <c r="CJ135" i="63" s="1"/>
  <c r="CJ136" i="63" s="1"/>
  <c r="CJ137" i="63" s="1"/>
  <c r="CJ138" i="63" s="1"/>
  <c r="CJ139" i="63" s="1"/>
  <c r="CJ140" i="63" s="1"/>
  <c r="CJ141" i="63" s="1"/>
  <c r="CJ142" i="63" s="1"/>
  <c r="CJ143" i="63" s="1"/>
  <c r="CJ144" i="63" s="1"/>
  <c r="CJ145" i="63" s="1"/>
  <c r="CJ146" i="63" s="1"/>
  <c r="CJ147" i="63" s="1"/>
  <c r="CJ148" i="63" s="1"/>
  <c r="CJ149" i="63" s="1"/>
  <c r="CJ150" i="63" s="1"/>
  <c r="CJ151" i="63" s="1"/>
  <c r="CJ152" i="63" s="1"/>
  <c r="CJ153" i="63" s="1"/>
  <c r="CJ154" i="63" s="1"/>
  <c r="CJ155" i="63" s="1"/>
  <c r="CJ156" i="63" s="1"/>
  <c r="CJ157" i="63" s="1"/>
  <c r="CJ158" i="63" s="1"/>
  <c r="CJ159" i="63" s="1"/>
  <c r="CJ160" i="63" s="1"/>
  <c r="CJ161" i="63" s="1"/>
  <c r="CJ162" i="63" s="1"/>
  <c r="CJ163" i="63" s="1"/>
  <c r="CJ164" i="63" s="1"/>
  <c r="CJ165" i="63" s="1"/>
  <c r="CJ166" i="63" s="1"/>
  <c r="CJ167" i="63" s="1"/>
  <c r="CJ168" i="63" s="1"/>
  <c r="CJ169" i="63" s="1"/>
  <c r="CJ170" i="63" s="1"/>
  <c r="CJ171" i="63" s="1"/>
  <c r="CJ172" i="63" s="1"/>
  <c r="CJ173" i="63" s="1"/>
  <c r="CJ174" i="63" s="1"/>
  <c r="CJ175" i="63" s="1"/>
  <c r="CJ176" i="63" s="1"/>
  <c r="CJ177" i="63" s="1"/>
  <c r="CJ178" i="63" s="1"/>
  <c r="CJ179" i="63" s="1"/>
  <c r="CJ180" i="63" s="1"/>
  <c r="CJ181" i="63" s="1"/>
  <c r="CJ182" i="63" s="1"/>
  <c r="CJ183" i="63" s="1"/>
  <c r="CJ184" i="63" s="1"/>
  <c r="CJ185" i="63" s="1"/>
  <c r="CJ186" i="63" s="1"/>
  <c r="CJ187" i="63" s="1"/>
  <c r="CJ188" i="63" s="1"/>
  <c r="CJ189" i="63" s="1"/>
  <c r="CJ190" i="63" s="1"/>
  <c r="CJ191" i="63" s="1"/>
  <c r="CJ192" i="63" s="1"/>
  <c r="CJ193" i="63" s="1"/>
  <c r="CJ194" i="63" s="1"/>
  <c r="CJ195" i="63" s="1"/>
  <c r="CJ196" i="63" s="1"/>
  <c r="CJ197" i="63" s="1"/>
  <c r="CJ198" i="63" s="1"/>
  <c r="CJ199" i="63" s="1"/>
  <c r="CJ200" i="63" s="1"/>
  <c r="CJ201" i="63" s="1"/>
  <c r="CJ202" i="63" s="1"/>
  <c r="CJ203" i="63" s="1"/>
  <c r="CJ204" i="63" s="1"/>
  <c r="CJ205" i="63" s="1"/>
  <c r="CJ206" i="63" s="1"/>
  <c r="CJ207" i="63" s="1"/>
  <c r="CJ208" i="63" s="1"/>
  <c r="CJ209" i="63" s="1"/>
  <c r="CJ210" i="63" s="1"/>
  <c r="CJ211" i="63" s="1"/>
  <c r="CJ212" i="63" s="1"/>
  <c r="CJ213" i="63" s="1"/>
  <c r="CJ214" i="63" s="1"/>
  <c r="CJ215" i="63" s="1"/>
  <c r="CJ216" i="63" s="1"/>
  <c r="CJ217" i="63" s="1"/>
  <c r="CJ218" i="63" s="1"/>
  <c r="CJ219" i="63" s="1"/>
  <c r="CJ220" i="63" s="1"/>
  <c r="CJ221" i="63" s="1"/>
  <c r="CJ222" i="63" s="1"/>
  <c r="CJ223" i="63" s="1"/>
  <c r="CJ224" i="63" s="1"/>
  <c r="CJ225" i="63" s="1"/>
  <c r="CJ226" i="63" s="1"/>
  <c r="CJ227" i="63" s="1"/>
  <c r="CJ228" i="63" s="1"/>
  <c r="CJ229" i="63" s="1"/>
  <c r="CJ230" i="63" s="1"/>
  <c r="CJ231" i="63" s="1"/>
  <c r="CJ232" i="63" s="1"/>
  <c r="CJ233" i="63" s="1"/>
  <c r="CJ234" i="63" s="1"/>
  <c r="CJ235" i="63" s="1"/>
  <c r="CJ236" i="63" s="1"/>
  <c r="CJ237" i="63" s="1"/>
  <c r="CJ238" i="63" s="1"/>
  <c r="CJ239" i="63" s="1"/>
  <c r="CJ240" i="63" s="1"/>
  <c r="CJ241" i="63" s="1"/>
  <c r="CJ242" i="63" s="1"/>
  <c r="CJ243" i="63" s="1"/>
  <c r="CJ244" i="63" s="1"/>
  <c r="CJ245" i="63" s="1"/>
  <c r="CJ246" i="63" s="1"/>
  <c r="CJ247" i="63" s="1"/>
  <c r="CJ248" i="63" s="1"/>
  <c r="CJ249" i="63" s="1"/>
  <c r="CJ250" i="63" s="1"/>
  <c r="CJ251" i="63" s="1"/>
  <c r="CJ252" i="63" s="1"/>
  <c r="CJ253" i="63" s="1"/>
  <c r="CJ254" i="63" s="1"/>
  <c r="CJ255" i="63" s="1"/>
  <c r="CJ256" i="63" s="1"/>
  <c r="CJ257" i="63" s="1"/>
  <c r="CJ258" i="63" s="1"/>
  <c r="CJ259" i="63" s="1"/>
  <c r="CJ260" i="63" s="1"/>
  <c r="CJ261" i="63" s="1"/>
  <c r="CJ262" i="63" s="1"/>
  <c r="CJ263" i="63" s="1"/>
  <c r="CJ264" i="63" s="1"/>
  <c r="CJ265" i="63" s="1"/>
  <c r="CJ266" i="63" s="1"/>
  <c r="CJ267" i="63" s="1"/>
  <c r="CJ268" i="63" s="1"/>
  <c r="CJ269" i="63" s="1"/>
  <c r="CJ270" i="63" s="1"/>
  <c r="CJ271" i="63" s="1"/>
  <c r="CJ272" i="63" s="1"/>
  <c r="CJ273" i="63" s="1"/>
  <c r="CJ274" i="63" s="1"/>
  <c r="CJ275" i="63" s="1"/>
  <c r="CJ276" i="63" s="1"/>
  <c r="CJ277" i="63" s="1"/>
  <c r="CJ278" i="63" s="1"/>
  <c r="CJ279" i="63" s="1"/>
  <c r="CJ280" i="63" s="1"/>
  <c r="CJ281" i="63" s="1"/>
  <c r="CJ282" i="63" s="1"/>
  <c r="CJ283" i="63" s="1"/>
  <c r="CJ284" i="63" s="1"/>
  <c r="CJ285" i="63" s="1"/>
  <c r="CJ286" i="63" s="1"/>
  <c r="CJ287" i="63" s="1"/>
  <c r="CJ288" i="63" s="1"/>
  <c r="CJ289" i="63" s="1"/>
  <c r="CJ290" i="63" s="1"/>
  <c r="CJ291" i="63" s="1"/>
  <c r="CJ292" i="63" s="1"/>
  <c r="CJ293" i="63" s="1"/>
  <c r="CJ294" i="63" s="1"/>
  <c r="CJ295" i="63" s="1"/>
  <c r="CJ296" i="63" s="1"/>
  <c r="CJ297" i="63" s="1"/>
  <c r="CJ298" i="63" s="1"/>
  <c r="CJ299" i="63" s="1"/>
  <c r="CJ300" i="63" s="1"/>
  <c r="CJ301" i="63" s="1"/>
  <c r="CJ302" i="63" s="1"/>
  <c r="CJ303" i="63" s="1"/>
  <c r="CJ304" i="63" s="1"/>
  <c r="CJ305" i="63" s="1"/>
  <c r="CJ306" i="63" s="1"/>
  <c r="CJ307" i="63" s="1"/>
  <c r="CJ308" i="63" s="1"/>
  <c r="CJ7" i="63"/>
  <c r="CJ6" i="63"/>
  <c r="CJ5" i="63"/>
  <c r="CJ4" i="63"/>
  <c r="CI8" i="63"/>
  <c r="CI9" i="63" s="1"/>
  <c r="CI10" i="63" s="1"/>
  <c r="CI11" i="63" s="1"/>
  <c r="CI12" i="63" s="1"/>
  <c r="CI13" i="63" s="1"/>
  <c r="CI14" i="63" s="1"/>
  <c r="CI15" i="63" s="1"/>
  <c r="CI16" i="63" s="1"/>
  <c r="CI17" i="63" s="1"/>
  <c r="CI18" i="63" s="1"/>
  <c r="CI19" i="63" s="1"/>
  <c r="CI20" i="63" s="1"/>
  <c r="CI21" i="63" s="1"/>
  <c r="CI22" i="63" s="1"/>
  <c r="CI23" i="63" s="1"/>
  <c r="CI24" i="63" s="1"/>
  <c r="CI25" i="63" s="1"/>
  <c r="CI26" i="63" s="1"/>
  <c r="CI27" i="63" s="1"/>
  <c r="CI28" i="63" s="1"/>
  <c r="CI29" i="63" s="1"/>
  <c r="CI30" i="63" s="1"/>
  <c r="CI31" i="63" s="1"/>
  <c r="CI32" i="63" s="1"/>
  <c r="CI33" i="63" s="1"/>
  <c r="CI34" i="63" s="1"/>
  <c r="CI35" i="63" s="1"/>
  <c r="CI36" i="63" s="1"/>
  <c r="CI37" i="63" s="1"/>
  <c r="CI38" i="63" s="1"/>
  <c r="CI39" i="63" s="1"/>
  <c r="CI40" i="63" s="1"/>
  <c r="CI41" i="63" s="1"/>
  <c r="CI42" i="63" s="1"/>
  <c r="CI43" i="63" s="1"/>
  <c r="CI44" i="63" s="1"/>
  <c r="CI45" i="63" s="1"/>
  <c r="CI46" i="63" s="1"/>
  <c r="CI47" i="63" s="1"/>
  <c r="CI48" i="63" s="1"/>
  <c r="CI49" i="63" s="1"/>
  <c r="CI50" i="63" s="1"/>
  <c r="CI51" i="63" s="1"/>
  <c r="CI52" i="63" s="1"/>
  <c r="CI53" i="63" s="1"/>
  <c r="CI54" i="63" s="1"/>
  <c r="CI55" i="63" s="1"/>
  <c r="CI56" i="63" s="1"/>
  <c r="CI57" i="63" s="1"/>
  <c r="CI58" i="63" s="1"/>
  <c r="CI59" i="63" s="1"/>
  <c r="CI60" i="63" s="1"/>
  <c r="CI61" i="63" s="1"/>
  <c r="CI62" i="63" s="1"/>
  <c r="CI63" i="63" s="1"/>
  <c r="CI64" i="63" s="1"/>
  <c r="CI65" i="63" s="1"/>
  <c r="CI66" i="63" s="1"/>
  <c r="CI67" i="63" s="1"/>
  <c r="CI68" i="63" s="1"/>
  <c r="CI69" i="63" s="1"/>
  <c r="CI70" i="63" s="1"/>
  <c r="CI71" i="63" s="1"/>
  <c r="CI72" i="63" s="1"/>
  <c r="CI73" i="63" s="1"/>
  <c r="CI74" i="63" s="1"/>
  <c r="CI75" i="63" s="1"/>
  <c r="CI76" i="63" s="1"/>
  <c r="CI77" i="63" s="1"/>
  <c r="CI78" i="63" s="1"/>
  <c r="CI79" i="63" s="1"/>
  <c r="CI80" i="63" s="1"/>
  <c r="CI81" i="63" s="1"/>
  <c r="CI82" i="63" s="1"/>
  <c r="CI83" i="63" s="1"/>
  <c r="CI84" i="63" s="1"/>
  <c r="CI85" i="63" s="1"/>
  <c r="CI86" i="63" s="1"/>
  <c r="CI87" i="63" s="1"/>
  <c r="CI88" i="63" s="1"/>
  <c r="CI89" i="63" s="1"/>
  <c r="CI90" i="63" s="1"/>
  <c r="CI91" i="63" s="1"/>
  <c r="CI92" i="63" s="1"/>
  <c r="CI93" i="63" s="1"/>
  <c r="CI94" i="63" s="1"/>
  <c r="CI95" i="63" s="1"/>
  <c r="CI96" i="63" s="1"/>
  <c r="CI97" i="63" s="1"/>
  <c r="CI98" i="63" s="1"/>
  <c r="CI99" i="63" s="1"/>
  <c r="CI100" i="63" s="1"/>
  <c r="CI101" i="63" s="1"/>
  <c r="CI102" i="63" s="1"/>
  <c r="CI103" i="63" s="1"/>
  <c r="CI104" i="63" s="1"/>
  <c r="CI105" i="63" s="1"/>
  <c r="CI106" i="63" s="1"/>
  <c r="CI107" i="63" s="1"/>
  <c r="CI108" i="63" s="1"/>
  <c r="CI109" i="63" s="1"/>
  <c r="CI110" i="63" s="1"/>
  <c r="CI111" i="63" s="1"/>
  <c r="CI112" i="63" s="1"/>
  <c r="CI113" i="63" s="1"/>
  <c r="CI114" i="63" s="1"/>
  <c r="CI115" i="63" s="1"/>
  <c r="CI116" i="63" s="1"/>
  <c r="CI117" i="63" s="1"/>
  <c r="CI118" i="63" s="1"/>
  <c r="CI119" i="63" s="1"/>
  <c r="CI120" i="63" s="1"/>
  <c r="CI121" i="63" s="1"/>
  <c r="CI122" i="63" s="1"/>
  <c r="CI123" i="63" s="1"/>
  <c r="CI124" i="63" s="1"/>
  <c r="CI125" i="63" s="1"/>
  <c r="CI126" i="63" s="1"/>
  <c r="CI127" i="63" s="1"/>
  <c r="CI128" i="63" s="1"/>
  <c r="CI129" i="63" s="1"/>
  <c r="CI130" i="63" s="1"/>
  <c r="CI131" i="63" s="1"/>
  <c r="CI132" i="63" s="1"/>
  <c r="CI133" i="63" s="1"/>
  <c r="CI134" i="63" s="1"/>
  <c r="CI135" i="63" s="1"/>
  <c r="CI136" i="63" s="1"/>
  <c r="CI137" i="63" s="1"/>
  <c r="CI138" i="63" s="1"/>
  <c r="CI139" i="63" s="1"/>
  <c r="CI140" i="63" s="1"/>
  <c r="CI141" i="63" s="1"/>
  <c r="CI142" i="63" s="1"/>
  <c r="CI143" i="63" s="1"/>
  <c r="CI144" i="63" s="1"/>
  <c r="CI145" i="63" s="1"/>
  <c r="CI146" i="63" s="1"/>
  <c r="CI147" i="63" s="1"/>
  <c r="CI148" i="63" s="1"/>
  <c r="CI149" i="63" s="1"/>
  <c r="CI150" i="63" s="1"/>
  <c r="CI151" i="63" s="1"/>
  <c r="CI152" i="63" s="1"/>
  <c r="CI153" i="63" s="1"/>
  <c r="CI154" i="63" s="1"/>
  <c r="CI155" i="63" s="1"/>
  <c r="CI156" i="63" s="1"/>
  <c r="CI157" i="63" s="1"/>
  <c r="CI158" i="63" s="1"/>
  <c r="CI159" i="63" s="1"/>
  <c r="CI160" i="63" s="1"/>
  <c r="CI161" i="63" s="1"/>
  <c r="CI162" i="63" s="1"/>
  <c r="CI163" i="63" s="1"/>
  <c r="CI164" i="63" s="1"/>
  <c r="CI165" i="63" s="1"/>
  <c r="CI166" i="63" s="1"/>
  <c r="CI167" i="63" s="1"/>
  <c r="CI168" i="63" s="1"/>
  <c r="CI169" i="63" s="1"/>
  <c r="CI170" i="63" s="1"/>
  <c r="CI171" i="63" s="1"/>
  <c r="CI172" i="63" s="1"/>
  <c r="CI173" i="63" s="1"/>
  <c r="CI174" i="63" s="1"/>
  <c r="CI175" i="63" s="1"/>
  <c r="CI176" i="63" s="1"/>
  <c r="CI177" i="63" s="1"/>
  <c r="CI178" i="63" s="1"/>
  <c r="CI179" i="63" s="1"/>
  <c r="CI180" i="63" s="1"/>
  <c r="CI181" i="63" s="1"/>
  <c r="CI182" i="63" s="1"/>
  <c r="CI183" i="63" s="1"/>
  <c r="CI184" i="63" s="1"/>
  <c r="CI185" i="63" s="1"/>
  <c r="CI186" i="63" s="1"/>
  <c r="CI187" i="63" s="1"/>
  <c r="CI188" i="63" s="1"/>
  <c r="CI189" i="63" s="1"/>
  <c r="CI190" i="63" s="1"/>
  <c r="CI191" i="63" s="1"/>
  <c r="CI192" i="63" s="1"/>
  <c r="CI193" i="63" s="1"/>
  <c r="CI194" i="63" s="1"/>
  <c r="CI195" i="63" s="1"/>
  <c r="CI196" i="63" s="1"/>
  <c r="CI197" i="63" s="1"/>
  <c r="CI198" i="63" s="1"/>
  <c r="CI199" i="63" s="1"/>
  <c r="CI200" i="63" s="1"/>
  <c r="CI201" i="63" s="1"/>
  <c r="CI202" i="63" s="1"/>
  <c r="CI203" i="63" s="1"/>
  <c r="CI204" i="63" s="1"/>
  <c r="CI205" i="63" s="1"/>
  <c r="CI206" i="63" s="1"/>
  <c r="CI207" i="63" s="1"/>
  <c r="CI208" i="63" s="1"/>
  <c r="CI209" i="63" s="1"/>
  <c r="CI210" i="63" s="1"/>
  <c r="CI211" i="63" s="1"/>
  <c r="CI212" i="63" s="1"/>
  <c r="CI213" i="63" s="1"/>
  <c r="CI214" i="63" s="1"/>
  <c r="CI215" i="63" s="1"/>
  <c r="CI216" i="63" s="1"/>
  <c r="CI217" i="63" s="1"/>
  <c r="CI218" i="63" s="1"/>
  <c r="CI219" i="63" s="1"/>
  <c r="CI220" i="63" s="1"/>
  <c r="CI221" i="63" s="1"/>
  <c r="CI222" i="63" s="1"/>
  <c r="CI223" i="63" s="1"/>
  <c r="CI224" i="63" s="1"/>
  <c r="CI225" i="63" s="1"/>
  <c r="CI226" i="63" s="1"/>
  <c r="CI227" i="63" s="1"/>
  <c r="CI228" i="63" s="1"/>
  <c r="CI229" i="63" s="1"/>
  <c r="CI230" i="63" s="1"/>
  <c r="CI231" i="63" s="1"/>
  <c r="CI232" i="63" s="1"/>
  <c r="CI233" i="63" s="1"/>
  <c r="CI234" i="63" s="1"/>
  <c r="CI235" i="63" s="1"/>
  <c r="CI236" i="63" s="1"/>
  <c r="CI237" i="63" s="1"/>
  <c r="CI238" i="63" s="1"/>
  <c r="CI239" i="63" s="1"/>
  <c r="CI240" i="63" s="1"/>
  <c r="CI241" i="63" s="1"/>
  <c r="CI242" i="63" s="1"/>
  <c r="CI243" i="63" s="1"/>
  <c r="CI244" i="63" s="1"/>
  <c r="CI245" i="63" s="1"/>
  <c r="CI246" i="63" s="1"/>
  <c r="CI247" i="63" s="1"/>
  <c r="CI248" i="63" s="1"/>
  <c r="CI249" i="63" s="1"/>
  <c r="CI250" i="63" s="1"/>
  <c r="CI251" i="63" s="1"/>
  <c r="CI252" i="63" s="1"/>
  <c r="CI253" i="63" s="1"/>
  <c r="CI254" i="63" s="1"/>
  <c r="CI255" i="63" s="1"/>
  <c r="CI256" i="63" s="1"/>
  <c r="CI257" i="63" s="1"/>
  <c r="CI258" i="63" s="1"/>
  <c r="CI259" i="63" s="1"/>
  <c r="CI260" i="63" s="1"/>
  <c r="CI261" i="63" s="1"/>
  <c r="CI262" i="63" s="1"/>
  <c r="CI263" i="63" s="1"/>
  <c r="CI264" i="63" s="1"/>
  <c r="CI265" i="63" s="1"/>
  <c r="CI266" i="63" s="1"/>
  <c r="CI267" i="63" s="1"/>
  <c r="CI268" i="63" s="1"/>
  <c r="CI269" i="63" s="1"/>
  <c r="CI270" i="63" s="1"/>
  <c r="CI271" i="63" s="1"/>
  <c r="CI272" i="63" s="1"/>
  <c r="CI273" i="63" s="1"/>
  <c r="CI274" i="63" s="1"/>
  <c r="CI275" i="63" s="1"/>
  <c r="CI276" i="63" s="1"/>
  <c r="CI277" i="63" s="1"/>
  <c r="CI278" i="63" s="1"/>
  <c r="CI279" i="63" s="1"/>
  <c r="CI280" i="63" s="1"/>
  <c r="CI281" i="63" s="1"/>
  <c r="CI282" i="63" s="1"/>
  <c r="CI283" i="63" s="1"/>
  <c r="CI284" i="63" s="1"/>
  <c r="CI285" i="63" s="1"/>
  <c r="CI286" i="63" s="1"/>
  <c r="CI287" i="63" s="1"/>
  <c r="CI288" i="63" s="1"/>
  <c r="CI289" i="63" s="1"/>
  <c r="CI290" i="63" s="1"/>
  <c r="CI291" i="63" s="1"/>
  <c r="CI292" i="63" s="1"/>
  <c r="CI293" i="63" s="1"/>
  <c r="CI294" i="63" s="1"/>
  <c r="CI295" i="63" s="1"/>
  <c r="CI296" i="63" s="1"/>
  <c r="CI297" i="63" s="1"/>
  <c r="CI298" i="63" s="1"/>
  <c r="CI299" i="63" s="1"/>
  <c r="CI300" i="63" s="1"/>
  <c r="CI301" i="63" s="1"/>
  <c r="CI302" i="63" s="1"/>
  <c r="CI303" i="63" s="1"/>
  <c r="CI304" i="63" s="1"/>
  <c r="CI305" i="63" s="1"/>
  <c r="CI306" i="63" s="1"/>
  <c r="CI307" i="63" s="1"/>
  <c r="CI308" i="63" s="1"/>
  <c r="CI7" i="63"/>
  <c r="CI6" i="63"/>
  <c r="CI5" i="63"/>
  <c r="CI4" i="63"/>
  <c r="CH8" i="63"/>
  <c r="CH7" i="63"/>
  <c r="CH6" i="63"/>
  <c r="CH5" i="63"/>
  <c r="CH4" i="63"/>
  <c r="CG8" i="63"/>
  <c r="CG7" i="63"/>
  <c r="CG6" i="63"/>
  <c r="CG5" i="63"/>
  <c r="CG4" i="63"/>
  <c r="CF8" i="63"/>
  <c r="CF7" i="63"/>
  <c r="CF6" i="63"/>
  <c r="CF5" i="63"/>
  <c r="CF4" i="63"/>
  <c r="CE8" i="63"/>
  <c r="CE7" i="63"/>
  <c r="CE6" i="63"/>
  <c r="CE5" i="63"/>
  <c r="CE4" i="63"/>
  <c r="CD8" i="63"/>
  <c r="CD9" i="63" s="1"/>
  <c r="CD10" i="63" s="1"/>
  <c r="CD11" i="63" s="1"/>
  <c r="CD12" i="63" s="1"/>
  <c r="CD13" i="63" s="1"/>
  <c r="CD14" i="63" s="1"/>
  <c r="CD15" i="63" s="1"/>
  <c r="CD16" i="63" s="1"/>
  <c r="CD17" i="63" s="1"/>
  <c r="CD18" i="63" s="1"/>
  <c r="CD19" i="63" s="1"/>
  <c r="CD20" i="63" s="1"/>
  <c r="CD21" i="63" s="1"/>
  <c r="CD22" i="63" s="1"/>
  <c r="CD23" i="63" s="1"/>
  <c r="CD24" i="63" s="1"/>
  <c r="CD25" i="63" s="1"/>
  <c r="CD26" i="63" s="1"/>
  <c r="CD27" i="63" s="1"/>
  <c r="CD28" i="63" s="1"/>
  <c r="CD29" i="63" s="1"/>
  <c r="CD30" i="63" s="1"/>
  <c r="CD31" i="63" s="1"/>
  <c r="CD32" i="63" s="1"/>
  <c r="CD33" i="63" s="1"/>
  <c r="CD34" i="63" s="1"/>
  <c r="CD35" i="63" s="1"/>
  <c r="CD36" i="63" s="1"/>
  <c r="CD37" i="63" s="1"/>
  <c r="CD38" i="63" s="1"/>
  <c r="CD39" i="63" s="1"/>
  <c r="CD40" i="63" s="1"/>
  <c r="CD41" i="63" s="1"/>
  <c r="CD42" i="63" s="1"/>
  <c r="CD43" i="63" s="1"/>
  <c r="CD44" i="63" s="1"/>
  <c r="CD45" i="63" s="1"/>
  <c r="CD46" i="63" s="1"/>
  <c r="CD47" i="63" s="1"/>
  <c r="CD48" i="63" s="1"/>
  <c r="CD49" i="63" s="1"/>
  <c r="CD50" i="63" s="1"/>
  <c r="CD51" i="63" s="1"/>
  <c r="CD52" i="63" s="1"/>
  <c r="CD53" i="63" s="1"/>
  <c r="CD54" i="63" s="1"/>
  <c r="CD55" i="63" s="1"/>
  <c r="CD56" i="63" s="1"/>
  <c r="CD57" i="63" s="1"/>
  <c r="CD58" i="63" s="1"/>
  <c r="CD59" i="63" s="1"/>
  <c r="CD60" i="63" s="1"/>
  <c r="CD61" i="63" s="1"/>
  <c r="CD62" i="63" s="1"/>
  <c r="CD63" i="63" s="1"/>
  <c r="CD64" i="63" s="1"/>
  <c r="CD65" i="63" s="1"/>
  <c r="CD66" i="63" s="1"/>
  <c r="CD67" i="63" s="1"/>
  <c r="CD68" i="63" s="1"/>
  <c r="CD69" i="63" s="1"/>
  <c r="CD70" i="63" s="1"/>
  <c r="CD71" i="63" s="1"/>
  <c r="CD72" i="63" s="1"/>
  <c r="CD73" i="63" s="1"/>
  <c r="CD74" i="63" s="1"/>
  <c r="CD75" i="63" s="1"/>
  <c r="CD76" i="63" s="1"/>
  <c r="CD77" i="63" s="1"/>
  <c r="CD78" i="63" s="1"/>
  <c r="CD79" i="63" s="1"/>
  <c r="CD80" i="63" s="1"/>
  <c r="CD81" i="63" s="1"/>
  <c r="CD82" i="63" s="1"/>
  <c r="CD83" i="63" s="1"/>
  <c r="CD84" i="63" s="1"/>
  <c r="CD85" i="63" s="1"/>
  <c r="CD86" i="63" s="1"/>
  <c r="CD87" i="63" s="1"/>
  <c r="CD88" i="63" s="1"/>
  <c r="CD89" i="63" s="1"/>
  <c r="CD90" i="63" s="1"/>
  <c r="CD91" i="63" s="1"/>
  <c r="CD92" i="63" s="1"/>
  <c r="CD93" i="63" s="1"/>
  <c r="CD94" i="63" s="1"/>
  <c r="CD95" i="63" s="1"/>
  <c r="CD96" i="63" s="1"/>
  <c r="CD97" i="63" s="1"/>
  <c r="CD98" i="63" s="1"/>
  <c r="CD99" i="63" s="1"/>
  <c r="CD100" i="63" s="1"/>
  <c r="CD101" i="63" s="1"/>
  <c r="CD102" i="63" s="1"/>
  <c r="CD103" i="63" s="1"/>
  <c r="CD104" i="63" s="1"/>
  <c r="CD105" i="63" s="1"/>
  <c r="CD106" i="63" s="1"/>
  <c r="CD107" i="63" s="1"/>
  <c r="CD108" i="63" s="1"/>
  <c r="CD109" i="63" s="1"/>
  <c r="CD110" i="63" s="1"/>
  <c r="CD111" i="63" s="1"/>
  <c r="CD112" i="63" s="1"/>
  <c r="CD113" i="63" s="1"/>
  <c r="CD114" i="63" s="1"/>
  <c r="CD115" i="63" s="1"/>
  <c r="CD116" i="63" s="1"/>
  <c r="CD117" i="63" s="1"/>
  <c r="CD118" i="63" s="1"/>
  <c r="CD119" i="63" s="1"/>
  <c r="CD120" i="63" s="1"/>
  <c r="CD121" i="63" s="1"/>
  <c r="CD122" i="63" s="1"/>
  <c r="CD123" i="63" s="1"/>
  <c r="CD124" i="63" s="1"/>
  <c r="CD125" i="63" s="1"/>
  <c r="CD126" i="63" s="1"/>
  <c r="CD127" i="63" s="1"/>
  <c r="CD128" i="63" s="1"/>
  <c r="CD129" i="63" s="1"/>
  <c r="CD130" i="63" s="1"/>
  <c r="CD131" i="63" s="1"/>
  <c r="CD132" i="63" s="1"/>
  <c r="CD133" i="63" s="1"/>
  <c r="CD134" i="63" s="1"/>
  <c r="CD135" i="63" s="1"/>
  <c r="CD136" i="63" s="1"/>
  <c r="CD137" i="63" s="1"/>
  <c r="CD138" i="63" s="1"/>
  <c r="CD139" i="63" s="1"/>
  <c r="CD140" i="63" s="1"/>
  <c r="CD141" i="63" s="1"/>
  <c r="CD142" i="63" s="1"/>
  <c r="CD143" i="63" s="1"/>
  <c r="CD144" i="63" s="1"/>
  <c r="CD145" i="63" s="1"/>
  <c r="CD146" i="63" s="1"/>
  <c r="CD147" i="63" s="1"/>
  <c r="CD148" i="63" s="1"/>
  <c r="CD149" i="63" s="1"/>
  <c r="CD150" i="63" s="1"/>
  <c r="CD151" i="63" s="1"/>
  <c r="CD152" i="63" s="1"/>
  <c r="CD153" i="63" s="1"/>
  <c r="CD154" i="63" s="1"/>
  <c r="CD155" i="63" s="1"/>
  <c r="CD156" i="63" s="1"/>
  <c r="CD157" i="63" s="1"/>
  <c r="CD158" i="63" s="1"/>
  <c r="CD159" i="63" s="1"/>
  <c r="CD160" i="63" s="1"/>
  <c r="CD161" i="63" s="1"/>
  <c r="CD162" i="63" s="1"/>
  <c r="CD163" i="63" s="1"/>
  <c r="CD164" i="63" s="1"/>
  <c r="CD165" i="63" s="1"/>
  <c r="CD166" i="63" s="1"/>
  <c r="CD167" i="63" s="1"/>
  <c r="CD168" i="63" s="1"/>
  <c r="CD169" i="63" s="1"/>
  <c r="CD170" i="63" s="1"/>
  <c r="CD171" i="63" s="1"/>
  <c r="CD172" i="63" s="1"/>
  <c r="CD173" i="63" s="1"/>
  <c r="CD174" i="63" s="1"/>
  <c r="CD175" i="63" s="1"/>
  <c r="CD176" i="63" s="1"/>
  <c r="CD177" i="63" s="1"/>
  <c r="CD178" i="63" s="1"/>
  <c r="CD179" i="63" s="1"/>
  <c r="CD180" i="63" s="1"/>
  <c r="CD181" i="63" s="1"/>
  <c r="CD182" i="63" s="1"/>
  <c r="CD183" i="63" s="1"/>
  <c r="CD184" i="63" s="1"/>
  <c r="CD185" i="63" s="1"/>
  <c r="CD186" i="63" s="1"/>
  <c r="CD187" i="63" s="1"/>
  <c r="CD188" i="63" s="1"/>
  <c r="CD189" i="63" s="1"/>
  <c r="CD190" i="63" s="1"/>
  <c r="CD191" i="63" s="1"/>
  <c r="CD192" i="63" s="1"/>
  <c r="CD193" i="63" s="1"/>
  <c r="CD194" i="63" s="1"/>
  <c r="CD195" i="63" s="1"/>
  <c r="CD196" i="63" s="1"/>
  <c r="CD197" i="63" s="1"/>
  <c r="CD198" i="63" s="1"/>
  <c r="CD199" i="63" s="1"/>
  <c r="CD200" i="63" s="1"/>
  <c r="CD201" i="63" s="1"/>
  <c r="CD202" i="63" s="1"/>
  <c r="CD203" i="63" s="1"/>
  <c r="CD204" i="63" s="1"/>
  <c r="CD205" i="63" s="1"/>
  <c r="CD206" i="63" s="1"/>
  <c r="CD207" i="63" s="1"/>
  <c r="CD208" i="63" s="1"/>
  <c r="CD209" i="63" s="1"/>
  <c r="CD210" i="63" s="1"/>
  <c r="CD211" i="63" s="1"/>
  <c r="CD212" i="63" s="1"/>
  <c r="CD213" i="63" s="1"/>
  <c r="CD214" i="63" s="1"/>
  <c r="CD215" i="63" s="1"/>
  <c r="CD216" i="63" s="1"/>
  <c r="CD217" i="63" s="1"/>
  <c r="CD218" i="63" s="1"/>
  <c r="CD219" i="63" s="1"/>
  <c r="CD220" i="63" s="1"/>
  <c r="CD221" i="63" s="1"/>
  <c r="CD222" i="63" s="1"/>
  <c r="CD223" i="63" s="1"/>
  <c r="CD224" i="63" s="1"/>
  <c r="CD225" i="63" s="1"/>
  <c r="CD226" i="63" s="1"/>
  <c r="CD227" i="63" s="1"/>
  <c r="CD228" i="63" s="1"/>
  <c r="CD229" i="63" s="1"/>
  <c r="CD230" i="63" s="1"/>
  <c r="CD231" i="63" s="1"/>
  <c r="CD232" i="63" s="1"/>
  <c r="CD233" i="63" s="1"/>
  <c r="CD234" i="63" s="1"/>
  <c r="CD235" i="63" s="1"/>
  <c r="CD236" i="63" s="1"/>
  <c r="CD237" i="63" s="1"/>
  <c r="CD238" i="63" s="1"/>
  <c r="CD239" i="63" s="1"/>
  <c r="CD240" i="63" s="1"/>
  <c r="CD241" i="63" s="1"/>
  <c r="CD242" i="63" s="1"/>
  <c r="CD243" i="63" s="1"/>
  <c r="CD244" i="63" s="1"/>
  <c r="CD245" i="63" s="1"/>
  <c r="CD246" i="63" s="1"/>
  <c r="CD247" i="63" s="1"/>
  <c r="CD248" i="63" s="1"/>
  <c r="CD249" i="63" s="1"/>
  <c r="CD250" i="63" s="1"/>
  <c r="CD251" i="63" s="1"/>
  <c r="CD252" i="63" s="1"/>
  <c r="CD253" i="63" s="1"/>
  <c r="CD254" i="63" s="1"/>
  <c r="CD255" i="63" s="1"/>
  <c r="CD256" i="63" s="1"/>
  <c r="CD257" i="63" s="1"/>
  <c r="CD258" i="63" s="1"/>
  <c r="CD259" i="63" s="1"/>
  <c r="CD260" i="63" s="1"/>
  <c r="CD261" i="63" s="1"/>
  <c r="CD262" i="63" s="1"/>
  <c r="CD263" i="63" s="1"/>
  <c r="CD264" i="63" s="1"/>
  <c r="CD265" i="63" s="1"/>
  <c r="CD266" i="63" s="1"/>
  <c r="CD267" i="63" s="1"/>
  <c r="CD268" i="63" s="1"/>
  <c r="CD269" i="63" s="1"/>
  <c r="CD270" i="63" s="1"/>
  <c r="CD271" i="63" s="1"/>
  <c r="CD272" i="63" s="1"/>
  <c r="CD273" i="63" s="1"/>
  <c r="CD274" i="63" s="1"/>
  <c r="CD275" i="63" s="1"/>
  <c r="CD276" i="63" s="1"/>
  <c r="CD277" i="63" s="1"/>
  <c r="CD278" i="63" s="1"/>
  <c r="CD279" i="63" s="1"/>
  <c r="CD280" i="63" s="1"/>
  <c r="CD281" i="63" s="1"/>
  <c r="CD282" i="63" s="1"/>
  <c r="CD283" i="63" s="1"/>
  <c r="CD284" i="63" s="1"/>
  <c r="CD285" i="63" s="1"/>
  <c r="CD286" i="63" s="1"/>
  <c r="CD287" i="63" s="1"/>
  <c r="CD288" i="63" s="1"/>
  <c r="CD289" i="63" s="1"/>
  <c r="CD290" i="63" s="1"/>
  <c r="CD291" i="63" s="1"/>
  <c r="CD292" i="63" s="1"/>
  <c r="CD293" i="63" s="1"/>
  <c r="CD294" i="63" s="1"/>
  <c r="CD295" i="63" s="1"/>
  <c r="CD296" i="63" s="1"/>
  <c r="CD297" i="63" s="1"/>
  <c r="CD298" i="63" s="1"/>
  <c r="CD299" i="63" s="1"/>
  <c r="CD300" i="63" s="1"/>
  <c r="CD301" i="63" s="1"/>
  <c r="CD302" i="63" s="1"/>
  <c r="CD303" i="63" s="1"/>
  <c r="CD304" i="63" s="1"/>
  <c r="CD305" i="63" s="1"/>
  <c r="CD306" i="63" s="1"/>
  <c r="CD307" i="63" s="1"/>
  <c r="CD308" i="63" s="1"/>
  <c r="CD7" i="63"/>
  <c r="CD6" i="63"/>
  <c r="CD5" i="63"/>
  <c r="CD4" i="63"/>
  <c r="CC8" i="63"/>
  <c r="CC7" i="63"/>
  <c r="CC6" i="63"/>
  <c r="CC5" i="63"/>
  <c r="CC4" i="63"/>
  <c r="CB8" i="63"/>
  <c r="CB9" i="63" s="1"/>
  <c r="CB10" i="63" s="1"/>
  <c r="CB11" i="63" s="1"/>
  <c r="CB12" i="63" s="1"/>
  <c r="CB13" i="63" s="1"/>
  <c r="CB14" i="63" s="1"/>
  <c r="CB15" i="63" s="1"/>
  <c r="CB16" i="63" s="1"/>
  <c r="CB17" i="63" s="1"/>
  <c r="CB18" i="63" s="1"/>
  <c r="CB19" i="63" s="1"/>
  <c r="CB20" i="63" s="1"/>
  <c r="CB21" i="63" s="1"/>
  <c r="CB22" i="63" s="1"/>
  <c r="CB23" i="63" s="1"/>
  <c r="CB24" i="63" s="1"/>
  <c r="CB25" i="63" s="1"/>
  <c r="CB26" i="63" s="1"/>
  <c r="CB27" i="63" s="1"/>
  <c r="CB28" i="63" s="1"/>
  <c r="CB29" i="63" s="1"/>
  <c r="CB30" i="63" s="1"/>
  <c r="CB31" i="63" s="1"/>
  <c r="CB32" i="63" s="1"/>
  <c r="CB33" i="63" s="1"/>
  <c r="CB34" i="63" s="1"/>
  <c r="CB35" i="63" s="1"/>
  <c r="CB36" i="63" s="1"/>
  <c r="CB37" i="63" s="1"/>
  <c r="CB38" i="63" s="1"/>
  <c r="CB39" i="63" s="1"/>
  <c r="CB40" i="63" s="1"/>
  <c r="CB41" i="63" s="1"/>
  <c r="CB42" i="63" s="1"/>
  <c r="CB43" i="63" s="1"/>
  <c r="CB44" i="63" s="1"/>
  <c r="CB45" i="63" s="1"/>
  <c r="CB46" i="63" s="1"/>
  <c r="CB47" i="63" s="1"/>
  <c r="CB48" i="63" s="1"/>
  <c r="CB49" i="63" s="1"/>
  <c r="CB50" i="63" s="1"/>
  <c r="CB51" i="63" s="1"/>
  <c r="CB52" i="63" s="1"/>
  <c r="CB53" i="63" s="1"/>
  <c r="CB54" i="63" s="1"/>
  <c r="CB55" i="63" s="1"/>
  <c r="CB56" i="63" s="1"/>
  <c r="CB57" i="63" s="1"/>
  <c r="CB58" i="63" s="1"/>
  <c r="CB59" i="63" s="1"/>
  <c r="CB60" i="63" s="1"/>
  <c r="CB61" i="63" s="1"/>
  <c r="CB62" i="63" s="1"/>
  <c r="CB63" i="63" s="1"/>
  <c r="CB64" i="63" s="1"/>
  <c r="CB65" i="63" s="1"/>
  <c r="CB66" i="63" s="1"/>
  <c r="CB67" i="63" s="1"/>
  <c r="CB68" i="63" s="1"/>
  <c r="CB69" i="63" s="1"/>
  <c r="CB70" i="63" s="1"/>
  <c r="CB71" i="63" s="1"/>
  <c r="CB72" i="63" s="1"/>
  <c r="CB73" i="63" s="1"/>
  <c r="CB74" i="63" s="1"/>
  <c r="CB75" i="63" s="1"/>
  <c r="CB76" i="63" s="1"/>
  <c r="CB77" i="63" s="1"/>
  <c r="CB78" i="63" s="1"/>
  <c r="CB79" i="63" s="1"/>
  <c r="CB80" i="63" s="1"/>
  <c r="CB81" i="63" s="1"/>
  <c r="CB82" i="63" s="1"/>
  <c r="CB83" i="63" s="1"/>
  <c r="CB84" i="63" s="1"/>
  <c r="CB85" i="63" s="1"/>
  <c r="CB86" i="63" s="1"/>
  <c r="CB87" i="63" s="1"/>
  <c r="CB88" i="63" s="1"/>
  <c r="CB89" i="63" s="1"/>
  <c r="CB90" i="63" s="1"/>
  <c r="CB91" i="63" s="1"/>
  <c r="CB92" i="63" s="1"/>
  <c r="CB93" i="63" s="1"/>
  <c r="CB94" i="63" s="1"/>
  <c r="CB95" i="63" s="1"/>
  <c r="CB96" i="63" s="1"/>
  <c r="CB97" i="63" s="1"/>
  <c r="CB98" i="63" s="1"/>
  <c r="CB99" i="63" s="1"/>
  <c r="CB100" i="63" s="1"/>
  <c r="CB101" i="63" s="1"/>
  <c r="CB102" i="63" s="1"/>
  <c r="CB103" i="63" s="1"/>
  <c r="CB104" i="63" s="1"/>
  <c r="CB105" i="63" s="1"/>
  <c r="CB106" i="63" s="1"/>
  <c r="CB107" i="63" s="1"/>
  <c r="CB108" i="63" s="1"/>
  <c r="CB109" i="63" s="1"/>
  <c r="CB110" i="63" s="1"/>
  <c r="CB111" i="63" s="1"/>
  <c r="CB112" i="63" s="1"/>
  <c r="CB113" i="63" s="1"/>
  <c r="CB114" i="63" s="1"/>
  <c r="CB115" i="63" s="1"/>
  <c r="CB116" i="63" s="1"/>
  <c r="CB117" i="63" s="1"/>
  <c r="CB118" i="63" s="1"/>
  <c r="CB119" i="63" s="1"/>
  <c r="CB120" i="63" s="1"/>
  <c r="CB121" i="63" s="1"/>
  <c r="CB122" i="63" s="1"/>
  <c r="CB123" i="63" s="1"/>
  <c r="CB124" i="63" s="1"/>
  <c r="CB125" i="63" s="1"/>
  <c r="CB126" i="63" s="1"/>
  <c r="CB127" i="63" s="1"/>
  <c r="CB128" i="63" s="1"/>
  <c r="CB129" i="63" s="1"/>
  <c r="CB130" i="63" s="1"/>
  <c r="CB131" i="63" s="1"/>
  <c r="CB132" i="63" s="1"/>
  <c r="CB133" i="63" s="1"/>
  <c r="CB134" i="63" s="1"/>
  <c r="CB135" i="63" s="1"/>
  <c r="CB136" i="63" s="1"/>
  <c r="CB137" i="63" s="1"/>
  <c r="CB138" i="63" s="1"/>
  <c r="CB139" i="63" s="1"/>
  <c r="CB140" i="63" s="1"/>
  <c r="CB141" i="63" s="1"/>
  <c r="CB142" i="63" s="1"/>
  <c r="CB143" i="63" s="1"/>
  <c r="CB144" i="63" s="1"/>
  <c r="CB145" i="63" s="1"/>
  <c r="CB146" i="63" s="1"/>
  <c r="CB147" i="63" s="1"/>
  <c r="CB148" i="63" s="1"/>
  <c r="CB149" i="63" s="1"/>
  <c r="CB150" i="63" s="1"/>
  <c r="CB151" i="63" s="1"/>
  <c r="CB152" i="63" s="1"/>
  <c r="CB153" i="63" s="1"/>
  <c r="CB154" i="63" s="1"/>
  <c r="CB155" i="63" s="1"/>
  <c r="CB156" i="63" s="1"/>
  <c r="CB157" i="63" s="1"/>
  <c r="CB158" i="63" s="1"/>
  <c r="CB159" i="63" s="1"/>
  <c r="CB160" i="63" s="1"/>
  <c r="CB161" i="63" s="1"/>
  <c r="CB162" i="63" s="1"/>
  <c r="CB163" i="63" s="1"/>
  <c r="CB164" i="63" s="1"/>
  <c r="CB165" i="63" s="1"/>
  <c r="CB166" i="63" s="1"/>
  <c r="CB167" i="63" s="1"/>
  <c r="CB168" i="63" s="1"/>
  <c r="CB169" i="63" s="1"/>
  <c r="CB170" i="63" s="1"/>
  <c r="CB171" i="63" s="1"/>
  <c r="CB172" i="63" s="1"/>
  <c r="CB173" i="63" s="1"/>
  <c r="CB174" i="63" s="1"/>
  <c r="CB175" i="63" s="1"/>
  <c r="CB176" i="63" s="1"/>
  <c r="CB177" i="63" s="1"/>
  <c r="CB178" i="63" s="1"/>
  <c r="CB179" i="63" s="1"/>
  <c r="CB180" i="63" s="1"/>
  <c r="CB181" i="63" s="1"/>
  <c r="CB182" i="63" s="1"/>
  <c r="CB183" i="63" s="1"/>
  <c r="CB184" i="63" s="1"/>
  <c r="CB185" i="63" s="1"/>
  <c r="CB186" i="63" s="1"/>
  <c r="CB187" i="63" s="1"/>
  <c r="CB188" i="63" s="1"/>
  <c r="CB189" i="63" s="1"/>
  <c r="CB190" i="63" s="1"/>
  <c r="CB191" i="63" s="1"/>
  <c r="CB192" i="63" s="1"/>
  <c r="CB193" i="63" s="1"/>
  <c r="CB194" i="63" s="1"/>
  <c r="CB195" i="63" s="1"/>
  <c r="CB196" i="63" s="1"/>
  <c r="CB197" i="63" s="1"/>
  <c r="CB198" i="63" s="1"/>
  <c r="CB199" i="63" s="1"/>
  <c r="CB200" i="63" s="1"/>
  <c r="CB201" i="63" s="1"/>
  <c r="CB202" i="63" s="1"/>
  <c r="CB203" i="63" s="1"/>
  <c r="CB204" i="63" s="1"/>
  <c r="CB205" i="63" s="1"/>
  <c r="CB206" i="63" s="1"/>
  <c r="CB207" i="63" s="1"/>
  <c r="CB208" i="63" s="1"/>
  <c r="CB209" i="63" s="1"/>
  <c r="CB210" i="63" s="1"/>
  <c r="CB211" i="63" s="1"/>
  <c r="CB212" i="63" s="1"/>
  <c r="CB213" i="63" s="1"/>
  <c r="CB214" i="63" s="1"/>
  <c r="CB215" i="63" s="1"/>
  <c r="CB216" i="63" s="1"/>
  <c r="CB217" i="63" s="1"/>
  <c r="CB218" i="63" s="1"/>
  <c r="CB219" i="63" s="1"/>
  <c r="CB220" i="63" s="1"/>
  <c r="CB221" i="63" s="1"/>
  <c r="CB222" i="63" s="1"/>
  <c r="CB223" i="63" s="1"/>
  <c r="CB224" i="63" s="1"/>
  <c r="CB225" i="63" s="1"/>
  <c r="CB226" i="63" s="1"/>
  <c r="CB227" i="63" s="1"/>
  <c r="CB228" i="63" s="1"/>
  <c r="CB229" i="63" s="1"/>
  <c r="CB230" i="63" s="1"/>
  <c r="CB231" i="63" s="1"/>
  <c r="CB232" i="63" s="1"/>
  <c r="CB233" i="63" s="1"/>
  <c r="CB234" i="63" s="1"/>
  <c r="CB235" i="63" s="1"/>
  <c r="CB236" i="63" s="1"/>
  <c r="CB237" i="63" s="1"/>
  <c r="CB238" i="63" s="1"/>
  <c r="CB239" i="63" s="1"/>
  <c r="CB240" i="63" s="1"/>
  <c r="CB241" i="63" s="1"/>
  <c r="CB242" i="63" s="1"/>
  <c r="CB243" i="63" s="1"/>
  <c r="CB244" i="63" s="1"/>
  <c r="CB245" i="63" s="1"/>
  <c r="CB246" i="63" s="1"/>
  <c r="CB247" i="63" s="1"/>
  <c r="CB248" i="63" s="1"/>
  <c r="CB249" i="63" s="1"/>
  <c r="CB250" i="63" s="1"/>
  <c r="CB251" i="63" s="1"/>
  <c r="CB252" i="63" s="1"/>
  <c r="CB253" i="63" s="1"/>
  <c r="CB254" i="63" s="1"/>
  <c r="CB255" i="63" s="1"/>
  <c r="CB256" i="63" s="1"/>
  <c r="CB257" i="63" s="1"/>
  <c r="CB258" i="63" s="1"/>
  <c r="CB259" i="63" s="1"/>
  <c r="CB260" i="63" s="1"/>
  <c r="CB261" i="63" s="1"/>
  <c r="CB262" i="63" s="1"/>
  <c r="CB263" i="63" s="1"/>
  <c r="CB264" i="63" s="1"/>
  <c r="CB265" i="63" s="1"/>
  <c r="CB266" i="63" s="1"/>
  <c r="CB267" i="63" s="1"/>
  <c r="CB268" i="63" s="1"/>
  <c r="CB269" i="63" s="1"/>
  <c r="CB270" i="63" s="1"/>
  <c r="CB271" i="63" s="1"/>
  <c r="CB272" i="63" s="1"/>
  <c r="CB273" i="63" s="1"/>
  <c r="CB274" i="63" s="1"/>
  <c r="CB275" i="63" s="1"/>
  <c r="CB276" i="63" s="1"/>
  <c r="CB277" i="63" s="1"/>
  <c r="CB278" i="63" s="1"/>
  <c r="CB279" i="63" s="1"/>
  <c r="CB280" i="63" s="1"/>
  <c r="CB281" i="63" s="1"/>
  <c r="CB282" i="63" s="1"/>
  <c r="CB283" i="63" s="1"/>
  <c r="CB284" i="63" s="1"/>
  <c r="CB285" i="63" s="1"/>
  <c r="CB286" i="63" s="1"/>
  <c r="CB287" i="63" s="1"/>
  <c r="CB288" i="63" s="1"/>
  <c r="CB289" i="63" s="1"/>
  <c r="CB290" i="63" s="1"/>
  <c r="CB291" i="63" s="1"/>
  <c r="CB292" i="63" s="1"/>
  <c r="CB293" i="63" s="1"/>
  <c r="CB294" i="63" s="1"/>
  <c r="CB295" i="63" s="1"/>
  <c r="CB296" i="63" s="1"/>
  <c r="CB297" i="63" s="1"/>
  <c r="CB298" i="63" s="1"/>
  <c r="CB299" i="63" s="1"/>
  <c r="CB300" i="63" s="1"/>
  <c r="CB301" i="63" s="1"/>
  <c r="CB302" i="63" s="1"/>
  <c r="CB303" i="63" s="1"/>
  <c r="CB304" i="63" s="1"/>
  <c r="CB305" i="63" s="1"/>
  <c r="CB306" i="63" s="1"/>
  <c r="CB307" i="63" s="1"/>
  <c r="CB308" i="63" s="1"/>
  <c r="CB7" i="63"/>
  <c r="CB6" i="63"/>
  <c r="CB5" i="63"/>
  <c r="CB4" i="63"/>
  <c r="CA8" i="63"/>
  <c r="CA7" i="63"/>
  <c r="CA6" i="63"/>
  <c r="CA5" i="63"/>
  <c r="CA4" i="63"/>
  <c r="BZ8" i="63"/>
  <c r="BZ9" i="63" s="1"/>
  <c r="BZ10" i="63" s="1"/>
  <c r="BZ11" i="63" s="1"/>
  <c r="BZ12" i="63" s="1"/>
  <c r="BZ13" i="63" s="1"/>
  <c r="BZ14" i="63" s="1"/>
  <c r="BZ15" i="63" s="1"/>
  <c r="BZ16" i="63" s="1"/>
  <c r="BZ17" i="63" s="1"/>
  <c r="BZ18" i="63" s="1"/>
  <c r="BZ19" i="63" s="1"/>
  <c r="BZ20" i="63" s="1"/>
  <c r="BZ21" i="63" s="1"/>
  <c r="BZ22" i="63" s="1"/>
  <c r="BZ23" i="63" s="1"/>
  <c r="BZ24" i="63" s="1"/>
  <c r="BZ25" i="63" s="1"/>
  <c r="BZ26" i="63" s="1"/>
  <c r="BZ27" i="63" s="1"/>
  <c r="BZ28" i="63" s="1"/>
  <c r="BZ29" i="63" s="1"/>
  <c r="BZ30" i="63" s="1"/>
  <c r="BZ31" i="63" s="1"/>
  <c r="BZ32" i="63" s="1"/>
  <c r="BZ33" i="63" s="1"/>
  <c r="BZ34" i="63" s="1"/>
  <c r="BZ35" i="63" s="1"/>
  <c r="BZ36" i="63" s="1"/>
  <c r="BZ37" i="63" s="1"/>
  <c r="BZ38" i="63" s="1"/>
  <c r="BZ39" i="63" s="1"/>
  <c r="BZ40" i="63" s="1"/>
  <c r="BZ41" i="63" s="1"/>
  <c r="BZ42" i="63" s="1"/>
  <c r="BZ43" i="63" s="1"/>
  <c r="BZ44" i="63" s="1"/>
  <c r="BZ45" i="63" s="1"/>
  <c r="BZ46" i="63" s="1"/>
  <c r="BZ47" i="63" s="1"/>
  <c r="BZ48" i="63" s="1"/>
  <c r="BZ49" i="63" s="1"/>
  <c r="BZ50" i="63" s="1"/>
  <c r="BZ51" i="63" s="1"/>
  <c r="BZ52" i="63" s="1"/>
  <c r="BZ53" i="63" s="1"/>
  <c r="BZ54" i="63" s="1"/>
  <c r="BZ55" i="63" s="1"/>
  <c r="BZ56" i="63" s="1"/>
  <c r="BZ57" i="63" s="1"/>
  <c r="BZ58" i="63" s="1"/>
  <c r="BZ59" i="63" s="1"/>
  <c r="BZ60" i="63" s="1"/>
  <c r="BZ61" i="63" s="1"/>
  <c r="BZ62" i="63" s="1"/>
  <c r="BZ63" i="63" s="1"/>
  <c r="BZ64" i="63" s="1"/>
  <c r="BZ65" i="63" s="1"/>
  <c r="BZ66" i="63" s="1"/>
  <c r="BZ67" i="63" s="1"/>
  <c r="BZ68" i="63" s="1"/>
  <c r="BZ69" i="63" s="1"/>
  <c r="BZ70" i="63" s="1"/>
  <c r="BZ71" i="63" s="1"/>
  <c r="BZ72" i="63" s="1"/>
  <c r="BZ73" i="63" s="1"/>
  <c r="BZ74" i="63" s="1"/>
  <c r="BZ75" i="63" s="1"/>
  <c r="BZ76" i="63" s="1"/>
  <c r="BZ77" i="63" s="1"/>
  <c r="BZ78" i="63" s="1"/>
  <c r="BZ79" i="63" s="1"/>
  <c r="BZ80" i="63" s="1"/>
  <c r="BZ81" i="63" s="1"/>
  <c r="BZ82" i="63" s="1"/>
  <c r="BZ83" i="63" s="1"/>
  <c r="BZ84" i="63" s="1"/>
  <c r="BZ85" i="63" s="1"/>
  <c r="BZ86" i="63" s="1"/>
  <c r="BZ87" i="63" s="1"/>
  <c r="BZ88" i="63" s="1"/>
  <c r="BZ89" i="63" s="1"/>
  <c r="BZ90" i="63" s="1"/>
  <c r="BZ91" i="63" s="1"/>
  <c r="BZ92" i="63" s="1"/>
  <c r="BZ93" i="63" s="1"/>
  <c r="BZ94" i="63" s="1"/>
  <c r="BZ95" i="63" s="1"/>
  <c r="BZ96" i="63" s="1"/>
  <c r="BZ97" i="63" s="1"/>
  <c r="BZ98" i="63" s="1"/>
  <c r="BZ99" i="63" s="1"/>
  <c r="BZ100" i="63" s="1"/>
  <c r="BZ101" i="63" s="1"/>
  <c r="BZ102" i="63" s="1"/>
  <c r="BZ103" i="63" s="1"/>
  <c r="BZ104" i="63" s="1"/>
  <c r="BZ105" i="63" s="1"/>
  <c r="BZ106" i="63" s="1"/>
  <c r="BZ107" i="63" s="1"/>
  <c r="BZ108" i="63" s="1"/>
  <c r="BZ109" i="63" s="1"/>
  <c r="BZ110" i="63" s="1"/>
  <c r="BZ111" i="63" s="1"/>
  <c r="BZ112" i="63" s="1"/>
  <c r="BZ113" i="63" s="1"/>
  <c r="BZ114" i="63" s="1"/>
  <c r="BZ115" i="63" s="1"/>
  <c r="BZ116" i="63" s="1"/>
  <c r="BZ117" i="63" s="1"/>
  <c r="BZ118" i="63" s="1"/>
  <c r="BZ119" i="63" s="1"/>
  <c r="BZ120" i="63" s="1"/>
  <c r="BZ121" i="63" s="1"/>
  <c r="BZ122" i="63" s="1"/>
  <c r="BZ123" i="63" s="1"/>
  <c r="BZ124" i="63" s="1"/>
  <c r="BZ125" i="63" s="1"/>
  <c r="BZ126" i="63" s="1"/>
  <c r="BZ127" i="63" s="1"/>
  <c r="BZ128" i="63" s="1"/>
  <c r="BZ129" i="63" s="1"/>
  <c r="BZ130" i="63" s="1"/>
  <c r="BZ131" i="63" s="1"/>
  <c r="BZ132" i="63" s="1"/>
  <c r="BZ133" i="63" s="1"/>
  <c r="BZ134" i="63" s="1"/>
  <c r="BZ135" i="63" s="1"/>
  <c r="BZ136" i="63" s="1"/>
  <c r="BZ137" i="63" s="1"/>
  <c r="BZ138" i="63" s="1"/>
  <c r="BZ139" i="63" s="1"/>
  <c r="BZ140" i="63" s="1"/>
  <c r="BZ141" i="63" s="1"/>
  <c r="BZ142" i="63" s="1"/>
  <c r="BZ143" i="63" s="1"/>
  <c r="BZ144" i="63" s="1"/>
  <c r="BZ145" i="63" s="1"/>
  <c r="BZ146" i="63" s="1"/>
  <c r="BZ147" i="63" s="1"/>
  <c r="BZ148" i="63" s="1"/>
  <c r="BZ149" i="63" s="1"/>
  <c r="BZ150" i="63" s="1"/>
  <c r="BZ151" i="63" s="1"/>
  <c r="BZ152" i="63" s="1"/>
  <c r="BZ153" i="63" s="1"/>
  <c r="BZ154" i="63" s="1"/>
  <c r="BZ155" i="63" s="1"/>
  <c r="BZ156" i="63" s="1"/>
  <c r="BZ157" i="63" s="1"/>
  <c r="BZ158" i="63" s="1"/>
  <c r="BZ159" i="63" s="1"/>
  <c r="BZ160" i="63" s="1"/>
  <c r="BZ161" i="63" s="1"/>
  <c r="BZ162" i="63" s="1"/>
  <c r="BZ163" i="63" s="1"/>
  <c r="BZ164" i="63" s="1"/>
  <c r="BZ165" i="63" s="1"/>
  <c r="BZ166" i="63" s="1"/>
  <c r="BZ167" i="63" s="1"/>
  <c r="BZ168" i="63" s="1"/>
  <c r="BZ169" i="63" s="1"/>
  <c r="BZ170" i="63" s="1"/>
  <c r="BZ171" i="63" s="1"/>
  <c r="BZ172" i="63" s="1"/>
  <c r="BZ173" i="63" s="1"/>
  <c r="BZ174" i="63" s="1"/>
  <c r="BZ175" i="63" s="1"/>
  <c r="BZ176" i="63" s="1"/>
  <c r="BZ177" i="63" s="1"/>
  <c r="BZ178" i="63" s="1"/>
  <c r="BZ179" i="63" s="1"/>
  <c r="BZ180" i="63" s="1"/>
  <c r="BZ181" i="63" s="1"/>
  <c r="BZ182" i="63" s="1"/>
  <c r="BZ183" i="63" s="1"/>
  <c r="BZ184" i="63" s="1"/>
  <c r="BZ185" i="63" s="1"/>
  <c r="BZ186" i="63" s="1"/>
  <c r="BZ187" i="63" s="1"/>
  <c r="BZ188" i="63" s="1"/>
  <c r="BZ189" i="63" s="1"/>
  <c r="BZ190" i="63" s="1"/>
  <c r="BZ191" i="63" s="1"/>
  <c r="BZ192" i="63" s="1"/>
  <c r="BZ193" i="63" s="1"/>
  <c r="BZ194" i="63" s="1"/>
  <c r="BZ195" i="63" s="1"/>
  <c r="BZ196" i="63" s="1"/>
  <c r="BZ197" i="63" s="1"/>
  <c r="BZ198" i="63" s="1"/>
  <c r="BZ199" i="63" s="1"/>
  <c r="BZ200" i="63" s="1"/>
  <c r="BZ201" i="63" s="1"/>
  <c r="BZ202" i="63" s="1"/>
  <c r="BZ203" i="63" s="1"/>
  <c r="BZ204" i="63" s="1"/>
  <c r="BZ205" i="63" s="1"/>
  <c r="BZ206" i="63" s="1"/>
  <c r="BZ207" i="63" s="1"/>
  <c r="BZ208" i="63" s="1"/>
  <c r="BZ209" i="63" s="1"/>
  <c r="BZ210" i="63" s="1"/>
  <c r="BZ211" i="63" s="1"/>
  <c r="BZ212" i="63" s="1"/>
  <c r="BZ213" i="63" s="1"/>
  <c r="BZ214" i="63" s="1"/>
  <c r="BZ215" i="63" s="1"/>
  <c r="BZ216" i="63" s="1"/>
  <c r="BZ217" i="63" s="1"/>
  <c r="BZ218" i="63" s="1"/>
  <c r="BZ219" i="63" s="1"/>
  <c r="BZ220" i="63" s="1"/>
  <c r="BZ221" i="63" s="1"/>
  <c r="BZ222" i="63" s="1"/>
  <c r="BZ223" i="63" s="1"/>
  <c r="BZ224" i="63" s="1"/>
  <c r="BZ225" i="63" s="1"/>
  <c r="BZ226" i="63" s="1"/>
  <c r="BZ227" i="63" s="1"/>
  <c r="BZ228" i="63" s="1"/>
  <c r="BZ229" i="63" s="1"/>
  <c r="BZ230" i="63" s="1"/>
  <c r="BZ231" i="63" s="1"/>
  <c r="BZ232" i="63" s="1"/>
  <c r="BZ233" i="63" s="1"/>
  <c r="BZ234" i="63" s="1"/>
  <c r="BZ235" i="63" s="1"/>
  <c r="BZ236" i="63" s="1"/>
  <c r="BZ237" i="63" s="1"/>
  <c r="BZ238" i="63" s="1"/>
  <c r="BZ239" i="63" s="1"/>
  <c r="BZ240" i="63" s="1"/>
  <c r="BZ241" i="63" s="1"/>
  <c r="BZ242" i="63" s="1"/>
  <c r="BZ243" i="63" s="1"/>
  <c r="BZ244" i="63" s="1"/>
  <c r="BZ245" i="63" s="1"/>
  <c r="BZ246" i="63" s="1"/>
  <c r="BZ247" i="63" s="1"/>
  <c r="BZ248" i="63" s="1"/>
  <c r="BZ249" i="63" s="1"/>
  <c r="BZ250" i="63" s="1"/>
  <c r="BZ251" i="63" s="1"/>
  <c r="BZ252" i="63" s="1"/>
  <c r="BZ253" i="63" s="1"/>
  <c r="BZ254" i="63" s="1"/>
  <c r="BZ255" i="63" s="1"/>
  <c r="BZ256" i="63" s="1"/>
  <c r="BZ257" i="63" s="1"/>
  <c r="BZ258" i="63" s="1"/>
  <c r="BZ259" i="63" s="1"/>
  <c r="BZ260" i="63" s="1"/>
  <c r="BZ261" i="63" s="1"/>
  <c r="BZ262" i="63" s="1"/>
  <c r="BZ263" i="63" s="1"/>
  <c r="BZ264" i="63" s="1"/>
  <c r="BZ265" i="63" s="1"/>
  <c r="BZ266" i="63" s="1"/>
  <c r="BZ267" i="63" s="1"/>
  <c r="BZ268" i="63" s="1"/>
  <c r="BZ269" i="63" s="1"/>
  <c r="BZ270" i="63" s="1"/>
  <c r="BZ271" i="63" s="1"/>
  <c r="BZ272" i="63" s="1"/>
  <c r="BZ273" i="63" s="1"/>
  <c r="BZ274" i="63" s="1"/>
  <c r="BZ275" i="63" s="1"/>
  <c r="BZ276" i="63" s="1"/>
  <c r="BZ277" i="63" s="1"/>
  <c r="BZ278" i="63" s="1"/>
  <c r="BZ279" i="63" s="1"/>
  <c r="BZ280" i="63" s="1"/>
  <c r="BZ281" i="63" s="1"/>
  <c r="BZ282" i="63" s="1"/>
  <c r="BZ283" i="63" s="1"/>
  <c r="BZ284" i="63" s="1"/>
  <c r="BZ285" i="63" s="1"/>
  <c r="BZ286" i="63" s="1"/>
  <c r="BZ287" i="63" s="1"/>
  <c r="BZ288" i="63" s="1"/>
  <c r="BZ289" i="63" s="1"/>
  <c r="BZ290" i="63" s="1"/>
  <c r="BZ291" i="63" s="1"/>
  <c r="BZ292" i="63" s="1"/>
  <c r="BZ293" i="63" s="1"/>
  <c r="BZ294" i="63" s="1"/>
  <c r="BZ295" i="63" s="1"/>
  <c r="BZ296" i="63" s="1"/>
  <c r="BZ297" i="63" s="1"/>
  <c r="BZ298" i="63" s="1"/>
  <c r="BZ299" i="63" s="1"/>
  <c r="BZ300" i="63" s="1"/>
  <c r="BZ301" i="63" s="1"/>
  <c r="BZ302" i="63" s="1"/>
  <c r="BZ303" i="63" s="1"/>
  <c r="BZ304" i="63" s="1"/>
  <c r="BZ305" i="63" s="1"/>
  <c r="BZ306" i="63" s="1"/>
  <c r="BZ307" i="63" s="1"/>
  <c r="BZ308" i="63" s="1"/>
  <c r="BZ7" i="63"/>
  <c r="BZ6" i="63"/>
  <c r="BZ5" i="63"/>
  <c r="BZ4" i="63"/>
  <c r="BY8" i="63"/>
  <c r="BY9" i="63" s="1"/>
  <c r="BY10" i="63" s="1"/>
  <c r="BY11" i="63" s="1"/>
  <c r="BY12" i="63" s="1"/>
  <c r="BY13" i="63" s="1"/>
  <c r="BY14" i="63" s="1"/>
  <c r="BY15" i="63" s="1"/>
  <c r="BY16" i="63" s="1"/>
  <c r="BY17" i="63" s="1"/>
  <c r="BY18" i="63" s="1"/>
  <c r="BY19" i="63" s="1"/>
  <c r="BY20" i="63" s="1"/>
  <c r="BY21" i="63" s="1"/>
  <c r="BY22" i="63" s="1"/>
  <c r="BY23" i="63" s="1"/>
  <c r="BY24" i="63" s="1"/>
  <c r="BY25" i="63" s="1"/>
  <c r="BY26" i="63" s="1"/>
  <c r="BY27" i="63" s="1"/>
  <c r="BY28" i="63" s="1"/>
  <c r="BY29" i="63" s="1"/>
  <c r="BY30" i="63" s="1"/>
  <c r="BY31" i="63" s="1"/>
  <c r="BY32" i="63" s="1"/>
  <c r="BY33" i="63" s="1"/>
  <c r="BY34" i="63" s="1"/>
  <c r="BY35" i="63" s="1"/>
  <c r="BY36" i="63" s="1"/>
  <c r="BY37" i="63" s="1"/>
  <c r="BY38" i="63" s="1"/>
  <c r="BY39" i="63" s="1"/>
  <c r="BY40" i="63" s="1"/>
  <c r="BY41" i="63" s="1"/>
  <c r="BY42" i="63" s="1"/>
  <c r="BY43" i="63" s="1"/>
  <c r="BY44" i="63" s="1"/>
  <c r="BY45" i="63" s="1"/>
  <c r="BY46" i="63" s="1"/>
  <c r="BY47" i="63" s="1"/>
  <c r="BY48" i="63" s="1"/>
  <c r="BY49" i="63" s="1"/>
  <c r="BY50" i="63" s="1"/>
  <c r="BY51" i="63" s="1"/>
  <c r="BY52" i="63" s="1"/>
  <c r="BY53" i="63" s="1"/>
  <c r="BY54" i="63" s="1"/>
  <c r="BY55" i="63" s="1"/>
  <c r="BY56" i="63" s="1"/>
  <c r="BY57" i="63" s="1"/>
  <c r="BY58" i="63" s="1"/>
  <c r="BY59" i="63" s="1"/>
  <c r="BY60" i="63" s="1"/>
  <c r="BY61" i="63" s="1"/>
  <c r="BY62" i="63" s="1"/>
  <c r="BY63" i="63" s="1"/>
  <c r="BY64" i="63" s="1"/>
  <c r="BY65" i="63" s="1"/>
  <c r="BY66" i="63" s="1"/>
  <c r="BY67" i="63" s="1"/>
  <c r="BY68" i="63" s="1"/>
  <c r="BY69" i="63" s="1"/>
  <c r="BY70" i="63" s="1"/>
  <c r="BY71" i="63" s="1"/>
  <c r="BY72" i="63" s="1"/>
  <c r="BY73" i="63" s="1"/>
  <c r="BY74" i="63" s="1"/>
  <c r="BY75" i="63" s="1"/>
  <c r="BY76" i="63" s="1"/>
  <c r="BY77" i="63" s="1"/>
  <c r="BY78" i="63" s="1"/>
  <c r="BY79" i="63" s="1"/>
  <c r="BY80" i="63" s="1"/>
  <c r="BY81" i="63" s="1"/>
  <c r="BY82" i="63" s="1"/>
  <c r="BY83" i="63" s="1"/>
  <c r="BY84" i="63" s="1"/>
  <c r="BY85" i="63" s="1"/>
  <c r="BY86" i="63" s="1"/>
  <c r="BY87" i="63" s="1"/>
  <c r="BY88" i="63" s="1"/>
  <c r="BY89" i="63" s="1"/>
  <c r="BY90" i="63" s="1"/>
  <c r="BY91" i="63" s="1"/>
  <c r="BY92" i="63" s="1"/>
  <c r="BY93" i="63" s="1"/>
  <c r="BY94" i="63" s="1"/>
  <c r="BY95" i="63" s="1"/>
  <c r="BY96" i="63" s="1"/>
  <c r="BY97" i="63" s="1"/>
  <c r="BY98" i="63" s="1"/>
  <c r="BY99" i="63" s="1"/>
  <c r="BY100" i="63" s="1"/>
  <c r="BY101" i="63" s="1"/>
  <c r="BY102" i="63" s="1"/>
  <c r="BY103" i="63" s="1"/>
  <c r="BY104" i="63" s="1"/>
  <c r="BY105" i="63" s="1"/>
  <c r="BY106" i="63" s="1"/>
  <c r="BY107" i="63" s="1"/>
  <c r="BY108" i="63" s="1"/>
  <c r="BY109" i="63" s="1"/>
  <c r="BY110" i="63" s="1"/>
  <c r="BY111" i="63" s="1"/>
  <c r="BY112" i="63" s="1"/>
  <c r="BY113" i="63" s="1"/>
  <c r="BY114" i="63" s="1"/>
  <c r="BY115" i="63" s="1"/>
  <c r="BY116" i="63" s="1"/>
  <c r="BY117" i="63" s="1"/>
  <c r="BY118" i="63" s="1"/>
  <c r="BY119" i="63" s="1"/>
  <c r="BY120" i="63" s="1"/>
  <c r="BY121" i="63" s="1"/>
  <c r="BY122" i="63" s="1"/>
  <c r="BY123" i="63" s="1"/>
  <c r="BY124" i="63" s="1"/>
  <c r="BY125" i="63" s="1"/>
  <c r="BY126" i="63" s="1"/>
  <c r="BY127" i="63" s="1"/>
  <c r="BY128" i="63" s="1"/>
  <c r="BY129" i="63" s="1"/>
  <c r="BY130" i="63" s="1"/>
  <c r="BY131" i="63" s="1"/>
  <c r="BY132" i="63" s="1"/>
  <c r="BY133" i="63" s="1"/>
  <c r="BY134" i="63" s="1"/>
  <c r="BY135" i="63" s="1"/>
  <c r="BY136" i="63" s="1"/>
  <c r="BY137" i="63" s="1"/>
  <c r="BY138" i="63" s="1"/>
  <c r="BY139" i="63" s="1"/>
  <c r="BY140" i="63" s="1"/>
  <c r="BY141" i="63" s="1"/>
  <c r="BY142" i="63" s="1"/>
  <c r="BY143" i="63" s="1"/>
  <c r="BY144" i="63" s="1"/>
  <c r="BY145" i="63" s="1"/>
  <c r="BY146" i="63" s="1"/>
  <c r="BY147" i="63" s="1"/>
  <c r="BY148" i="63" s="1"/>
  <c r="BY149" i="63" s="1"/>
  <c r="BY150" i="63" s="1"/>
  <c r="BY151" i="63" s="1"/>
  <c r="BY152" i="63" s="1"/>
  <c r="BY153" i="63" s="1"/>
  <c r="BY154" i="63" s="1"/>
  <c r="BY155" i="63" s="1"/>
  <c r="BY156" i="63" s="1"/>
  <c r="BY157" i="63" s="1"/>
  <c r="BY158" i="63" s="1"/>
  <c r="BY159" i="63" s="1"/>
  <c r="BY160" i="63" s="1"/>
  <c r="BY161" i="63" s="1"/>
  <c r="BY162" i="63" s="1"/>
  <c r="BY163" i="63" s="1"/>
  <c r="BY164" i="63" s="1"/>
  <c r="BY165" i="63" s="1"/>
  <c r="BY166" i="63" s="1"/>
  <c r="BY167" i="63" s="1"/>
  <c r="BY168" i="63" s="1"/>
  <c r="BY169" i="63" s="1"/>
  <c r="BY170" i="63" s="1"/>
  <c r="BY171" i="63" s="1"/>
  <c r="BY172" i="63" s="1"/>
  <c r="BY173" i="63" s="1"/>
  <c r="BY174" i="63" s="1"/>
  <c r="BY175" i="63" s="1"/>
  <c r="BY176" i="63" s="1"/>
  <c r="BY177" i="63" s="1"/>
  <c r="BY178" i="63" s="1"/>
  <c r="BY179" i="63" s="1"/>
  <c r="BY180" i="63" s="1"/>
  <c r="BY181" i="63" s="1"/>
  <c r="BY182" i="63" s="1"/>
  <c r="BY183" i="63" s="1"/>
  <c r="BY184" i="63" s="1"/>
  <c r="BY185" i="63" s="1"/>
  <c r="BY186" i="63" s="1"/>
  <c r="BY187" i="63" s="1"/>
  <c r="BY188" i="63" s="1"/>
  <c r="BY189" i="63" s="1"/>
  <c r="BY190" i="63" s="1"/>
  <c r="BY191" i="63" s="1"/>
  <c r="BY192" i="63" s="1"/>
  <c r="BY193" i="63" s="1"/>
  <c r="BY194" i="63" s="1"/>
  <c r="BY195" i="63" s="1"/>
  <c r="BY196" i="63" s="1"/>
  <c r="BY197" i="63" s="1"/>
  <c r="BY198" i="63" s="1"/>
  <c r="BY199" i="63" s="1"/>
  <c r="BY200" i="63" s="1"/>
  <c r="BY201" i="63" s="1"/>
  <c r="BY202" i="63" s="1"/>
  <c r="BY203" i="63" s="1"/>
  <c r="BY204" i="63" s="1"/>
  <c r="BY205" i="63" s="1"/>
  <c r="BY206" i="63" s="1"/>
  <c r="BY207" i="63" s="1"/>
  <c r="BY208" i="63" s="1"/>
  <c r="BY209" i="63" s="1"/>
  <c r="BY210" i="63" s="1"/>
  <c r="BY211" i="63" s="1"/>
  <c r="BY212" i="63" s="1"/>
  <c r="BY213" i="63" s="1"/>
  <c r="BY214" i="63" s="1"/>
  <c r="BY215" i="63" s="1"/>
  <c r="BY216" i="63" s="1"/>
  <c r="BY217" i="63" s="1"/>
  <c r="BY218" i="63" s="1"/>
  <c r="BY219" i="63" s="1"/>
  <c r="BY220" i="63" s="1"/>
  <c r="BY221" i="63" s="1"/>
  <c r="BY222" i="63" s="1"/>
  <c r="BY223" i="63" s="1"/>
  <c r="BY224" i="63" s="1"/>
  <c r="BY225" i="63" s="1"/>
  <c r="BY226" i="63" s="1"/>
  <c r="BY227" i="63" s="1"/>
  <c r="BY228" i="63" s="1"/>
  <c r="BY229" i="63" s="1"/>
  <c r="BY230" i="63" s="1"/>
  <c r="BY231" i="63" s="1"/>
  <c r="BY232" i="63" s="1"/>
  <c r="BY233" i="63" s="1"/>
  <c r="BY234" i="63" s="1"/>
  <c r="BY235" i="63" s="1"/>
  <c r="BY236" i="63" s="1"/>
  <c r="BY237" i="63" s="1"/>
  <c r="BY238" i="63" s="1"/>
  <c r="BY239" i="63" s="1"/>
  <c r="BY240" i="63" s="1"/>
  <c r="BY241" i="63" s="1"/>
  <c r="BY242" i="63" s="1"/>
  <c r="BY243" i="63" s="1"/>
  <c r="BY244" i="63" s="1"/>
  <c r="BY245" i="63" s="1"/>
  <c r="BY246" i="63" s="1"/>
  <c r="BY247" i="63" s="1"/>
  <c r="BY248" i="63" s="1"/>
  <c r="BY249" i="63" s="1"/>
  <c r="BY250" i="63" s="1"/>
  <c r="BY251" i="63" s="1"/>
  <c r="BY252" i="63" s="1"/>
  <c r="BY253" i="63" s="1"/>
  <c r="BY254" i="63" s="1"/>
  <c r="BY255" i="63" s="1"/>
  <c r="BY256" i="63" s="1"/>
  <c r="BY257" i="63" s="1"/>
  <c r="BY258" i="63" s="1"/>
  <c r="BY259" i="63" s="1"/>
  <c r="BY260" i="63" s="1"/>
  <c r="BY261" i="63" s="1"/>
  <c r="BY262" i="63" s="1"/>
  <c r="BY263" i="63" s="1"/>
  <c r="BY264" i="63" s="1"/>
  <c r="BY265" i="63" s="1"/>
  <c r="BY266" i="63" s="1"/>
  <c r="BY267" i="63" s="1"/>
  <c r="BY268" i="63" s="1"/>
  <c r="BY269" i="63" s="1"/>
  <c r="BY270" i="63" s="1"/>
  <c r="BY271" i="63" s="1"/>
  <c r="BY272" i="63" s="1"/>
  <c r="BY273" i="63" s="1"/>
  <c r="BY274" i="63" s="1"/>
  <c r="BY275" i="63" s="1"/>
  <c r="BY276" i="63" s="1"/>
  <c r="BY277" i="63" s="1"/>
  <c r="BY278" i="63" s="1"/>
  <c r="BY279" i="63" s="1"/>
  <c r="BY280" i="63" s="1"/>
  <c r="BY281" i="63" s="1"/>
  <c r="BY282" i="63" s="1"/>
  <c r="BY283" i="63" s="1"/>
  <c r="BY284" i="63" s="1"/>
  <c r="BY285" i="63" s="1"/>
  <c r="BY286" i="63" s="1"/>
  <c r="BY287" i="63" s="1"/>
  <c r="BY288" i="63" s="1"/>
  <c r="BY289" i="63" s="1"/>
  <c r="BY290" i="63" s="1"/>
  <c r="BY291" i="63" s="1"/>
  <c r="BY292" i="63" s="1"/>
  <c r="BY293" i="63" s="1"/>
  <c r="BY294" i="63" s="1"/>
  <c r="BY295" i="63" s="1"/>
  <c r="BY296" i="63" s="1"/>
  <c r="BY297" i="63" s="1"/>
  <c r="BY298" i="63" s="1"/>
  <c r="BY299" i="63" s="1"/>
  <c r="BY300" i="63" s="1"/>
  <c r="BY301" i="63" s="1"/>
  <c r="BY302" i="63" s="1"/>
  <c r="BY303" i="63" s="1"/>
  <c r="BY304" i="63" s="1"/>
  <c r="BY305" i="63" s="1"/>
  <c r="BY306" i="63" s="1"/>
  <c r="BY307" i="63" s="1"/>
  <c r="BY308" i="63" s="1"/>
  <c r="BY7" i="63"/>
  <c r="BY6" i="63"/>
  <c r="BY5" i="63"/>
  <c r="BY4" i="63"/>
  <c r="BX8" i="63"/>
  <c r="BX7" i="63"/>
  <c r="BX6" i="63"/>
  <c r="BX9" i="63" s="1"/>
  <c r="BX10" i="63" s="1"/>
  <c r="BX11" i="63" s="1"/>
  <c r="BX12" i="63" s="1"/>
  <c r="BX13" i="63" s="1"/>
  <c r="BX14" i="63" s="1"/>
  <c r="BX15" i="63" s="1"/>
  <c r="BX16" i="63" s="1"/>
  <c r="BX17" i="63" s="1"/>
  <c r="BX18" i="63" s="1"/>
  <c r="BX19" i="63" s="1"/>
  <c r="BX20" i="63" s="1"/>
  <c r="BX21" i="63" s="1"/>
  <c r="BX22" i="63" s="1"/>
  <c r="BX23" i="63" s="1"/>
  <c r="BX24" i="63" s="1"/>
  <c r="BX25" i="63" s="1"/>
  <c r="BX26" i="63" s="1"/>
  <c r="BX27" i="63" s="1"/>
  <c r="BX28" i="63" s="1"/>
  <c r="BX29" i="63" s="1"/>
  <c r="BX30" i="63" s="1"/>
  <c r="BX31" i="63" s="1"/>
  <c r="BX32" i="63" s="1"/>
  <c r="BX33" i="63" s="1"/>
  <c r="BX34" i="63" s="1"/>
  <c r="BX35" i="63" s="1"/>
  <c r="BX36" i="63" s="1"/>
  <c r="BX37" i="63" s="1"/>
  <c r="BX38" i="63" s="1"/>
  <c r="BX39" i="63" s="1"/>
  <c r="BX40" i="63" s="1"/>
  <c r="BX41" i="63" s="1"/>
  <c r="BX42" i="63" s="1"/>
  <c r="BX43" i="63" s="1"/>
  <c r="BX44" i="63" s="1"/>
  <c r="BX45" i="63" s="1"/>
  <c r="BX46" i="63" s="1"/>
  <c r="BX47" i="63" s="1"/>
  <c r="BX48" i="63" s="1"/>
  <c r="BX49" i="63" s="1"/>
  <c r="BX50" i="63" s="1"/>
  <c r="BX51" i="63" s="1"/>
  <c r="BX52" i="63" s="1"/>
  <c r="BX53" i="63" s="1"/>
  <c r="BX54" i="63" s="1"/>
  <c r="BX55" i="63" s="1"/>
  <c r="BX56" i="63" s="1"/>
  <c r="BX57" i="63" s="1"/>
  <c r="BX58" i="63" s="1"/>
  <c r="BX59" i="63" s="1"/>
  <c r="BX60" i="63" s="1"/>
  <c r="BX61" i="63" s="1"/>
  <c r="BX62" i="63" s="1"/>
  <c r="BX63" i="63" s="1"/>
  <c r="BX64" i="63" s="1"/>
  <c r="BX65" i="63" s="1"/>
  <c r="BX66" i="63" s="1"/>
  <c r="BX67" i="63" s="1"/>
  <c r="BX68" i="63" s="1"/>
  <c r="BX69" i="63" s="1"/>
  <c r="BX70" i="63" s="1"/>
  <c r="BX71" i="63" s="1"/>
  <c r="BX72" i="63" s="1"/>
  <c r="BX73" i="63" s="1"/>
  <c r="BX74" i="63" s="1"/>
  <c r="BX75" i="63" s="1"/>
  <c r="BX76" i="63" s="1"/>
  <c r="BX77" i="63" s="1"/>
  <c r="BX78" i="63" s="1"/>
  <c r="BX79" i="63" s="1"/>
  <c r="BX80" i="63" s="1"/>
  <c r="BX81" i="63" s="1"/>
  <c r="BX82" i="63" s="1"/>
  <c r="BX83" i="63" s="1"/>
  <c r="BX84" i="63" s="1"/>
  <c r="BX85" i="63" s="1"/>
  <c r="BX86" i="63" s="1"/>
  <c r="BX87" i="63" s="1"/>
  <c r="BX88" i="63" s="1"/>
  <c r="BX89" i="63" s="1"/>
  <c r="BX90" i="63" s="1"/>
  <c r="BX91" i="63" s="1"/>
  <c r="BX92" i="63" s="1"/>
  <c r="BX93" i="63" s="1"/>
  <c r="BX94" i="63" s="1"/>
  <c r="BX95" i="63" s="1"/>
  <c r="BX96" i="63" s="1"/>
  <c r="BX97" i="63" s="1"/>
  <c r="BX98" i="63" s="1"/>
  <c r="BX99" i="63" s="1"/>
  <c r="BX100" i="63" s="1"/>
  <c r="BX101" i="63" s="1"/>
  <c r="BX102" i="63" s="1"/>
  <c r="BX103" i="63" s="1"/>
  <c r="BX104" i="63" s="1"/>
  <c r="BX105" i="63" s="1"/>
  <c r="BX106" i="63" s="1"/>
  <c r="BX107" i="63" s="1"/>
  <c r="BX108" i="63" s="1"/>
  <c r="BX109" i="63" s="1"/>
  <c r="BX110" i="63" s="1"/>
  <c r="BX111" i="63" s="1"/>
  <c r="BX112" i="63" s="1"/>
  <c r="BX113" i="63" s="1"/>
  <c r="BX114" i="63" s="1"/>
  <c r="BX115" i="63" s="1"/>
  <c r="BX116" i="63" s="1"/>
  <c r="BX117" i="63" s="1"/>
  <c r="BX118" i="63" s="1"/>
  <c r="BX119" i="63" s="1"/>
  <c r="BX120" i="63" s="1"/>
  <c r="BX121" i="63" s="1"/>
  <c r="BX122" i="63" s="1"/>
  <c r="BX123" i="63" s="1"/>
  <c r="BX124" i="63" s="1"/>
  <c r="BX125" i="63" s="1"/>
  <c r="BX126" i="63" s="1"/>
  <c r="BX127" i="63" s="1"/>
  <c r="BX128" i="63" s="1"/>
  <c r="BX129" i="63" s="1"/>
  <c r="BX130" i="63" s="1"/>
  <c r="BX131" i="63" s="1"/>
  <c r="BX132" i="63" s="1"/>
  <c r="BX133" i="63" s="1"/>
  <c r="BX134" i="63" s="1"/>
  <c r="BX135" i="63" s="1"/>
  <c r="BX136" i="63" s="1"/>
  <c r="BX137" i="63" s="1"/>
  <c r="BX138" i="63" s="1"/>
  <c r="BX139" i="63" s="1"/>
  <c r="BX140" i="63" s="1"/>
  <c r="BX141" i="63" s="1"/>
  <c r="BX142" i="63" s="1"/>
  <c r="BX143" i="63" s="1"/>
  <c r="BX144" i="63" s="1"/>
  <c r="BX145" i="63" s="1"/>
  <c r="BX146" i="63" s="1"/>
  <c r="BX147" i="63" s="1"/>
  <c r="BX148" i="63" s="1"/>
  <c r="BX149" i="63" s="1"/>
  <c r="BX150" i="63" s="1"/>
  <c r="BX151" i="63" s="1"/>
  <c r="BX152" i="63" s="1"/>
  <c r="BX153" i="63" s="1"/>
  <c r="BX154" i="63" s="1"/>
  <c r="BX155" i="63" s="1"/>
  <c r="BX156" i="63" s="1"/>
  <c r="BX157" i="63" s="1"/>
  <c r="BX158" i="63" s="1"/>
  <c r="BX159" i="63" s="1"/>
  <c r="BX160" i="63" s="1"/>
  <c r="BX161" i="63" s="1"/>
  <c r="BX162" i="63" s="1"/>
  <c r="BX163" i="63" s="1"/>
  <c r="BX164" i="63" s="1"/>
  <c r="BX165" i="63" s="1"/>
  <c r="BX166" i="63" s="1"/>
  <c r="BX167" i="63" s="1"/>
  <c r="BX168" i="63" s="1"/>
  <c r="BX169" i="63" s="1"/>
  <c r="BX170" i="63" s="1"/>
  <c r="BX171" i="63" s="1"/>
  <c r="BX172" i="63" s="1"/>
  <c r="BX173" i="63" s="1"/>
  <c r="BX174" i="63" s="1"/>
  <c r="BX175" i="63" s="1"/>
  <c r="BX176" i="63" s="1"/>
  <c r="BX177" i="63" s="1"/>
  <c r="BX178" i="63" s="1"/>
  <c r="BX179" i="63" s="1"/>
  <c r="BX180" i="63" s="1"/>
  <c r="BX181" i="63" s="1"/>
  <c r="BX182" i="63" s="1"/>
  <c r="BX183" i="63" s="1"/>
  <c r="BX184" i="63" s="1"/>
  <c r="BX185" i="63" s="1"/>
  <c r="BX186" i="63" s="1"/>
  <c r="BX187" i="63" s="1"/>
  <c r="BX188" i="63" s="1"/>
  <c r="BX189" i="63" s="1"/>
  <c r="BX190" i="63" s="1"/>
  <c r="BX191" i="63" s="1"/>
  <c r="BX192" i="63" s="1"/>
  <c r="BX193" i="63" s="1"/>
  <c r="BX194" i="63" s="1"/>
  <c r="BX195" i="63" s="1"/>
  <c r="BX196" i="63" s="1"/>
  <c r="BX197" i="63" s="1"/>
  <c r="BX198" i="63" s="1"/>
  <c r="BX199" i="63" s="1"/>
  <c r="BX200" i="63" s="1"/>
  <c r="BX201" i="63" s="1"/>
  <c r="BX202" i="63" s="1"/>
  <c r="BX203" i="63" s="1"/>
  <c r="BX204" i="63" s="1"/>
  <c r="BX205" i="63" s="1"/>
  <c r="BX206" i="63" s="1"/>
  <c r="BX207" i="63" s="1"/>
  <c r="BX208" i="63" s="1"/>
  <c r="BX209" i="63" s="1"/>
  <c r="BX210" i="63" s="1"/>
  <c r="BX211" i="63" s="1"/>
  <c r="BX212" i="63" s="1"/>
  <c r="BX213" i="63" s="1"/>
  <c r="BX214" i="63" s="1"/>
  <c r="BX215" i="63" s="1"/>
  <c r="BX216" i="63" s="1"/>
  <c r="BX217" i="63" s="1"/>
  <c r="BX218" i="63" s="1"/>
  <c r="BX219" i="63" s="1"/>
  <c r="BX220" i="63" s="1"/>
  <c r="BX221" i="63" s="1"/>
  <c r="BX222" i="63" s="1"/>
  <c r="BX223" i="63" s="1"/>
  <c r="BX224" i="63" s="1"/>
  <c r="BX225" i="63" s="1"/>
  <c r="BX226" i="63" s="1"/>
  <c r="BX227" i="63" s="1"/>
  <c r="BX228" i="63" s="1"/>
  <c r="BX229" i="63" s="1"/>
  <c r="BX230" i="63" s="1"/>
  <c r="BX231" i="63" s="1"/>
  <c r="BX232" i="63" s="1"/>
  <c r="BX233" i="63" s="1"/>
  <c r="BX234" i="63" s="1"/>
  <c r="BX235" i="63" s="1"/>
  <c r="BX236" i="63" s="1"/>
  <c r="BX237" i="63" s="1"/>
  <c r="BX238" i="63" s="1"/>
  <c r="BX239" i="63" s="1"/>
  <c r="BX240" i="63" s="1"/>
  <c r="BX241" i="63" s="1"/>
  <c r="BX242" i="63" s="1"/>
  <c r="BX243" i="63" s="1"/>
  <c r="BX244" i="63" s="1"/>
  <c r="BX245" i="63" s="1"/>
  <c r="BX246" i="63" s="1"/>
  <c r="BX247" i="63" s="1"/>
  <c r="BX248" i="63" s="1"/>
  <c r="BX249" i="63" s="1"/>
  <c r="BX250" i="63" s="1"/>
  <c r="BX251" i="63" s="1"/>
  <c r="BX252" i="63" s="1"/>
  <c r="BX253" i="63" s="1"/>
  <c r="BX254" i="63" s="1"/>
  <c r="BX255" i="63" s="1"/>
  <c r="BX256" i="63" s="1"/>
  <c r="BX257" i="63" s="1"/>
  <c r="BX258" i="63" s="1"/>
  <c r="BX259" i="63" s="1"/>
  <c r="BX260" i="63" s="1"/>
  <c r="BX261" i="63" s="1"/>
  <c r="BX262" i="63" s="1"/>
  <c r="BX263" i="63" s="1"/>
  <c r="BX264" i="63" s="1"/>
  <c r="BX265" i="63" s="1"/>
  <c r="BX266" i="63" s="1"/>
  <c r="BX267" i="63" s="1"/>
  <c r="BX268" i="63" s="1"/>
  <c r="BX269" i="63" s="1"/>
  <c r="BX270" i="63" s="1"/>
  <c r="BX271" i="63" s="1"/>
  <c r="BX272" i="63" s="1"/>
  <c r="BX273" i="63" s="1"/>
  <c r="BX274" i="63" s="1"/>
  <c r="BX275" i="63" s="1"/>
  <c r="BX276" i="63" s="1"/>
  <c r="BX277" i="63" s="1"/>
  <c r="BX278" i="63" s="1"/>
  <c r="BX279" i="63" s="1"/>
  <c r="BX280" i="63" s="1"/>
  <c r="BX281" i="63" s="1"/>
  <c r="BX282" i="63" s="1"/>
  <c r="BX283" i="63" s="1"/>
  <c r="BX284" i="63" s="1"/>
  <c r="BX285" i="63" s="1"/>
  <c r="BX286" i="63" s="1"/>
  <c r="BX287" i="63" s="1"/>
  <c r="BX288" i="63" s="1"/>
  <c r="BX289" i="63" s="1"/>
  <c r="BX290" i="63" s="1"/>
  <c r="BX291" i="63" s="1"/>
  <c r="BX292" i="63" s="1"/>
  <c r="BX293" i="63" s="1"/>
  <c r="BX294" i="63" s="1"/>
  <c r="BX295" i="63" s="1"/>
  <c r="BX296" i="63" s="1"/>
  <c r="BX297" i="63" s="1"/>
  <c r="BX298" i="63" s="1"/>
  <c r="BX299" i="63" s="1"/>
  <c r="BX300" i="63" s="1"/>
  <c r="BX301" i="63" s="1"/>
  <c r="BX302" i="63" s="1"/>
  <c r="BX303" i="63" s="1"/>
  <c r="BX304" i="63" s="1"/>
  <c r="BX305" i="63" s="1"/>
  <c r="BX306" i="63" s="1"/>
  <c r="BX307" i="63" s="1"/>
  <c r="BX308" i="63" s="1"/>
  <c r="BX5" i="63"/>
  <c r="BX4" i="63"/>
  <c r="BW8" i="63"/>
  <c r="BW9" i="63" s="1"/>
  <c r="BW10" i="63" s="1"/>
  <c r="BW11" i="63" s="1"/>
  <c r="BW12" i="63" s="1"/>
  <c r="BW13" i="63" s="1"/>
  <c r="BW14" i="63" s="1"/>
  <c r="BW15" i="63" s="1"/>
  <c r="BW16" i="63" s="1"/>
  <c r="BW17" i="63" s="1"/>
  <c r="BW18" i="63" s="1"/>
  <c r="BW19" i="63" s="1"/>
  <c r="BW20" i="63" s="1"/>
  <c r="BW21" i="63" s="1"/>
  <c r="BW22" i="63" s="1"/>
  <c r="BW23" i="63" s="1"/>
  <c r="BW24" i="63" s="1"/>
  <c r="BW25" i="63" s="1"/>
  <c r="BW26" i="63" s="1"/>
  <c r="BW27" i="63" s="1"/>
  <c r="BW28" i="63" s="1"/>
  <c r="BW29" i="63" s="1"/>
  <c r="BW30" i="63" s="1"/>
  <c r="BW31" i="63" s="1"/>
  <c r="BW32" i="63" s="1"/>
  <c r="BW33" i="63" s="1"/>
  <c r="BW34" i="63" s="1"/>
  <c r="BW35" i="63" s="1"/>
  <c r="BW36" i="63" s="1"/>
  <c r="BW37" i="63" s="1"/>
  <c r="BW38" i="63" s="1"/>
  <c r="BW39" i="63" s="1"/>
  <c r="BW40" i="63" s="1"/>
  <c r="BW41" i="63" s="1"/>
  <c r="BW42" i="63" s="1"/>
  <c r="BW43" i="63" s="1"/>
  <c r="BW44" i="63" s="1"/>
  <c r="BW45" i="63" s="1"/>
  <c r="BW46" i="63" s="1"/>
  <c r="BW47" i="63" s="1"/>
  <c r="BW48" i="63" s="1"/>
  <c r="BW49" i="63" s="1"/>
  <c r="BW50" i="63" s="1"/>
  <c r="BW51" i="63" s="1"/>
  <c r="BW52" i="63" s="1"/>
  <c r="BW53" i="63" s="1"/>
  <c r="BW54" i="63" s="1"/>
  <c r="BW55" i="63" s="1"/>
  <c r="BW56" i="63" s="1"/>
  <c r="BW57" i="63" s="1"/>
  <c r="BW58" i="63" s="1"/>
  <c r="BW59" i="63" s="1"/>
  <c r="BW60" i="63" s="1"/>
  <c r="BW61" i="63" s="1"/>
  <c r="BW62" i="63" s="1"/>
  <c r="BW63" i="63" s="1"/>
  <c r="BW64" i="63" s="1"/>
  <c r="BW65" i="63" s="1"/>
  <c r="BW66" i="63" s="1"/>
  <c r="BW67" i="63" s="1"/>
  <c r="BW68" i="63" s="1"/>
  <c r="BW69" i="63" s="1"/>
  <c r="BW70" i="63" s="1"/>
  <c r="BW71" i="63" s="1"/>
  <c r="BW72" i="63" s="1"/>
  <c r="BW73" i="63" s="1"/>
  <c r="BW74" i="63" s="1"/>
  <c r="BW75" i="63" s="1"/>
  <c r="BW76" i="63" s="1"/>
  <c r="BW77" i="63" s="1"/>
  <c r="BW78" i="63" s="1"/>
  <c r="BW79" i="63" s="1"/>
  <c r="BW80" i="63" s="1"/>
  <c r="BW81" i="63" s="1"/>
  <c r="BW82" i="63" s="1"/>
  <c r="BW83" i="63" s="1"/>
  <c r="BW84" i="63" s="1"/>
  <c r="BW85" i="63" s="1"/>
  <c r="BW86" i="63" s="1"/>
  <c r="BW87" i="63" s="1"/>
  <c r="BW88" i="63" s="1"/>
  <c r="BW89" i="63" s="1"/>
  <c r="BW90" i="63" s="1"/>
  <c r="BW91" i="63" s="1"/>
  <c r="BW92" i="63" s="1"/>
  <c r="BW93" i="63" s="1"/>
  <c r="BW94" i="63" s="1"/>
  <c r="BW95" i="63" s="1"/>
  <c r="BW96" i="63" s="1"/>
  <c r="BW97" i="63" s="1"/>
  <c r="BW98" i="63" s="1"/>
  <c r="BW99" i="63" s="1"/>
  <c r="BW100" i="63" s="1"/>
  <c r="BW101" i="63" s="1"/>
  <c r="BW102" i="63" s="1"/>
  <c r="BW103" i="63" s="1"/>
  <c r="BW104" i="63" s="1"/>
  <c r="BW105" i="63" s="1"/>
  <c r="BW106" i="63" s="1"/>
  <c r="BW107" i="63" s="1"/>
  <c r="BW108" i="63" s="1"/>
  <c r="BW109" i="63" s="1"/>
  <c r="BW110" i="63" s="1"/>
  <c r="BW111" i="63" s="1"/>
  <c r="BW112" i="63" s="1"/>
  <c r="BW113" i="63" s="1"/>
  <c r="BW114" i="63" s="1"/>
  <c r="BW115" i="63" s="1"/>
  <c r="BW116" i="63" s="1"/>
  <c r="BW117" i="63" s="1"/>
  <c r="BW118" i="63" s="1"/>
  <c r="BW119" i="63" s="1"/>
  <c r="BW120" i="63" s="1"/>
  <c r="BW121" i="63" s="1"/>
  <c r="BW122" i="63" s="1"/>
  <c r="BW123" i="63" s="1"/>
  <c r="BW124" i="63" s="1"/>
  <c r="BW125" i="63" s="1"/>
  <c r="BW126" i="63" s="1"/>
  <c r="BW127" i="63" s="1"/>
  <c r="BW128" i="63" s="1"/>
  <c r="BW129" i="63" s="1"/>
  <c r="BW130" i="63" s="1"/>
  <c r="BW131" i="63" s="1"/>
  <c r="BW132" i="63" s="1"/>
  <c r="BW133" i="63" s="1"/>
  <c r="BW134" i="63" s="1"/>
  <c r="BW135" i="63" s="1"/>
  <c r="BW136" i="63" s="1"/>
  <c r="BW137" i="63" s="1"/>
  <c r="BW138" i="63" s="1"/>
  <c r="BW139" i="63" s="1"/>
  <c r="BW140" i="63" s="1"/>
  <c r="BW141" i="63" s="1"/>
  <c r="BW142" i="63" s="1"/>
  <c r="BW143" i="63" s="1"/>
  <c r="BW144" i="63" s="1"/>
  <c r="BW145" i="63" s="1"/>
  <c r="BW146" i="63" s="1"/>
  <c r="BW147" i="63" s="1"/>
  <c r="BW148" i="63" s="1"/>
  <c r="BW149" i="63" s="1"/>
  <c r="BW150" i="63" s="1"/>
  <c r="BW151" i="63" s="1"/>
  <c r="BW152" i="63" s="1"/>
  <c r="BW153" i="63" s="1"/>
  <c r="BW154" i="63" s="1"/>
  <c r="BW155" i="63" s="1"/>
  <c r="BW156" i="63" s="1"/>
  <c r="BW157" i="63" s="1"/>
  <c r="BW158" i="63" s="1"/>
  <c r="BW159" i="63" s="1"/>
  <c r="BW160" i="63" s="1"/>
  <c r="BW161" i="63" s="1"/>
  <c r="BW162" i="63" s="1"/>
  <c r="BW163" i="63" s="1"/>
  <c r="BW164" i="63" s="1"/>
  <c r="BW165" i="63" s="1"/>
  <c r="BW166" i="63" s="1"/>
  <c r="BW167" i="63" s="1"/>
  <c r="BW168" i="63" s="1"/>
  <c r="BW169" i="63" s="1"/>
  <c r="BW170" i="63" s="1"/>
  <c r="BW171" i="63" s="1"/>
  <c r="BW172" i="63" s="1"/>
  <c r="BW173" i="63" s="1"/>
  <c r="BW174" i="63" s="1"/>
  <c r="BW175" i="63" s="1"/>
  <c r="BW176" i="63" s="1"/>
  <c r="BW177" i="63" s="1"/>
  <c r="BW178" i="63" s="1"/>
  <c r="BW179" i="63" s="1"/>
  <c r="BW180" i="63" s="1"/>
  <c r="BW181" i="63" s="1"/>
  <c r="BW182" i="63" s="1"/>
  <c r="BW183" i="63" s="1"/>
  <c r="BW184" i="63" s="1"/>
  <c r="BW185" i="63" s="1"/>
  <c r="BW186" i="63" s="1"/>
  <c r="BW187" i="63" s="1"/>
  <c r="BW188" i="63" s="1"/>
  <c r="BW189" i="63" s="1"/>
  <c r="BW190" i="63" s="1"/>
  <c r="BW191" i="63" s="1"/>
  <c r="BW192" i="63" s="1"/>
  <c r="BW193" i="63" s="1"/>
  <c r="BW194" i="63" s="1"/>
  <c r="BW195" i="63" s="1"/>
  <c r="BW196" i="63" s="1"/>
  <c r="BW197" i="63" s="1"/>
  <c r="BW198" i="63" s="1"/>
  <c r="BW199" i="63" s="1"/>
  <c r="BW200" i="63" s="1"/>
  <c r="BW201" i="63" s="1"/>
  <c r="BW202" i="63" s="1"/>
  <c r="BW203" i="63" s="1"/>
  <c r="BW204" i="63" s="1"/>
  <c r="BW205" i="63" s="1"/>
  <c r="BW206" i="63" s="1"/>
  <c r="BW207" i="63" s="1"/>
  <c r="BW208" i="63" s="1"/>
  <c r="BW209" i="63" s="1"/>
  <c r="BW210" i="63" s="1"/>
  <c r="BW211" i="63" s="1"/>
  <c r="BW212" i="63" s="1"/>
  <c r="BW213" i="63" s="1"/>
  <c r="BW214" i="63" s="1"/>
  <c r="BW215" i="63" s="1"/>
  <c r="BW216" i="63" s="1"/>
  <c r="BW217" i="63" s="1"/>
  <c r="BW218" i="63" s="1"/>
  <c r="BW219" i="63" s="1"/>
  <c r="BW220" i="63" s="1"/>
  <c r="BW221" i="63" s="1"/>
  <c r="BW222" i="63" s="1"/>
  <c r="BW223" i="63" s="1"/>
  <c r="BW224" i="63" s="1"/>
  <c r="BW225" i="63" s="1"/>
  <c r="BW226" i="63" s="1"/>
  <c r="BW227" i="63" s="1"/>
  <c r="BW228" i="63" s="1"/>
  <c r="BW229" i="63" s="1"/>
  <c r="BW230" i="63" s="1"/>
  <c r="BW231" i="63" s="1"/>
  <c r="BW232" i="63" s="1"/>
  <c r="BW233" i="63" s="1"/>
  <c r="BW234" i="63" s="1"/>
  <c r="BW235" i="63" s="1"/>
  <c r="BW236" i="63" s="1"/>
  <c r="BW237" i="63" s="1"/>
  <c r="BW238" i="63" s="1"/>
  <c r="BW239" i="63" s="1"/>
  <c r="BW240" i="63" s="1"/>
  <c r="BW241" i="63" s="1"/>
  <c r="BW242" i="63" s="1"/>
  <c r="BW243" i="63" s="1"/>
  <c r="BW244" i="63" s="1"/>
  <c r="BW245" i="63" s="1"/>
  <c r="BW246" i="63" s="1"/>
  <c r="BW247" i="63" s="1"/>
  <c r="BW248" i="63" s="1"/>
  <c r="BW249" i="63" s="1"/>
  <c r="BW250" i="63" s="1"/>
  <c r="BW251" i="63" s="1"/>
  <c r="BW252" i="63" s="1"/>
  <c r="BW253" i="63" s="1"/>
  <c r="BW254" i="63" s="1"/>
  <c r="BW255" i="63" s="1"/>
  <c r="BW256" i="63" s="1"/>
  <c r="BW257" i="63" s="1"/>
  <c r="BW258" i="63" s="1"/>
  <c r="BW259" i="63" s="1"/>
  <c r="BW260" i="63" s="1"/>
  <c r="BW261" i="63" s="1"/>
  <c r="BW262" i="63" s="1"/>
  <c r="BW263" i="63" s="1"/>
  <c r="BW264" i="63" s="1"/>
  <c r="BW265" i="63" s="1"/>
  <c r="BW266" i="63" s="1"/>
  <c r="BW267" i="63" s="1"/>
  <c r="BW268" i="63" s="1"/>
  <c r="BW269" i="63" s="1"/>
  <c r="BW270" i="63" s="1"/>
  <c r="BW271" i="63" s="1"/>
  <c r="BW272" i="63" s="1"/>
  <c r="BW273" i="63" s="1"/>
  <c r="BW274" i="63" s="1"/>
  <c r="BW275" i="63" s="1"/>
  <c r="BW276" i="63" s="1"/>
  <c r="BW277" i="63" s="1"/>
  <c r="BW278" i="63" s="1"/>
  <c r="BW279" i="63" s="1"/>
  <c r="BW280" i="63" s="1"/>
  <c r="BW281" i="63" s="1"/>
  <c r="BW282" i="63" s="1"/>
  <c r="BW283" i="63" s="1"/>
  <c r="BW284" i="63" s="1"/>
  <c r="BW285" i="63" s="1"/>
  <c r="BW286" i="63" s="1"/>
  <c r="BW287" i="63" s="1"/>
  <c r="BW288" i="63" s="1"/>
  <c r="BW289" i="63" s="1"/>
  <c r="BW290" i="63" s="1"/>
  <c r="BW291" i="63" s="1"/>
  <c r="BW292" i="63" s="1"/>
  <c r="BW293" i="63" s="1"/>
  <c r="BW294" i="63" s="1"/>
  <c r="BW295" i="63" s="1"/>
  <c r="BW296" i="63" s="1"/>
  <c r="BW297" i="63" s="1"/>
  <c r="BW298" i="63" s="1"/>
  <c r="BW299" i="63" s="1"/>
  <c r="BW300" i="63" s="1"/>
  <c r="BW301" i="63" s="1"/>
  <c r="BW302" i="63" s="1"/>
  <c r="BW303" i="63" s="1"/>
  <c r="BW304" i="63" s="1"/>
  <c r="BW305" i="63" s="1"/>
  <c r="BW306" i="63" s="1"/>
  <c r="BW307" i="63" s="1"/>
  <c r="BW308" i="63" s="1"/>
  <c r="BW7" i="63"/>
  <c r="BW6" i="63"/>
  <c r="BW5" i="63"/>
  <c r="BW4" i="63"/>
  <c r="BV8" i="63"/>
  <c r="BV7" i="63"/>
  <c r="BV6" i="63"/>
  <c r="BV5" i="63"/>
  <c r="BV4" i="63"/>
  <c r="BU8" i="63"/>
  <c r="BU9" i="63" s="1"/>
  <c r="BU10" i="63" s="1"/>
  <c r="BU11" i="63" s="1"/>
  <c r="BU12" i="63" s="1"/>
  <c r="BU13" i="63" s="1"/>
  <c r="BU14" i="63" s="1"/>
  <c r="BU15" i="63" s="1"/>
  <c r="BU16" i="63" s="1"/>
  <c r="BU17" i="63" s="1"/>
  <c r="BU18" i="63" s="1"/>
  <c r="BU19" i="63" s="1"/>
  <c r="BU20" i="63" s="1"/>
  <c r="BU21" i="63" s="1"/>
  <c r="BU22" i="63" s="1"/>
  <c r="BU23" i="63" s="1"/>
  <c r="BU24" i="63" s="1"/>
  <c r="BU25" i="63" s="1"/>
  <c r="BU26" i="63" s="1"/>
  <c r="BU27" i="63" s="1"/>
  <c r="BU28" i="63" s="1"/>
  <c r="BU29" i="63" s="1"/>
  <c r="BU30" i="63" s="1"/>
  <c r="BU31" i="63" s="1"/>
  <c r="BU32" i="63" s="1"/>
  <c r="BU33" i="63" s="1"/>
  <c r="BU34" i="63" s="1"/>
  <c r="BU35" i="63" s="1"/>
  <c r="BU36" i="63" s="1"/>
  <c r="BU37" i="63" s="1"/>
  <c r="BU38" i="63" s="1"/>
  <c r="BU39" i="63" s="1"/>
  <c r="BU40" i="63" s="1"/>
  <c r="BU41" i="63" s="1"/>
  <c r="BU42" i="63" s="1"/>
  <c r="BU43" i="63" s="1"/>
  <c r="BU44" i="63" s="1"/>
  <c r="BU45" i="63" s="1"/>
  <c r="BU46" i="63" s="1"/>
  <c r="BU47" i="63" s="1"/>
  <c r="BU48" i="63" s="1"/>
  <c r="BU49" i="63" s="1"/>
  <c r="BU50" i="63" s="1"/>
  <c r="BU51" i="63" s="1"/>
  <c r="BU52" i="63" s="1"/>
  <c r="BU53" i="63" s="1"/>
  <c r="BU54" i="63" s="1"/>
  <c r="BU55" i="63" s="1"/>
  <c r="BU56" i="63" s="1"/>
  <c r="BU57" i="63" s="1"/>
  <c r="BU58" i="63" s="1"/>
  <c r="BU59" i="63" s="1"/>
  <c r="BU60" i="63" s="1"/>
  <c r="BU61" i="63" s="1"/>
  <c r="BU62" i="63" s="1"/>
  <c r="BU63" i="63" s="1"/>
  <c r="BU64" i="63" s="1"/>
  <c r="BU65" i="63" s="1"/>
  <c r="BU66" i="63" s="1"/>
  <c r="BU67" i="63" s="1"/>
  <c r="BU68" i="63" s="1"/>
  <c r="BU69" i="63" s="1"/>
  <c r="BU70" i="63" s="1"/>
  <c r="BU71" i="63" s="1"/>
  <c r="BU72" i="63" s="1"/>
  <c r="BU73" i="63" s="1"/>
  <c r="BU74" i="63" s="1"/>
  <c r="BU75" i="63" s="1"/>
  <c r="BU76" i="63" s="1"/>
  <c r="BU77" i="63" s="1"/>
  <c r="BU78" i="63" s="1"/>
  <c r="BU79" i="63" s="1"/>
  <c r="BU80" i="63" s="1"/>
  <c r="BU81" i="63" s="1"/>
  <c r="BU82" i="63" s="1"/>
  <c r="BU83" i="63" s="1"/>
  <c r="BU84" i="63" s="1"/>
  <c r="BU85" i="63" s="1"/>
  <c r="BU86" i="63" s="1"/>
  <c r="BU87" i="63" s="1"/>
  <c r="BU88" i="63" s="1"/>
  <c r="BU89" i="63" s="1"/>
  <c r="BU90" i="63" s="1"/>
  <c r="BU91" i="63" s="1"/>
  <c r="BU92" i="63" s="1"/>
  <c r="BU93" i="63" s="1"/>
  <c r="BU94" i="63" s="1"/>
  <c r="BU95" i="63" s="1"/>
  <c r="BU96" i="63" s="1"/>
  <c r="BU97" i="63" s="1"/>
  <c r="BU98" i="63" s="1"/>
  <c r="BU99" i="63" s="1"/>
  <c r="BU100" i="63" s="1"/>
  <c r="BU101" i="63" s="1"/>
  <c r="BU102" i="63" s="1"/>
  <c r="BU103" i="63" s="1"/>
  <c r="BU104" i="63" s="1"/>
  <c r="BU105" i="63" s="1"/>
  <c r="BU106" i="63" s="1"/>
  <c r="BU107" i="63" s="1"/>
  <c r="BU108" i="63" s="1"/>
  <c r="BU109" i="63" s="1"/>
  <c r="BU110" i="63" s="1"/>
  <c r="BU111" i="63" s="1"/>
  <c r="BU112" i="63" s="1"/>
  <c r="BU113" i="63" s="1"/>
  <c r="BU114" i="63" s="1"/>
  <c r="BU115" i="63" s="1"/>
  <c r="BU116" i="63" s="1"/>
  <c r="BU117" i="63" s="1"/>
  <c r="BU118" i="63" s="1"/>
  <c r="BU119" i="63" s="1"/>
  <c r="BU120" i="63" s="1"/>
  <c r="BU121" i="63" s="1"/>
  <c r="BU122" i="63" s="1"/>
  <c r="BU123" i="63" s="1"/>
  <c r="BU124" i="63" s="1"/>
  <c r="BU125" i="63" s="1"/>
  <c r="BU126" i="63" s="1"/>
  <c r="BU127" i="63" s="1"/>
  <c r="BU128" i="63" s="1"/>
  <c r="BU129" i="63" s="1"/>
  <c r="BU130" i="63" s="1"/>
  <c r="BU131" i="63" s="1"/>
  <c r="BU132" i="63" s="1"/>
  <c r="BU133" i="63" s="1"/>
  <c r="BU134" i="63" s="1"/>
  <c r="BU135" i="63" s="1"/>
  <c r="BU136" i="63" s="1"/>
  <c r="BU137" i="63" s="1"/>
  <c r="BU138" i="63" s="1"/>
  <c r="BU139" i="63" s="1"/>
  <c r="BU140" i="63" s="1"/>
  <c r="BU141" i="63" s="1"/>
  <c r="BU142" i="63" s="1"/>
  <c r="BU143" i="63" s="1"/>
  <c r="BU144" i="63" s="1"/>
  <c r="BU145" i="63" s="1"/>
  <c r="BU146" i="63" s="1"/>
  <c r="BU147" i="63" s="1"/>
  <c r="BU148" i="63" s="1"/>
  <c r="BU149" i="63" s="1"/>
  <c r="BU150" i="63" s="1"/>
  <c r="BU151" i="63" s="1"/>
  <c r="BU152" i="63" s="1"/>
  <c r="BU153" i="63" s="1"/>
  <c r="BU154" i="63" s="1"/>
  <c r="BU155" i="63" s="1"/>
  <c r="BU156" i="63" s="1"/>
  <c r="BU157" i="63" s="1"/>
  <c r="BU158" i="63" s="1"/>
  <c r="BU159" i="63" s="1"/>
  <c r="BU160" i="63" s="1"/>
  <c r="BU161" i="63" s="1"/>
  <c r="BU162" i="63" s="1"/>
  <c r="BU163" i="63" s="1"/>
  <c r="BU164" i="63" s="1"/>
  <c r="BU165" i="63" s="1"/>
  <c r="BU166" i="63" s="1"/>
  <c r="BU167" i="63" s="1"/>
  <c r="BU168" i="63" s="1"/>
  <c r="BU169" i="63" s="1"/>
  <c r="BU170" i="63" s="1"/>
  <c r="BU171" i="63" s="1"/>
  <c r="BU172" i="63" s="1"/>
  <c r="BU173" i="63" s="1"/>
  <c r="BU174" i="63" s="1"/>
  <c r="BU175" i="63" s="1"/>
  <c r="BU176" i="63" s="1"/>
  <c r="BU177" i="63" s="1"/>
  <c r="BU178" i="63" s="1"/>
  <c r="BU179" i="63" s="1"/>
  <c r="BU180" i="63" s="1"/>
  <c r="BU181" i="63" s="1"/>
  <c r="BU182" i="63" s="1"/>
  <c r="BU183" i="63" s="1"/>
  <c r="BU184" i="63" s="1"/>
  <c r="BU185" i="63" s="1"/>
  <c r="BU186" i="63" s="1"/>
  <c r="BU187" i="63" s="1"/>
  <c r="BU188" i="63" s="1"/>
  <c r="BU189" i="63" s="1"/>
  <c r="BU190" i="63" s="1"/>
  <c r="BU191" i="63" s="1"/>
  <c r="BU192" i="63" s="1"/>
  <c r="BU193" i="63" s="1"/>
  <c r="BU194" i="63" s="1"/>
  <c r="BU195" i="63" s="1"/>
  <c r="BU196" i="63" s="1"/>
  <c r="BU197" i="63" s="1"/>
  <c r="BU198" i="63" s="1"/>
  <c r="BU199" i="63" s="1"/>
  <c r="BU200" i="63" s="1"/>
  <c r="BU201" i="63" s="1"/>
  <c r="BU202" i="63" s="1"/>
  <c r="BU203" i="63" s="1"/>
  <c r="BU204" i="63" s="1"/>
  <c r="BU205" i="63" s="1"/>
  <c r="BU206" i="63" s="1"/>
  <c r="BU207" i="63" s="1"/>
  <c r="BU208" i="63" s="1"/>
  <c r="BU209" i="63" s="1"/>
  <c r="BU210" i="63" s="1"/>
  <c r="BU211" i="63" s="1"/>
  <c r="BU212" i="63" s="1"/>
  <c r="BU213" i="63" s="1"/>
  <c r="BU214" i="63" s="1"/>
  <c r="BU215" i="63" s="1"/>
  <c r="BU216" i="63" s="1"/>
  <c r="BU217" i="63" s="1"/>
  <c r="BU218" i="63" s="1"/>
  <c r="BU219" i="63" s="1"/>
  <c r="BU220" i="63" s="1"/>
  <c r="BU221" i="63" s="1"/>
  <c r="BU222" i="63" s="1"/>
  <c r="BU223" i="63" s="1"/>
  <c r="BU224" i="63" s="1"/>
  <c r="BU225" i="63" s="1"/>
  <c r="BU226" i="63" s="1"/>
  <c r="BU227" i="63" s="1"/>
  <c r="BU228" i="63" s="1"/>
  <c r="BU229" i="63" s="1"/>
  <c r="BU230" i="63" s="1"/>
  <c r="BU231" i="63" s="1"/>
  <c r="BU232" i="63" s="1"/>
  <c r="BU233" i="63" s="1"/>
  <c r="BU234" i="63" s="1"/>
  <c r="BU235" i="63" s="1"/>
  <c r="BU236" i="63" s="1"/>
  <c r="BU237" i="63" s="1"/>
  <c r="BU238" i="63" s="1"/>
  <c r="BU239" i="63" s="1"/>
  <c r="BU240" i="63" s="1"/>
  <c r="BU241" i="63" s="1"/>
  <c r="BU242" i="63" s="1"/>
  <c r="BU243" i="63" s="1"/>
  <c r="BU244" i="63" s="1"/>
  <c r="BU245" i="63" s="1"/>
  <c r="BU246" i="63" s="1"/>
  <c r="BU247" i="63" s="1"/>
  <c r="BU248" i="63" s="1"/>
  <c r="BU249" i="63" s="1"/>
  <c r="BU250" i="63" s="1"/>
  <c r="BU251" i="63" s="1"/>
  <c r="BU252" i="63" s="1"/>
  <c r="BU253" i="63" s="1"/>
  <c r="BU254" i="63" s="1"/>
  <c r="BU255" i="63" s="1"/>
  <c r="BU256" i="63" s="1"/>
  <c r="BU257" i="63" s="1"/>
  <c r="BU258" i="63" s="1"/>
  <c r="BU259" i="63" s="1"/>
  <c r="BU260" i="63" s="1"/>
  <c r="BU261" i="63" s="1"/>
  <c r="BU262" i="63" s="1"/>
  <c r="BU263" i="63" s="1"/>
  <c r="BU264" i="63" s="1"/>
  <c r="BU265" i="63" s="1"/>
  <c r="BU266" i="63" s="1"/>
  <c r="BU267" i="63" s="1"/>
  <c r="BU268" i="63" s="1"/>
  <c r="BU269" i="63" s="1"/>
  <c r="BU270" i="63" s="1"/>
  <c r="BU271" i="63" s="1"/>
  <c r="BU272" i="63" s="1"/>
  <c r="BU273" i="63" s="1"/>
  <c r="BU274" i="63" s="1"/>
  <c r="BU275" i="63" s="1"/>
  <c r="BU276" i="63" s="1"/>
  <c r="BU277" i="63" s="1"/>
  <c r="BU278" i="63" s="1"/>
  <c r="BU279" i="63" s="1"/>
  <c r="BU280" i="63" s="1"/>
  <c r="BU281" i="63" s="1"/>
  <c r="BU282" i="63" s="1"/>
  <c r="BU283" i="63" s="1"/>
  <c r="BU284" i="63" s="1"/>
  <c r="BU285" i="63" s="1"/>
  <c r="BU286" i="63" s="1"/>
  <c r="BU287" i="63" s="1"/>
  <c r="BU288" i="63" s="1"/>
  <c r="BU289" i="63" s="1"/>
  <c r="BU290" i="63" s="1"/>
  <c r="BU291" i="63" s="1"/>
  <c r="BU292" i="63" s="1"/>
  <c r="BU293" i="63" s="1"/>
  <c r="BU294" i="63" s="1"/>
  <c r="BU295" i="63" s="1"/>
  <c r="BU296" i="63" s="1"/>
  <c r="BU297" i="63" s="1"/>
  <c r="BU298" i="63" s="1"/>
  <c r="BU299" i="63" s="1"/>
  <c r="BU300" i="63" s="1"/>
  <c r="BU301" i="63" s="1"/>
  <c r="BU302" i="63" s="1"/>
  <c r="BU303" i="63" s="1"/>
  <c r="BU304" i="63" s="1"/>
  <c r="BU305" i="63" s="1"/>
  <c r="BU306" i="63" s="1"/>
  <c r="BU307" i="63" s="1"/>
  <c r="BU308" i="63" s="1"/>
  <c r="BU7" i="63"/>
  <c r="BU6" i="63"/>
  <c r="BU5" i="63"/>
  <c r="BU4" i="63"/>
  <c r="BT8" i="63"/>
  <c r="BT9" i="63" s="1"/>
  <c r="BT10" i="63" s="1"/>
  <c r="BT11" i="63" s="1"/>
  <c r="BT12" i="63" s="1"/>
  <c r="BT13" i="63" s="1"/>
  <c r="BT14" i="63" s="1"/>
  <c r="BT15" i="63" s="1"/>
  <c r="BT16" i="63" s="1"/>
  <c r="BT17" i="63" s="1"/>
  <c r="BT18" i="63" s="1"/>
  <c r="BT19" i="63" s="1"/>
  <c r="BT20" i="63" s="1"/>
  <c r="BT21" i="63" s="1"/>
  <c r="BT22" i="63" s="1"/>
  <c r="BT23" i="63" s="1"/>
  <c r="BT24" i="63" s="1"/>
  <c r="BT25" i="63" s="1"/>
  <c r="BT26" i="63" s="1"/>
  <c r="BT27" i="63" s="1"/>
  <c r="BT28" i="63" s="1"/>
  <c r="BT29" i="63" s="1"/>
  <c r="BT30" i="63" s="1"/>
  <c r="BT31" i="63" s="1"/>
  <c r="BT32" i="63" s="1"/>
  <c r="BT33" i="63" s="1"/>
  <c r="BT34" i="63" s="1"/>
  <c r="BT35" i="63" s="1"/>
  <c r="BT36" i="63" s="1"/>
  <c r="BT37" i="63" s="1"/>
  <c r="BT38" i="63" s="1"/>
  <c r="BT39" i="63" s="1"/>
  <c r="BT40" i="63" s="1"/>
  <c r="BT41" i="63" s="1"/>
  <c r="BT42" i="63" s="1"/>
  <c r="BT43" i="63" s="1"/>
  <c r="BT44" i="63" s="1"/>
  <c r="BT45" i="63" s="1"/>
  <c r="BT46" i="63" s="1"/>
  <c r="BT47" i="63" s="1"/>
  <c r="BT48" i="63" s="1"/>
  <c r="BT49" i="63" s="1"/>
  <c r="BT50" i="63" s="1"/>
  <c r="BT51" i="63" s="1"/>
  <c r="BT52" i="63" s="1"/>
  <c r="BT53" i="63" s="1"/>
  <c r="BT54" i="63" s="1"/>
  <c r="BT55" i="63" s="1"/>
  <c r="BT56" i="63" s="1"/>
  <c r="BT57" i="63" s="1"/>
  <c r="BT58" i="63" s="1"/>
  <c r="BT59" i="63" s="1"/>
  <c r="BT60" i="63" s="1"/>
  <c r="BT61" i="63" s="1"/>
  <c r="BT62" i="63" s="1"/>
  <c r="BT63" i="63" s="1"/>
  <c r="BT64" i="63" s="1"/>
  <c r="BT65" i="63" s="1"/>
  <c r="BT66" i="63" s="1"/>
  <c r="BT67" i="63" s="1"/>
  <c r="BT68" i="63" s="1"/>
  <c r="BT69" i="63" s="1"/>
  <c r="BT70" i="63" s="1"/>
  <c r="BT71" i="63" s="1"/>
  <c r="BT72" i="63" s="1"/>
  <c r="BT73" i="63" s="1"/>
  <c r="BT74" i="63" s="1"/>
  <c r="BT75" i="63" s="1"/>
  <c r="BT76" i="63" s="1"/>
  <c r="BT77" i="63" s="1"/>
  <c r="BT78" i="63" s="1"/>
  <c r="BT79" i="63" s="1"/>
  <c r="BT80" i="63" s="1"/>
  <c r="BT81" i="63" s="1"/>
  <c r="BT82" i="63" s="1"/>
  <c r="BT83" i="63" s="1"/>
  <c r="BT84" i="63" s="1"/>
  <c r="BT85" i="63" s="1"/>
  <c r="BT86" i="63" s="1"/>
  <c r="BT87" i="63" s="1"/>
  <c r="BT88" i="63" s="1"/>
  <c r="BT89" i="63" s="1"/>
  <c r="BT90" i="63" s="1"/>
  <c r="BT91" i="63" s="1"/>
  <c r="BT92" i="63" s="1"/>
  <c r="BT93" i="63" s="1"/>
  <c r="BT94" i="63" s="1"/>
  <c r="BT95" i="63" s="1"/>
  <c r="BT96" i="63" s="1"/>
  <c r="BT97" i="63" s="1"/>
  <c r="BT98" i="63" s="1"/>
  <c r="BT99" i="63" s="1"/>
  <c r="BT100" i="63" s="1"/>
  <c r="BT101" i="63" s="1"/>
  <c r="BT102" i="63" s="1"/>
  <c r="BT103" i="63" s="1"/>
  <c r="BT104" i="63" s="1"/>
  <c r="BT105" i="63" s="1"/>
  <c r="BT106" i="63" s="1"/>
  <c r="BT107" i="63" s="1"/>
  <c r="BT108" i="63" s="1"/>
  <c r="BT109" i="63" s="1"/>
  <c r="BT110" i="63" s="1"/>
  <c r="BT111" i="63" s="1"/>
  <c r="BT112" i="63" s="1"/>
  <c r="BT113" i="63" s="1"/>
  <c r="BT114" i="63" s="1"/>
  <c r="BT115" i="63" s="1"/>
  <c r="BT116" i="63" s="1"/>
  <c r="BT117" i="63" s="1"/>
  <c r="BT118" i="63" s="1"/>
  <c r="BT119" i="63" s="1"/>
  <c r="BT120" i="63" s="1"/>
  <c r="BT121" i="63" s="1"/>
  <c r="BT122" i="63" s="1"/>
  <c r="BT123" i="63" s="1"/>
  <c r="BT124" i="63" s="1"/>
  <c r="BT125" i="63" s="1"/>
  <c r="BT126" i="63" s="1"/>
  <c r="BT127" i="63" s="1"/>
  <c r="BT128" i="63" s="1"/>
  <c r="BT129" i="63" s="1"/>
  <c r="BT130" i="63" s="1"/>
  <c r="BT131" i="63" s="1"/>
  <c r="BT132" i="63" s="1"/>
  <c r="BT133" i="63" s="1"/>
  <c r="BT134" i="63" s="1"/>
  <c r="BT135" i="63" s="1"/>
  <c r="BT136" i="63" s="1"/>
  <c r="BT137" i="63" s="1"/>
  <c r="BT138" i="63" s="1"/>
  <c r="BT139" i="63" s="1"/>
  <c r="BT140" i="63" s="1"/>
  <c r="BT141" i="63" s="1"/>
  <c r="BT142" i="63" s="1"/>
  <c r="BT143" i="63" s="1"/>
  <c r="BT144" i="63" s="1"/>
  <c r="BT145" i="63" s="1"/>
  <c r="BT146" i="63" s="1"/>
  <c r="BT147" i="63" s="1"/>
  <c r="BT148" i="63" s="1"/>
  <c r="BT149" i="63" s="1"/>
  <c r="BT150" i="63" s="1"/>
  <c r="BT151" i="63" s="1"/>
  <c r="BT152" i="63" s="1"/>
  <c r="BT153" i="63" s="1"/>
  <c r="BT154" i="63" s="1"/>
  <c r="BT155" i="63" s="1"/>
  <c r="BT156" i="63" s="1"/>
  <c r="BT157" i="63" s="1"/>
  <c r="BT158" i="63" s="1"/>
  <c r="BT159" i="63" s="1"/>
  <c r="BT160" i="63" s="1"/>
  <c r="BT161" i="63" s="1"/>
  <c r="BT162" i="63" s="1"/>
  <c r="BT163" i="63" s="1"/>
  <c r="BT164" i="63" s="1"/>
  <c r="BT165" i="63" s="1"/>
  <c r="BT166" i="63" s="1"/>
  <c r="BT167" i="63" s="1"/>
  <c r="BT168" i="63" s="1"/>
  <c r="BT169" i="63" s="1"/>
  <c r="BT170" i="63" s="1"/>
  <c r="BT171" i="63" s="1"/>
  <c r="BT172" i="63" s="1"/>
  <c r="BT173" i="63" s="1"/>
  <c r="BT174" i="63" s="1"/>
  <c r="BT175" i="63" s="1"/>
  <c r="BT176" i="63" s="1"/>
  <c r="BT177" i="63" s="1"/>
  <c r="BT178" i="63" s="1"/>
  <c r="BT179" i="63" s="1"/>
  <c r="BT180" i="63" s="1"/>
  <c r="BT181" i="63" s="1"/>
  <c r="BT182" i="63" s="1"/>
  <c r="BT183" i="63" s="1"/>
  <c r="BT184" i="63" s="1"/>
  <c r="BT185" i="63" s="1"/>
  <c r="BT186" i="63" s="1"/>
  <c r="BT187" i="63" s="1"/>
  <c r="BT188" i="63" s="1"/>
  <c r="BT189" i="63" s="1"/>
  <c r="BT190" i="63" s="1"/>
  <c r="BT191" i="63" s="1"/>
  <c r="BT192" i="63" s="1"/>
  <c r="BT193" i="63" s="1"/>
  <c r="BT194" i="63" s="1"/>
  <c r="BT195" i="63" s="1"/>
  <c r="BT196" i="63" s="1"/>
  <c r="BT197" i="63" s="1"/>
  <c r="BT198" i="63" s="1"/>
  <c r="BT199" i="63" s="1"/>
  <c r="BT200" i="63" s="1"/>
  <c r="BT201" i="63" s="1"/>
  <c r="BT202" i="63" s="1"/>
  <c r="BT203" i="63" s="1"/>
  <c r="BT204" i="63" s="1"/>
  <c r="BT205" i="63" s="1"/>
  <c r="BT206" i="63" s="1"/>
  <c r="BT207" i="63" s="1"/>
  <c r="BT208" i="63" s="1"/>
  <c r="BT209" i="63" s="1"/>
  <c r="BT210" i="63" s="1"/>
  <c r="BT211" i="63" s="1"/>
  <c r="BT212" i="63" s="1"/>
  <c r="BT213" i="63" s="1"/>
  <c r="BT214" i="63" s="1"/>
  <c r="BT215" i="63" s="1"/>
  <c r="BT216" i="63" s="1"/>
  <c r="BT217" i="63" s="1"/>
  <c r="BT218" i="63" s="1"/>
  <c r="BT219" i="63" s="1"/>
  <c r="BT220" i="63" s="1"/>
  <c r="BT221" i="63" s="1"/>
  <c r="BT222" i="63" s="1"/>
  <c r="BT223" i="63" s="1"/>
  <c r="BT224" i="63" s="1"/>
  <c r="BT225" i="63" s="1"/>
  <c r="BT226" i="63" s="1"/>
  <c r="BT227" i="63" s="1"/>
  <c r="BT228" i="63" s="1"/>
  <c r="BT229" i="63" s="1"/>
  <c r="BT230" i="63" s="1"/>
  <c r="BT231" i="63" s="1"/>
  <c r="BT232" i="63" s="1"/>
  <c r="BT233" i="63" s="1"/>
  <c r="BT234" i="63" s="1"/>
  <c r="BT235" i="63" s="1"/>
  <c r="BT236" i="63" s="1"/>
  <c r="BT237" i="63" s="1"/>
  <c r="BT238" i="63" s="1"/>
  <c r="BT239" i="63" s="1"/>
  <c r="BT240" i="63" s="1"/>
  <c r="BT241" i="63" s="1"/>
  <c r="BT242" i="63" s="1"/>
  <c r="BT243" i="63" s="1"/>
  <c r="BT244" i="63" s="1"/>
  <c r="BT245" i="63" s="1"/>
  <c r="BT246" i="63" s="1"/>
  <c r="BT247" i="63" s="1"/>
  <c r="BT248" i="63" s="1"/>
  <c r="BT249" i="63" s="1"/>
  <c r="BT250" i="63" s="1"/>
  <c r="BT251" i="63" s="1"/>
  <c r="BT252" i="63" s="1"/>
  <c r="BT253" i="63" s="1"/>
  <c r="BT254" i="63" s="1"/>
  <c r="BT255" i="63" s="1"/>
  <c r="BT256" i="63" s="1"/>
  <c r="BT257" i="63" s="1"/>
  <c r="BT258" i="63" s="1"/>
  <c r="BT259" i="63" s="1"/>
  <c r="BT260" i="63" s="1"/>
  <c r="BT261" i="63" s="1"/>
  <c r="BT262" i="63" s="1"/>
  <c r="BT263" i="63" s="1"/>
  <c r="BT264" i="63" s="1"/>
  <c r="BT265" i="63" s="1"/>
  <c r="BT266" i="63" s="1"/>
  <c r="BT267" i="63" s="1"/>
  <c r="BT268" i="63" s="1"/>
  <c r="BT269" i="63" s="1"/>
  <c r="BT270" i="63" s="1"/>
  <c r="BT271" i="63" s="1"/>
  <c r="BT272" i="63" s="1"/>
  <c r="BT273" i="63" s="1"/>
  <c r="BT274" i="63" s="1"/>
  <c r="BT275" i="63" s="1"/>
  <c r="BT276" i="63" s="1"/>
  <c r="BT277" i="63" s="1"/>
  <c r="BT278" i="63" s="1"/>
  <c r="BT279" i="63" s="1"/>
  <c r="BT280" i="63" s="1"/>
  <c r="BT281" i="63" s="1"/>
  <c r="BT282" i="63" s="1"/>
  <c r="BT283" i="63" s="1"/>
  <c r="BT284" i="63" s="1"/>
  <c r="BT285" i="63" s="1"/>
  <c r="BT286" i="63" s="1"/>
  <c r="BT287" i="63" s="1"/>
  <c r="BT288" i="63" s="1"/>
  <c r="BT289" i="63" s="1"/>
  <c r="BT290" i="63" s="1"/>
  <c r="BT291" i="63" s="1"/>
  <c r="BT292" i="63" s="1"/>
  <c r="BT293" i="63" s="1"/>
  <c r="BT294" i="63" s="1"/>
  <c r="BT295" i="63" s="1"/>
  <c r="BT296" i="63" s="1"/>
  <c r="BT297" i="63" s="1"/>
  <c r="BT298" i="63" s="1"/>
  <c r="BT299" i="63" s="1"/>
  <c r="BT300" i="63" s="1"/>
  <c r="BT301" i="63" s="1"/>
  <c r="BT302" i="63" s="1"/>
  <c r="BT303" i="63" s="1"/>
  <c r="BT304" i="63" s="1"/>
  <c r="BT305" i="63" s="1"/>
  <c r="BT306" i="63" s="1"/>
  <c r="BT307" i="63" s="1"/>
  <c r="BT308" i="63" s="1"/>
  <c r="BT7" i="63"/>
  <c r="BT6" i="63"/>
  <c r="BT5" i="63"/>
  <c r="BT4" i="63"/>
  <c r="BS8" i="63"/>
  <c r="BS9" i="63" s="1"/>
  <c r="BS10" i="63" s="1"/>
  <c r="BS11" i="63" s="1"/>
  <c r="BS12" i="63" s="1"/>
  <c r="BS13" i="63" s="1"/>
  <c r="BS14" i="63" s="1"/>
  <c r="BS15" i="63" s="1"/>
  <c r="BS16" i="63" s="1"/>
  <c r="BS17" i="63" s="1"/>
  <c r="BS18" i="63" s="1"/>
  <c r="BS19" i="63" s="1"/>
  <c r="BS20" i="63" s="1"/>
  <c r="BS21" i="63" s="1"/>
  <c r="BS22" i="63" s="1"/>
  <c r="BS23" i="63" s="1"/>
  <c r="BS24" i="63" s="1"/>
  <c r="BS25" i="63" s="1"/>
  <c r="BS26" i="63" s="1"/>
  <c r="BS27" i="63" s="1"/>
  <c r="BS28" i="63" s="1"/>
  <c r="BS29" i="63" s="1"/>
  <c r="BS30" i="63" s="1"/>
  <c r="BS31" i="63" s="1"/>
  <c r="BS32" i="63" s="1"/>
  <c r="BS33" i="63" s="1"/>
  <c r="BS34" i="63" s="1"/>
  <c r="BS35" i="63" s="1"/>
  <c r="BS36" i="63" s="1"/>
  <c r="BS37" i="63" s="1"/>
  <c r="BS38" i="63" s="1"/>
  <c r="BS39" i="63" s="1"/>
  <c r="BS40" i="63" s="1"/>
  <c r="BS41" i="63" s="1"/>
  <c r="BS42" i="63" s="1"/>
  <c r="BS43" i="63" s="1"/>
  <c r="BS44" i="63" s="1"/>
  <c r="BS45" i="63" s="1"/>
  <c r="BS46" i="63" s="1"/>
  <c r="BS47" i="63" s="1"/>
  <c r="BS48" i="63" s="1"/>
  <c r="BS49" i="63" s="1"/>
  <c r="BS50" i="63" s="1"/>
  <c r="BS51" i="63" s="1"/>
  <c r="BS52" i="63" s="1"/>
  <c r="BS53" i="63" s="1"/>
  <c r="BS54" i="63" s="1"/>
  <c r="BS55" i="63" s="1"/>
  <c r="BS56" i="63" s="1"/>
  <c r="BS57" i="63" s="1"/>
  <c r="BS58" i="63" s="1"/>
  <c r="BS59" i="63" s="1"/>
  <c r="BS60" i="63" s="1"/>
  <c r="BS61" i="63" s="1"/>
  <c r="BS62" i="63" s="1"/>
  <c r="BS63" i="63" s="1"/>
  <c r="BS64" i="63" s="1"/>
  <c r="BS65" i="63" s="1"/>
  <c r="BS66" i="63" s="1"/>
  <c r="BS67" i="63" s="1"/>
  <c r="BS68" i="63" s="1"/>
  <c r="BS69" i="63" s="1"/>
  <c r="BS70" i="63" s="1"/>
  <c r="BS71" i="63" s="1"/>
  <c r="BS72" i="63" s="1"/>
  <c r="BS73" i="63" s="1"/>
  <c r="BS74" i="63" s="1"/>
  <c r="BS75" i="63" s="1"/>
  <c r="BS76" i="63" s="1"/>
  <c r="BS77" i="63" s="1"/>
  <c r="BS78" i="63" s="1"/>
  <c r="BS79" i="63" s="1"/>
  <c r="BS80" i="63" s="1"/>
  <c r="BS81" i="63" s="1"/>
  <c r="BS82" i="63" s="1"/>
  <c r="BS83" i="63" s="1"/>
  <c r="BS84" i="63" s="1"/>
  <c r="BS85" i="63" s="1"/>
  <c r="BS86" i="63" s="1"/>
  <c r="BS87" i="63" s="1"/>
  <c r="BS88" i="63" s="1"/>
  <c r="BS89" i="63" s="1"/>
  <c r="BS90" i="63" s="1"/>
  <c r="BS91" i="63" s="1"/>
  <c r="BS92" i="63" s="1"/>
  <c r="BS93" i="63" s="1"/>
  <c r="BS94" i="63" s="1"/>
  <c r="BS95" i="63" s="1"/>
  <c r="BS96" i="63" s="1"/>
  <c r="BS97" i="63" s="1"/>
  <c r="BS98" i="63" s="1"/>
  <c r="BS99" i="63" s="1"/>
  <c r="BS100" i="63" s="1"/>
  <c r="BS101" i="63" s="1"/>
  <c r="BS102" i="63" s="1"/>
  <c r="BS103" i="63" s="1"/>
  <c r="BS104" i="63" s="1"/>
  <c r="BS105" i="63" s="1"/>
  <c r="BS106" i="63" s="1"/>
  <c r="BS107" i="63" s="1"/>
  <c r="BS108" i="63" s="1"/>
  <c r="BS109" i="63" s="1"/>
  <c r="BS110" i="63" s="1"/>
  <c r="BS111" i="63" s="1"/>
  <c r="BS112" i="63" s="1"/>
  <c r="BS113" i="63" s="1"/>
  <c r="BS114" i="63" s="1"/>
  <c r="BS115" i="63" s="1"/>
  <c r="BS116" i="63" s="1"/>
  <c r="BS117" i="63" s="1"/>
  <c r="BS118" i="63" s="1"/>
  <c r="BS119" i="63" s="1"/>
  <c r="BS120" i="63" s="1"/>
  <c r="BS121" i="63" s="1"/>
  <c r="BS122" i="63" s="1"/>
  <c r="BS123" i="63" s="1"/>
  <c r="BS124" i="63" s="1"/>
  <c r="BS125" i="63" s="1"/>
  <c r="BS126" i="63" s="1"/>
  <c r="BS127" i="63" s="1"/>
  <c r="BS128" i="63" s="1"/>
  <c r="BS129" i="63" s="1"/>
  <c r="BS130" i="63" s="1"/>
  <c r="BS131" i="63" s="1"/>
  <c r="BS132" i="63" s="1"/>
  <c r="BS133" i="63" s="1"/>
  <c r="BS134" i="63" s="1"/>
  <c r="BS135" i="63" s="1"/>
  <c r="BS136" i="63" s="1"/>
  <c r="BS137" i="63" s="1"/>
  <c r="BS138" i="63" s="1"/>
  <c r="BS139" i="63" s="1"/>
  <c r="BS140" i="63" s="1"/>
  <c r="BS141" i="63" s="1"/>
  <c r="BS142" i="63" s="1"/>
  <c r="BS143" i="63" s="1"/>
  <c r="BS144" i="63" s="1"/>
  <c r="BS145" i="63" s="1"/>
  <c r="BS146" i="63" s="1"/>
  <c r="BS147" i="63" s="1"/>
  <c r="BS148" i="63" s="1"/>
  <c r="BS149" i="63" s="1"/>
  <c r="BS150" i="63" s="1"/>
  <c r="BS151" i="63" s="1"/>
  <c r="BS152" i="63" s="1"/>
  <c r="BS153" i="63" s="1"/>
  <c r="BS154" i="63" s="1"/>
  <c r="BS155" i="63" s="1"/>
  <c r="BS156" i="63" s="1"/>
  <c r="BS157" i="63" s="1"/>
  <c r="BS158" i="63" s="1"/>
  <c r="BS159" i="63" s="1"/>
  <c r="BS160" i="63" s="1"/>
  <c r="BS161" i="63" s="1"/>
  <c r="BS162" i="63" s="1"/>
  <c r="BS163" i="63" s="1"/>
  <c r="BS164" i="63" s="1"/>
  <c r="BS165" i="63" s="1"/>
  <c r="BS166" i="63" s="1"/>
  <c r="BS167" i="63" s="1"/>
  <c r="BS168" i="63" s="1"/>
  <c r="BS169" i="63" s="1"/>
  <c r="BS170" i="63" s="1"/>
  <c r="BS171" i="63" s="1"/>
  <c r="BS172" i="63" s="1"/>
  <c r="BS173" i="63" s="1"/>
  <c r="BS174" i="63" s="1"/>
  <c r="BS175" i="63" s="1"/>
  <c r="BS176" i="63" s="1"/>
  <c r="BS177" i="63" s="1"/>
  <c r="BS178" i="63" s="1"/>
  <c r="BS179" i="63" s="1"/>
  <c r="BS180" i="63" s="1"/>
  <c r="BS181" i="63" s="1"/>
  <c r="BS182" i="63" s="1"/>
  <c r="BS183" i="63" s="1"/>
  <c r="BS184" i="63" s="1"/>
  <c r="BS185" i="63" s="1"/>
  <c r="BS186" i="63" s="1"/>
  <c r="BS187" i="63" s="1"/>
  <c r="BS188" i="63" s="1"/>
  <c r="BS189" i="63" s="1"/>
  <c r="BS190" i="63" s="1"/>
  <c r="BS191" i="63" s="1"/>
  <c r="BS192" i="63" s="1"/>
  <c r="BS193" i="63" s="1"/>
  <c r="BS194" i="63" s="1"/>
  <c r="BS195" i="63" s="1"/>
  <c r="BS196" i="63" s="1"/>
  <c r="BS197" i="63" s="1"/>
  <c r="BS198" i="63" s="1"/>
  <c r="BS199" i="63" s="1"/>
  <c r="BS200" i="63" s="1"/>
  <c r="BS201" i="63" s="1"/>
  <c r="BS202" i="63" s="1"/>
  <c r="BS203" i="63" s="1"/>
  <c r="BS204" i="63" s="1"/>
  <c r="BS205" i="63" s="1"/>
  <c r="BS206" i="63" s="1"/>
  <c r="BS207" i="63" s="1"/>
  <c r="BS208" i="63" s="1"/>
  <c r="BS209" i="63" s="1"/>
  <c r="BS210" i="63" s="1"/>
  <c r="BS211" i="63" s="1"/>
  <c r="BS212" i="63" s="1"/>
  <c r="BS213" i="63" s="1"/>
  <c r="BS214" i="63" s="1"/>
  <c r="BS215" i="63" s="1"/>
  <c r="BS216" i="63" s="1"/>
  <c r="BS217" i="63" s="1"/>
  <c r="BS218" i="63" s="1"/>
  <c r="BS219" i="63" s="1"/>
  <c r="BS220" i="63" s="1"/>
  <c r="BS221" i="63" s="1"/>
  <c r="BS222" i="63" s="1"/>
  <c r="BS223" i="63" s="1"/>
  <c r="BS224" i="63" s="1"/>
  <c r="BS225" i="63" s="1"/>
  <c r="BS226" i="63" s="1"/>
  <c r="BS227" i="63" s="1"/>
  <c r="BS228" i="63" s="1"/>
  <c r="BS229" i="63" s="1"/>
  <c r="BS230" i="63" s="1"/>
  <c r="BS231" i="63" s="1"/>
  <c r="BS232" i="63" s="1"/>
  <c r="BS233" i="63" s="1"/>
  <c r="BS234" i="63" s="1"/>
  <c r="BS235" i="63" s="1"/>
  <c r="BS236" i="63" s="1"/>
  <c r="BS237" i="63" s="1"/>
  <c r="BS238" i="63" s="1"/>
  <c r="BS239" i="63" s="1"/>
  <c r="BS240" i="63" s="1"/>
  <c r="BS241" i="63" s="1"/>
  <c r="BS242" i="63" s="1"/>
  <c r="BS243" i="63" s="1"/>
  <c r="BS244" i="63" s="1"/>
  <c r="BS245" i="63" s="1"/>
  <c r="BS246" i="63" s="1"/>
  <c r="BS247" i="63" s="1"/>
  <c r="BS248" i="63" s="1"/>
  <c r="BS249" i="63" s="1"/>
  <c r="BS250" i="63" s="1"/>
  <c r="BS251" i="63" s="1"/>
  <c r="BS252" i="63" s="1"/>
  <c r="BS253" i="63" s="1"/>
  <c r="BS254" i="63" s="1"/>
  <c r="BS255" i="63" s="1"/>
  <c r="BS256" i="63" s="1"/>
  <c r="BS257" i="63" s="1"/>
  <c r="BS258" i="63" s="1"/>
  <c r="BS259" i="63" s="1"/>
  <c r="BS260" i="63" s="1"/>
  <c r="BS261" i="63" s="1"/>
  <c r="BS262" i="63" s="1"/>
  <c r="BS263" i="63" s="1"/>
  <c r="BS264" i="63" s="1"/>
  <c r="BS265" i="63" s="1"/>
  <c r="BS266" i="63" s="1"/>
  <c r="BS267" i="63" s="1"/>
  <c r="BS268" i="63" s="1"/>
  <c r="BS269" i="63" s="1"/>
  <c r="BS270" i="63" s="1"/>
  <c r="BS271" i="63" s="1"/>
  <c r="BS272" i="63" s="1"/>
  <c r="BS273" i="63" s="1"/>
  <c r="BS274" i="63" s="1"/>
  <c r="BS275" i="63" s="1"/>
  <c r="BS276" i="63" s="1"/>
  <c r="BS277" i="63" s="1"/>
  <c r="BS278" i="63" s="1"/>
  <c r="BS279" i="63" s="1"/>
  <c r="BS280" i="63" s="1"/>
  <c r="BS281" i="63" s="1"/>
  <c r="BS282" i="63" s="1"/>
  <c r="BS283" i="63" s="1"/>
  <c r="BS284" i="63" s="1"/>
  <c r="BS285" i="63" s="1"/>
  <c r="BS286" i="63" s="1"/>
  <c r="BS287" i="63" s="1"/>
  <c r="BS288" i="63" s="1"/>
  <c r="BS289" i="63" s="1"/>
  <c r="BS290" i="63" s="1"/>
  <c r="BS291" i="63" s="1"/>
  <c r="BS292" i="63" s="1"/>
  <c r="BS293" i="63" s="1"/>
  <c r="BS294" i="63" s="1"/>
  <c r="BS295" i="63" s="1"/>
  <c r="BS296" i="63" s="1"/>
  <c r="BS297" i="63" s="1"/>
  <c r="BS298" i="63" s="1"/>
  <c r="BS299" i="63" s="1"/>
  <c r="BS300" i="63" s="1"/>
  <c r="BS301" i="63" s="1"/>
  <c r="BS302" i="63" s="1"/>
  <c r="BS303" i="63" s="1"/>
  <c r="BS304" i="63" s="1"/>
  <c r="BS305" i="63" s="1"/>
  <c r="BS306" i="63" s="1"/>
  <c r="BS307" i="63" s="1"/>
  <c r="BS308" i="63" s="1"/>
  <c r="BS7" i="63"/>
  <c r="BS6" i="63"/>
  <c r="BS5" i="63"/>
  <c r="BS4" i="63"/>
  <c r="BR8" i="63"/>
  <c r="BR7" i="63"/>
  <c r="BR6" i="63"/>
  <c r="BR5" i="63"/>
  <c r="BR4" i="63"/>
  <c r="BQ8" i="63"/>
  <c r="BQ9" i="63" s="1"/>
  <c r="BQ10" i="63" s="1"/>
  <c r="BQ11" i="63" s="1"/>
  <c r="BQ12" i="63" s="1"/>
  <c r="BQ13" i="63" s="1"/>
  <c r="BQ14" i="63" s="1"/>
  <c r="BQ15" i="63" s="1"/>
  <c r="BQ16" i="63" s="1"/>
  <c r="BQ17" i="63" s="1"/>
  <c r="BQ18" i="63" s="1"/>
  <c r="BQ19" i="63" s="1"/>
  <c r="BQ20" i="63" s="1"/>
  <c r="BQ21" i="63" s="1"/>
  <c r="BQ22" i="63" s="1"/>
  <c r="BQ23" i="63" s="1"/>
  <c r="BQ24" i="63" s="1"/>
  <c r="BQ25" i="63" s="1"/>
  <c r="BQ26" i="63" s="1"/>
  <c r="BQ27" i="63" s="1"/>
  <c r="BQ28" i="63" s="1"/>
  <c r="BQ29" i="63" s="1"/>
  <c r="BQ30" i="63" s="1"/>
  <c r="BQ31" i="63" s="1"/>
  <c r="BQ32" i="63" s="1"/>
  <c r="BQ33" i="63" s="1"/>
  <c r="BQ34" i="63" s="1"/>
  <c r="BQ35" i="63" s="1"/>
  <c r="BQ36" i="63" s="1"/>
  <c r="BQ37" i="63" s="1"/>
  <c r="BQ38" i="63" s="1"/>
  <c r="BQ39" i="63" s="1"/>
  <c r="BQ40" i="63" s="1"/>
  <c r="BQ41" i="63" s="1"/>
  <c r="BQ42" i="63" s="1"/>
  <c r="BQ43" i="63" s="1"/>
  <c r="BQ44" i="63" s="1"/>
  <c r="BQ45" i="63" s="1"/>
  <c r="BQ46" i="63" s="1"/>
  <c r="BQ47" i="63" s="1"/>
  <c r="BQ48" i="63" s="1"/>
  <c r="BQ49" i="63" s="1"/>
  <c r="BQ50" i="63" s="1"/>
  <c r="BQ51" i="63" s="1"/>
  <c r="BQ52" i="63" s="1"/>
  <c r="BQ53" i="63" s="1"/>
  <c r="BQ54" i="63" s="1"/>
  <c r="BQ55" i="63" s="1"/>
  <c r="BQ56" i="63" s="1"/>
  <c r="BQ57" i="63" s="1"/>
  <c r="BQ58" i="63" s="1"/>
  <c r="BQ59" i="63" s="1"/>
  <c r="BQ60" i="63" s="1"/>
  <c r="BQ61" i="63" s="1"/>
  <c r="BQ62" i="63" s="1"/>
  <c r="BQ63" i="63" s="1"/>
  <c r="BQ64" i="63" s="1"/>
  <c r="BQ65" i="63" s="1"/>
  <c r="BQ66" i="63" s="1"/>
  <c r="BQ67" i="63" s="1"/>
  <c r="BQ68" i="63" s="1"/>
  <c r="BQ69" i="63" s="1"/>
  <c r="BQ70" i="63" s="1"/>
  <c r="BQ71" i="63" s="1"/>
  <c r="BQ72" i="63" s="1"/>
  <c r="BQ73" i="63" s="1"/>
  <c r="BQ74" i="63" s="1"/>
  <c r="BQ75" i="63" s="1"/>
  <c r="BQ76" i="63" s="1"/>
  <c r="BQ77" i="63" s="1"/>
  <c r="BQ78" i="63" s="1"/>
  <c r="BQ79" i="63" s="1"/>
  <c r="BQ80" i="63" s="1"/>
  <c r="BQ81" i="63" s="1"/>
  <c r="BQ82" i="63" s="1"/>
  <c r="BQ83" i="63" s="1"/>
  <c r="BQ84" i="63" s="1"/>
  <c r="BQ85" i="63" s="1"/>
  <c r="BQ86" i="63" s="1"/>
  <c r="BQ87" i="63" s="1"/>
  <c r="BQ88" i="63" s="1"/>
  <c r="BQ89" i="63" s="1"/>
  <c r="BQ90" i="63" s="1"/>
  <c r="BQ91" i="63" s="1"/>
  <c r="BQ92" i="63" s="1"/>
  <c r="BQ93" i="63" s="1"/>
  <c r="BQ94" i="63" s="1"/>
  <c r="BQ95" i="63" s="1"/>
  <c r="BQ96" i="63" s="1"/>
  <c r="BQ97" i="63" s="1"/>
  <c r="BQ98" i="63" s="1"/>
  <c r="BQ99" i="63" s="1"/>
  <c r="BQ100" i="63" s="1"/>
  <c r="BQ101" i="63" s="1"/>
  <c r="BQ102" i="63" s="1"/>
  <c r="BQ103" i="63" s="1"/>
  <c r="BQ104" i="63" s="1"/>
  <c r="BQ105" i="63" s="1"/>
  <c r="BQ106" i="63" s="1"/>
  <c r="BQ107" i="63" s="1"/>
  <c r="BQ108" i="63" s="1"/>
  <c r="BQ109" i="63" s="1"/>
  <c r="BQ110" i="63" s="1"/>
  <c r="BQ111" i="63" s="1"/>
  <c r="BQ112" i="63" s="1"/>
  <c r="BQ113" i="63" s="1"/>
  <c r="BQ114" i="63" s="1"/>
  <c r="BQ115" i="63" s="1"/>
  <c r="BQ116" i="63" s="1"/>
  <c r="BQ117" i="63" s="1"/>
  <c r="BQ118" i="63" s="1"/>
  <c r="BQ119" i="63" s="1"/>
  <c r="BQ120" i="63" s="1"/>
  <c r="BQ121" i="63" s="1"/>
  <c r="BQ122" i="63" s="1"/>
  <c r="BQ123" i="63" s="1"/>
  <c r="BQ124" i="63" s="1"/>
  <c r="BQ125" i="63" s="1"/>
  <c r="BQ126" i="63" s="1"/>
  <c r="BQ127" i="63" s="1"/>
  <c r="BQ128" i="63" s="1"/>
  <c r="BQ129" i="63" s="1"/>
  <c r="BQ130" i="63" s="1"/>
  <c r="BQ131" i="63" s="1"/>
  <c r="BQ132" i="63" s="1"/>
  <c r="BQ133" i="63" s="1"/>
  <c r="BQ134" i="63" s="1"/>
  <c r="BQ135" i="63" s="1"/>
  <c r="BQ136" i="63" s="1"/>
  <c r="BQ137" i="63" s="1"/>
  <c r="BQ138" i="63" s="1"/>
  <c r="BQ139" i="63" s="1"/>
  <c r="BQ140" i="63" s="1"/>
  <c r="BQ141" i="63" s="1"/>
  <c r="BQ142" i="63" s="1"/>
  <c r="BQ143" i="63" s="1"/>
  <c r="BQ144" i="63" s="1"/>
  <c r="BQ145" i="63" s="1"/>
  <c r="BQ146" i="63" s="1"/>
  <c r="BQ147" i="63" s="1"/>
  <c r="BQ148" i="63" s="1"/>
  <c r="BQ149" i="63" s="1"/>
  <c r="BQ150" i="63" s="1"/>
  <c r="BQ151" i="63" s="1"/>
  <c r="BQ152" i="63" s="1"/>
  <c r="BQ153" i="63" s="1"/>
  <c r="BQ154" i="63" s="1"/>
  <c r="BQ155" i="63" s="1"/>
  <c r="BQ156" i="63" s="1"/>
  <c r="BQ157" i="63" s="1"/>
  <c r="BQ158" i="63" s="1"/>
  <c r="BQ159" i="63" s="1"/>
  <c r="BQ160" i="63" s="1"/>
  <c r="BQ161" i="63" s="1"/>
  <c r="BQ162" i="63" s="1"/>
  <c r="BQ163" i="63" s="1"/>
  <c r="BQ164" i="63" s="1"/>
  <c r="BQ165" i="63" s="1"/>
  <c r="BQ166" i="63" s="1"/>
  <c r="BQ167" i="63" s="1"/>
  <c r="BQ168" i="63" s="1"/>
  <c r="BQ169" i="63" s="1"/>
  <c r="BQ170" i="63" s="1"/>
  <c r="BQ171" i="63" s="1"/>
  <c r="BQ172" i="63" s="1"/>
  <c r="BQ173" i="63" s="1"/>
  <c r="BQ174" i="63" s="1"/>
  <c r="BQ175" i="63" s="1"/>
  <c r="BQ176" i="63" s="1"/>
  <c r="BQ177" i="63" s="1"/>
  <c r="BQ178" i="63" s="1"/>
  <c r="BQ179" i="63" s="1"/>
  <c r="BQ180" i="63" s="1"/>
  <c r="BQ181" i="63" s="1"/>
  <c r="BQ182" i="63" s="1"/>
  <c r="BQ183" i="63" s="1"/>
  <c r="BQ184" i="63" s="1"/>
  <c r="BQ185" i="63" s="1"/>
  <c r="BQ186" i="63" s="1"/>
  <c r="BQ187" i="63" s="1"/>
  <c r="BQ188" i="63" s="1"/>
  <c r="BQ189" i="63" s="1"/>
  <c r="BQ190" i="63" s="1"/>
  <c r="BQ191" i="63" s="1"/>
  <c r="BQ192" i="63" s="1"/>
  <c r="BQ193" i="63" s="1"/>
  <c r="BQ194" i="63" s="1"/>
  <c r="BQ195" i="63" s="1"/>
  <c r="BQ196" i="63" s="1"/>
  <c r="BQ197" i="63" s="1"/>
  <c r="BQ198" i="63" s="1"/>
  <c r="BQ199" i="63" s="1"/>
  <c r="BQ200" i="63" s="1"/>
  <c r="BQ201" i="63" s="1"/>
  <c r="BQ202" i="63" s="1"/>
  <c r="BQ203" i="63" s="1"/>
  <c r="BQ204" i="63" s="1"/>
  <c r="BQ205" i="63" s="1"/>
  <c r="BQ206" i="63" s="1"/>
  <c r="BQ207" i="63" s="1"/>
  <c r="BQ208" i="63" s="1"/>
  <c r="BQ209" i="63" s="1"/>
  <c r="BQ210" i="63" s="1"/>
  <c r="BQ211" i="63" s="1"/>
  <c r="BQ212" i="63" s="1"/>
  <c r="BQ213" i="63" s="1"/>
  <c r="BQ214" i="63" s="1"/>
  <c r="BQ215" i="63" s="1"/>
  <c r="BQ216" i="63" s="1"/>
  <c r="BQ217" i="63" s="1"/>
  <c r="BQ218" i="63" s="1"/>
  <c r="BQ219" i="63" s="1"/>
  <c r="BQ220" i="63" s="1"/>
  <c r="BQ221" i="63" s="1"/>
  <c r="BQ222" i="63" s="1"/>
  <c r="BQ223" i="63" s="1"/>
  <c r="BQ224" i="63" s="1"/>
  <c r="BQ225" i="63" s="1"/>
  <c r="BQ226" i="63" s="1"/>
  <c r="BQ227" i="63" s="1"/>
  <c r="BQ228" i="63" s="1"/>
  <c r="BQ229" i="63" s="1"/>
  <c r="BQ230" i="63" s="1"/>
  <c r="BQ231" i="63" s="1"/>
  <c r="BQ232" i="63" s="1"/>
  <c r="BQ233" i="63" s="1"/>
  <c r="BQ234" i="63" s="1"/>
  <c r="BQ235" i="63" s="1"/>
  <c r="BQ236" i="63" s="1"/>
  <c r="BQ237" i="63" s="1"/>
  <c r="BQ238" i="63" s="1"/>
  <c r="BQ239" i="63" s="1"/>
  <c r="BQ240" i="63" s="1"/>
  <c r="BQ241" i="63" s="1"/>
  <c r="BQ242" i="63" s="1"/>
  <c r="BQ243" i="63" s="1"/>
  <c r="BQ244" i="63" s="1"/>
  <c r="BQ245" i="63" s="1"/>
  <c r="BQ246" i="63" s="1"/>
  <c r="BQ247" i="63" s="1"/>
  <c r="BQ248" i="63" s="1"/>
  <c r="BQ249" i="63" s="1"/>
  <c r="BQ250" i="63" s="1"/>
  <c r="BQ251" i="63" s="1"/>
  <c r="BQ252" i="63" s="1"/>
  <c r="BQ253" i="63" s="1"/>
  <c r="BQ254" i="63" s="1"/>
  <c r="BQ255" i="63" s="1"/>
  <c r="BQ256" i="63" s="1"/>
  <c r="BQ257" i="63" s="1"/>
  <c r="BQ258" i="63" s="1"/>
  <c r="BQ259" i="63" s="1"/>
  <c r="BQ260" i="63" s="1"/>
  <c r="BQ261" i="63" s="1"/>
  <c r="BQ262" i="63" s="1"/>
  <c r="BQ263" i="63" s="1"/>
  <c r="BQ264" i="63" s="1"/>
  <c r="BQ265" i="63" s="1"/>
  <c r="BQ266" i="63" s="1"/>
  <c r="BQ267" i="63" s="1"/>
  <c r="BQ268" i="63" s="1"/>
  <c r="BQ269" i="63" s="1"/>
  <c r="BQ270" i="63" s="1"/>
  <c r="BQ271" i="63" s="1"/>
  <c r="BQ272" i="63" s="1"/>
  <c r="BQ273" i="63" s="1"/>
  <c r="BQ274" i="63" s="1"/>
  <c r="BQ275" i="63" s="1"/>
  <c r="BQ276" i="63" s="1"/>
  <c r="BQ277" i="63" s="1"/>
  <c r="BQ278" i="63" s="1"/>
  <c r="BQ279" i="63" s="1"/>
  <c r="BQ280" i="63" s="1"/>
  <c r="BQ281" i="63" s="1"/>
  <c r="BQ282" i="63" s="1"/>
  <c r="BQ283" i="63" s="1"/>
  <c r="BQ284" i="63" s="1"/>
  <c r="BQ285" i="63" s="1"/>
  <c r="BQ286" i="63" s="1"/>
  <c r="BQ287" i="63" s="1"/>
  <c r="BQ288" i="63" s="1"/>
  <c r="BQ289" i="63" s="1"/>
  <c r="BQ290" i="63" s="1"/>
  <c r="BQ291" i="63" s="1"/>
  <c r="BQ292" i="63" s="1"/>
  <c r="BQ293" i="63" s="1"/>
  <c r="BQ294" i="63" s="1"/>
  <c r="BQ295" i="63" s="1"/>
  <c r="BQ296" i="63" s="1"/>
  <c r="BQ297" i="63" s="1"/>
  <c r="BQ298" i="63" s="1"/>
  <c r="BQ299" i="63" s="1"/>
  <c r="BQ300" i="63" s="1"/>
  <c r="BQ301" i="63" s="1"/>
  <c r="BQ302" i="63" s="1"/>
  <c r="BQ303" i="63" s="1"/>
  <c r="BQ304" i="63" s="1"/>
  <c r="BQ305" i="63" s="1"/>
  <c r="BQ306" i="63" s="1"/>
  <c r="BQ307" i="63" s="1"/>
  <c r="BQ308" i="63" s="1"/>
  <c r="BQ7" i="63"/>
  <c r="BQ6" i="63"/>
  <c r="BQ5" i="63"/>
  <c r="BQ4" i="63"/>
  <c r="BP8" i="63"/>
  <c r="BP7" i="63"/>
  <c r="BP6" i="63"/>
  <c r="BP5" i="63"/>
  <c r="BP4" i="63"/>
  <c r="BO8" i="63"/>
  <c r="BO9" i="63" s="1"/>
  <c r="BO10" i="63" s="1"/>
  <c r="BO11" i="63" s="1"/>
  <c r="BO12" i="63" s="1"/>
  <c r="BO13" i="63" s="1"/>
  <c r="BO14" i="63" s="1"/>
  <c r="BO15" i="63" s="1"/>
  <c r="BO16" i="63" s="1"/>
  <c r="BO17" i="63" s="1"/>
  <c r="BO18" i="63" s="1"/>
  <c r="BO19" i="63" s="1"/>
  <c r="BO20" i="63" s="1"/>
  <c r="BO21" i="63" s="1"/>
  <c r="BO22" i="63" s="1"/>
  <c r="BO23" i="63" s="1"/>
  <c r="BO24" i="63" s="1"/>
  <c r="BO25" i="63" s="1"/>
  <c r="BO26" i="63" s="1"/>
  <c r="BO27" i="63" s="1"/>
  <c r="BO28" i="63" s="1"/>
  <c r="BO29" i="63" s="1"/>
  <c r="BO30" i="63" s="1"/>
  <c r="BO31" i="63" s="1"/>
  <c r="BO32" i="63" s="1"/>
  <c r="BO33" i="63" s="1"/>
  <c r="BO34" i="63" s="1"/>
  <c r="BO35" i="63" s="1"/>
  <c r="BO36" i="63" s="1"/>
  <c r="BO37" i="63" s="1"/>
  <c r="BO38" i="63" s="1"/>
  <c r="BO39" i="63" s="1"/>
  <c r="BO40" i="63" s="1"/>
  <c r="BO41" i="63" s="1"/>
  <c r="BO42" i="63" s="1"/>
  <c r="BO43" i="63" s="1"/>
  <c r="BO44" i="63" s="1"/>
  <c r="BO45" i="63" s="1"/>
  <c r="BO46" i="63" s="1"/>
  <c r="BO47" i="63" s="1"/>
  <c r="BO48" i="63" s="1"/>
  <c r="BO49" i="63" s="1"/>
  <c r="BO50" i="63" s="1"/>
  <c r="BO51" i="63" s="1"/>
  <c r="BO52" i="63" s="1"/>
  <c r="BO53" i="63" s="1"/>
  <c r="BO54" i="63" s="1"/>
  <c r="BO55" i="63" s="1"/>
  <c r="BO56" i="63" s="1"/>
  <c r="BO57" i="63" s="1"/>
  <c r="BO58" i="63" s="1"/>
  <c r="BO59" i="63" s="1"/>
  <c r="BO60" i="63" s="1"/>
  <c r="BO61" i="63" s="1"/>
  <c r="BO62" i="63" s="1"/>
  <c r="BO63" i="63" s="1"/>
  <c r="BO64" i="63" s="1"/>
  <c r="BO65" i="63" s="1"/>
  <c r="BO66" i="63" s="1"/>
  <c r="BO67" i="63" s="1"/>
  <c r="BO68" i="63" s="1"/>
  <c r="BO69" i="63" s="1"/>
  <c r="BO70" i="63" s="1"/>
  <c r="BO71" i="63" s="1"/>
  <c r="BO72" i="63" s="1"/>
  <c r="BO73" i="63" s="1"/>
  <c r="BO74" i="63" s="1"/>
  <c r="BO75" i="63" s="1"/>
  <c r="BO76" i="63" s="1"/>
  <c r="BO77" i="63" s="1"/>
  <c r="BO78" i="63" s="1"/>
  <c r="BO79" i="63" s="1"/>
  <c r="BO80" i="63" s="1"/>
  <c r="BO81" i="63" s="1"/>
  <c r="BO82" i="63" s="1"/>
  <c r="BO83" i="63" s="1"/>
  <c r="BO84" i="63" s="1"/>
  <c r="BO85" i="63" s="1"/>
  <c r="BO86" i="63" s="1"/>
  <c r="BO87" i="63" s="1"/>
  <c r="BO88" i="63" s="1"/>
  <c r="BO89" i="63" s="1"/>
  <c r="BO90" i="63" s="1"/>
  <c r="BO91" i="63" s="1"/>
  <c r="BO92" i="63" s="1"/>
  <c r="BO93" i="63" s="1"/>
  <c r="BO94" i="63" s="1"/>
  <c r="BO95" i="63" s="1"/>
  <c r="BO96" i="63" s="1"/>
  <c r="BO97" i="63" s="1"/>
  <c r="BO98" i="63" s="1"/>
  <c r="BO99" i="63" s="1"/>
  <c r="BO100" i="63" s="1"/>
  <c r="BO101" i="63" s="1"/>
  <c r="BO102" i="63" s="1"/>
  <c r="BO103" i="63" s="1"/>
  <c r="BO104" i="63" s="1"/>
  <c r="BO105" i="63" s="1"/>
  <c r="BO106" i="63" s="1"/>
  <c r="BO107" i="63" s="1"/>
  <c r="BO108" i="63" s="1"/>
  <c r="BO109" i="63" s="1"/>
  <c r="BO110" i="63" s="1"/>
  <c r="BO111" i="63" s="1"/>
  <c r="BO112" i="63" s="1"/>
  <c r="BO113" i="63" s="1"/>
  <c r="BO114" i="63" s="1"/>
  <c r="BO115" i="63" s="1"/>
  <c r="BO116" i="63" s="1"/>
  <c r="BO117" i="63" s="1"/>
  <c r="BO118" i="63" s="1"/>
  <c r="BO119" i="63" s="1"/>
  <c r="BO120" i="63" s="1"/>
  <c r="BO121" i="63" s="1"/>
  <c r="BO122" i="63" s="1"/>
  <c r="BO123" i="63" s="1"/>
  <c r="BO124" i="63" s="1"/>
  <c r="BO125" i="63" s="1"/>
  <c r="BO126" i="63" s="1"/>
  <c r="BO127" i="63" s="1"/>
  <c r="BO128" i="63" s="1"/>
  <c r="BO129" i="63" s="1"/>
  <c r="BO130" i="63" s="1"/>
  <c r="BO131" i="63" s="1"/>
  <c r="BO132" i="63" s="1"/>
  <c r="BO133" i="63" s="1"/>
  <c r="BO134" i="63" s="1"/>
  <c r="BO135" i="63" s="1"/>
  <c r="BO136" i="63" s="1"/>
  <c r="BO137" i="63" s="1"/>
  <c r="BO138" i="63" s="1"/>
  <c r="BO139" i="63" s="1"/>
  <c r="BO140" i="63" s="1"/>
  <c r="BO141" i="63" s="1"/>
  <c r="BO142" i="63" s="1"/>
  <c r="BO143" i="63" s="1"/>
  <c r="BO144" i="63" s="1"/>
  <c r="BO145" i="63" s="1"/>
  <c r="BO146" i="63" s="1"/>
  <c r="BO147" i="63" s="1"/>
  <c r="BO148" i="63" s="1"/>
  <c r="BO149" i="63" s="1"/>
  <c r="BO150" i="63" s="1"/>
  <c r="BO151" i="63" s="1"/>
  <c r="BO152" i="63" s="1"/>
  <c r="BO153" i="63" s="1"/>
  <c r="BO154" i="63" s="1"/>
  <c r="BO155" i="63" s="1"/>
  <c r="BO156" i="63" s="1"/>
  <c r="BO157" i="63" s="1"/>
  <c r="BO158" i="63" s="1"/>
  <c r="BO159" i="63" s="1"/>
  <c r="BO160" i="63" s="1"/>
  <c r="BO161" i="63" s="1"/>
  <c r="BO162" i="63" s="1"/>
  <c r="BO163" i="63" s="1"/>
  <c r="BO164" i="63" s="1"/>
  <c r="BO165" i="63" s="1"/>
  <c r="BO166" i="63" s="1"/>
  <c r="BO167" i="63" s="1"/>
  <c r="BO168" i="63" s="1"/>
  <c r="BO169" i="63" s="1"/>
  <c r="BO170" i="63" s="1"/>
  <c r="BO171" i="63" s="1"/>
  <c r="BO172" i="63" s="1"/>
  <c r="BO173" i="63" s="1"/>
  <c r="BO174" i="63" s="1"/>
  <c r="BO175" i="63" s="1"/>
  <c r="BO176" i="63" s="1"/>
  <c r="BO177" i="63" s="1"/>
  <c r="BO178" i="63" s="1"/>
  <c r="BO179" i="63" s="1"/>
  <c r="BO180" i="63" s="1"/>
  <c r="BO181" i="63" s="1"/>
  <c r="BO182" i="63" s="1"/>
  <c r="BO183" i="63" s="1"/>
  <c r="BO184" i="63" s="1"/>
  <c r="BO185" i="63" s="1"/>
  <c r="BO186" i="63" s="1"/>
  <c r="BO187" i="63" s="1"/>
  <c r="BO188" i="63" s="1"/>
  <c r="BO189" i="63" s="1"/>
  <c r="BO190" i="63" s="1"/>
  <c r="BO191" i="63" s="1"/>
  <c r="BO192" i="63" s="1"/>
  <c r="BO193" i="63" s="1"/>
  <c r="BO194" i="63" s="1"/>
  <c r="BO195" i="63" s="1"/>
  <c r="BO196" i="63" s="1"/>
  <c r="BO197" i="63" s="1"/>
  <c r="BO198" i="63" s="1"/>
  <c r="BO199" i="63" s="1"/>
  <c r="BO200" i="63" s="1"/>
  <c r="BO201" i="63" s="1"/>
  <c r="BO202" i="63" s="1"/>
  <c r="BO203" i="63" s="1"/>
  <c r="BO204" i="63" s="1"/>
  <c r="BO205" i="63" s="1"/>
  <c r="BO206" i="63" s="1"/>
  <c r="BO207" i="63" s="1"/>
  <c r="BO208" i="63" s="1"/>
  <c r="BO209" i="63" s="1"/>
  <c r="BO210" i="63" s="1"/>
  <c r="BO211" i="63" s="1"/>
  <c r="BO212" i="63" s="1"/>
  <c r="BO213" i="63" s="1"/>
  <c r="BO214" i="63" s="1"/>
  <c r="BO215" i="63" s="1"/>
  <c r="BO216" i="63" s="1"/>
  <c r="BO217" i="63" s="1"/>
  <c r="BO218" i="63" s="1"/>
  <c r="BO219" i="63" s="1"/>
  <c r="BO220" i="63" s="1"/>
  <c r="BO221" i="63" s="1"/>
  <c r="BO222" i="63" s="1"/>
  <c r="BO223" i="63" s="1"/>
  <c r="BO224" i="63" s="1"/>
  <c r="BO225" i="63" s="1"/>
  <c r="BO226" i="63" s="1"/>
  <c r="BO227" i="63" s="1"/>
  <c r="BO228" i="63" s="1"/>
  <c r="BO229" i="63" s="1"/>
  <c r="BO230" i="63" s="1"/>
  <c r="BO231" i="63" s="1"/>
  <c r="BO232" i="63" s="1"/>
  <c r="BO233" i="63" s="1"/>
  <c r="BO234" i="63" s="1"/>
  <c r="BO235" i="63" s="1"/>
  <c r="BO236" i="63" s="1"/>
  <c r="BO237" i="63" s="1"/>
  <c r="BO238" i="63" s="1"/>
  <c r="BO239" i="63" s="1"/>
  <c r="BO240" i="63" s="1"/>
  <c r="BO241" i="63" s="1"/>
  <c r="BO242" i="63" s="1"/>
  <c r="BO243" i="63" s="1"/>
  <c r="BO244" i="63" s="1"/>
  <c r="BO245" i="63" s="1"/>
  <c r="BO246" i="63" s="1"/>
  <c r="BO247" i="63" s="1"/>
  <c r="BO248" i="63" s="1"/>
  <c r="BO249" i="63" s="1"/>
  <c r="BO250" i="63" s="1"/>
  <c r="BO251" i="63" s="1"/>
  <c r="BO252" i="63" s="1"/>
  <c r="BO253" i="63" s="1"/>
  <c r="BO254" i="63" s="1"/>
  <c r="BO255" i="63" s="1"/>
  <c r="BO256" i="63" s="1"/>
  <c r="BO257" i="63" s="1"/>
  <c r="BO258" i="63" s="1"/>
  <c r="BO259" i="63" s="1"/>
  <c r="BO260" i="63" s="1"/>
  <c r="BO261" i="63" s="1"/>
  <c r="BO262" i="63" s="1"/>
  <c r="BO263" i="63" s="1"/>
  <c r="BO264" i="63" s="1"/>
  <c r="BO265" i="63" s="1"/>
  <c r="BO266" i="63" s="1"/>
  <c r="BO267" i="63" s="1"/>
  <c r="BO268" i="63" s="1"/>
  <c r="BO269" i="63" s="1"/>
  <c r="BO270" i="63" s="1"/>
  <c r="BO271" i="63" s="1"/>
  <c r="BO272" i="63" s="1"/>
  <c r="BO273" i="63" s="1"/>
  <c r="BO274" i="63" s="1"/>
  <c r="BO275" i="63" s="1"/>
  <c r="BO276" i="63" s="1"/>
  <c r="BO277" i="63" s="1"/>
  <c r="BO278" i="63" s="1"/>
  <c r="BO279" i="63" s="1"/>
  <c r="BO280" i="63" s="1"/>
  <c r="BO281" i="63" s="1"/>
  <c r="BO282" i="63" s="1"/>
  <c r="BO283" i="63" s="1"/>
  <c r="BO284" i="63" s="1"/>
  <c r="BO285" i="63" s="1"/>
  <c r="BO286" i="63" s="1"/>
  <c r="BO287" i="63" s="1"/>
  <c r="BO288" i="63" s="1"/>
  <c r="BO289" i="63" s="1"/>
  <c r="BO290" i="63" s="1"/>
  <c r="BO291" i="63" s="1"/>
  <c r="BO292" i="63" s="1"/>
  <c r="BO293" i="63" s="1"/>
  <c r="BO294" i="63" s="1"/>
  <c r="BO295" i="63" s="1"/>
  <c r="BO296" i="63" s="1"/>
  <c r="BO297" i="63" s="1"/>
  <c r="BO298" i="63" s="1"/>
  <c r="BO299" i="63" s="1"/>
  <c r="BO300" i="63" s="1"/>
  <c r="BO301" i="63" s="1"/>
  <c r="BO302" i="63" s="1"/>
  <c r="BO303" i="63" s="1"/>
  <c r="BO304" i="63" s="1"/>
  <c r="BO305" i="63" s="1"/>
  <c r="BO306" i="63" s="1"/>
  <c r="BO307" i="63" s="1"/>
  <c r="BO308" i="63" s="1"/>
  <c r="BO7" i="63"/>
  <c r="BO6" i="63"/>
  <c r="BO5" i="63"/>
  <c r="BO4" i="63"/>
  <c r="BN8" i="63"/>
  <c r="BN7" i="63"/>
  <c r="BN6" i="63"/>
  <c r="BN5" i="63"/>
  <c r="BN4" i="63"/>
  <c r="BM8" i="63"/>
  <c r="BM9" i="63" s="1"/>
  <c r="BM10" i="63" s="1"/>
  <c r="BM11" i="63" s="1"/>
  <c r="BM12" i="63" s="1"/>
  <c r="BM13" i="63" s="1"/>
  <c r="BM14" i="63" s="1"/>
  <c r="BM15" i="63" s="1"/>
  <c r="BM16" i="63" s="1"/>
  <c r="BM17" i="63" s="1"/>
  <c r="BM18" i="63" s="1"/>
  <c r="BM19" i="63" s="1"/>
  <c r="BM20" i="63" s="1"/>
  <c r="BM21" i="63" s="1"/>
  <c r="BM22" i="63" s="1"/>
  <c r="BM23" i="63" s="1"/>
  <c r="BM24" i="63" s="1"/>
  <c r="BM25" i="63" s="1"/>
  <c r="BM26" i="63" s="1"/>
  <c r="BM27" i="63" s="1"/>
  <c r="BM28" i="63" s="1"/>
  <c r="BM29" i="63" s="1"/>
  <c r="BM30" i="63" s="1"/>
  <c r="BM31" i="63" s="1"/>
  <c r="BM32" i="63" s="1"/>
  <c r="BM33" i="63" s="1"/>
  <c r="BM34" i="63" s="1"/>
  <c r="BM35" i="63" s="1"/>
  <c r="BM36" i="63" s="1"/>
  <c r="BM37" i="63" s="1"/>
  <c r="BM38" i="63" s="1"/>
  <c r="BM39" i="63" s="1"/>
  <c r="BM40" i="63" s="1"/>
  <c r="BM41" i="63" s="1"/>
  <c r="BM42" i="63" s="1"/>
  <c r="BM43" i="63" s="1"/>
  <c r="BM44" i="63" s="1"/>
  <c r="BM45" i="63" s="1"/>
  <c r="BM46" i="63" s="1"/>
  <c r="BM47" i="63" s="1"/>
  <c r="BM48" i="63" s="1"/>
  <c r="BM49" i="63" s="1"/>
  <c r="BM50" i="63" s="1"/>
  <c r="BM51" i="63" s="1"/>
  <c r="BM52" i="63" s="1"/>
  <c r="BM53" i="63" s="1"/>
  <c r="BM54" i="63" s="1"/>
  <c r="BM55" i="63" s="1"/>
  <c r="BM56" i="63" s="1"/>
  <c r="BM57" i="63" s="1"/>
  <c r="BM58" i="63" s="1"/>
  <c r="BM59" i="63" s="1"/>
  <c r="BM60" i="63" s="1"/>
  <c r="BM61" i="63" s="1"/>
  <c r="BM62" i="63" s="1"/>
  <c r="BM63" i="63" s="1"/>
  <c r="BM64" i="63" s="1"/>
  <c r="BM65" i="63" s="1"/>
  <c r="BM66" i="63" s="1"/>
  <c r="BM67" i="63" s="1"/>
  <c r="BM68" i="63" s="1"/>
  <c r="BM69" i="63" s="1"/>
  <c r="BM70" i="63" s="1"/>
  <c r="BM71" i="63" s="1"/>
  <c r="BM72" i="63" s="1"/>
  <c r="BM73" i="63" s="1"/>
  <c r="BM74" i="63" s="1"/>
  <c r="BM75" i="63" s="1"/>
  <c r="BM76" i="63" s="1"/>
  <c r="BM77" i="63" s="1"/>
  <c r="BM78" i="63" s="1"/>
  <c r="BM79" i="63" s="1"/>
  <c r="BM80" i="63" s="1"/>
  <c r="BM81" i="63" s="1"/>
  <c r="BM82" i="63" s="1"/>
  <c r="BM83" i="63" s="1"/>
  <c r="BM84" i="63" s="1"/>
  <c r="BM85" i="63" s="1"/>
  <c r="BM86" i="63" s="1"/>
  <c r="BM87" i="63" s="1"/>
  <c r="BM88" i="63" s="1"/>
  <c r="BM89" i="63" s="1"/>
  <c r="BM90" i="63" s="1"/>
  <c r="BM91" i="63" s="1"/>
  <c r="BM92" i="63" s="1"/>
  <c r="BM93" i="63" s="1"/>
  <c r="BM94" i="63" s="1"/>
  <c r="BM95" i="63" s="1"/>
  <c r="BM96" i="63" s="1"/>
  <c r="BM97" i="63" s="1"/>
  <c r="BM98" i="63" s="1"/>
  <c r="BM99" i="63" s="1"/>
  <c r="BM100" i="63" s="1"/>
  <c r="BM101" i="63" s="1"/>
  <c r="BM102" i="63" s="1"/>
  <c r="BM103" i="63" s="1"/>
  <c r="BM104" i="63" s="1"/>
  <c r="BM105" i="63" s="1"/>
  <c r="BM106" i="63" s="1"/>
  <c r="BM107" i="63" s="1"/>
  <c r="BM108" i="63" s="1"/>
  <c r="BM109" i="63" s="1"/>
  <c r="BM110" i="63" s="1"/>
  <c r="BM111" i="63" s="1"/>
  <c r="BM112" i="63" s="1"/>
  <c r="BM113" i="63" s="1"/>
  <c r="BM114" i="63" s="1"/>
  <c r="BM115" i="63" s="1"/>
  <c r="BM116" i="63" s="1"/>
  <c r="BM117" i="63" s="1"/>
  <c r="BM118" i="63" s="1"/>
  <c r="BM119" i="63" s="1"/>
  <c r="BM120" i="63" s="1"/>
  <c r="BM121" i="63" s="1"/>
  <c r="BM122" i="63" s="1"/>
  <c r="BM123" i="63" s="1"/>
  <c r="BM124" i="63" s="1"/>
  <c r="BM125" i="63" s="1"/>
  <c r="BM126" i="63" s="1"/>
  <c r="BM127" i="63" s="1"/>
  <c r="BM128" i="63" s="1"/>
  <c r="BM129" i="63" s="1"/>
  <c r="BM130" i="63" s="1"/>
  <c r="BM131" i="63" s="1"/>
  <c r="BM132" i="63" s="1"/>
  <c r="BM133" i="63" s="1"/>
  <c r="BM134" i="63" s="1"/>
  <c r="BM135" i="63" s="1"/>
  <c r="BM136" i="63" s="1"/>
  <c r="BM137" i="63" s="1"/>
  <c r="BM138" i="63" s="1"/>
  <c r="BM139" i="63" s="1"/>
  <c r="BM140" i="63" s="1"/>
  <c r="BM141" i="63" s="1"/>
  <c r="BM142" i="63" s="1"/>
  <c r="BM143" i="63" s="1"/>
  <c r="BM144" i="63" s="1"/>
  <c r="BM145" i="63" s="1"/>
  <c r="BM146" i="63" s="1"/>
  <c r="BM147" i="63" s="1"/>
  <c r="BM148" i="63" s="1"/>
  <c r="BM149" i="63" s="1"/>
  <c r="BM150" i="63" s="1"/>
  <c r="BM151" i="63" s="1"/>
  <c r="BM152" i="63" s="1"/>
  <c r="BM153" i="63" s="1"/>
  <c r="BM154" i="63" s="1"/>
  <c r="BM155" i="63" s="1"/>
  <c r="BM156" i="63" s="1"/>
  <c r="BM157" i="63" s="1"/>
  <c r="BM158" i="63" s="1"/>
  <c r="BM159" i="63" s="1"/>
  <c r="BM160" i="63" s="1"/>
  <c r="BM161" i="63" s="1"/>
  <c r="BM162" i="63" s="1"/>
  <c r="BM163" i="63" s="1"/>
  <c r="BM164" i="63" s="1"/>
  <c r="BM165" i="63" s="1"/>
  <c r="BM166" i="63" s="1"/>
  <c r="BM167" i="63" s="1"/>
  <c r="BM168" i="63" s="1"/>
  <c r="BM169" i="63" s="1"/>
  <c r="BM170" i="63" s="1"/>
  <c r="BM171" i="63" s="1"/>
  <c r="BM172" i="63" s="1"/>
  <c r="BM173" i="63" s="1"/>
  <c r="BM174" i="63" s="1"/>
  <c r="BM175" i="63" s="1"/>
  <c r="BM176" i="63" s="1"/>
  <c r="BM177" i="63" s="1"/>
  <c r="BM178" i="63" s="1"/>
  <c r="BM179" i="63" s="1"/>
  <c r="BM180" i="63" s="1"/>
  <c r="BM181" i="63" s="1"/>
  <c r="BM182" i="63" s="1"/>
  <c r="BM183" i="63" s="1"/>
  <c r="BM184" i="63" s="1"/>
  <c r="BM185" i="63" s="1"/>
  <c r="BM186" i="63" s="1"/>
  <c r="BM187" i="63" s="1"/>
  <c r="BM188" i="63" s="1"/>
  <c r="BM189" i="63" s="1"/>
  <c r="BM190" i="63" s="1"/>
  <c r="BM191" i="63" s="1"/>
  <c r="BM192" i="63" s="1"/>
  <c r="BM193" i="63" s="1"/>
  <c r="BM194" i="63" s="1"/>
  <c r="BM195" i="63" s="1"/>
  <c r="BM196" i="63" s="1"/>
  <c r="BM197" i="63" s="1"/>
  <c r="BM198" i="63" s="1"/>
  <c r="BM199" i="63" s="1"/>
  <c r="BM200" i="63" s="1"/>
  <c r="BM201" i="63" s="1"/>
  <c r="BM202" i="63" s="1"/>
  <c r="BM203" i="63" s="1"/>
  <c r="BM204" i="63" s="1"/>
  <c r="BM205" i="63" s="1"/>
  <c r="BM206" i="63" s="1"/>
  <c r="BM207" i="63" s="1"/>
  <c r="BM208" i="63" s="1"/>
  <c r="BM209" i="63" s="1"/>
  <c r="BM210" i="63" s="1"/>
  <c r="BM211" i="63" s="1"/>
  <c r="BM212" i="63" s="1"/>
  <c r="BM213" i="63" s="1"/>
  <c r="BM214" i="63" s="1"/>
  <c r="BM215" i="63" s="1"/>
  <c r="BM216" i="63" s="1"/>
  <c r="BM217" i="63" s="1"/>
  <c r="BM218" i="63" s="1"/>
  <c r="BM219" i="63" s="1"/>
  <c r="BM220" i="63" s="1"/>
  <c r="BM221" i="63" s="1"/>
  <c r="BM222" i="63" s="1"/>
  <c r="BM223" i="63" s="1"/>
  <c r="BM224" i="63" s="1"/>
  <c r="BM225" i="63" s="1"/>
  <c r="BM226" i="63" s="1"/>
  <c r="BM227" i="63" s="1"/>
  <c r="BM228" i="63" s="1"/>
  <c r="BM229" i="63" s="1"/>
  <c r="BM230" i="63" s="1"/>
  <c r="BM231" i="63" s="1"/>
  <c r="BM232" i="63" s="1"/>
  <c r="BM233" i="63" s="1"/>
  <c r="BM234" i="63" s="1"/>
  <c r="BM235" i="63" s="1"/>
  <c r="BM236" i="63" s="1"/>
  <c r="BM237" i="63" s="1"/>
  <c r="BM238" i="63" s="1"/>
  <c r="BM239" i="63" s="1"/>
  <c r="BM240" i="63" s="1"/>
  <c r="BM241" i="63" s="1"/>
  <c r="BM242" i="63" s="1"/>
  <c r="BM243" i="63" s="1"/>
  <c r="BM244" i="63" s="1"/>
  <c r="BM245" i="63" s="1"/>
  <c r="BM246" i="63" s="1"/>
  <c r="BM247" i="63" s="1"/>
  <c r="BM248" i="63" s="1"/>
  <c r="BM249" i="63" s="1"/>
  <c r="BM250" i="63" s="1"/>
  <c r="BM251" i="63" s="1"/>
  <c r="BM252" i="63" s="1"/>
  <c r="BM253" i="63" s="1"/>
  <c r="BM254" i="63" s="1"/>
  <c r="BM255" i="63" s="1"/>
  <c r="BM256" i="63" s="1"/>
  <c r="BM257" i="63" s="1"/>
  <c r="BM258" i="63" s="1"/>
  <c r="BM259" i="63" s="1"/>
  <c r="BM260" i="63" s="1"/>
  <c r="BM261" i="63" s="1"/>
  <c r="BM262" i="63" s="1"/>
  <c r="BM263" i="63" s="1"/>
  <c r="BM264" i="63" s="1"/>
  <c r="BM265" i="63" s="1"/>
  <c r="BM266" i="63" s="1"/>
  <c r="BM267" i="63" s="1"/>
  <c r="BM268" i="63" s="1"/>
  <c r="BM269" i="63" s="1"/>
  <c r="BM270" i="63" s="1"/>
  <c r="BM271" i="63" s="1"/>
  <c r="BM272" i="63" s="1"/>
  <c r="BM273" i="63" s="1"/>
  <c r="BM274" i="63" s="1"/>
  <c r="BM275" i="63" s="1"/>
  <c r="BM276" i="63" s="1"/>
  <c r="BM277" i="63" s="1"/>
  <c r="BM278" i="63" s="1"/>
  <c r="BM279" i="63" s="1"/>
  <c r="BM280" i="63" s="1"/>
  <c r="BM281" i="63" s="1"/>
  <c r="BM282" i="63" s="1"/>
  <c r="BM283" i="63" s="1"/>
  <c r="BM284" i="63" s="1"/>
  <c r="BM285" i="63" s="1"/>
  <c r="BM286" i="63" s="1"/>
  <c r="BM287" i="63" s="1"/>
  <c r="BM288" i="63" s="1"/>
  <c r="BM289" i="63" s="1"/>
  <c r="BM290" i="63" s="1"/>
  <c r="BM291" i="63" s="1"/>
  <c r="BM292" i="63" s="1"/>
  <c r="BM293" i="63" s="1"/>
  <c r="BM294" i="63" s="1"/>
  <c r="BM295" i="63" s="1"/>
  <c r="BM296" i="63" s="1"/>
  <c r="BM297" i="63" s="1"/>
  <c r="BM298" i="63" s="1"/>
  <c r="BM299" i="63" s="1"/>
  <c r="BM300" i="63" s="1"/>
  <c r="BM301" i="63" s="1"/>
  <c r="BM302" i="63" s="1"/>
  <c r="BM303" i="63" s="1"/>
  <c r="BM304" i="63" s="1"/>
  <c r="BM305" i="63" s="1"/>
  <c r="BM306" i="63" s="1"/>
  <c r="BM307" i="63" s="1"/>
  <c r="BM308" i="63" s="1"/>
  <c r="BM7" i="63"/>
  <c r="BM6" i="63"/>
  <c r="BM5" i="63"/>
  <c r="BM4" i="63"/>
  <c r="BL8" i="63"/>
  <c r="BL7" i="63"/>
  <c r="BL6" i="63"/>
  <c r="BL5" i="63"/>
  <c r="BL4" i="63"/>
  <c r="BK8" i="63"/>
  <c r="BK9" i="63" s="1"/>
  <c r="BK10" i="63" s="1"/>
  <c r="BK11" i="63" s="1"/>
  <c r="BK12" i="63" s="1"/>
  <c r="BK13" i="63" s="1"/>
  <c r="BK14" i="63" s="1"/>
  <c r="BK15" i="63" s="1"/>
  <c r="BK16" i="63" s="1"/>
  <c r="BK17" i="63" s="1"/>
  <c r="BK18" i="63" s="1"/>
  <c r="BK19" i="63" s="1"/>
  <c r="BK20" i="63" s="1"/>
  <c r="BK21" i="63" s="1"/>
  <c r="BK22" i="63" s="1"/>
  <c r="BK23" i="63" s="1"/>
  <c r="BK24" i="63" s="1"/>
  <c r="BK25" i="63" s="1"/>
  <c r="BK26" i="63" s="1"/>
  <c r="BK27" i="63" s="1"/>
  <c r="BK28" i="63" s="1"/>
  <c r="BK29" i="63" s="1"/>
  <c r="BK30" i="63" s="1"/>
  <c r="BK31" i="63" s="1"/>
  <c r="BK32" i="63" s="1"/>
  <c r="BK33" i="63" s="1"/>
  <c r="BK34" i="63" s="1"/>
  <c r="BK35" i="63" s="1"/>
  <c r="BK36" i="63" s="1"/>
  <c r="BK37" i="63" s="1"/>
  <c r="BK38" i="63" s="1"/>
  <c r="BK39" i="63" s="1"/>
  <c r="BK40" i="63" s="1"/>
  <c r="BK41" i="63" s="1"/>
  <c r="BK42" i="63" s="1"/>
  <c r="BK43" i="63" s="1"/>
  <c r="BK44" i="63" s="1"/>
  <c r="BK45" i="63" s="1"/>
  <c r="BK46" i="63" s="1"/>
  <c r="BK47" i="63" s="1"/>
  <c r="BK48" i="63" s="1"/>
  <c r="BK49" i="63" s="1"/>
  <c r="BK50" i="63" s="1"/>
  <c r="BK51" i="63" s="1"/>
  <c r="BK52" i="63" s="1"/>
  <c r="BK53" i="63" s="1"/>
  <c r="BK54" i="63" s="1"/>
  <c r="BK55" i="63" s="1"/>
  <c r="BK56" i="63" s="1"/>
  <c r="BK57" i="63" s="1"/>
  <c r="BK58" i="63" s="1"/>
  <c r="BK59" i="63" s="1"/>
  <c r="BK60" i="63" s="1"/>
  <c r="BK61" i="63" s="1"/>
  <c r="BK62" i="63" s="1"/>
  <c r="BK63" i="63" s="1"/>
  <c r="BK64" i="63" s="1"/>
  <c r="BK65" i="63" s="1"/>
  <c r="BK66" i="63" s="1"/>
  <c r="BK67" i="63" s="1"/>
  <c r="BK68" i="63" s="1"/>
  <c r="BK69" i="63" s="1"/>
  <c r="BK70" i="63" s="1"/>
  <c r="BK71" i="63" s="1"/>
  <c r="BK72" i="63" s="1"/>
  <c r="BK73" i="63" s="1"/>
  <c r="BK74" i="63" s="1"/>
  <c r="BK75" i="63" s="1"/>
  <c r="BK76" i="63" s="1"/>
  <c r="BK77" i="63" s="1"/>
  <c r="BK78" i="63" s="1"/>
  <c r="BK79" i="63" s="1"/>
  <c r="BK80" i="63" s="1"/>
  <c r="BK81" i="63" s="1"/>
  <c r="BK82" i="63" s="1"/>
  <c r="BK83" i="63" s="1"/>
  <c r="BK84" i="63" s="1"/>
  <c r="BK85" i="63" s="1"/>
  <c r="BK86" i="63" s="1"/>
  <c r="BK87" i="63" s="1"/>
  <c r="BK88" i="63" s="1"/>
  <c r="BK89" i="63" s="1"/>
  <c r="BK90" i="63" s="1"/>
  <c r="BK91" i="63" s="1"/>
  <c r="BK92" i="63" s="1"/>
  <c r="BK93" i="63" s="1"/>
  <c r="BK94" i="63" s="1"/>
  <c r="BK95" i="63" s="1"/>
  <c r="BK96" i="63" s="1"/>
  <c r="BK97" i="63" s="1"/>
  <c r="BK98" i="63" s="1"/>
  <c r="BK99" i="63" s="1"/>
  <c r="BK100" i="63" s="1"/>
  <c r="BK101" i="63" s="1"/>
  <c r="BK102" i="63" s="1"/>
  <c r="BK103" i="63" s="1"/>
  <c r="BK104" i="63" s="1"/>
  <c r="BK105" i="63" s="1"/>
  <c r="BK106" i="63" s="1"/>
  <c r="BK107" i="63" s="1"/>
  <c r="BK108" i="63" s="1"/>
  <c r="BK109" i="63" s="1"/>
  <c r="BK110" i="63" s="1"/>
  <c r="BK111" i="63" s="1"/>
  <c r="BK112" i="63" s="1"/>
  <c r="BK113" i="63" s="1"/>
  <c r="BK114" i="63" s="1"/>
  <c r="BK115" i="63" s="1"/>
  <c r="BK116" i="63" s="1"/>
  <c r="BK117" i="63" s="1"/>
  <c r="BK118" i="63" s="1"/>
  <c r="BK119" i="63" s="1"/>
  <c r="BK120" i="63" s="1"/>
  <c r="BK121" i="63" s="1"/>
  <c r="BK122" i="63" s="1"/>
  <c r="BK123" i="63" s="1"/>
  <c r="BK124" i="63" s="1"/>
  <c r="BK125" i="63" s="1"/>
  <c r="BK126" i="63" s="1"/>
  <c r="BK127" i="63" s="1"/>
  <c r="BK128" i="63" s="1"/>
  <c r="BK129" i="63" s="1"/>
  <c r="BK130" i="63" s="1"/>
  <c r="BK131" i="63" s="1"/>
  <c r="BK132" i="63" s="1"/>
  <c r="BK133" i="63" s="1"/>
  <c r="BK134" i="63" s="1"/>
  <c r="BK135" i="63" s="1"/>
  <c r="BK136" i="63" s="1"/>
  <c r="BK137" i="63" s="1"/>
  <c r="BK138" i="63" s="1"/>
  <c r="BK139" i="63" s="1"/>
  <c r="BK140" i="63" s="1"/>
  <c r="BK141" i="63" s="1"/>
  <c r="BK142" i="63" s="1"/>
  <c r="BK143" i="63" s="1"/>
  <c r="BK144" i="63" s="1"/>
  <c r="BK145" i="63" s="1"/>
  <c r="BK146" i="63" s="1"/>
  <c r="BK147" i="63" s="1"/>
  <c r="BK148" i="63" s="1"/>
  <c r="BK149" i="63" s="1"/>
  <c r="BK150" i="63" s="1"/>
  <c r="BK151" i="63" s="1"/>
  <c r="BK152" i="63" s="1"/>
  <c r="BK153" i="63" s="1"/>
  <c r="BK154" i="63" s="1"/>
  <c r="BK155" i="63" s="1"/>
  <c r="BK156" i="63" s="1"/>
  <c r="BK157" i="63" s="1"/>
  <c r="BK158" i="63" s="1"/>
  <c r="BK159" i="63" s="1"/>
  <c r="BK160" i="63" s="1"/>
  <c r="BK161" i="63" s="1"/>
  <c r="BK162" i="63" s="1"/>
  <c r="BK163" i="63" s="1"/>
  <c r="BK164" i="63" s="1"/>
  <c r="BK165" i="63" s="1"/>
  <c r="BK166" i="63" s="1"/>
  <c r="BK167" i="63" s="1"/>
  <c r="BK168" i="63" s="1"/>
  <c r="BK169" i="63" s="1"/>
  <c r="BK170" i="63" s="1"/>
  <c r="BK171" i="63" s="1"/>
  <c r="BK172" i="63" s="1"/>
  <c r="BK173" i="63" s="1"/>
  <c r="BK174" i="63" s="1"/>
  <c r="BK175" i="63" s="1"/>
  <c r="BK176" i="63" s="1"/>
  <c r="BK177" i="63" s="1"/>
  <c r="BK178" i="63" s="1"/>
  <c r="BK179" i="63" s="1"/>
  <c r="BK180" i="63" s="1"/>
  <c r="BK181" i="63" s="1"/>
  <c r="BK182" i="63" s="1"/>
  <c r="BK183" i="63" s="1"/>
  <c r="BK184" i="63" s="1"/>
  <c r="BK185" i="63" s="1"/>
  <c r="BK186" i="63" s="1"/>
  <c r="BK187" i="63" s="1"/>
  <c r="BK188" i="63" s="1"/>
  <c r="BK189" i="63" s="1"/>
  <c r="BK190" i="63" s="1"/>
  <c r="BK191" i="63" s="1"/>
  <c r="BK192" i="63" s="1"/>
  <c r="BK193" i="63" s="1"/>
  <c r="BK194" i="63" s="1"/>
  <c r="BK195" i="63" s="1"/>
  <c r="BK196" i="63" s="1"/>
  <c r="BK197" i="63" s="1"/>
  <c r="BK198" i="63" s="1"/>
  <c r="BK199" i="63" s="1"/>
  <c r="BK200" i="63" s="1"/>
  <c r="BK201" i="63" s="1"/>
  <c r="BK202" i="63" s="1"/>
  <c r="BK203" i="63" s="1"/>
  <c r="BK204" i="63" s="1"/>
  <c r="BK205" i="63" s="1"/>
  <c r="BK206" i="63" s="1"/>
  <c r="BK207" i="63" s="1"/>
  <c r="BK208" i="63" s="1"/>
  <c r="BK209" i="63" s="1"/>
  <c r="BK210" i="63" s="1"/>
  <c r="BK211" i="63" s="1"/>
  <c r="BK212" i="63" s="1"/>
  <c r="BK213" i="63" s="1"/>
  <c r="BK214" i="63" s="1"/>
  <c r="BK215" i="63" s="1"/>
  <c r="BK216" i="63" s="1"/>
  <c r="BK217" i="63" s="1"/>
  <c r="BK218" i="63" s="1"/>
  <c r="BK219" i="63" s="1"/>
  <c r="BK220" i="63" s="1"/>
  <c r="BK221" i="63" s="1"/>
  <c r="BK222" i="63" s="1"/>
  <c r="BK223" i="63" s="1"/>
  <c r="BK224" i="63" s="1"/>
  <c r="BK225" i="63" s="1"/>
  <c r="BK226" i="63" s="1"/>
  <c r="BK227" i="63" s="1"/>
  <c r="BK228" i="63" s="1"/>
  <c r="BK229" i="63" s="1"/>
  <c r="BK230" i="63" s="1"/>
  <c r="BK231" i="63" s="1"/>
  <c r="BK232" i="63" s="1"/>
  <c r="BK233" i="63" s="1"/>
  <c r="BK234" i="63" s="1"/>
  <c r="BK235" i="63" s="1"/>
  <c r="BK236" i="63" s="1"/>
  <c r="BK237" i="63" s="1"/>
  <c r="BK238" i="63" s="1"/>
  <c r="BK239" i="63" s="1"/>
  <c r="BK240" i="63" s="1"/>
  <c r="BK241" i="63" s="1"/>
  <c r="BK242" i="63" s="1"/>
  <c r="BK243" i="63" s="1"/>
  <c r="BK244" i="63" s="1"/>
  <c r="BK245" i="63" s="1"/>
  <c r="BK246" i="63" s="1"/>
  <c r="BK247" i="63" s="1"/>
  <c r="BK248" i="63" s="1"/>
  <c r="BK249" i="63" s="1"/>
  <c r="BK250" i="63" s="1"/>
  <c r="BK251" i="63" s="1"/>
  <c r="BK252" i="63" s="1"/>
  <c r="BK253" i="63" s="1"/>
  <c r="BK254" i="63" s="1"/>
  <c r="BK255" i="63" s="1"/>
  <c r="BK256" i="63" s="1"/>
  <c r="BK257" i="63" s="1"/>
  <c r="BK258" i="63" s="1"/>
  <c r="BK259" i="63" s="1"/>
  <c r="BK260" i="63" s="1"/>
  <c r="BK261" i="63" s="1"/>
  <c r="BK262" i="63" s="1"/>
  <c r="BK263" i="63" s="1"/>
  <c r="BK264" i="63" s="1"/>
  <c r="BK265" i="63" s="1"/>
  <c r="BK266" i="63" s="1"/>
  <c r="BK267" i="63" s="1"/>
  <c r="BK268" i="63" s="1"/>
  <c r="BK269" i="63" s="1"/>
  <c r="BK270" i="63" s="1"/>
  <c r="BK271" i="63" s="1"/>
  <c r="BK272" i="63" s="1"/>
  <c r="BK273" i="63" s="1"/>
  <c r="BK274" i="63" s="1"/>
  <c r="BK275" i="63" s="1"/>
  <c r="BK276" i="63" s="1"/>
  <c r="BK277" i="63" s="1"/>
  <c r="BK278" i="63" s="1"/>
  <c r="BK279" i="63" s="1"/>
  <c r="BK280" i="63" s="1"/>
  <c r="BK281" i="63" s="1"/>
  <c r="BK282" i="63" s="1"/>
  <c r="BK283" i="63" s="1"/>
  <c r="BK284" i="63" s="1"/>
  <c r="BK285" i="63" s="1"/>
  <c r="BK286" i="63" s="1"/>
  <c r="BK287" i="63" s="1"/>
  <c r="BK288" i="63" s="1"/>
  <c r="BK289" i="63" s="1"/>
  <c r="BK290" i="63" s="1"/>
  <c r="BK291" i="63" s="1"/>
  <c r="BK292" i="63" s="1"/>
  <c r="BK293" i="63" s="1"/>
  <c r="BK294" i="63" s="1"/>
  <c r="BK295" i="63" s="1"/>
  <c r="BK296" i="63" s="1"/>
  <c r="BK297" i="63" s="1"/>
  <c r="BK298" i="63" s="1"/>
  <c r="BK299" i="63" s="1"/>
  <c r="BK300" i="63" s="1"/>
  <c r="BK301" i="63" s="1"/>
  <c r="BK302" i="63" s="1"/>
  <c r="BK303" i="63" s="1"/>
  <c r="BK304" i="63" s="1"/>
  <c r="BK305" i="63" s="1"/>
  <c r="BK306" i="63" s="1"/>
  <c r="BK307" i="63" s="1"/>
  <c r="BK308" i="63" s="1"/>
  <c r="BK7" i="63"/>
  <c r="BK6" i="63"/>
  <c r="BK5" i="63"/>
  <c r="BK4" i="63"/>
  <c r="BJ8" i="63"/>
  <c r="BJ7" i="63"/>
  <c r="BJ6" i="63"/>
  <c r="BJ5" i="63"/>
  <c r="BJ4" i="63"/>
  <c r="BI8" i="63"/>
  <c r="BI7" i="63"/>
  <c r="BI6" i="63"/>
  <c r="BI5" i="63"/>
  <c r="BI4" i="63"/>
  <c r="BH8" i="63"/>
  <c r="BH9" i="63" s="1"/>
  <c r="BH10" i="63" s="1"/>
  <c r="BH11" i="63" s="1"/>
  <c r="BH12" i="63" s="1"/>
  <c r="BH13" i="63" s="1"/>
  <c r="BH14" i="63" s="1"/>
  <c r="BH15" i="63" s="1"/>
  <c r="BH16" i="63" s="1"/>
  <c r="BH17" i="63" s="1"/>
  <c r="BH18" i="63" s="1"/>
  <c r="BH19" i="63" s="1"/>
  <c r="BH20" i="63" s="1"/>
  <c r="BH21" i="63" s="1"/>
  <c r="BH22" i="63" s="1"/>
  <c r="BH23" i="63" s="1"/>
  <c r="BH24" i="63" s="1"/>
  <c r="BH25" i="63" s="1"/>
  <c r="BH26" i="63" s="1"/>
  <c r="BH27" i="63" s="1"/>
  <c r="BH28" i="63" s="1"/>
  <c r="BH29" i="63" s="1"/>
  <c r="BH30" i="63" s="1"/>
  <c r="BH31" i="63" s="1"/>
  <c r="BH32" i="63" s="1"/>
  <c r="BH33" i="63" s="1"/>
  <c r="BH34" i="63" s="1"/>
  <c r="BH35" i="63" s="1"/>
  <c r="BH36" i="63" s="1"/>
  <c r="BH37" i="63" s="1"/>
  <c r="BH38" i="63" s="1"/>
  <c r="BH39" i="63" s="1"/>
  <c r="BH40" i="63" s="1"/>
  <c r="BH41" i="63" s="1"/>
  <c r="BH42" i="63" s="1"/>
  <c r="BH43" i="63" s="1"/>
  <c r="BH44" i="63" s="1"/>
  <c r="BH45" i="63" s="1"/>
  <c r="BH46" i="63" s="1"/>
  <c r="BH47" i="63" s="1"/>
  <c r="BH48" i="63" s="1"/>
  <c r="BH49" i="63" s="1"/>
  <c r="BH50" i="63" s="1"/>
  <c r="BH51" i="63" s="1"/>
  <c r="BH52" i="63" s="1"/>
  <c r="BH53" i="63" s="1"/>
  <c r="BH54" i="63" s="1"/>
  <c r="BH55" i="63" s="1"/>
  <c r="BH56" i="63" s="1"/>
  <c r="BH57" i="63" s="1"/>
  <c r="BH58" i="63" s="1"/>
  <c r="BH59" i="63" s="1"/>
  <c r="BH60" i="63" s="1"/>
  <c r="BH61" i="63" s="1"/>
  <c r="BH62" i="63" s="1"/>
  <c r="BH63" i="63" s="1"/>
  <c r="BH64" i="63" s="1"/>
  <c r="BH65" i="63" s="1"/>
  <c r="BH66" i="63" s="1"/>
  <c r="BH67" i="63" s="1"/>
  <c r="BH68" i="63" s="1"/>
  <c r="BH69" i="63" s="1"/>
  <c r="BH70" i="63" s="1"/>
  <c r="BH71" i="63" s="1"/>
  <c r="BH72" i="63" s="1"/>
  <c r="BH73" i="63" s="1"/>
  <c r="BH74" i="63" s="1"/>
  <c r="BH75" i="63" s="1"/>
  <c r="BH76" i="63" s="1"/>
  <c r="BH77" i="63" s="1"/>
  <c r="BH78" i="63" s="1"/>
  <c r="BH79" i="63" s="1"/>
  <c r="BH80" i="63" s="1"/>
  <c r="BH81" i="63" s="1"/>
  <c r="BH82" i="63" s="1"/>
  <c r="BH83" i="63" s="1"/>
  <c r="BH84" i="63" s="1"/>
  <c r="BH85" i="63" s="1"/>
  <c r="BH86" i="63" s="1"/>
  <c r="BH87" i="63" s="1"/>
  <c r="BH88" i="63" s="1"/>
  <c r="BH89" i="63" s="1"/>
  <c r="BH90" i="63" s="1"/>
  <c r="BH91" i="63" s="1"/>
  <c r="BH92" i="63" s="1"/>
  <c r="BH93" i="63" s="1"/>
  <c r="BH94" i="63" s="1"/>
  <c r="BH95" i="63" s="1"/>
  <c r="BH96" i="63" s="1"/>
  <c r="BH97" i="63" s="1"/>
  <c r="BH98" i="63" s="1"/>
  <c r="BH99" i="63" s="1"/>
  <c r="BH100" i="63" s="1"/>
  <c r="BH101" i="63" s="1"/>
  <c r="BH102" i="63" s="1"/>
  <c r="BH103" i="63" s="1"/>
  <c r="BH104" i="63" s="1"/>
  <c r="BH105" i="63" s="1"/>
  <c r="BH106" i="63" s="1"/>
  <c r="BH107" i="63" s="1"/>
  <c r="BH108" i="63" s="1"/>
  <c r="BH109" i="63" s="1"/>
  <c r="BH110" i="63" s="1"/>
  <c r="BH111" i="63" s="1"/>
  <c r="BH112" i="63" s="1"/>
  <c r="BH113" i="63" s="1"/>
  <c r="BH114" i="63" s="1"/>
  <c r="BH115" i="63" s="1"/>
  <c r="BH116" i="63" s="1"/>
  <c r="BH117" i="63" s="1"/>
  <c r="BH118" i="63" s="1"/>
  <c r="BH119" i="63" s="1"/>
  <c r="BH120" i="63" s="1"/>
  <c r="BH121" i="63" s="1"/>
  <c r="BH122" i="63" s="1"/>
  <c r="BH123" i="63" s="1"/>
  <c r="BH124" i="63" s="1"/>
  <c r="BH125" i="63" s="1"/>
  <c r="BH126" i="63" s="1"/>
  <c r="BH127" i="63" s="1"/>
  <c r="BH128" i="63" s="1"/>
  <c r="BH129" i="63" s="1"/>
  <c r="BH130" i="63" s="1"/>
  <c r="BH131" i="63" s="1"/>
  <c r="BH132" i="63" s="1"/>
  <c r="BH133" i="63" s="1"/>
  <c r="BH134" i="63" s="1"/>
  <c r="BH135" i="63" s="1"/>
  <c r="BH136" i="63" s="1"/>
  <c r="BH137" i="63" s="1"/>
  <c r="BH138" i="63" s="1"/>
  <c r="BH139" i="63" s="1"/>
  <c r="BH140" i="63" s="1"/>
  <c r="BH141" i="63" s="1"/>
  <c r="BH142" i="63" s="1"/>
  <c r="BH143" i="63" s="1"/>
  <c r="BH144" i="63" s="1"/>
  <c r="BH145" i="63" s="1"/>
  <c r="BH146" i="63" s="1"/>
  <c r="BH147" i="63" s="1"/>
  <c r="BH148" i="63" s="1"/>
  <c r="BH149" i="63" s="1"/>
  <c r="BH150" i="63" s="1"/>
  <c r="BH151" i="63" s="1"/>
  <c r="BH152" i="63" s="1"/>
  <c r="BH153" i="63" s="1"/>
  <c r="BH154" i="63" s="1"/>
  <c r="BH155" i="63" s="1"/>
  <c r="BH156" i="63" s="1"/>
  <c r="BH157" i="63" s="1"/>
  <c r="BH158" i="63" s="1"/>
  <c r="BH159" i="63" s="1"/>
  <c r="BH160" i="63" s="1"/>
  <c r="BH161" i="63" s="1"/>
  <c r="BH162" i="63" s="1"/>
  <c r="BH163" i="63" s="1"/>
  <c r="BH164" i="63" s="1"/>
  <c r="BH165" i="63" s="1"/>
  <c r="BH166" i="63" s="1"/>
  <c r="BH167" i="63" s="1"/>
  <c r="BH168" i="63" s="1"/>
  <c r="BH169" i="63" s="1"/>
  <c r="BH170" i="63" s="1"/>
  <c r="BH171" i="63" s="1"/>
  <c r="BH172" i="63" s="1"/>
  <c r="BH173" i="63" s="1"/>
  <c r="BH174" i="63" s="1"/>
  <c r="BH175" i="63" s="1"/>
  <c r="BH176" i="63" s="1"/>
  <c r="BH177" i="63" s="1"/>
  <c r="BH178" i="63" s="1"/>
  <c r="BH179" i="63" s="1"/>
  <c r="BH180" i="63" s="1"/>
  <c r="BH181" i="63" s="1"/>
  <c r="BH182" i="63" s="1"/>
  <c r="BH183" i="63" s="1"/>
  <c r="BH184" i="63" s="1"/>
  <c r="BH185" i="63" s="1"/>
  <c r="BH186" i="63" s="1"/>
  <c r="BH187" i="63" s="1"/>
  <c r="BH188" i="63" s="1"/>
  <c r="BH189" i="63" s="1"/>
  <c r="BH190" i="63" s="1"/>
  <c r="BH191" i="63" s="1"/>
  <c r="BH192" i="63" s="1"/>
  <c r="BH193" i="63" s="1"/>
  <c r="BH194" i="63" s="1"/>
  <c r="BH195" i="63" s="1"/>
  <c r="BH196" i="63" s="1"/>
  <c r="BH197" i="63" s="1"/>
  <c r="BH198" i="63" s="1"/>
  <c r="BH199" i="63" s="1"/>
  <c r="BH200" i="63" s="1"/>
  <c r="BH201" i="63" s="1"/>
  <c r="BH202" i="63" s="1"/>
  <c r="BH203" i="63" s="1"/>
  <c r="BH204" i="63" s="1"/>
  <c r="BH205" i="63" s="1"/>
  <c r="BH206" i="63" s="1"/>
  <c r="BH207" i="63" s="1"/>
  <c r="BH208" i="63" s="1"/>
  <c r="BH209" i="63" s="1"/>
  <c r="BH210" i="63" s="1"/>
  <c r="BH211" i="63" s="1"/>
  <c r="BH212" i="63" s="1"/>
  <c r="BH213" i="63" s="1"/>
  <c r="BH214" i="63" s="1"/>
  <c r="BH215" i="63" s="1"/>
  <c r="BH216" i="63" s="1"/>
  <c r="BH217" i="63" s="1"/>
  <c r="BH218" i="63" s="1"/>
  <c r="BH219" i="63" s="1"/>
  <c r="BH220" i="63" s="1"/>
  <c r="BH221" i="63" s="1"/>
  <c r="BH222" i="63" s="1"/>
  <c r="BH223" i="63" s="1"/>
  <c r="BH224" i="63" s="1"/>
  <c r="BH225" i="63" s="1"/>
  <c r="BH226" i="63" s="1"/>
  <c r="BH227" i="63" s="1"/>
  <c r="BH228" i="63" s="1"/>
  <c r="BH229" i="63" s="1"/>
  <c r="BH230" i="63" s="1"/>
  <c r="BH231" i="63" s="1"/>
  <c r="BH232" i="63" s="1"/>
  <c r="BH233" i="63" s="1"/>
  <c r="BH234" i="63" s="1"/>
  <c r="BH235" i="63" s="1"/>
  <c r="BH236" i="63" s="1"/>
  <c r="BH237" i="63" s="1"/>
  <c r="BH238" i="63" s="1"/>
  <c r="BH239" i="63" s="1"/>
  <c r="BH240" i="63" s="1"/>
  <c r="BH241" i="63" s="1"/>
  <c r="BH242" i="63" s="1"/>
  <c r="BH243" i="63" s="1"/>
  <c r="BH244" i="63" s="1"/>
  <c r="BH245" i="63" s="1"/>
  <c r="BH246" i="63" s="1"/>
  <c r="BH247" i="63" s="1"/>
  <c r="BH248" i="63" s="1"/>
  <c r="BH249" i="63" s="1"/>
  <c r="BH250" i="63" s="1"/>
  <c r="BH251" i="63" s="1"/>
  <c r="BH252" i="63" s="1"/>
  <c r="BH253" i="63" s="1"/>
  <c r="BH254" i="63" s="1"/>
  <c r="BH255" i="63" s="1"/>
  <c r="BH256" i="63" s="1"/>
  <c r="BH257" i="63" s="1"/>
  <c r="BH258" i="63" s="1"/>
  <c r="BH259" i="63" s="1"/>
  <c r="BH260" i="63" s="1"/>
  <c r="BH261" i="63" s="1"/>
  <c r="BH262" i="63" s="1"/>
  <c r="BH263" i="63" s="1"/>
  <c r="BH264" i="63" s="1"/>
  <c r="BH265" i="63" s="1"/>
  <c r="BH266" i="63" s="1"/>
  <c r="BH267" i="63" s="1"/>
  <c r="BH268" i="63" s="1"/>
  <c r="BH269" i="63" s="1"/>
  <c r="BH270" i="63" s="1"/>
  <c r="BH271" i="63" s="1"/>
  <c r="BH272" i="63" s="1"/>
  <c r="BH273" i="63" s="1"/>
  <c r="BH274" i="63" s="1"/>
  <c r="BH275" i="63" s="1"/>
  <c r="BH276" i="63" s="1"/>
  <c r="BH277" i="63" s="1"/>
  <c r="BH278" i="63" s="1"/>
  <c r="BH279" i="63" s="1"/>
  <c r="BH280" i="63" s="1"/>
  <c r="BH281" i="63" s="1"/>
  <c r="BH282" i="63" s="1"/>
  <c r="BH283" i="63" s="1"/>
  <c r="BH284" i="63" s="1"/>
  <c r="BH285" i="63" s="1"/>
  <c r="BH286" i="63" s="1"/>
  <c r="BH287" i="63" s="1"/>
  <c r="BH288" i="63" s="1"/>
  <c r="BH289" i="63" s="1"/>
  <c r="BH290" i="63" s="1"/>
  <c r="BH291" i="63" s="1"/>
  <c r="BH292" i="63" s="1"/>
  <c r="BH293" i="63" s="1"/>
  <c r="BH294" i="63" s="1"/>
  <c r="BH295" i="63" s="1"/>
  <c r="BH296" i="63" s="1"/>
  <c r="BH297" i="63" s="1"/>
  <c r="BH298" i="63" s="1"/>
  <c r="BH299" i="63" s="1"/>
  <c r="BH300" i="63" s="1"/>
  <c r="BH301" i="63" s="1"/>
  <c r="BH302" i="63" s="1"/>
  <c r="BH303" i="63" s="1"/>
  <c r="BH304" i="63" s="1"/>
  <c r="BH305" i="63" s="1"/>
  <c r="BH306" i="63" s="1"/>
  <c r="BH307" i="63" s="1"/>
  <c r="BH308" i="63" s="1"/>
  <c r="BH7" i="63"/>
  <c r="BH6" i="63"/>
  <c r="BH5" i="63"/>
  <c r="BH4" i="63"/>
  <c r="BG8" i="63"/>
  <c r="BG9" i="63" s="1"/>
  <c r="BG10" i="63" s="1"/>
  <c r="BG11" i="63" s="1"/>
  <c r="BG12" i="63" s="1"/>
  <c r="BG13" i="63" s="1"/>
  <c r="BG14" i="63" s="1"/>
  <c r="BG15" i="63" s="1"/>
  <c r="BG16" i="63" s="1"/>
  <c r="BG17" i="63" s="1"/>
  <c r="BG18" i="63" s="1"/>
  <c r="BG19" i="63" s="1"/>
  <c r="BG20" i="63" s="1"/>
  <c r="BG21" i="63" s="1"/>
  <c r="BG22" i="63" s="1"/>
  <c r="BG23" i="63" s="1"/>
  <c r="BG24" i="63" s="1"/>
  <c r="BG25" i="63" s="1"/>
  <c r="BG26" i="63" s="1"/>
  <c r="BG27" i="63" s="1"/>
  <c r="BG28" i="63" s="1"/>
  <c r="BG29" i="63" s="1"/>
  <c r="BG30" i="63" s="1"/>
  <c r="BG31" i="63" s="1"/>
  <c r="BG32" i="63" s="1"/>
  <c r="BG33" i="63" s="1"/>
  <c r="BG34" i="63" s="1"/>
  <c r="BG35" i="63" s="1"/>
  <c r="BG36" i="63" s="1"/>
  <c r="BG37" i="63" s="1"/>
  <c r="BG38" i="63" s="1"/>
  <c r="BG39" i="63" s="1"/>
  <c r="BG40" i="63" s="1"/>
  <c r="BG41" i="63" s="1"/>
  <c r="BG42" i="63" s="1"/>
  <c r="BG43" i="63" s="1"/>
  <c r="BG44" i="63" s="1"/>
  <c r="BG45" i="63" s="1"/>
  <c r="BG46" i="63" s="1"/>
  <c r="BG47" i="63" s="1"/>
  <c r="BG48" i="63" s="1"/>
  <c r="BG49" i="63" s="1"/>
  <c r="BG50" i="63" s="1"/>
  <c r="BG51" i="63" s="1"/>
  <c r="BG52" i="63" s="1"/>
  <c r="BG53" i="63" s="1"/>
  <c r="BG54" i="63" s="1"/>
  <c r="BG55" i="63" s="1"/>
  <c r="BG56" i="63" s="1"/>
  <c r="BG57" i="63" s="1"/>
  <c r="BG58" i="63" s="1"/>
  <c r="BG59" i="63" s="1"/>
  <c r="BG60" i="63" s="1"/>
  <c r="BG61" i="63" s="1"/>
  <c r="BG62" i="63" s="1"/>
  <c r="BG63" i="63" s="1"/>
  <c r="BG64" i="63" s="1"/>
  <c r="BG65" i="63" s="1"/>
  <c r="BG66" i="63" s="1"/>
  <c r="BG67" i="63" s="1"/>
  <c r="BG68" i="63" s="1"/>
  <c r="BG69" i="63" s="1"/>
  <c r="BG70" i="63" s="1"/>
  <c r="BG71" i="63" s="1"/>
  <c r="BG72" i="63" s="1"/>
  <c r="BG73" i="63" s="1"/>
  <c r="BG74" i="63" s="1"/>
  <c r="BG75" i="63" s="1"/>
  <c r="BG76" i="63" s="1"/>
  <c r="BG77" i="63" s="1"/>
  <c r="BG78" i="63" s="1"/>
  <c r="BG79" i="63" s="1"/>
  <c r="BG80" i="63" s="1"/>
  <c r="BG81" i="63" s="1"/>
  <c r="BG82" i="63" s="1"/>
  <c r="BG83" i="63" s="1"/>
  <c r="BG84" i="63" s="1"/>
  <c r="BG85" i="63" s="1"/>
  <c r="BG86" i="63" s="1"/>
  <c r="BG87" i="63" s="1"/>
  <c r="BG88" i="63" s="1"/>
  <c r="BG89" i="63" s="1"/>
  <c r="BG90" i="63" s="1"/>
  <c r="BG91" i="63" s="1"/>
  <c r="BG92" i="63" s="1"/>
  <c r="BG93" i="63" s="1"/>
  <c r="BG94" i="63" s="1"/>
  <c r="BG95" i="63" s="1"/>
  <c r="BG96" i="63" s="1"/>
  <c r="BG97" i="63" s="1"/>
  <c r="BG98" i="63" s="1"/>
  <c r="BG99" i="63" s="1"/>
  <c r="BG100" i="63" s="1"/>
  <c r="BG101" i="63" s="1"/>
  <c r="BG102" i="63" s="1"/>
  <c r="BG103" i="63" s="1"/>
  <c r="BG104" i="63" s="1"/>
  <c r="BG105" i="63" s="1"/>
  <c r="BG106" i="63" s="1"/>
  <c r="BG107" i="63" s="1"/>
  <c r="BG108" i="63" s="1"/>
  <c r="BG109" i="63" s="1"/>
  <c r="BG110" i="63" s="1"/>
  <c r="BG111" i="63" s="1"/>
  <c r="BG112" i="63" s="1"/>
  <c r="BG113" i="63" s="1"/>
  <c r="BG114" i="63" s="1"/>
  <c r="BG115" i="63" s="1"/>
  <c r="BG116" i="63" s="1"/>
  <c r="BG117" i="63" s="1"/>
  <c r="BG118" i="63" s="1"/>
  <c r="BG119" i="63" s="1"/>
  <c r="BG120" i="63" s="1"/>
  <c r="BG121" i="63" s="1"/>
  <c r="BG122" i="63" s="1"/>
  <c r="BG123" i="63" s="1"/>
  <c r="BG124" i="63" s="1"/>
  <c r="BG125" i="63" s="1"/>
  <c r="BG126" i="63" s="1"/>
  <c r="BG127" i="63" s="1"/>
  <c r="BG128" i="63" s="1"/>
  <c r="BG129" i="63" s="1"/>
  <c r="BG130" i="63" s="1"/>
  <c r="BG131" i="63" s="1"/>
  <c r="BG132" i="63" s="1"/>
  <c r="BG133" i="63" s="1"/>
  <c r="BG134" i="63" s="1"/>
  <c r="BG135" i="63" s="1"/>
  <c r="BG136" i="63" s="1"/>
  <c r="BG137" i="63" s="1"/>
  <c r="BG138" i="63" s="1"/>
  <c r="BG139" i="63" s="1"/>
  <c r="BG140" i="63" s="1"/>
  <c r="BG141" i="63" s="1"/>
  <c r="BG142" i="63" s="1"/>
  <c r="BG143" i="63" s="1"/>
  <c r="BG144" i="63" s="1"/>
  <c r="BG145" i="63" s="1"/>
  <c r="BG146" i="63" s="1"/>
  <c r="BG147" i="63" s="1"/>
  <c r="BG148" i="63" s="1"/>
  <c r="BG149" i="63" s="1"/>
  <c r="BG150" i="63" s="1"/>
  <c r="BG151" i="63" s="1"/>
  <c r="BG152" i="63" s="1"/>
  <c r="BG153" i="63" s="1"/>
  <c r="BG154" i="63" s="1"/>
  <c r="BG155" i="63" s="1"/>
  <c r="BG156" i="63" s="1"/>
  <c r="BG157" i="63" s="1"/>
  <c r="BG158" i="63" s="1"/>
  <c r="BG159" i="63" s="1"/>
  <c r="BG160" i="63" s="1"/>
  <c r="BG161" i="63" s="1"/>
  <c r="BG162" i="63" s="1"/>
  <c r="BG163" i="63" s="1"/>
  <c r="BG164" i="63" s="1"/>
  <c r="BG165" i="63" s="1"/>
  <c r="BG166" i="63" s="1"/>
  <c r="BG167" i="63" s="1"/>
  <c r="BG168" i="63" s="1"/>
  <c r="BG169" i="63" s="1"/>
  <c r="BG170" i="63" s="1"/>
  <c r="BG171" i="63" s="1"/>
  <c r="BG172" i="63" s="1"/>
  <c r="BG173" i="63" s="1"/>
  <c r="BG174" i="63" s="1"/>
  <c r="BG175" i="63" s="1"/>
  <c r="BG176" i="63" s="1"/>
  <c r="BG177" i="63" s="1"/>
  <c r="BG178" i="63" s="1"/>
  <c r="BG179" i="63" s="1"/>
  <c r="BG180" i="63" s="1"/>
  <c r="BG181" i="63" s="1"/>
  <c r="BG182" i="63" s="1"/>
  <c r="BG183" i="63" s="1"/>
  <c r="BG184" i="63" s="1"/>
  <c r="BG185" i="63" s="1"/>
  <c r="BG186" i="63" s="1"/>
  <c r="BG187" i="63" s="1"/>
  <c r="BG188" i="63" s="1"/>
  <c r="BG189" i="63" s="1"/>
  <c r="BG190" i="63" s="1"/>
  <c r="BG191" i="63" s="1"/>
  <c r="BG192" i="63" s="1"/>
  <c r="BG193" i="63" s="1"/>
  <c r="BG194" i="63" s="1"/>
  <c r="BG195" i="63" s="1"/>
  <c r="BG196" i="63" s="1"/>
  <c r="BG197" i="63" s="1"/>
  <c r="BG198" i="63" s="1"/>
  <c r="BG199" i="63" s="1"/>
  <c r="BG200" i="63" s="1"/>
  <c r="BG201" i="63" s="1"/>
  <c r="BG202" i="63" s="1"/>
  <c r="BG203" i="63" s="1"/>
  <c r="BG204" i="63" s="1"/>
  <c r="BG205" i="63" s="1"/>
  <c r="BG206" i="63" s="1"/>
  <c r="BG207" i="63" s="1"/>
  <c r="BG208" i="63" s="1"/>
  <c r="BG209" i="63" s="1"/>
  <c r="BG210" i="63" s="1"/>
  <c r="BG211" i="63" s="1"/>
  <c r="BG212" i="63" s="1"/>
  <c r="BG213" i="63" s="1"/>
  <c r="BG214" i="63" s="1"/>
  <c r="BG215" i="63" s="1"/>
  <c r="BG216" i="63" s="1"/>
  <c r="BG217" i="63" s="1"/>
  <c r="BG218" i="63" s="1"/>
  <c r="BG219" i="63" s="1"/>
  <c r="BG220" i="63" s="1"/>
  <c r="BG221" i="63" s="1"/>
  <c r="BG222" i="63" s="1"/>
  <c r="BG223" i="63" s="1"/>
  <c r="BG224" i="63" s="1"/>
  <c r="BG225" i="63" s="1"/>
  <c r="BG226" i="63" s="1"/>
  <c r="BG227" i="63" s="1"/>
  <c r="BG228" i="63" s="1"/>
  <c r="BG229" i="63" s="1"/>
  <c r="BG230" i="63" s="1"/>
  <c r="BG231" i="63" s="1"/>
  <c r="BG232" i="63" s="1"/>
  <c r="BG233" i="63" s="1"/>
  <c r="BG234" i="63" s="1"/>
  <c r="BG235" i="63" s="1"/>
  <c r="BG236" i="63" s="1"/>
  <c r="BG237" i="63" s="1"/>
  <c r="BG238" i="63" s="1"/>
  <c r="BG239" i="63" s="1"/>
  <c r="BG240" i="63" s="1"/>
  <c r="BG241" i="63" s="1"/>
  <c r="BG242" i="63" s="1"/>
  <c r="BG243" i="63" s="1"/>
  <c r="BG244" i="63" s="1"/>
  <c r="BG245" i="63" s="1"/>
  <c r="BG246" i="63" s="1"/>
  <c r="BG247" i="63" s="1"/>
  <c r="BG248" i="63" s="1"/>
  <c r="BG249" i="63" s="1"/>
  <c r="BG250" i="63" s="1"/>
  <c r="BG251" i="63" s="1"/>
  <c r="BG252" i="63" s="1"/>
  <c r="BG253" i="63" s="1"/>
  <c r="BG254" i="63" s="1"/>
  <c r="BG255" i="63" s="1"/>
  <c r="BG256" i="63" s="1"/>
  <c r="BG257" i="63" s="1"/>
  <c r="BG258" i="63" s="1"/>
  <c r="BG259" i="63" s="1"/>
  <c r="BG260" i="63" s="1"/>
  <c r="BG261" i="63" s="1"/>
  <c r="BG262" i="63" s="1"/>
  <c r="BG263" i="63" s="1"/>
  <c r="BG264" i="63" s="1"/>
  <c r="BG265" i="63" s="1"/>
  <c r="BG266" i="63" s="1"/>
  <c r="BG267" i="63" s="1"/>
  <c r="BG268" i="63" s="1"/>
  <c r="BG269" i="63" s="1"/>
  <c r="BG270" i="63" s="1"/>
  <c r="BG271" i="63" s="1"/>
  <c r="BG272" i="63" s="1"/>
  <c r="BG273" i="63" s="1"/>
  <c r="BG274" i="63" s="1"/>
  <c r="BG275" i="63" s="1"/>
  <c r="BG276" i="63" s="1"/>
  <c r="BG277" i="63" s="1"/>
  <c r="BG278" i="63" s="1"/>
  <c r="BG279" i="63" s="1"/>
  <c r="BG280" i="63" s="1"/>
  <c r="BG281" i="63" s="1"/>
  <c r="BG282" i="63" s="1"/>
  <c r="BG283" i="63" s="1"/>
  <c r="BG284" i="63" s="1"/>
  <c r="BG285" i="63" s="1"/>
  <c r="BG286" i="63" s="1"/>
  <c r="BG287" i="63" s="1"/>
  <c r="BG288" i="63" s="1"/>
  <c r="BG289" i="63" s="1"/>
  <c r="BG290" i="63" s="1"/>
  <c r="BG291" i="63" s="1"/>
  <c r="BG292" i="63" s="1"/>
  <c r="BG293" i="63" s="1"/>
  <c r="BG294" i="63" s="1"/>
  <c r="BG295" i="63" s="1"/>
  <c r="BG296" i="63" s="1"/>
  <c r="BG297" i="63" s="1"/>
  <c r="BG298" i="63" s="1"/>
  <c r="BG299" i="63" s="1"/>
  <c r="BG300" i="63" s="1"/>
  <c r="BG301" i="63" s="1"/>
  <c r="BG302" i="63" s="1"/>
  <c r="BG303" i="63" s="1"/>
  <c r="BG304" i="63" s="1"/>
  <c r="BG305" i="63" s="1"/>
  <c r="BG306" i="63" s="1"/>
  <c r="BG307" i="63" s="1"/>
  <c r="BG308" i="63" s="1"/>
  <c r="BG7" i="63"/>
  <c r="BG6" i="63"/>
  <c r="BG5" i="63"/>
  <c r="BG4" i="63"/>
  <c r="BF8" i="63"/>
  <c r="BF9" i="63" s="1"/>
  <c r="BF10" i="63" s="1"/>
  <c r="BF11" i="63" s="1"/>
  <c r="BF12" i="63" s="1"/>
  <c r="BF13" i="63" s="1"/>
  <c r="BF14" i="63" s="1"/>
  <c r="BF15" i="63" s="1"/>
  <c r="BF16" i="63" s="1"/>
  <c r="BF17" i="63" s="1"/>
  <c r="BF18" i="63" s="1"/>
  <c r="BF19" i="63" s="1"/>
  <c r="BF20" i="63" s="1"/>
  <c r="BF21" i="63" s="1"/>
  <c r="BF22" i="63" s="1"/>
  <c r="BF23" i="63" s="1"/>
  <c r="BF24" i="63" s="1"/>
  <c r="BF25" i="63" s="1"/>
  <c r="BF26" i="63" s="1"/>
  <c r="BF27" i="63" s="1"/>
  <c r="BF28" i="63" s="1"/>
  <c r="BF29" i="63" s="1"/>
  <c r="BF30" i="63" s="1"/>
  <c r="BF31" i="63" s="1"/>
  <c r="BF32" i="63" s="1"/>
  <c r="BF33" i="63" s="1"/>
  <c r="BF34" i="63" s="1"/>
  <c r="BF35" i="63" s="1"/>
  <c r="BF36" i="63" s="1"/>
  <c r="BF37" i="63" s="1"/>
  <c r="BF38" i="63" s="1"/>
  <c r="BF39" i="63" s="1"/>
  <c r="BF40" i="63" s="1"/>
  <c r="BF41" i="63" s="1"/>
  <c r="BF42" i="63" s="1"/>
  <c r="BF43" i="63" s="1"/>
  <c r="BF44" i="63" s="1"/>
  <c r="BF45" i="63" s="1"/>
  <c r="BF46" i="63" s="1"/>
  <c r="BF47" i="63" s="1"/>
  <c r="BF48" i="63" s="1"/>
  <c r="BF49" i="63" s="1"/>
  <c r="BF50" i="63" s="1"/>
  <c r="BF51" i="63" s="1"/>
  <c r="BF52" i="63" s="1"/>
  <c r="BF53" i="63" s="1"/>
  <c r="BF54" i="63" s="1"/>
  <c r="BF55" i="63" s="1"/>
  <c r="BF56" i="63" s="1"/>
  <c r="BF57" i="63" s="1"/>
  <c r="BF58" i="63" s="1"/>
  <c r="BF59" i="63" s="1"/>
  <c r="BF60" i="63" s="1"/>
  <c r="BF61" i="63" s="1"/>
  <c r="BF62" i="63" s="1"/>
  <c r="BF63" i="63" s="1"/>
  <c r="BF64" i="63" s="1"/>
  <c r="BF65" i="63" s="1"/>
  <c r="BF66" i="63" s="1"/>
  <c r="BF67" i="63" s="1"/>
  <c r="BF68" i="63" s="1"/>
  <c r="BF69" i="63" s="1"/>
  <c r="BF70" i="63" s="1"/>
  <c r="BF71" i="63" s="1"/>
  <c r="BF72" i="63" s="1"/>
  <c r="BF73" i="63" s="1"/>
  <c r="BF74" i="63" s="1"/>
  <c r="BF75" i="63" s="1"/>
  <c r="BF76" i="63" s="1"/>
  <c r="BF77" i="63" s="1"/>
  <c r="BF78" i="63" s="1"/>
  <c r="BF79" i="63" s="1"/>
  <c r="BF80" i="63" s="1"/>
  <c r="BF81" i="63" s="1"/>
  <c r="BF82" i="63" s="1"/>
  <c r="BF83" i="63" s="1"/>
  <c r="BF84" i="63" s="1"/>
  <c r="BF85" i="63" s="1"/>
  <c r="BF86" i="63" s="1"/>
  <c r="BF87" i="63" s="1"/>
  <c r="BF88" i="63" s="1"/>
  <c r="BF89" i="63" s="1"/>
  <c r="BF90" i="63" s="1"/>
  <c r="BF91" i="63" s="1"/>
  <c r="BF92" i="63" s="1"/>
  <c r="BF93" i="63" s="1"/>
  <c r="BF94" i="63" s="1"/>
  <c r="BF95" i="63" s="1"/>
  <c r="BF96" i="63" s="1"/>
  <c r="BF97" i="63" s="1"/>
  <c r="BF98" i="63" s="1"/>
  <c r="BF99" i="63" s="1"/>
  <c r="BF100" i="63" s="1"/>
  <c r="BF101" i="63" s="1"/>
  <c r="BF102" i="63" s="1"/>
  <c r="BF103" i="63" s="1"/>
  <c r="BF104" i="63" s="1"/>
  <c r="BF105" i="63" s="1"/>
  <c r="BF106" i="63" s="1"/>
  <c r="BF107" i="63" s="1"/>
  <c r="BF108" i="63" s="1"/>
  <c r="BF109" i="63" s="1"/>
  <c r="BF110" i="63" s="1"/>
  <c r="BF111" i="63" s="1"/>
  <c r="BF112" i="63" s="1"/>
  <c r="BF113" i="63" s="1"/>
  <c r="BF114" i="63" s="1"/>
  <c r="BF115" i="63" s="1"/>
  <c r="BF116" i="63" s="1"/>
  <c r="BF117" i="63" s="1"/>
  <c r="BF118" i="63" s="1"/>
  <c r="BF119" i="63" s="1"/>
  <c r="BF120" i="63" s="1"/>
  <c r="BF121" i="63" s="1"/>
  <c r="BF122" i="63" s="1"/>
  <c r="BF123" i="63" s="1"/>
  <c r="BF124" i="63" s="1"/>
  <c r="BF125" i="63" s="1"/>
  <c r="BF126" i="63" s="1"/>
  <c r="BF127" i="63" s="1"/>
  <c r="BF128" i="63" s="1"/>
  <c r="BF129" i="63" s="1"/>
  <c r="BF130" i="63" s="1"/>
  <c r="BF131" i="63" s="1"/>
  <c r="BF132" i="63" s="1"/>
  <c r="BF133" i="63" s="1"/>
  <c r="BF134" i="63" s="1"/>
  <c r="BF135" i="63" s="1"/>
  <c r="BF136" i="63" s="1"/>
  <c r="BF137" i="63" s="1"/>
  <c r="BF138" i="63" s="1"/>
  <c r="BF139" i="63" s="1"/>
  <c r="BF140" i="63" s="1"/>
  <c r="BF141" i="63" s="1"/>
  <c r="BF142" i="63" s="1"/>
  <c r="BF143" i="63" s="1"/>
  <c r="BF144" i="63" s="1"/>
  <c r="BF145" i="63" s="1"/>
  <c r="BF146" i="63" s="1"/>
  <c r="BF147" i="63" s="1"/>
  <c r="BF148" i="63" s="1"/>
  <c r="BF149" i="63" s="1"/>
  <c r="BF150" i="63" s="1"/>
  <c r="BF151" i="63" s="1"/>
  <c r="BF152" i="63" s="1"/>
  <c r="BF153" i="63" s="1"/>
  <c r="BF154" i="63" s="1"/>
  <c r="BF155" i="63" s="1"/>
  <c r="BF156" i="63" s="1"/>
  <c r="BF157" i="63" s="1"/>
  <c r="BF158" i="63" s="1"/>
  <c r="BF159" i="63" s="1"/>
  <c r="BF160" i="63" s="1"/>
  <c r="BF161" i="63" s="1"/>
  <c r="BF162" i="63" s="1"/>
  <c r="BF163" i="63" s="1"/>
  <c r="BF164" i="63" s="1"/>
  <c r="BF165" i="63" s="1"/>
  <c r="BF166" i="63" s="1"/>
  <c r="BF167" i="63" s="1"/>
  <c r="BF168" i="63" s="1"/>
  <c r="BF169" i="63" s="1"/>
  <c r="BF170" i="63" s="1"/>
  <c r="BF171" i="63" s="1"/>
  <c r="BF172" i="63" s="1"/>
  <c r="BF173" i="63" s="1"/>
  <c r="BF174" i="63" s="1"/>
  <c r="BF175" i="63" s="1"/>
  <c r="BF176" i="63" s="1"/>
  <c r="BF177" i="63" s="1"/>
  <c r="BF178" i="63" s="1"/>
  <c r="BF179" i="63" s="1"/>
  <c r="BF180" i="63" s="1"/>
  <c r="BF181" i="63" s="1"/>
  <c r="BF182" i="63" s="1"/>
  <c r="BF183" i="63" s="1"/>
  <c r="BF184" i="63" s="1"/>
  <c r="BF185" i="63" s="1"/>
  <c r="BF186" i="63" s="1"/>
  <c r="BF187" i="63" s="1"/>
  <c r="BF188" i="63" s="1"/>
  <c r="BF189" i="63" s="1"/>
  <c r="BF190" i="63" s="1"/>
  <c r="BF191" i="63" s="1"/>
  <c r="BF192" i="63" s="1"/>
  <c r="BF193" i="63" s="1"/>
  <c r="BF194" i="63" s="1"/>
  <c r="BF195" i="63" s="1"/>
  <c r="BF196" i="63" s="1"/>
  <c r="BF197" i="63" s="1"/>
  <c r="BF198" i="63" s="1"/>
  <c r="BF199" i="63" s="1"/>
  <c r="BF200" i="63" s="1"/>
  <c r="BF201" i="63" s="1"/>
  <c r="BF202" i="63" s="1"/>
  <c r="BF203" i="63" s="1"/>
  <c r="BF204" i="63" s="1"/>
  <c r="BF205" i="63" s="1"/>
  <c r="BF206" i="63" s="1"/>
  <c r="BF207" i="63" s="1"/>
  <c r="BF208" i="63" s="1"/>
  <c r="BF209" i="63" s="1"/>
  <c r="BF210" i="63" s="1"/>
  <c r="BF211" i="63" s="1"/>
  <c r="BF212" i="63" s="1"/>
  <c r="BF213" i="63" s="1"/>
  <c r="BF214" i="63" s="1"/>
  <c r="BF215" i="63" s="1"/>
  <c r="BF216" i="63" s="1"/>
  <c r="BF217" i="63" s="1"/>
  <c r="BF218" i="63" s="1"/>
  <c r="BF219" i="63" s="1"/>
  <c r="BF220" i="63" s="1"/>
  <c r="BF221" i="63" s="1"/>
  <c r="BF222" i="63" s="1"/>
  <c r="BF223" i="63" s="1"/>
  <c r="BF224" i="63" s="1"/>
  <c r="BF225" i="63" s="1"/>
  <c r="BF226" i="63" s="1"/>
  <c r="BF227" i="63" s="1"/>
  <c r="BF228" i="63" s="1"/>
  <c r="BF229" i="63" s="1"/>
  <c r="BF230" i="63" s="1"/>
  <c r="BF231" i="63" s="1"/>
  <c r="BF232" i="63" s="1"/>
  <c r="BF233" i="63" s="1"/>
  <c r="BF234" i="63" s="1"/>
  <c r="BF235" i="63" s="1"/>
  <c r="BF236" i="63" s="1"/>
  <c r="BF237" i="63" s="1"/>
  <c r="BF238" i="63" s="1"/>
  <c r="BF239" i="63" s="1"/>
  <c r="BF240" i="63" s="1"/>
  <c r="BF241" i="63" s="1"/>
  <c r="BF242" i="63" s="1"/>
  <c r="BF243" i="63" s="1"/>
  <c r="BF244" i="63" s="1"/>
  <c r="BF245" i="63" s="1"/>
  <c r="BF246" i="63" s="1"/>
  <c r="BF247" i="63" s="1"/>
  <c r="BF248" i="63" s="1"/>
  <c r="BF249" i="63" s="1"/>
  <c r="BF250" i="63" s="1"/>
  <c r="BF251" i="63" s="1"/>
  <c r="BF252" i="63" s="1"/>
  <c r="BF253" i="63" s="1"/>
  <c r="BF254" i="63" s="1"/>
  <c r="BF255" i="63" s="1"/>
  <c r="BF256" i="63" s="1"/>
  <c r="BF257" i="63" s="1"/>
  <c r="BF258" i="63" s="1"/>
  <c r="BF259" i="63" s="1"/>
  <c r="BF260" i="63" s="1"/>
  <c r="BF261" i="63" s="1"/>
  <c r="BF262" i="63" s="1"/>
  <c r="BF263" i="63" s="1"/>
  <c r="BF264" i="63" s="1"/>
  <c r="BF265" i="63" s="1"/>
  <c r="BF266" i="63" s="1"/>
  <c r="BF267" i="63" s="1"/>
  <c r="BF268" i="63" s="1"/>
  <c r="BF269" i="63" s="1"/>
  <c r="BF270" i="63" s="1"/>
  <c r="BF271" i="63" s="1"/>
  <c r="BF272" i="63" s="1"/>
  <c r="BF273" i="63" s="1"/>
  <c r="BF274" i="63" s="1"/>
  <c r="BF275" i="63" s="1"/>
  <c r="BF276" i="63" s="1"/>
  <c r="BF277" i="63" s="1"/>
  <c r="BF278" i="63" s="1"/>
  <c r="BF279" i="63" s="1"/>
  <c r="BF280" i="63" s="1"/>
  <c r="BF281" i="63" s="1"/>
  <c r="BF282" i="63" s="1"/>
  <c r="BF283" i="63" s="1"/>
  <c r="BF284" i="63" s="1"/>
  <c r="BF285" i="63" s="1"/>
  <c r="BF286" i="63" s="1"/>
  <c r="BF287" i="63" s="1"/>
  <c r="BF288" i="63" s="1"/>
  <c r="BF289" i="63" s="1"/>
  <c r="BF290" i="63" s="1"/>
  <c r="BF291" i="63" s="1"/>
  <c r="BF292" i="63" s="1"/>
  <c r="BF293" i="63" s="1"/>
  <c r="BF294" i="63" s="1"/>
  <c r="BF295" i="63" s="1"/>
  <c r="BF296" i="63" s="1"/>
  <c r="BF297" i="63" s="1"/>
  <c r="BF298" i="63" s="1"/>
  <c r="BF299" i="63" s="1"/>
  <c r="BF300" i="63" s="1"/>
  <c r="BF301" i="63" s="1"/>
  <c r="BF302" i="63" s="1"/>
  <c r="BF303" i="63" s="1"/>
  <c r="BF304" i="63" s="1"/>
  <c r="BF305" i="63" s="1"/>
  <c r="BF306" i="63" s="1"/>
  <c r="BF307" i="63" s="1"/>
  <c r="BF308" i="63" s="1"/>
  <c r="BF7" i="63"/>
  <c r="BF6" i="63"/>
  <c r="BF5" i="63"/>
  <c r="BF4" i="63"/>
  <c r="BE8" i="63"/>
  <c r="BE7" i="63"/>
  <c r="BE6" i="63"/>
  <c r="BE5" i="63"/>
  <c r="BE4" i="63"/>
  <c r="BD8" i="63"/>
  <c r="BD9" i="63" s="1"/>
  <c r="BD10" i="63" s="1"/>
  <c r="BD11" i="63" s="1"/>
  <c r="BD12" i="63" s="1"/>
  <c r="BD13" i="63" s="1"/>
  <c r="BD14" i="63" s="1"/>
  <c r="BD15" i="63" s="1"/>
  <c r="BD16" i="63" s="1"/>
  <c r="BD17" i="63" s="1"/>
  <c r="BD18" i="63" s="1"/>
  <c r="BD19" i="63" s="1"/>
  <c r="BD20" i="63" s="1"/>
  <c r="BD21" i="63" s="1"/>
  <c r="BD22" i="63" s="1"/>
  <c r="BD23" i="63" s="1"/>
  <c r="BD24" i="63" s="1"/>
  <c r="BD25" i="63" s="1"/>
  <c r="BD26" i="63" s="1"/>
  <c r="BD27" i="63" s="1"/>
  <c r="BD28" i="63" s="1"/>
  <c r="BD29" i="63" s="1"/>
  <c r="BD30" i="63" s="1"/>
  <c r="BD31" i="63" s="1"/>
  <c r="BD32" i="63" s="1"/>
  <c r="BD33" i="63" s="1"/>
  <c r="BD34" i="63" s="1"/>
  <c r="BD35" i="63" s="1"/>
  <c r="BD36" i="63" s="1"/>
  <c r="BD37" i="63" s="1"/>
  <c r="BD38" i="63" s="1"/>
  <c r="BD39" i="63" s="1"/>
  <c r="BD40" i="63" s="1"/>
  <c r="BD41" i="63" s="1"/>
  <c r="BD42" i="63" s="1"/>
  <c r="BD43" i="63" s="1"/>
  <c r="BD44" i="63" s="1"/>
  <c r="BD45" i="63" s="1"/>
  <c r="BD46" i="63" s="1"/>
  <c r="BD47" i="63" s="1"/>
  <c r="BD48" i="63" s="1"/>
  <c r="BD49" i="63" s="1"/>
  <c r="BD50" i="63" s="1"/>
  <c r="BD51" i="63" s="1"/>
  <c r="BD52" i="63" s="1"/>
  <c r="BD53" i="63" s="1"/>
  <c r="BD54" i="63" s="1"/>
  <c r="BD55" i="63" s="1"/>
  <c r="BD56" i="63" s="1"/>
  <c r="BD57" i="63" s="1"/>
  <c r="BD58" i="63" s="1"/>
  <c r="BD59" i="63" s="1"/>
  <c r="BD60" i="63" s="1"/>
  <c r="BD61" i="63" s="1"/>
  <c r="BD62" i="63" s="1"/>
  <c r="BD63" i="63" s="1"/>
  <c r="BD64" i="63" s="1"/>
  <c r="BD65" i="63" s="1"/>
  <c r="BD66" i="63" s="1"/>
  <c r="BD67" i="63" s="1"/>
  <c r="BD68" i="63" s="1"/>
  <c r="BD69" i="63" s="1"/>
  <c r="BD70" i="63" s="1"/>
  <c r="BD71" i="63" s="1"/>
  <c r="BD72" i="63" s="1"/>
  <c r="BD73" i="63" s="1"/>
  <c r="BD74" i="63" s="1"/>
  <c r="BD75" i="63" s="1"/>
  <c r="BD76" i="63" s="1"/>
  <c r="BD77" i="63" s="1"/>
  <c r="BD78" i="63" s="1"/>
  <c r="BD79" i="63" s="1"/>
  <c r="BD80" i="63" s="1"/>
  <c r="BD81" i="63" s="1"/>
  <c r="BD82" i="63" s="1"/>
  <c r="BD83" i="63" s="1"/>
  <c r="BD84" i="63" s="1"/>
  <c r="BD85" i="63" s="1"/>
  <c r="BD86" i="63" s="1"/>
  <c r="BD87" i="63" s="1"/>
  <c r="BD88" i="63" s="1"/>
  <c r="BD89" i="63" s="1"/>
  <c r="BD90" i="63" s="1"/>
  <c r="BD91" i="63" s="1"/>
  <c r="BD92" i="63" s="1"/>
  <c r="BD93" i="63" s="1"/>
  <c r="BD94" i="63" s="1"/>
  <c r="BD95" i="63" s="1"/>
  <c r="BD96" i="63" s="1"/>
  <c r="BD97" i="63" s="1"/>
  <c r="BD98" i="63" s="1"/>
  <c r="BD99" i="63" s="1"/>
  <c r="BD100" i="63" s="1"/>
  <c r="BD101" i="63" s="1"/>
  <c r="BD102" i="63" s="1"/>
  <c r="BD103" i="63" s="1"/>
  <c r="BD104" i="63" s="1"/>
  <c r="BD105" i="63" s="1"/>
  <c r="BD106" i="63" s="1"/>
  <c r="BD107" i="63" s="1"/>
  <c r="BD108" i="63" s="1"/>
  <c r="BD109" i="63" s="1"/>
  <c r="BD110" i="63" s="1"/>
  <c r="BD111" i="63" s="1"/>
  <c r="BD112" i="63" s="1"/>
  <c r="BD113" i="63" s="1"/>
  <c r="BD114" i="63" s="1"/>
  <c r="BD115" i="63" s="1"/>
  <c r="BD116" i="63" s="1"/>
  <c r="BD117" i="63" s="1"/>
  <c r="BD118" i="63" s="1"/>
  <c r="BD119" i="63" s="1"/>
  <c r="BD120" i="63" s="1"/>
  <c r="BD121" i="63" s="1"/>
  <c r="BD122" i="63" s="1"/>
  <c r="BD123" i="63" s="1"/>
  <c r="BD124" i="63" s="1"/>
  <c r="BD125" i="63" s="1"/>
  <c r="BD126" i="63" s="1"/>
  <c r="BD127" i="63" s="1"/>
  <c r="BD128" i="63" s="1"/>
  <c r="BD129" i="63" s="1"/>
  <c r="BD130" i="63" s="1"/>
  <c r="BD131" i="63" s="1"/>
  <c r="BD132" i="63" s="1"/>
  <c r="BD133" i="63" s="1"/>
  <c r="BD134" i="63" s="1"/>
  <c r="BD135" i="63" s="1"/>
  <c r="BD136" i="63" s="1"/>
  <c r="BD137" i="63" s="1"/>
  <c r="BD138" i="63" s="1"/>
  <c r="BD139" i="63" s="1"/>
  <c r="BD140" i="63" s="1"/>
  <c r="BD141" i="63" s="1"/>
  <c r="BD142" i="63" s="1"/>
  <c r="BD143" i="63" s="1"/>
  <c r="BD144" i="63" s="1"/>
  <c r="BD145" i="63" s="1"/>
  <c r="BD146" i="63" s="1"/>
  <c r="BD147" i="63" s="1"/>
  <c r="BD148" i="63" s="1"/>
  <c r="BD149" i="63" s="1"/>
  <c r="BD150" i="63" s="1"/>
  <c r="BD151" i="63" s="1"/>
  <c r="BD152" i="63" s="1"/>
  <c r="BD153" i="63" s="1"/>
  <c r="BD154" i="63" s="1"/>
  <c r="BD155" i="63" s="1"/>
  <c r="BD156" i="63" s="1"/>
  <c r="BD157" i="63" s="1"/>
  <c r="BD158" i="63" s="1"/>
  <c r="BD159" i="63" s="1"/>
  <c r="BD160" i="63" s="1"/>
  <c r="BD161" i="63" s="1"/>
  <c r="BD162" i="63" s="1"/>
  <c r="BD163" i="63" s="1"/>
  <c r="BD164" i="63" s="1"/>
  <c r="BD165" i="63" s="1"/>
  <c r="BD166" i="63" s="1"/>
  <c r="BD167" i="63" s="1"/>
  <c r="BD168" i="63" s="1"/>
  <c r="BD169" i="63" s="1"/>
  <c r="BD170" i="63" s="1"/>
  <c r="BD171" i="63" s="1"/>
  <c r="BD172" i="63" s="1"/>
  <c r="BD173" i="63" s="1"/>
  <c r="BD174" i="63" s="1"/>
  <c r="BD175" i="63" s="1"/>
  <c r="BD176" i="63" s="1"/>
  <c r="BD177" i="63" s="1"/>
  <c r="BD178" i="63" s="1"/>
  <c r="BD179" i="63" s="1"/>
  <c r="BD180" i="63" s="1"/>
  <c r="BD181" i="63" s="1"/>
  <c r="BD182" i="63" s="1"/>
  <c r="BD183" i="63" s="1"/>
  <c r="BD184" i="63" s="1"/>
  <c r="BD185" i="63" s="1"/>
  <c r="BD186" i="63" s="1"/>
  <c r="BD187" i="63" s="1"/>
  <c r="BD188" i="63" s="1"/>
  <c r="BD189" i="63" s="1"/>
  <c r="BD190" i="63" s="1"/>
  <c r="BD191" i="63" s="1"/>
  <c r="BD192" i="63" s="1"/>
  <c r="BD193" i="63" s="1"/>
  <c r="BD194" i="63" s="1"/>
  <c r="BD195" i="63" s="1"/>
  <c r="BD196" i="63" s="1"/>
  <c r="BD197" i="63" s="1"/>
  <c r="BD198" i="63" s="1"/>
  <c r="BD199" i="63" s="1"/>
  <c r="BD200" i="63" s="1"/>
  <c r="BD201" i="63" s="1"/>
  <c r="BD202" i="63" s="1"/>
  <c r="BD203" i="63" s="1"/>
  <c r="BD204" i="63" s="1"/>
  <c r="BD205" i="63" s="1"/>
  <c r="BD206" i="63" s="1"/>
  <c r="BD207" i="63" s="1"/>
  <c r="BD208" i="63" s="1"/>
  <c r="BD209" i="63" s="1"/>
  <c r="BD210" i="63" s="1"/>
  <c r="BD211" i="63" s="1"/>
  <c r="BD212" i="63" s="1"/>
  <c r="BD213" i="63" s="1"/>
  <c r="BD214" i="63" s="1"/>
  <c r="BD215" i="63" s="1"/>
  <c r="BD216" i="63" s="1"/>
  <c r="BD217" i="63" s="1"/>
  <c r="BD218" i="63" s="1"/>
  <c r="BD219" i="63" s="1"/>
  <c r="BD220" i="63" s="1"/>
  <c r="BD221" i="63" s="1"/>
  <c r="BD222" i="63" s="1"/>
  <c r="BD223" i="63" s="1"/>
  <c r="BD224" i="63" s="1"/>
  <c r="BD225" i="63" s="1"/>
  <c r="BD226" i="63" s="1"/>
  <c r="BD227" i="63" s="1"/>
  <c r="BD228" i="63" s="1"/>
  <c r="BD229" i="63" s="1"/>
  <c r="BD230" i="63" s="1"/>
  <c r="BD231" i="63" s="1"/>
  <c r="BD232" i="63" s="1"/>
  <c r="BD233" i="63" s="1"/>
  <c r="BD234" i="63" s="1"/>
  <c r="BD235" i="63" s="1"/>
  <c r="BD236" i="63" s="1"/>
  <c r="BD237" i="63" s="1"/>
  <c r="BD238" i="63" s="1"/>
  <c r="BD239" i="63" s="1"/>
  <c r="BD240" i="63" s="1"/>
  <c r="BD241" i="63" s="1"/>
  <c r="BD242" i="63" s="1"/>
  <c r="BD243" i="63" s="1"/>
  <c r="BD244" i="63" s="1"/>
  <c r="BD245" i="63" s="1"/>
  <c r="BD246" i="63" s="1"/>
  <c r="BD247" i="63" s="1"/>
  <c r="BD248" i="63" s="1"/>
  <c r="BD249" i="63" s="1"/>
  <c r="BD250" i="63" s="1"/>
  <c r="BD251" i="63" s="1"/>
  <c r="BD252" i="63" s="1"/>
  <c r="BD253" i="63" s="1"/>
  <c r="BD254" i="63" s="1"/>
  <c r="BD255" i="63" s="1"/>
  <c r="BD256" i="63" s="1"/>
  <c r="BD257" i="63" s="1"/>
  <c r="BD258" i="63" s="1"/>
  <c r="BD259" i="63" s="1"/>
  <c r="BD260" i="63" s="1"/>
  <c r="BD261" i="63" s="1"/>
  <c r="BD262" i="63" s="1"/>
  <c r="BD263" i="63" s="1"/>
  <c r="BD264" i="63" s="1"/>
  <c r="BD265" i="63" s="1"/>
  <c r="BD266" i="63" s="1"/>
  <c r="BD267" i="63" s="1"/>
  <c r="BD268" i="63" s="1"/>
  <c r="BD269" i="63" s="1"/>
  <c r="BD270" i="63" s="1"/>
  <c r="BD271" i="63" s="1"/>
  <c r="BD272" i="63" s="1"/>
  <c r="BD273" i="63" s="1"/>
  <c r="BD274" i="63" s="1"/>
  <c r="BD275" i="63" s="1"/>
  <c r="BD276" i="63" s="1"/>
  <c r="BD277" i="63" s="1"/>
  <c r="BD278" i="63" s="1"/>
  <c r="BD279" i="63" s="1"/>
  <c r="BD280" i="63" s="1"/>
  <c r="BD281" i="63" s="1"/>
  <c r="BD282" i="63" s="1"/>
  <c r="BD283" i="63" s="1"/>
  <c r="BD284" i="63" s="1"/>
  <c r="BD285" i="63" s="1"/>
  <c r="BD286" i="63" s="1"/>
  <c r="BD287" i="63" s="1"/>
  <c r="BD288" i="63" s="1"/>
  <c r="BD289" i="63" s="1"/>
  <c r="BD290" i="63" s="1"/>
  <c r="BD291" i="63" s="1"/>
  <c r="BD292" i="63" s="1"/>
  <c r="BD293" i="63" s="1"/>
  <c r="BD294" i="63" s="1"/>
  <c r="BD295" i="63" s="1"/>
  <c r="BD296" i="63" s="1"/>
  <c r="BD297" i="63" s="1"/>
  <c r="BD298" i="63" s="1"/>
  <c r="BD299" i="63" s="1"/>
  <c r="BD300" i="63" s="1"/>
  <c r="BD301" i="63" s="1"/>
  <c r="BD302" i="63" s="1"/>
  <c r="BD303" i="63" s="1"/>
  <c r="BD304" i="63" s="1"/>
  <c r="BD305" i="63" s="1"/>
  <c r="BD306" i="63" s="1"/>
  <c r="BD307" i="63" s="1"/>
  <c r="BD308" i="63" s="1"/>
  <c r="BD7" i="63"/>
  <c r="BD6" i="63"/>
  <c r="BD5" i="63"/>
  <c r="BD4" i="63"/>
  <c r="BC8" i="63"/>
  <c r="BC9" i="63" s="1"/>
  <c r="BC10" i="63" s="1"/>
  <c r="BC11" i="63" s="1"/>
  <c r="BC12" i="63" s="1"/>
  <c r="BC13" i="63" s="1"/>
  <c r="BC14" i="63" s="1"/>
  <c r="BC15" i="63" s="1"/>
  <c r="BC16" i="63" s="1"/>
  <c r="BC17" i="63" s="1"/>
  <c r="BC18" i="63" s="1"/>
  <c r="BC19" i="63" s="1"/>
  <c r="BC20" i="63" s="1"/>
  <c r="BC21" i="63" s="1"/>
  <c r="BC22" i="63" s="1"/>
  <c r="BC23" i="63" s="1"/>
  <c r="BC24" i="63" s="1"/>
  <c r="BC25" i="63" s="1"/>
  <c r="BC26" i="63" s="1"/>
  <c r="BC27" i="63" s="1"/>
  <c r="BC28" i="63" s="1"/>
  <c r="BC29" i="63" s="1"/>
  <c r="BC30" i="63" s="1"/>
  <c r="BC31" i="63" s="1"/>
  <c r="BC32" i="63" s="1"/>
  <c r="BC33" i="63" s="1"/>
  <c r="BC34" i="63" s="1"/>
  <c r="BC35" i="63" s="1"/>
  <c r="BC36" i="63" s="1"/>
  <c r="BC37" i="63" s="1"/>
  <c r="BC38" i="63" s="1"/>
  <c r="BC39" i="63" s="1"/>
  <c r="BC40" i="63" s="1"/>
  <c r="BC41" i="63" s="1"/>
  <c r="BC42" i="63" s="1"/>
  <c r="BC43" i="63" s="1"/>
  <c r="BC44" i="63" s="1"/>
  <c r="BC45" i="63" s="1"/>
  <c r="BC46" i="63" s="1"/>
  <c r="BC47" i="63" s="1"/>
  <c r="BC48" i="63" s="1"/>
  <c r="BC49" i="63" s="1"/>
  <c r="BC50" i="63" s="1"/>
  <c r="BC51" i="63" s="1"/>
  <c r="BC52" i="63" s="1"/>
  <c r="BC53" i="63" s="1"/>
  <c r="BC54" i="63" s="1"/>
  <c r="BC55" i="63" s="1"/>
  <c r="BC56" i="63" s="1"/>
  <c r="BC57" i="63" s="1"/>
  <c r="BC58" i="63" s="1"/>
  <c r="BC59" i="63" s="1"/>
  <c r="BC60" i="63" s="1"/>
  <c r="BC61" i="63" s="1"/>
  <c r="BC62" i="63" s="1"/>
  <c r="BC63" i="63" s="1"/>
  <c r="BC64" i="63" s="1"/>
  <c r="BC65" i="63" s="1"/>
  <c r="BC66" i="63" s="1"/>
  <c r="BC67" i="63" s="1"/>
  <c r="BC68" i="63" s="1"/>
  <c r="BC69" i="63" s="1"/>
  <c r="BC70" i="63" s="1"/>
  <c r="BC71" i="63" s="1"/>
  <c r="BC72" i="63" s="1"/>
  <c r="BC73" i="63" s="1"/>
  <c r="BC74" i="63" s="1"/>
  <c r="BC75" i="63" s="1"/>
  <c r="BC76" i="63" s="1"/>
  <c r="BC77" i="63" s="1"/>
  <c r="BC78" i="63" s="1"/>
  <c r="BC79" i="63" s="1"/>
  <c r="BC80" i="63" s="1"/>
  <c r="BC81" i="63" s="1"/>
  <c r="BC82" i="63" s="1"/>
  <c r="BC83" i="63" s="1"/>
  <c r="BC84" i="63" s="1"/>
  <c r="BC85" i="63" s="1"/>
  <c r="BC86" i="63" s="1"/>
  <c r="BC87" i="63" s="1"/>
  <c r="BC88" i="63" s="1"/>
  <c r="BC89" i="63" s="1"/>
  <c r="BC90" i="63" s="1"/>
  <c r="BC91" i="63" s="1"/>
  <c r="BC92" i="63" s="1"/>
  <c r="BC93" i="63" s="1"/>
  <c r="BC94" i="63" s="1"/>
  <c r="BC95" i="63" s="1"/>
  <c r="BC96" i="63" s="1"/>
  <c r="BC97" i="63" s="1"/>
  <c r="BC98" i="63" s="1"/>
  <c r="BC99" i="63" s="1"/>
  <c r="BC100" i="63" s="1"/>
  <c r="BC101" i="63" s="1"/>
  <c r="BC102" i="63" s="1"/>
  <c r="BC103" i="63" s="1"/>
  <c r="BC104" i="63" s="1"/>
  <c r="BC105" i="63" s="1"/>
  <c r="BC106" i="63" s="1"/>
  <c r="BC107" i="63" s="1"/>
  <c r="BC108" i="63" s="1"/>
  <c r="BC109" i="63" s="1"/>
  <c r="BC110" i="63" s="1"/>
  <c r="BC111" i="63" s="1"/>
  <c r="BC112" i="63" s="1"/>
  <c r="BC113" i="63" s="1"/>
  <c r="BC114" i="63" s="1"/>
  <c r="BC115" i="63" s="1"/>
  <c r="BC116" i="63" s="1"/>
  <c r="BC117" i="63" s="1"/>
  <c r="BC118" i="63" s="1"/>
  <c r="BC119" i="63" s="1"/>
  <c r="BC120" i="63" s="1"/>
  <c r="BC121" i="63" s="1"/>
  <c r="BC122" i="63" s="1"/>
  <c r="BC123" i="63" s="1"/>
  <c r="BC124" i="63" s="1"/>
  <c r="BC125" i="63" s="1"/>
  <c r="BC126" i="63" s="1"/>
  <c r="BC127" i="63" s="1"/>
  <c r="BC128" i="63" s="1"/>
  <c r="BC129" i="63" s="1"/>
  <c r="BC130" i="63" s="1"/>
  <c r="BC131" i="63" s="1"/>
  <c r="BC132" i="63" s="1"/>
  <c r="BC133" i="63" s="1"/>
  <c r="BC134" i="63" s="1"/>
  <c r="BC135" i="63" s="1"/>
  <c r="BC136" i="63" s="1"/>
  <c r="BC137" i="63" s="1"/>
  <c r="BC138" i="63" s="1"/>
  <c r="BC139" i="63" s="1"/>
  <c r="BC140" i="63" s="1"/>
  <c r="BC141" i="63" s="1"/>
  <c r="BC142" i="63" s="1"/>
  <c r="BC143" i="63" s="1"/>
  <c r="BC144" i="63" s="1"/>
  <c r="BC145" i="63" s="1"/>
  <c r="BC146" i="63" s="1"/>
  <c r="BC147" i="63" s="1"/>
  <c r="BC148" i="63" s="1"/>
  <c r="BC149" i="63" s="1"/>
  <c r="BC150" i="63" s="1"/>
  <c r="BC151" i="63" s="1"/>
  <c r="BC152" i="63" s="1"/>
  <c r="BC153" i="63" s="1"/>
  <c r="BC154" i="63" s="1"/>
  <c r="BC155" i="63" s="1"/>
  <c r="BC156" i="63" s="1"/>
  <c r="BC157" i="63" s="1"/>
  <c r="BC158" i="63" s="1"/>
  <c r="BC159" i="63" s="1"/>
  <c r="BC160" i="63" s="1"/>
  <c r="BC161" i="63" s="1"/>
  <c r="BC162" i="63" s="1"/>
  <c r="BC163" i="63" s="1"/>
  <c r="BC164" i="63" s="1"/>
  <c r="BC165" i="63" s="1"/>
  <c r="BC166" i="63" s="1"/>
  <c r="BC167" i="63" s="1"/>
  <c r="BC168" i="63" s="1"/>
  <c r="BC169" i="63" s="1"/>
  <c r="BC170" i="63" s="1"/>
  <c r="BC171" i="63" s="1"/>
  <c r="BC172" i="63" s="1"/>
  <c r="BC173" i="63" s="1"/>
  <c r="BC174" i="63" s="1"/>
  <c r="BC175" i="63" s="1"/>
  <c r="BC176" i="63" s="1"/>
  <c r="BC177" i="63" s="1"/>
  <c r="BC178" i="63" s="1"/>
  <c r="BC179" i="63" s="1"/>
  <c r="BC180" i="63" s="1"/>
  <c r="BC181" i="63" s="1"/>
  <c r="BC182" i="63" s="1"/>
  <c r="BC183" i="63" s="1"/>
  <c r="BC184" i="63" s="1"/>
  <c r="BC185" i="63" s="1"/>
  <c r="BC186" i="63" s="1"/>
  <c r="BC187" i="63" s="1"/>
  <c r="BC188" i="63" s="1"/>
  <c r="BC189" i="63" s="1"/>
  <c r="BC190" i="63" s="1"/>
  <c r="BC191" i="63" s="1"/>
  <c r="BC192" i="63" s="1"/>
  <c r="BC193" i="63" s="1"/>
  <c r="BC194" i="63" s="1"/>
  <c r="BC195" i="63" s="1"/>
  <c r="BC196" i="63" s="1"/>
  <c r="BC197" i="63" s="1"/>
  <c r="BC198" i="63" s="1"/>
  <c r="BC199" i="63" s="1"/>
  <c r="BC200" i="63" s="1"/>
  <c r="BC201" i="63" s="1"/>
  <c r="BC202" i="63" s="1"/>
  <c r="BC203" i="63" s="1"/>
  <c r="BC204" i="63" s="1"/>
  <c r="BC205" i="63" s="1"/>
  <c r="BC206" i="63" s="1"/>
  <c r="BC207" i="63" s="1"/>
  <c r="BC208" i="63" s="1"/>
  <c r="BC209" i="63" s="1"/>
  <c r="BC210" i="63" s="1"/>
  <c r="BC211" i="63" s="1"/>
  <c r="BC212" i="63" s="1"/>
  <c r="BC213" i="63" s="1"/>
  <c r="BC214" i="63" s="1"/>
  <c r="BC215" i="63" s="1"/>
  <c r="BC216" i="63" s="1"/>
  <c r="BC217" i="63" s="1"/>
  <c r="BC218" i="63" s="1"/>
  <c r="BC219" i="63" s="1"/>
  <c r="BC220" i="63" s="1"/>
  <c r="BC221" i="63" s="1"/>
  <c r="BC222" i="63" s="1"/>
  <c r="BC223" i="63" s="1"/>
  <c r="BC224" i="63" s="1"/>
  <c r="BC225" i="63" s="1"/>
  <c r="BC226" i="63" s="1"/>
  <c r="BC227" i="63" s="1"/>
  <c r="BC228" i="63" s="1"/>
  <c r="BC229" i="63" s="1"/>
  <c r="BC230" i="63" s="1"/>
  <c r="BC231" i="63" s="1"/>
  <c r="BC232" i="63" s="1"/>
  <c r="BC233" i="63" s="1"/>
  <c r="BC234" i="63" s="1"/>
  <c r="BC235" i="63" s="1"/>
  <c r="BC236" i="63" s="1"/>
  <c r="BC237" i="63" s="1"/>
  <c r="BC238" i="63" s="1"/>
  <c r="BC239" i="63" s="1"/>
  <c r="BC240" i="63" s="1"/>
  <c r="BC241" i="63" s="1"/>
  <c r="BC242" i="63" s="1"/>
  <c r="BC243" i="63" s="1"/>
  <c r="BC244" i="63" s="1"/>
  <c r="BC245" i="63" s="1"/>
  <c r="BC246" i="63" s="1"/>
  <c r="BC247" i="63" s="1"/>
  <c r="BC248" i="63" s="1"/>
  <c r="BC249" i="63" s="1"/>
  <c r="BC250" i="63" s="1"/>
  <c r="BC251" i="63" s="1"/>
  <c r="BC252" i="63" s="1"/>
  <c r="BC253" i="63" s="1"/>
  <c r="BC254" i="63" s="1"/>
  <c r="BC255" i="63" s="1"/>
  <c r="BC256" i="63" s="1"/>
  <c r="BC257" i="63" s="1"/>
  <c r="BC258" i="63" s="1"/>
  <c r="BC259" i="63" s="1"/>
  <c r="BC260" i="63" s="1"/>
  <c r="BC261" i="63" s="1"/>
  <c r="BC262" i="63" s="1"/>
  <c r="BC263" i="63" s="1"/>
  <c r="BC264" i="63" s="1"/>
  <c r="BC265" i="63" s="1"/>
  <c r="BC266" i="63" s="1"/>
  <c r="BC267" i="63" s="1"/>
  <c r="BC268" i="63" s="1"/>
  <c r="BC269" i="63" s="1"/>
  <c r="BC270" i="63" s="1"/>
  <c r="BC271" i="63" s="1"/>
  <c r="BC272" i="63" s="1"/>
  <c r="BC273" i="63" s="1"/>
  <c r="BC274" i="63" s="1"/>
  <c r="BC275" i="63" s="1"/>
  <c r="BC276" i="63" s="1"/>
  <c r="BC277" i="63" s="1"/>
  <c r="BC278" i="63" s="1"/>
  <c r="BC279" i="63" s="1"/>
  <c r="BC280" i="63" s="1"/>
  <c r="BC281" i="63" s="1"/>
  <c r="BC282" i="63" s="1"/>
  <c r="BC283" i="63" s="1"/>
  <c r="BC284" i="63" s="1"/>
  <c r="BC285" i="63" s="1"/>
  <c r="BC286" i="63" s="1"/>
  <c r="BC287" i="63" s="1"/>
  <c r="BC288" i="63" s="1"/>
  <c r="BC289" i="63" s="1"/>
  <c r="BC290" i="63" s="1"/>
  <c r="BC291" i="63" s="1"/>
  <c r="BC292" i="63" s="1"/>
  <c r="BC293" i="63" s="1"/>
  <c r="BC294" i="63" s="1"/>
  <c r="BC295" i="63" s="1"/>
  <c r="BC296" i="63" s="1"/>
  <c r="BC297" i="63" s="1"/>
  <c r="BC298" i="63" s="1"/>
  <c r="BC299" i="63" s="1"/>
  <c r="BC300" i="63" s="1"/>
  <c r="BC301" i="63" s="1"/>
  <c r="BC302" i="63" s="1"/>
  <c r="BC303" i="63" s="1"/>
  <c r="BC304" i="63" s="1"/>
  <c r="BC305" i="63" s="1"/>
  <c r="BC306" i="63" s="1"/>
  <c r="BC307" i="63" s="1"/>
  <c r="BC308" i="63" s="1"/>
  <c r="BC7" i="63"/>
  <c r="BC6" i="63"/>
  <c r="BC5" i="63"/>
  <c r="BC4" i="63"/>
  <c r="BB8" i="63"/>
  <c r="BB9" i="63" s="1"/>
  <c r="BB10" i="63" s="1"/>
  <c r="BB11" i="63" s="1"/>
  <c r="BB12" i="63" s="1"/>
  <c r="BB13" i="63" s="1"/>
  <c r="BB14" i="63" s="1"/>
  <c r="BB15" i="63" s="1"/>
  <c r="BB16" i="63" s="1"/>
  <c r="BB17" i="63" s="1"/>
  <c r="BB18" i="63" s="1"/>
  <c r="BB19" i="63" s="1"/>
  <c r="BB20" i="63" s="1"/>
  <c r="BB21" i="63" s="1"/>
  <c r="BB22" i="63" s="1"/>
  <c r="BB23" i="63" s="1"/>
  <c r="BB24" i="63" s="1"/>
  <c r="BB25" i="63" s="1"/>
  <c r="BB26" i="63" s="1"/>
  <c r="BB27" i="63" s="1"/>
  <c r="BB28" i="63" s="1"/>
  <c r="BB29" i="63" s="1"/>
  <c r="BB30" i="63" s="1"/>
  <c r="BB31" i="63" s="1"/>
  <c r="BB32" i="63" s="1"/>
  <c r="BB33" i="63" s="1"/>
  <c r="BB34" i="63" s="1"/>
  <c r="BB35" i="63" s="1"/>
  <c r="BB36" i="63" s="1"/>
  <c r="BB37" i="63" s="1"/>
  <c r="BB38" i="63" s="1"/>
  <c r="BB39" i="63" s="1"/>
  <c r="BB40" i="63" s="1"/>
  <c r="BB41" i="63" s="1"/>
  <c r="BB42" i="63" s="1"/>
  <c r="BB43" i="63" s="1"/>
  <c r="BB44" i="63" s="1"/>
  <c r="BB45" i="63" s="1"/>
  <c r="BB46" i="63" s="1"/>
  <c r="BB47" i="63" s="1"/>
  <c r="BB48" i="63" s="1"/>
  <c r="BB49" i="63" s="1"/>
  <c r="BB50" i="63" s="1"/>
  <c r="BB51" i="63" s="1"/>
  <c r="BB52" i="63" s="1"/>
  <c r="BB53" i="63" s="1"/>
  <c r="BB54" i="63" s="1"/>
  <c r="BB55" i="63" s="1"/>
  <c r="BB56" i="63" s="1"/>
  <c r="BB57" i="63" s="1"/>
  <c r="BB58" i="63" s="1"/>
  <c r="BB59" i="63" s="1"/>
  <c r="BB60" i="63" s="1"/>
  <c r="BB61" i="63" s="1"/>
  <c r="BB62" i="63" s="1"/>
  <c r="BB63" i="63" s="1"/>
  <c r="BB64" i="63" s="1"/>
  <c r="BB65" i="63" s="1"/>
  <c r="BB66" i="63" s="1"/>
  <c r="BB67" i="63" s="1"/>
  <c r="BB68" i="63" s="1"/>
  <c r="BB69" i="63" s="1"/>
  <c r="BB70" i="63" s="1"/>
  <c r="BB71" i="63" s="1"/>
  <c r="BB72" i="63" s="1"/>
  <c r="BB73" i="63" s="1"/>
  <c r="BB74" i="63" s="1"/>
  <c r="BB75" i="63" s="1"/>
  <c r="BB76" i="63" s="1"/>
  <c r="BB77" i="63" s="1"/>
  <c r="BB78" i="63" s="1"/>
  <c r="BB79" i="63" s="1"/>
  <c r="BB80" i="63" s="1"/>
  <c r="BB81" i="63" s="1"/>
  <c r="BB82" i="63" s="1"/>
  <c r="BB83" i="63" s="1"/>
  <c r="BB84" i="63" s="1"/>
  <c r="BB85" i="63" s="1"/>
  <c r="BB86" i="63" s="1"/>
  <c r="BB87" i="63" s="1"/>
  <c r="BB88" i="63" s="1"/>
  <c r="BB89" i="63" s="1"/>
  <c r="BB90" i="63" s="1"/>
  <c r="BB91" i="63" s="1"/>
  <c r="BB92" i="63" s="1"/>
  <c r="BB93" i="63" s="1"/>
  <c r="BB94" i="63" s="1"/>
  <c r="BB95" i="63" s="1"/>
  <c r="BB96" i="63" s="1"/>
  <c r="BB97" i="63" s="1"/>
  <c r="BB98" i="63" s="1"/>
  <c r="BB99" i="63" s="1"/>
  <c r="BB100" i="63" s="1"/>
  <c r="BB101" i="63" s="1"/>
  <c r="BB102" i="63" s="1"/>
  <c r="BB103" i="63" s="1"/>
  <c r="BB104" i="63" s="1"/>
  <c r="BB105" i="63" s="1"/>
  <c r="BB106" i="63" s="1"/>
  <c r="BB107" i="63" s="1"/>
  <c r="BB108" i="63" s="1"/>
  <c r="BB109" i="63" s="1"/>
  <c r="BB110" i="63" s="1"/>
  <c r="BB111" i="63" s="1"/>
  <c r="BB112" i="63" s="1"/>
  <c r="BB113" i="63" s="1"/>
  <c r="BB114" i="63" s="1"/>
  <c r="BB115" i="63" s="1"/>
  <c r="BB116" i="63" s="1"/>
  <c r="BB117" i="63" s="1"/>
  <c r="BB118" i="63" s="1"/>
  <c r="BB119" i="63" s="1"/>
  <c r="BB120" i="63" s="1"/>
  <c r="BB121" i="63" s="1"/>
  <c r="BB122" i="63" s="1"/>
  <c r="BB123" i="63" s="1"/>
  <c r="BB124" i="63" s="1"/>
  <c r="BB125" i="63" s="1"/>
  <c r="BB126" i="63" s="1"/>
  <c r="BB127" i="63" s="1"/>
  <c r="BB128" i="63" s="1"/>
  <c r="BB129" i="63" s="1"/>
  <c r="BB130" i="63" s="1"/>
  <c r="BB131" i="63" s="1"/>
  <c r="BB132" i="63" s="1"/>
  <c r="BB133" i="63" s="1"/>
  <c r="BB134" i="63" s="1"/>
  <c r="BB135" i="63" s="1"/>
  <c r="BB136" i="63" s="1"/>
  <c r="BB137" i="63" s="1"/>
  <c r="BB138" i="63" s="1"/>
  <c r="BB139" i="63" s="1"/>
  <c r="BB140" i="63" s="1"/>
  <c r="BB141" i="63" s="1"/>
  <c r="BB142" i="63" s="1"/>
  <c r="BB143" i="63" s="1"/>
  <c r="BB144" i="63" s="1"/>
  <c r="BB145" i="63" s="1"/>
  <c r="BB146" i="63" s="1"/>
  <c r="BB147" i="63" s="1"/>
  <c r="BB148" i="63" s="1"/>
  <c r="BB149" i="63" s="1"/>
  <c r="BB150" i="63" s="1"/>
  <c r="BB151" i="63" s="1"/>
  <c r="BB152" i="63" s="1"/>
  <c r="BB153" i="63" s="1"/>
  <c r="BB154" i="63" s="1"/>
  <c r="BB155" i="63" s="1"/>
  <c r="BB156" i="63" s="1"/>
  <c r="BB157" i="63" s="1"/>
  <c r="BB158" i="63" s="1"/>
  <c r="BB159" i="63" s="1"/>
  <c r="BB160" i="63" s="1"/>
  <c r="BB161" i="63" s="1"/>
  <c r="BB162" i="63" s="1"/>
  <c r="BB163" i="63" s="1"/>
  <c r="BB164" i="63" s="1"/>
  <c r="BB165" i="63" s="1"/>
  <c r="BB166" i="63" s="1"/>
  <c r="BB167" i="63" s="1"/>
  <c r="BB168" i="63" s="1"/>
  <c r="BB169" i="63" s="1"/>
  <c r="BB170" i="63" s="1"/>
  <c r="BB171" i="63" s="1"/>
  <c r="BB172" i="63" s="1"/>
  <c r="BB173" i="63" s="1"/>
  <c r="BB174" i="63" s="1"/>
  <c r="BB175" i="63" s="1"/>
  <c r="BB176" i="63" s="1"/>
  <c r="BB177" i="63" s="1"/>
  <c r="BB178" i="63" s="1"/>
  <c r="BB179" i="63" s="1"/>
  <c r="BB180" i="63" s="1"/>
  <c r="BB181" i="63" s="1"/>
  <c r="BB182" i="63" s="1"/>
  <c r="BB183" i="63" s="1"/>
  <c r="BB184" i="63" s="1"/>
  <c r="BB185" i="63" s="1"/>
  <c r="BB186" i="63" s="1"/>
  <c r="BB187" i="63" s="1"/>
  <c r="BB188" i="63" s="1"/>
  <c r="BB189" i="63" s="1"/>
  <c r="BB190" i="63" s="1"/>
  <c r="BB191" i="63" s="1"/>
  <c r="BB192" i="63" s="1"/>
  <c r="BB193" i="63" s="1"/>
  <c r="BB194" i="63" s="1"/>
  <c r="BB195" i="63" s="1"/>
  <c r="BB196" i="63" s="1"/>
  <c r="BB197" i="63" s="1"/>
  <c r="BB198" i="63" s="1"/>
  <c r="BB199" i="63" s="1"/>
  <c r="BB200" i="63" s="1"/>
  <c r="BB201" i="63" s="1"/>
  <c r="BB202" i="63" s="1"/>
  <c r="BB203" i="63" s="1"/>
  <c r="BB204" i="63" s="1"/>
  <c r="BB205" i="63" s="1"/>
  <c r="BB206" i="63" s="1"/>
  <c r="BB207" i="63" s="1"/>
  <c r="BB208" i="63" s="1"/>
  <c r="BB209" i="63" s="1"/>
  <c r="BB210" i="63" s="1"/>
  <c r="BB211" i="63" s="1"/>
  <c r="BB212" i="63" s="1"/>
  <c r="BB213" i="63" s="1"/>
  <c r="BB214" i="63" s="1"/>
  <c r="BB215" i="63" s="1"/>
  <c r="BB216" i="63" s="1"/>
  <c r="BB217" i="63" s="1"/>
  <c r="BB218" i="63" s="1"/>
  <c r="BB219" i="63" s="1"/>
  <c r="BB220" i="63" s="1"/>
  <c r="BB221" i="63" s="1"/>
  <c r="BB222" i="63" s="1"/>
  <c r="BB223" i="63" s="1"/>
  <c r="BB224" i="63" s="1"/>
  <c r="BB225" i="63" s="1"/>
  <c r="BB226" i="63" s="1"/>
  <c r="BB227" i="63" s="1"/>
  <c r="BB228" i="63" s="1"/>
  <c r="BB229" i="63" s="1"/>
  <c r="BB230" i="63" s="1"/>
  <c r="BB231" i="63" s="1"/>
  <c r="BB232" i="63" s="1"/>
  <c r="BB233" i="63" s="1"/>
  <c r="BB234" i="63" s="1"/>
  <c r="BB235" i="63" s="1"/>
  <c r="BB236" i="63" s="1"/>
  <c r="BB237" i="63" s="1"/>
  <c r="BB238" i="63" s="1"/>
  <c r="BB239" i="63" s="1"/>
  <c r="BB240" i="63" s="1"/>
  <c r="BB241" i="63" s="1"/>
  <c r="BB242" i="63" s="1"/>
  <c r="BB243" i="63" s="1"/>
  <c r="BB244" i="63" s="1"/>
  <c r="BB245" i="63" s="1"/>
  <c r="BB246" i="63" s="1"/>
  <c r="BB247" i="63" s="1"/>
  <c r="BB248" i="63" s="1"/>
  <c r="BB249" i="63" s="1"/>
  <c r="BB250" i="63" s="1"/>
  <c r="BB251" i="63" s="1"/>
  <c r="BB252" i="63" s="1"/>
  <c r="BB253" i="63" s="1"/>
  <c r="BB254" i="63" s="1"/>
  <c r="BB255" i="63" s="1"/>
  <c r="BB256" i="63" s="1"/>
  <c r="BB257" i="63" s="1"/>
  <c r="BB258" i="63" s="1"/>
  <c r="BB259" i="63" s="1"/>
  <c r="BB260" i="63" s="1"/>
  <c r="BB261" i="63" s="1"/>
  <c r="BB262" i="63" s="1"/>
  <c r="BB263" i="63" s="1"/>
  <c r="BB264" i="63" s="1"/>
  <c r="BB265" i="63" s="1"/>
  <c r="BB266" i="63" s="1"/>
  <c r="BB267" i="63" s="1"/>
  <c r="BB268" i="63" s="1"/>
  <c r="BB269" i="63" s="1"/>
  <c r="BB270" i="63" s="1"/>
  <c r="BB271" i="63" s="1"/>
  <c r="BB272" i="63" s="1"/>
  <c r="BB273" i="63" s="1"/>
  <c r="BB274" i="63" s="1"/>
  <c r="BB275" i="63" s="1"/>
  <c r="BB276" i="63" s="1"/>
  <c r="BB277" i="63" s="1"/>
  <c r="BB278" i="63" s="1"/>
  <c r="BB279" i="63" s="1"/>
  <c r="BB280" i="63" s="1"/>
  <c r="BB281" i="63" s="1"/>
  <c r="BB282" i="63" s="1"/>
  <c r="BB283" i="63" s="1"/>
  <c r="BB284" i="63" s="1"/>
  <c r="BB285" i="63" s="1"/>
  <c r="BB286" i="63" s="1"/>
  <c r="BB287" i="63" s="1"/>
  <c r="BB288" i="63" s="1"/>
  <c r="BB289" i="63" s="1"/>
  <c r="BB290" i="63" s="1"/>
  <c r="BB291" i="63" s="1"/>
  <c r="BB292" i="63" s="1"/>
  <c r="BB293" i="63" s="1"/>
  <c r="BB294" i="63" s="1"/>
  <c r="BB295" i="63" s="1"/>
  <c r="BB296" i="63" s="1"/>
  <c r="BB297" i="63" s="1"/>
  <c r="BB298" i="63" s="1"/>
  <c r="BB299" i="63" s="1"/>
  <c r="BB300" i="63" s="1"/>
  <c r="BB301" i="63" s="1"/>
  <c r="BB302" i="63" s="1"/>
  <c r="BB303" i="63" s="1"/>
  <c r="BB304" i="63" s="1"/>
  <c r="BB305" i="63" s="1"/>
  <c r="BB306" i="63" s="1"/>
  <c r="BB307" i="63" s="1"/>
  <c r="BB308" i="63" s="1"/>
  <c r="BB7" i="63"/>
  <c r="BB6" i="63"/>
  <c r="BB5" i="63"/>
  <c r="BB4" i="63"/>
  <c r="BA8" i="63"/>
  <c r="BA7" i="63"/>
  <c r="BA6" i="63"/>
  <c r="BA5" i="63"/>
  <c r="BA4" i="63"/>
  <c r="AZ8" i="63"/>
  <c r="AZ7" i="63"/>
  <c r="AZ6" i="63"/>
  <c r="AZ5" i="63"/>
  <c r="AZ4" i="63"/>
  <c r="AY8" i="63"/>
  <c r="AY7" i="63"/>
  <c r="AY6" i="63"/>
  <c r="AY5" i="63"/>
  <c r="AY4" i="63"/>
  <c r="AX8" i="63"/>
  <c r="AX9" i="63" s="1"/>
  <c r="AX10" i="63" s="1"/>
  <c r="AX11" i="63" s="1"/>
  <c r="AX12" i="63" s="1"/>
  <c r="AX13" i="63" s="1"/>
  <c r="AX14" i="63" s="1"/>
  <c r="AX15" i="63" s="1"/>
  <c r="AX16" i="63" s="1"/>
  <c r="AX17" i="63" s="1"/>
  <c r="AX18" i="63" s="1"/>
  <c r="AX19" i="63" s="1"/>
  <c r="AX20" i="63" s="1"/>
  <c r="AX21" i="63" s="1"/>
  <c r="AX22" i="63" s="1"/>
  <c r="AX23" i="63" s="1"/>
  <c r="AX24" i="63" s="1"/>
  <c r="AX25" i="63" s="1"/>
  <c r="AX26" i="63" s="1"/>
  <c r="AX27" i="63" s="1"/>
  <c r="AX28" i="63" s="1"/>
  <c r="AX29" i="63" s="1"/>
  <c r="AX30" i="63" s="1"/>
  <c r="AX31" i="63" s="1"/>
  <c r="AX32" i="63" s="1"/>
  <c r="AX33" i="63" s="1"/>
  <c r="AX34" i="63" s="1"/>
  <c r="AX35" i="63" s="1"/>
  <c r="AX36" i="63" s="1"/>
  <c r="AX37" i="63" s="1"/>
  <c r="AX38" i="63" s="1"/>
  <c r="AX39" i="63" s="1"/>
  <c r="AX40" i="63" s="1"/>
  <c r="AX41" i="63" s="1"/>
  <c r="AX42" i="63" s="1"/>
  <c r="AX43" i="63" s="1"/>
  <c r="AX44" i="63" s="1"/>
  <c r="AX45" i="63" s="1"/>
  <c r="AX46" i="63" s="1"/>
  <c r="AX47" i="63" s="1"/>
  <c r="AX48" i="63" s="1"/>
  <c r="AX49" i="63" s="1"/>
  <c r="AX50" i="63" s="1"/>
  <c r="AX51" i="63" s="1"/>
  <c r="AX52" i="63" s="1"/>
  <c r="AX53" i="63" s="1"/>
  <c r="AX54" i="63" s="1"/>
  <c r="AX55" i="63" s="1"/>
  <c r="AX56" i="63" s="1"/>
  <c r="AX57" i="63" s="1"/>
  <c r="AX58" i="63" s="1"/>
  <c r="AX59" i="63" s="1"/>
  <c r="AX60" i="63" s="1"/>
  <c r="AX61" i="63" s="1"/>
  <c r="AX62" i="63" s="1"/>
  <c r="AX63" i="63" s="1"/>
  <c r="AX64" i="63" s="1"/>
  <c r="AX65" i="63" s="1"/>
  <c r="AX66" i="63" s="1"/>
  <c r="AX67" i="63" s="1"/>
  <c r="AX68" i="63" s="1"/>
  <c r="AX69" i="63" s="1"/>
  <c r="AX70" i="63" s="1"/>
  <c r="AX71" i="63" s="1"/>
  <c r="AX72" i="63" s="1"/>
  <c r="AX73" i="63" s="1"/>
  <c r="AX74" i="63" s="1"/>
  <c r="AX75" i="63" s="1"/>
  <c r="AX76" i="63" s="1"/>
  <c r="AX77" i="63" s="1"/>
  <c r="AX78" i="63" s="1"/>
  <c r="AX79" i="63" s="1"/>
  <c r="AX80" i="63" s="1"/>
  <c r="AX81" i="63" s="1"/>
  <c r="AX82" i="63" s="1"/>
  <c r="AX83" i="63" s="1"/>
  <c r="AX84" i="63" s="1"/>
  <c r="AX85" i="63" s="1"/>
  <c r="AX86" i="63" s="1"/>
  <c r="AX87" i="63" s="1"/>
  <c r="AX88" i="63" s="1"/>
  <c r="AX89" i="63" s="1"/>
  <c r="AX90" i="63" s="1"/>
  <c r="AX91" i="63" s="1"/>
  <c r="AX92" i="63" s="1"/>
  <c r="AX93" i="63" s="1"/>
  <c r="AX94" i="63" s="1"/>
  <c r="AX95" i="63" s="1"/>
  <c r="AX96" i="63" s="1"/>
  <c r="AX97" i="63" s="1"/>
  <c r="AX98" i="63" s="1"/>
  <c r="AX99" i="63" s="1"/>
  <c r="AX100" i="63" s="1"/>
  <c r="AX101" i="63" s="1"/>
  <c r="AX102" i="63" s="1"/>
  <c r="AX103" i="63" s="1"/>
  <c r="AX104" i="63" s="1"/>
  <c r="AX105" i="63" s="1"/>
  <c r="AX106" i="63" s="1"/>
  <c r="AX107" i="63" s="1"/>
  <c r="AX108" i="63" s="1"/>
  <c r="AX109" i="63" s="1"/>
  <c r="AX110" i="63" s="1"/>
  <c r="AX111" i="63" s="1"/>
  <c r="AX112" i="63" s="1"/>
  <c r="AX113" i="63" s="1"/>
  <c r="AX114" i="63" s="1"/>
  <c r="AX115" i="63" s="1"/>
  <c r="AX116" i="63" s="1"/>
  <c r="AX117" i="63" s="1"/>
  <c r="AX118" i="63" s="1"/>
  <c r="AX119" i="63" s="1"/>
  <c r="AX120" i="63" s="1"/>
  <c r="AX121" i="63" s="1"/>
  <c r="AX122" i="63" s="1"/>
  <c r="AX123" i="63" s="1"/>
  <c r="AX124" i="63" s="1"/>
  <c r="AX125" i="63" s="1"/>
  <c r="AX126" i="63" s="1"/>
  <c r="AX127" i="63" s="1"/>
  <c r="AX128" i="63" s="1"/>
  <c r="AX129" i="63" s="1"/>
  <c r="AX130" i="63" s="1"/>
  <c r="AX131" i="63" s="1"/>
  <c r="AX132" i="63" s="1"/>
  <c r="AX133" i="63" s="1"/>
  <c r="AX134" i="63" s="1"/>
  <c r="AX135" i="63" s="1"/>
  <c r="AX136" i="63" s="1"/>
  <c r="AX137" i="63" s="1"/>
  <c r="AX138" i="63" s="1"/>
  <c r="AX139" i="63" s="1"/>
  <c r="AX140" i="63" s="1"/>
  <c r="AX141" i="63" s="1"/>
  <c r="AX142" i="63" s="1"/>
  <c r="AX143" i="63" s="1"/>
  <c r="AX144" i="63" s="1"/>
  <c r="AX145" i="63" s="1"/>
  <c r="AX146" i="63" s="1"/>
  <c r="AX147" i="63" s="1"/>
  <c r="AX148" i="63" s="1"/>
  <c r="AX149" i="63" s="1"/>
  <c r="AX150" i="63" s="1"/>
  <c r="AX151" i="63" s="1"/>
  <c r="AX152" i="63" s="1"/>
  <c r="AX153" i="63" s="1"/>
  <c r="AX154" i="63" s="1"/>
  <c r="AX155" i="63" s="1"/>
  <c r="AX156" i="63" s="1"/>
  <c r="AX157" i="63" s="1"/>
  <c r="AX158" i="63" s="1"/>
  <c r="AX159" i="63" s="1"/>
  <c r="AX160" i="63" s="1"/>
  <c r="AX161" i="63" s="1"/>
  <c r="AX162" i="63" s="1"/>
  <c r="AX163" i="63" s="1"/>
  <c r="AX164" i="63" s="1"/>
  <c r="AX165" i="63" s="1"/>
  <c r="AX166" i="63" s="1"/>
  <c r="AX167" i="63" s="1"/>
  <c r="AX168" i="63" s="1"/>
  <c r="AX169" i="63" s="1"/>
  <c r="AX170" i="63" s="1"/>
  <c r="AX171" i="63" s="1"/>
  <c r="AX172" i="63" s="1"/>
  <c r="AX173" i="63" s="1"/>
  <c r="AX174" i="63" s="1"/>
  <c r="AX175" i="63" s="1"/>
  <c r="AX176" i="63" s="1"/>
  <c r="AX177" i="63" s="1"/>
  <c r="AX178" i="63" s="1"/>
  <c r="AX179" i="63" s="1"/>
  <c r="AX180" i="63" s="1"/>
  <c r="AX181" i="63" s="1"/>
  <c r="AX182" i="63" s="1"/>
  <c r="AX183" i="63" s="1"/>
  <c r="AX184" i="63" s="1"/>
  <c r="AX185" i="63" s="1"/>
  <c r="AX186" i="63" s="1"/>
  <c r="AX187" i="63" s="1"/>
  <c r="AX188" i="63" s="1"/>
  <c r="AX189" i="63" s="1"/>
  <c r="AX190" i="63" s="1"/>
  <c r="AX191" i="63" s="1"/>
  <c r="AX192" i="63" s="1"/>
  <c r="AX193" i="63" s="1"/>
  <c r="AX194" i="63" s="1"/>
  <c r="AX195" i="63" s="1"/>
  <c r="AX196" i="63" s="1"/>
  <c r="AX197" i="63" s="1"/>
  <c r="AX198" i="63" s="1"/>
  <c r="AX199" i="63" s="1"/>
  <c r="AX200" i="63" s="1"/>
  <c r="AX201" i="63" s="1"/>
  <c r="AX202" i="63" s="1"/>
  <c r="AX203" i="63" s="1"/>
  <c r="AX204" i="63" s="1"/>
  <c r="AX205" i="63" s="1"/>
  <c r="AX206" i="63" s="1"/>
  <c r="AX207" i="63" s="1"/>
  <c r="AX208" i="63" s="1"/>
  <c r="AX209" i="63" s="1"/>
  <c r="AX210" i="63" s="1"/>
  <c r="AX211" i="63" s="1"/>
  <c r="AX212" i="63" s="1"/>
  <c r="AX213" i="63" s="1"/>
  <c r="AX214" i="63" s="1"/>
  <c r="AX215" i="63" s="1"/>
  <c r="AX216" i="63" s="1"/>
  <c r="AX217" i="63" s="1"/>
  <c r="AX218" i="63" s="1"/>
  <c r="AX219" i="63" s="1"/>
  <c r="AX220" i="63" s="1"/>
  <c r="AX221" i="63" s="1"/>
  <c r="AX222" i="63" s="1"/>
  <c r="AX223" i="63" s="1"/>
  <c r="AX224" i="63" s="1"/>
  <c r="AX225" i="63" s="1"/>
  <c r="AX226" i="63" s="1"/>
  <c r="AX227" i="63" s="1"/>
  <c r="AX228" i="63" s="1"/>
  <c r="AX229" i="63" s="1"/>
  <c r="AX230" i="63" s="1"/>
  <c r="AX231" i="63" s="1"/>
  <c r="AX232" i="63" s="1"/>
  <c r="AX233" i="63" s="1"/>
  <c r="AX234" i="63" s="1"/>
  <c r="AX235" i="63" s="1"/>
  <c r="AX236" i="63" s="1"/>
  <c r="AX237" i="63" s="1"/>
  <c r="AX238" i="63" s="1"/>
  <c r="AX239" i="63" s="1"/>
  <c r="AX240" i="63" s="1"/>
  <c r="AX241" i="63" s="1"/>
  <c r="AX242" i="63" s="1"/>
  <c r="AX243" i="63" s="1"/>
  <c r="AX244" i="63" s="1"/>
  <c r="AX245" i="63" s="1"/>
  <c r="AX246" i="63" s="1"/>
  <c r="AX247" i="63" s="1"/>
  <c r="AX248" i="63" s="1"/>
  <c r="AX249" i="63" s="1"/>
  <c r="AX250" i="63" s="1"/>
  <c r="AX251" i="63" s="1"/>
  <c r="AX252" i="63" s="1"/>
  <c r="AX253" i="63" s="1"/>
  <c r="AX254" i="63" s="1"/>
  <c r="AX255" i="63" s="1"/>
  <c r="AX256" i="63" s="1"/>
  <c r="AX257" i="63" s="1"/>
  <c r="AX258" i="63" s="1"/>
  <c r="AX259" i="63" s="1"/>
  <c r="AX260" i="63" s="1"/>
  <c r="AX261" i="63" s="1"/>
  <c r="AX262" i="63" s="1"/>
  <c r="AX263" i="63" s="1"/>
  <c r="AX264" i="63" s="1"/>
  <c r="AX265" i="63" s="1"/>
  <c r="AX266" i="63" s="1"/>
  <c r="AX267" i="63" s="1"/>
  <c r="AX268" i="63" s="1"/>
  <c r="AX269" i="63" s="1"/>
  <c r="AX270" i="63" s="1"/>
  <c r="AX271" i="63" s="1"/>
  <c r="AX272" i="63" s="1"/>
  <c r="AX273" i="63" s="1"/>
  <c r="AX274" i="63" s="1"/>
  <c r="AX275" i="63" s="1"/>
  <c r="AX276" i="63" s="1"/>
  <c r="AX277" i="63" s="1"/>
  <c r="AX278" i="63" s="1"/>
  <c r="AX279" i="63" s="1"/>
  <c r="AX280" i="63" s="1"/>
  <c r="AX281" i="63" s="1"/>
  <c r="AX282" i="63" s="1"/>
  <c r="AX283" i="63" s="1"/>
  <c r="AX284" i="63" s="1"/>
  <c r="AX285" i="63" s="1"/>
  <c r="AX286" i="63" s="1"/>
  <c r="AX287" i="63" s="1"/>
  <c r="AX288" i="63" s="1"/>
  <c r="AX289" i="63" s="1"/>
  <c r="AX290" i="63" s="1"/>
  <c r="AX291" i="63" s="1"/>
  <c r="AX292" i="63" s="1"/>
  <c r="AX293" i="63" s="1"/>
  <c r="AX294" i="63" s="1"/>
  <c r="AX295" i="63" s="1"/>
  <c r="AX296" i="63" s="1"/>
  <c r="AX297" i="63" s="1"/>
  <c r="AX298" i="63" s="1"/>
  <c r="AX299" i="63" s="1"/>
  <c r="AX300" i="63" s="1"/>
  <c r="AX301" i="63" s="1"/>
  <c r="AX302" i="63" s="1"/>
  <c r="AX303" i="63" s="1"/>
  <c r="AX304" i="63" s="1"/>
  <c r="AX305" i="63" s="1"/>
  <c r="AX306" i="63" s="1"/>
  <c r="AX307" i="63" s="1"/>
  <c r="AX308" i="63" s="1"/>
  <c r="AX7" i="63"/>
  <c r="AX6" i="63"/>
  <c r="AX5" i="63"/>
  <c r="AX4" i="63"/>
  <c r="AW8" i="63"/>
  <c r="AW9" i="63" s="1"/>
  <c r="AW10" i="63" s="1"/>
  <c r="AW11" i="63" s="1"/>
  <c r="AW12" i="63" s="1"/>
  <c r="AW13" i="63" s="1"/>
  <c r="AW14" i="63" s="1"/>
  <c r="AW15" i="63" s="1"/>
  <c r="AW16" i="63" s="1"/>
  <c r="AW17" i="63" s="1"/>
  <c r="AW18" i="63" s="1"/>
  <c r="AW19" i="63" s="1"/>
  <c r="AW20" i="63" s="1"/>
  <c r="AW21" i="63" s="1"/>
  <c r="AW22" i="63" s="1"/>
  <c r="AW23" i="63" s="1"/>
  <c r="AW24" i="63" s="1"/>
  <c r="AW25" i="63" s="1"/>
  <c r="AW26" i="63" s="1"/>
  <c r="AW27" i="63" s="1"/>
  <c r="AW28" i="63" s="1"/>
  <c r="AW29" i="63" s="1"/>
  <c r="AW30" i="63" s="1"/>
  <c r="AW31" i="63" s="1"/>
  <c r="AW32" i="63" s="1"/>
  <c r="AW33" i="63" s="1"/>
  <c r="AW34" i="63" s="1"/>
  <c r="AW35" i="63" s="1"/>
  <c r="AW36" i="63" s="1"/>
  <c r="AW37" i="63" s="1"/>
  <c r="AW38" i="63" s="1"/>
  <c r="AW39" i="63" s="1"/>
  <c r="AW40" i="63" s="1"/>
  <c r="AW41" i="63" s="1"/>
  <c r="AW42" i="63" s="1"/>
  <c r="AW43" i="63" s="1"/>
  <c r="AW44" i="63" s="1"/>
  <c r="AW45" i="63" s="1"/>
  <c r="AW46" i="63" s="1"/>
  <c r="AW47" i="63" s="1"/>
  <c r="AW48" i="63" s="1"/>
  <c r="AW49" i="63" s="1"/>
  <c r="AW50" i="63" s="1"/>
  <c r="AW51" i="63" s="1"/>
  <c r="AW52" i="63" s="1"/>
  <c r="AW53" i="63" s="1"/>
  <c r="AW54" i="63" s="1"/>
  <c r="AW55" i="63" s="1"/>
  <c r="AW56" i="63" s="1"/>
  <c r="AW57" i="63" s="1"/>
  <c r="AW58" i="63" s="1"/>
  <c r="AW59" i="63" s="1"/>
  <c r="AW60" i="63" s="1"/>
  <c r="AW61" i="63" s="1"/>
  <c r="AW62" i="63" s="1"/>
  <c r="AW63" i="63" s="1"/>
  <c r="AW64" i="63" s="1"/>
  <c r="AW65" i="63" s="1"/>
  <c r="AW66" i="63" s="1"/>
  <c r="AW67" i="63" s="1"/>
  <c r="AW68" i="63" s="1"/>
  <c r="AW69" i="63" s="1"/>
  <c r="AW70" i="63" s="1"/>
  <c r="AW71" i="63" s="1"/>
  <c r="AW72" i="63" s="1"/>
  <c r="AW73" i="63" s="1"/>
  <c r="AW74" i="63" s="1"/>
  <c r="AW75" i="63" s="1"/>
  <c r="AW76" i="63" s="1"/>
  <c r="AW77" i="63" s="1"/>
  <c r="AW78" i="63" s="1"/>
  <c r="AW79" i="63" s="1"/>
  <c r="AW80" i="63" s="1"/>
  <c r="AW81" i="63" s="1"/>
  <c r="AW82" i="63" s="1"/>
  <c r="AW83" i="63" s="1"/>
  <c r="AW84" i="63" s="1"/>
  <c r="AW85" i="63" s="1"/>
  <c r="AW86" i="63" s="1"/>
  <c r="AW87" i="63" s="1"/>
  <c r="AW88" i="63" s="1"/>
  <c r="AW89" i="63" s="1"/>
  <c r="AW90" i="63" s="1"/>
  <c r="AW91" i="63" s="1"/>
  <c r="AW92" i="63" s="1"/>
  <c r="AW93" i="63" s="1"/>
  <c r="AW94" i="63" s="1"/>
  <c r="AW95" i="63" s="1"/>
  <c r="AW96" i="63" s="1"/>
  <c r="AW97" i="63" s="1"/>
  <c r="AW98" i="63" s="1"/>
  <c r="AW99" i="63" s="1"/>
  <c r="AW100" i="63" s="1"/>
  <c r="AW101" i="63" s="1"/>
  <c r="AW102" i="63" s="1"/>
  <c r="AW103" i="63" s="1"/>
  <c r="AW104" i="63" s="1"/>
  <c r="AW105" i="63" s="1"/>
  <c r="AW106" i="63" s="1"/>
  <c r="AW107" i="63" s="1"/>
  <c r="AW108" i="63" s="1"/>
  <c r="AW109" i="63" s="1"/>
  <c r="AW110" i="63" s="1"/>
  <c r="AW111" i="63" s="1"/>
  <c r="AW112" i="63" s="1"/>
  <c r="AW113" i="63" s="1"/>
  <c r="AW114" i="63" s="1"/>
  <c r="AW115" i="63" s="1"/>
  <c r="AW116" i="63" s="1"/>
  <c r="AW117" i="63" s="1"/>
  <c r="AW118" i="63" s="1"/>
  <c r="AW119" i="63" s="1"/>
  <c r="AW120" i="63" s="1"/>
  <c r="AW121" i="63" s="1"/>
  <c r="AW122" i="63" s="1"/>
  <c r="AW123" i="63" s="1"/>
  <c r="AW124" i="63" s="1"/>
  <c r="AW125" i="63" s="1"/>
  <c r="AW126" i="63" s="1"/>
  <c r="AW127" i="63" s="1"/>
  <c r="AW128" i="63" s="1"/>
  <c r="AW129" i="63" s="1"/>
  <c r="AW130" i="63" s="1"/>
  <c r="AW131" i="63" s="1"/>
  <c r="AW132" i="63" s="1"/>
  <c r="AW133" i="63" s="1"/>
  <c r="AW134" i="63" s="1"/>
  <c r="AW135" i="63" s="1"/>
  <c r="AW136" i="63" s="1"/>
  <c r="AW137" i="63" s="1"/>
  <c r="AW138" i="63" s="1"/>
  <c r="AW139" i="63" s="1"/>
  <c r="AW140" i="63" s="1"/>
  <c r="AW141" i="63" s="1"/>
  <c r="AW142" i="63" s="1"/>
  <c r="AW143" i="63" s="1"/>
  <c r="AW144" i="63" s="1"/>
  <c r="AW145" i="63" s="1"/>
  <c r="AW146" i="63" s="1"/>
  <c r="AW147" i="63" s="1"/>
  <c r="AW148" i="63" s="1"/>
  <c r="AW149" i="63" s="1"/>
  <c r="AW150" i="63" s="1"/>
  <c r="AW151" i="63" s="1"/>
  <c r="AW152" i="63" s="1"/>
  <c r="AW153" i="63" s="1"/>
  <c r="AW154" i="63" s="1"/>
  <c r="AW155" i="63" s="1"/>
  <c r="AW156" i="63" s="1"/>
  <c r="AW157" i="63" s="1"/>
  <c r="AW158" i="63" s="1"/>
  <c r="AW159" i="63" s="1"/>
  <c r="AW160" i="63" s="1"/>
  <c r="AW161" i="63" s="1"/>
  <c r="AW162" i="63" s="1"/>
  <c r="AW163" i="63" s="1"/>
  <c r="AW164" i="63" s="1"/>
  <c r="AW165" i="63" s="1"/>
  <c r="AW166" i="63" s="1"/>
  <c r="AW167" i="63" s="1"/>
  <c r="AW168" i="63" s="1"/>
  <c r="AW169" i="63" s="1"/>
  <c r="AW170" i="63" s="1"/>
  <c r="AW171" i="63" s="1"/>
  <c r="AW172" i="63" s="1"/>
  <c r="AW173" i="63" s="1"/>
  <c r="AW174" i="63" s="1"/>
  <c r="AW175" i="63" s="1"/>
  <c r="AW176" i="63" s="1"/>
  <c r="AW177" i="63" s="1"/>
  <c r="AW178" i="63" s="1"/>
  <c r="AW179" i="63" s="1"/>
  <c r="AW180" i="63" s="1"/>
  <c r="AW181" i="63" s="1"/>
  <c r="AW182" i="63" s="1"/>
  <c r="AW183" i="63" s="1"/>
  <c r="AW184" i="63" s="1"/>
  <c r="AW185" i="63" s="1"/>
  <c r="AW186" i="63" s="1"/>
  <c r="AW187" i="63" s="1"/>
  <c r="AW188" i="63" s="1"/>
  <c r="AW189" i="63" s="1"/>
  <c r="AW190" i="63" s="1"/>
  <c r="AW191" i="63" s="1"/>
  <c r="AW192" i="63" s="1"/>
  <c r="AW193" i="63" s="1"/>
  <c r="AW194" i="63" s="1"/>
  <c r="AW195" i="63" s="1"/>
  <c r="AW196" i="63" s="1"/>
  <c r="AW197" i="63" s="1"/>
  <c r="AW198" i="63" s="1"/>
  <c r="AW199" i="63" s="1"/>
  <c r="AW200" i="63" s="1"/>
  <c r="AW201" i="63" s="1"/>
  <c r="AW202" i="63" s="1"/>
  <c r="AW203" i="63" s="1"/>
  <c r="AW204" i="63" s="1"/>
  <c r="AW205" i="63" s="1"/>
  <c r="AW206" i="63" s="1"/>
  <c r="AW207" i="63" s="1"/>
  <c r="AW208" i="63" s="1"/>
  <c r="AW209" i="63" s="1"/>
  <c r="AW210" i="63" s="1"/>
  <c r="AW211" i="63" s="1"/>
  <c r="AW212" i="63" s="1"/>
  <c r="AW213" i="63" s="1"/>
  <c r="AW214" i="63" s="1"/>
  <c r="AW215" i="63" s="1"/>
  <c r="AW216" i="63" s="1"/>
  <c r="AW217" i="63" s="1"/>
  <c r="AW218" i="63" s="1"/>
  <c r="AW219" i="63" s="1"/>
  <c r="AW220" i="63" s="1"/>
  <c r="AW221" i="63" s="1"/>
  <c r="AW222" i="63" s="1"/>
  <c r="AW223" i="63" s="1"/>
  <c r="AW224" i="63" s="1"/>
  <c r="AW225" i="63" s="1"/>
  <c r="AW226" i="63" s="1"/>
  <c r="AW227" i="63" s="1"/>
  <c r="AW228" i="63" s="1"/>
  <c r="AW229" i="63" s="1"/>
  <c r="AW230" i="63" s="1"/>
  <c r="AW231" i="63" s="1"/>
  <c r="AW232" i="63" s="1"/>
  <c r="AW233" i="63" s="1"/>
  <c r="AW234" i="63" s="1"/>
  <c r="AW235" i="63" s="1"/>
  <c r="AW236" i="63" s="1"/>
  <c r="AW237" i="63" s="1"/>
  <c r="AW238" i="63" s="1"/>
  <c r="AW239" i="63" s="1"/>
  <c r="AW240" i="63" s="1"/>
  <c r="AW241" i="63" s="1"/>
  <c r="AW242" i="63" s="1"/>
  <c r="AW243" i="63" s="1"/>
  <c r="AW244" i="63" s="1"/>
  <c r="AW245" i="63" s="1"/>
  <c r="AW246" i="63" s="1"/>
  <c r="AW247" i="63" s="1"/>
  <c r="AW248" i="63" s="1"/>
  <c r="AW249" i="63" s="1"/>
  <c r="AW250" i="63" s="1"/>
  <c r="AW251" i="63" s="1"/>
  <c r="AW252" i="63" s="1"/>
  <c r="AW253" i="63" s="1"/>
  <c r="AW254" i="63" s="1"/>
  <c r="AW255" i="63" s="1"/>
  <c r="AW256" i="63" s="1"/>
  <c r="AW257" i="63" s="1"/>
  <c r="AW258" i="63" s="1"/>
  <c r="AW259" i="63" s="1"/>
  <c r="AW260" i="63" s="1"/>
  <c r="AW261" i="63" s="1"/>
  <c r="AW262" i="63" s="1"/>
  <c r="AW263" i="63" s="1"/>
  <c r="AW264" i="63" s="1"/>
  <c r="AW265" i="63" s="1"/>
  <c r="AW266" i="63" s="1"/>
  <c r="AW267" i="63" s="1"/>
  <c r="AW268" i="63" s="1"/>
  <c r="AW269" i="63" s="1"/>
  <c r="AW270" i="63" s="1"/>
  <c r="AW271" i="63" s="1"/>
  <c r="AW272" i="63" s="1"/>
  <c r="AW273" i="63" s="1"/>
  <c r="AW274" i="63" s="1"/>
  <c r="AW275" i="63" s="1"/>
  <c r="AW276" i="63" s="1"/>
  <c r="AW277" i="63" s="1"/>
  <c r="AW278" i="63" s="1"/>
  <c r="AW279" i="63" s="1"/>
  <c r="AW280" i="63" s="1"/>
  <c r="AW281" i="63" s="1"/>
  <c r="AW282" i="63" s="1"/>
  <c r="AW283" i="63" s="1"/>
  <c r="AW284" i="63" s="1"/>
  <c r="AW285" i="63" s="1"/>
  <c r="AW286" i="63" s="1"/>
  <c r="AW287" i="63" s="1"/>
  <c r="AW288" i="63" s="1"/>
  <c r="AW289" i="63" s="1"/>
  <c r="AW290" i="63" s="1"/>
  <c r="AW291" i="63" s="1"/>
  <c r="AW292" i="63" s="1"/>
  <c r="AW293" i="63" s="1"/>
  <c r="AW294" i="63" s="1"/>
  <c r="AW295" i="63" s="1"/>
  <c r="AW296" i="63" s="1"/>
  <c r="AW297" i="63" s="1"/>
  <c r="AW298" i="63" s="1"/>
  <c r="AW299" i="63" s="1"/>
  <c r="AW300" i="63" s="1"/>
  <c r="AW301" i="63" s="1"/>
  <c r="AW302" i="63" s="1"/>
  <c r="AW303" i="63" s="1"/>
  <c r="AW304" i="63" s="1"/>
  <c r="AW305" i="63" s="1"/>
  <c r="AW306" i="63" s="1"/>
  <c r="AW307" i="63" s="1"/>
  <c r="AW308" i="63" s="1"/>
  <c r="AW7" i="63"/>
  <c r="AW6" i="63"/>
  <c r="AW5" i="63"/>
  <c r="AW4" i="63"/>
  <c r="AV8" i="63"/>
  <c r="AV7" i="63"/>
  <c r="AV6" i="63"/>
  <c r="AV5" i="63"/>
  <c r="AV4" i="63"/>
  <c r="AU8" i="63"/>
  <c r="AU9" i="63" s="1"/>
  <c r="AU10" i="63" s="1"/>
  <c r="AU11" i="63" s="1"/>
  <c r="AU12" i="63" s="1"/>
  <c r="AU13" i="63" s="1"/>
  <c r="AU14" i="63" s="1"/>
  <c r="AU15" i="63" s="1"/>
  <c r="AU16" i="63" s="1"/>
  <c r="AU17" i="63" s="1"/>
  <c r="AU18" i="63" s="1"/>
  <c r="AU19" i="63" s="1"/>
  <c r="AU20" i="63" s="1"/>
  <c r="AU21" i="63" s="1"/>
  <c r="AU22" i="63" s="1"/>
  <c r="AU23" i="63" s="1"/>
  <c r="AU24" i="63" s="1"/>
  <c r="AU25" i="63" s="1"/>
  <c r="AU26" i="63" s="1"/>
  <c r="AU27" i="63" s="1"/>
  <c r="AU28" i="63" s="1"/>
  <c r="AU29" i="63" s="1"/>
  <c r="AU30" i="63" s="1"/>
  <c r="AU31" i="63" s="1"/>
  <c r="AU32" i="63" s="1"/>
  <c r="AU33" i="63" s="1"/>
  <c r="AU34" i="63" s="1"/>
  <c r="AU35" i="63" s="1"/>
  <c r="AU36" i="63" s="1"/>
  <c r="AU37" i="63" s="1"/>
  <c r="AU38" i="63" s="1"/>
  <c r="AU39" i="63" s="1"/>
  <c r="AU40" i="63" s="1"/>
  <c r="AU41" i="63" s="1"/>
  <c r="AU42" i="63" s="1"/>
  <c r="AU43" i="63" s="1"/>
  <c r="AU44" i="63" s="1"/>
  <c r="AU45" i="63" s="1"/>
  <c r="AU46" i="63" s="1"/>
  <c r="AU47" i="63" s="1"/>
  <c r="AU48" i="63" s="1"/>
  <c r="AU49" i="63" s="1"/>
  <c r="AU50" i="63" s="1"/>
  <c r="AU51" i="63" s="1"/>
  <c r="AU52" i="63" s="1"/>
  <c r="AU53" i="63" s="1"/>
  <c r="AU54" i="63" s="1"/>
  <c r="AU55" i="63" s="1"/>
  <c r="AU56" i="63" s="1"/>
  <c r="AU57" i="63" s="1"/>
  <c r="AU58" i="63" s="1"/>
  <c r="AU59" i="63" s="1"/>
  <c r="AU60" i="63" s="1"/>
  <c r="AU61" i="63" s="1"/>
  <c r="AU62" i="63" s="1"/>
  <c r="AU63" i="63" s="1"/>
  <c r="AU64" i="63" s="1"/>
  <c r="AU65" i="63" s="1"/>
  <c r="AU66" i="63" s="1"/>
  <c r="AU67" i="63" s="1"/>
  <c r="AU68" i="63" s="1"/>
  <c r="AU69" i="63" s="1"/>
  <c r="AU70" i="63" s="1"/>
  <c r="AU71" i="63" s="1"/>
  <c r="AU72" i="63" s="1"/>
  <c r="AU73" i="63" s="1"/>
  <c r="AU74" i="63" s="1"/>
  <c r="AU75" i="63" s="1"/>
  <c r="AU76" i="63" s="1"/>
  <c r="AU77" i="63" s="1"/>
  <c r="AU78" i="63" s="1"/>
  <c r="AU79" i="63" s="1"/>
  <c r="AU80" i="63" s="1"/>
  <c r="AU81" i="63" s="1"/>
  <c r="AU82" i="63" s="1"/>
  <c r="AU83" i="63" s="1"/>
  <c r="AU84" i="63" s="1"/>
  <c r="AU85" i="63" s="1"/>
  <c r="AU86" i="63" s="1"/>
  <c r="AU87" i="63" s="1"/>
  <c r="AU88" i="63" s="1"/>
  <c r="AU89" i="63" s="1"/>
  <c r="AU90" i="63" s="1"/>
  <c r="AU91" i="63" s="1"/>
  <c r="AU92" i="63" s="1"/>
  <c r="AU93" i="63" s="1"/>
  <c r="AU94" i="63" s="1"/>
  <c r="AU95" i="63" s="1"/>
  <c r="AU96" i="63" s="1"/>
  <c r="AU97" i="63" s="1"/>
  <c r="AU98" i="63" s="1"/>
  <c r="AU99" i="63" s="1"/>
  <c r="AU100" i="63" s="1"/>
  <c r="AU101" i="63" s="1"/>
  <c r="AU102" i="63" s="1"/>
  <c r="AU103" i="63" s="1"/>
  <c r="AU104" i="63" s="1"/>
  <c r="AU105" i="63" s="1"/>
  <c r="AU106" i="63" s="1"/>
  <c r="AU107" i="63" s="1"/>
  <c r="AU108" i="63" s="1"/>
  <c r="AU109" i="63" s="1"/>
  <c r="AU110" i="63" s="1"/>
  <c r="AU111" i="63" s="1"/>
  <c r="AU112" i="63" s="1"/>
  <c r="AU113" i="63" s="1"/>
  <c r="AU114" i="63" s="1"/>
  <c r="AU115" i="63" s="1"/>
  <c r="AU116" i="63" s="1"/>
  <c r="AU117" i="63" s="1"/>
  <c r="AU118" i="63" s="1"/>
  <c r="AU119" i="63" s="1"/>
  <c r="AU120" i="63" s="1"/>
  <c r="AU121" i="63" s="1"/>
  <c r="AU122" i="63" s="1"/>
  <c r="AU123" i="63" s="1"/>
  <c r="AU124" i="63" s="1"/>
  <c r="AU125" i="63" s="1"/>
  <c r="AU126" i="63" s="1"/>
  <c r="AU127" i="63" s="1"/>
  <c r="AU128" i="63" s="1"/>
  <c r="AU129" i="63" s="1"/>
  <c r="AU130" i="63" s="1"/>
  <c r="AU131" i="63" s="1"/>
  <c r="AU132" i="63" s="1"/>
  <c r="AU133" i="63" s="1"/>
  <c r="AU134" i="63" s="1"/>
  <c r="AU135" i="63" s="1"/>
  <c r="AU136" i="63" s="1"/>
  <c r="AU137" i="63" s="1"/>
  <c r="AU138" i="63" s="1"/>
  <c r="AU139" i="63" s="1"/>
  <c r="AU140" i="63" s="1"/>
  <c r="AU141" i="63" s="1"/>
  <c r="AU142" i="63" s="1"/>
  <c r="AU143" i="63" s="1"/>
  <c r="AU144" i="63" s="1"/>
  <c r="AU145" i="63" s="1"/>
  <c r="AU146" i="63" s="1"/>
  <c r="AU147" i="63" s="1"/>
  <c r="AU148" i="63" s="1"/>
  <c r="AU149" i="63" s="1"/>
  <c r="AU150" i="63" s="1"/>
  <c r="AU151" i="63" s="1"/>
  <c r="AU152" i="63" s="1"/>
  <c r="AU153" i="63" s="1"/>
  <c r="AU154" i="63" s="1"/>
  <c r="AU155" i="63" s="1"/>
  <c r="AU156" i="63" s="1"/>
  <c r="AU157" i="63" s="1"/>
  <c r="AU158" i="63" s="1"/>
  <c r="AU159" i="63" s="1"/>
  <c r="AU160" i="63" s="1"/>
  <c r="AU161" i="63" s="1"/>
  <c r="AU162" i="63" s="1"/>
  <c r="AU163" i="63" s="1"/>
  <c r="AU164" i="63" s="1"/>
  <c r="AU165" i="63" s="1"/>
  <c r="AU166" i="63" s="1"/>
  <c r="AU167" i="63" s="1"/>
  <c r="AU168" i="63" s="1"/>
  <c r="AU169" i="63" s="1"/>
  <c r="AU170" i="63" s="1"/>
  <c r="AU171" i="63" s="1"/>
  <c r="AU172" i="63" s="1"/>
  <c r="AU173" i="63" s="1"/>
  <c r="AU174" i="63" s="1"/>
  <c r="AU175" i="63" s="1"/>
  <c r="AU176" i="63" s="1"/>
  <c r="AU177" i="63" s="1"/>
  <c r="AU178" i="63" s="1"/>
  <c r="AU179" i="63" s="1"/>
  <c r="AU180" i="63" s="1"/>
  <c r="AU181" i="63" s="1"/>
  <c r="AU182" i="63" s="1"/>
  <c r="AU183" i="63" s="1"/>
  <c r="AU184" i="63" s="1"/>
  <c r="AU185" i="63" s="1"/>
  <c r="AU186" i="63" s="1"/>
  <c r="AU187" i="63" s="1"/>
  <c r="AU188" i="63" s="1"/>
  <c r="AU189" i="63" s="1"/>
  <c r="AU190" i="63" s="1"/>
  <c r="AU191" i="63" s="1"/>
  <c r="AU192" i="63" s="1"/>
  <c r="AU193" i="63" s="1"/>
  <c r="AU194" i="63" s="1"/>
  <c r="AU195" i="63" s="1"/>
  <c r="AU196" i="63" s="1"/>
  <c r="AU197" i="63" s="1"/>
  <c r="AU198" i="63" s="1"/>
  <c r="AU199" i="63" s="1"/>
  <c r="AU200" i="63" s="1"/>
  <c r="AU201" i="63" s="1"/>
  <c r="AU202" i="63" s="1"/>
  <c r="AU203" i="63" s="1"/>
  <c r="AU204" i="63" s="1"/>
  <c r="AU205" i="63" s="1"/>
  <c r="AU206" i="63" s="1"/>
  <c r="AU207" i="63" s="1"/>
  <c r="AU208" i="63" s="1"/>
  <c r="AU209" i="63" s="1"/>
  <c r="AU210" i="63" s="1"/>
  <c r="AU211" i="63" s="1"/>
  <c r="AU212" i="63" s="1"/>
  <c r="AU213" i="63" s="1"/>
  <c r="AU214" i="63" s="1"/>
  <c r="AU215" i="63" s="1"/>
  <c r="AU216" i="63" s="1"/>
  <c r="AU217" i="63" s="1"/>
  <c r="AU218" i="63" s="1"/>
  <c r="AU219" i="63" s="1"/>
  <c r="AU220" i="63" s="1"/>
  <c r="AU221" i="63" s="1"/>
  <c r="AU222" i="63" s="1"/>
  <c r="AU223" i="63" s="1"/>
  <c r="AU224" i="63" s="1"/>
  <c r="AU225" i="63" s="1"/>
  <c r="AU226" i="63" s="1"/>
  <c r="AU227" i="63" s="1"/>
  <c r="AU228" i="63" s="1"/>
  <c r="AU229" i="63" s="1"/>
  <c r="AU230" i="63" s="1"/>
  <c r="AU231" i="63" s="1"/>
  <c r="AU232" i="63" s="1"/>
  <c r="AU233" i="63" s="1"/>
  <c r="AU234" i="63" s="1"/>
  <c r="AU235" i="63" s="1"/>
  <c r="AU236" i="63" s="1"/>
  <c r="AU237" i="63" s="1"/>
  <c r="AU238" i="63" s="1"/>
  <c r="AU239" i="63" s="1"/>
  <c r="AU240" i="63" s="1"/>
  <c r="AU241" i="63" s="1"/>
  <c r="AU242" i="63" s="1"/>
  <c r="AU243" i="63" s="1"/>
  <c r="AU244" i="63" s="1"/>
  <c r="AU245" i="63" s="1"/>
  <c r="AU246" i="63" s="1"/>
  <c r="AU247" i="63" s="1"/>
  <c r="AU248" i="63" s="1"/>
  <c r="AU249" i="63" s="1"/>
  <c r="AU250" i="63" s="1"/>
  <c r="AU251" i="63" s="1"/>
  <c r="AU252" i="63" s="1"/>
  <c r="AU253" i="63" s="1"/>
  <c r="AU254" i="63" s="1"/>
  <c r="AU255" i="63" s="1"/>
  <c r="AU256" i="63" s="1"/>
  <c r="AU257" i="63" s="1"/>
  <c r="AU258" i="63" s="1"/>
  <c r="AU259" i="63" s="1"/>
  <c r="AU260" i="63" s="1"/>
  <c r="AU261" i="63" s="1"/>
  <c r="AU262" i="63" s="1"/>
  <c r="AU263" i="63" s="1"/>
  <c r="AU264" i="63" s="1"/>
  <c r="AU265" i="63" s="1"/>
  <c r="AU266" i="63" s="1"/>
  <c r="AU267" i="63" s="1"/>
  <c r="AU268" i="63" s="1"/>
  <c r="AU269" i="63" s="1"/>
  <c r="AU270" i="63" s="1"/>
  <c r="AU271" i="63" s="1"/>
  <c r="AU272" i="63" s="1"/>
  <c r="AU273" i="63" s="1"/>
  <c r="AU274" i="63" s="1"/>
  <c r="AU275" i="63" s="1"/>
  <c r="AU276" i="63" s="1"/>
  <c r="AU277" i="63" s="1"/>
  <c r="AU278" i="63" s="1"/>
  <c r="AU279" i="63" s="1"/>
  <c r="AU280" i="63" s="1"/>
  <c r="AU281" i="63" s="1"/>
  <c r="AU282" i="63" s="1"/>
  <c r="AU283" i="63" s="1"/>
  <c r="AU284" i="63" s="1"/>
  <c r="AU285" i="63" s="1"/>
  <c r="AU286" i="63" s="1"/>
  <c r="AU287" i="63" s="1"/>
  <c r="AU288" i="63" s="1"/>
  <c r="AU289" i="63" s="1"/>
  <c r="AU290" i="63" s="1"/>
  <c r="AU291" i="63" s="1"/>
  <c r="AU292" i="63" s="1"/>
  <c r="AU293" i="63" s="1"/>
  <c r="AU294" i="63" s="1"/>
  <c r="AU295" i="63" s="1"/>
  <c r="AU296" i="63" s="1"/>
  <c r="AU297" i="63" s="1"/>
  <c r="AU298" i="63" s="1"/>
  <c r="AU299" i="63" s="1"/>
  <c r="AU300" i="63" s="1"/>
  <c r="AU301" i="63" s="1"/>
  <c r="AU302" i="63" s="1"/>
  <c r="AU303" i="63" s="1"/>
  <c r="AU304" i="63" s="1"/>
  <c r="AU305" i="63" s="1"/>
  <c r="AU306" i="63" s="1"/>
  <c r="AU307" i="63" s="1"/>
  <c r="AU308" i="63" s="1"/>
  <c r="AU7" i="63"/>
  <c r="AU6" i="63"/>
  <c r="AU5" i="63"/>
  <c r="AU4" i="63"/>
  <c r="AT8" i="63"/>
  <c r="AT9" i="63" s="1"/>
  <c r="AT10" i="63" s="1"/>
  <c r="AT11" i="63" s="1"/>
  <c r="AT12" i="63" s="1"/>
  <c r="AT13" i="63" s="1"/>
  <c r="AT14" i="63" s="1"/>
  <c r="AT15" i="63" s="1"/>
  <c r="AT16" i="63" s="1"/>
  <c r="AT17" i="63" s="1"/>
  <c r="AT18" i="63" s="1"/>
  <c r="AT19" i="63" s="1"/>
  <c r="AT20" i="63" s="1"/>
  <c r="AT21" i="63" s="1"/>
  <c r="AT22" i="63" s="1"/>
  <c r="AT23" i="63" s="1"/>
  <c r="AT24" i="63" s="1"/>
  <c r="AT25" i="63" s="1"/>
  <c r="AT26" i="63" s="1"/>
  <c r="AT27" i="63" s="1"/>
  <c r="AT28" i="63" s="1"/>
  <c r="AT29" i="63" s="1"/>
  <c r="AT30" i="63" s="1"/>
  <c r="AT31" i="63" s="1"/>
  <c r="AT32" i="63" s="1"/>
  <c r="AT33" i="63" s="1"/>
  <c r="AT34" i="63" s="1"/>
  <c r="AT35" i="63" s="1"/>
  <c r="AT36" i="63" s="1"/>
  <c r="AT37" i="63" s="1"/>
  <c r="AT38" i="63" s="1"/>
  <c r="AT39" i="63" s="1"/>
  <c r="AT40" i="63" s="1"/>
  <c r="AT41" i="63" s="1"/>
  <c r="AT42" i="63" s="1"/>
  <c r="AT43" i="63" s="1"/>
  <c r="AT44" i="63" s="1"/>
  <c r="AT45" i="63" s="1"/>
  <c r="AT46" i="63" s="1"/>
  <c r="AT47" i="63" s="1"/>
  <c r="AT48" i="63" s="1"/>
  <c r="AT49" i="63" s="1"/>
  <c r="AT50" i="63" s="1"/>
  <c r="AT51" i="63" s="1"/>
  <c r="AT52" i="63" s="1"/>
  <c r="AT53" i="63" s="1"/>
  <c r="AT54" i="63" s="1"/>
  <c r="AT55" i="63" s="1"/>
  <c r="AT56" i="63" s="1"/>
  <c r="AT57" i="63" s="1"/>
  <c r="AT58" i="63" s="1"/>
  <c r="AT59" i="63" s="1"/>
  <c r="AT60" i="63" s="1"/>
  <c r="AT61" i="63" s="1"/>
  <c r="AT62" i="63" s="1"/>
  <c r="AT63" i="63" s="1"/>
  <c r="AT64" i="63" s="1"/>
  <c r="AT65" i="63" s="1"/>
  <c r="AT66" i="63" s="1"/>
  <c r="AT67" i="63" s="1"/>
  <c r="AT68" i="63" s="1"/>
  <c r="AT69" i="63" s="1"/>
  <c r="AT70" i="63" s="1"/>
  <c r="AT71" i="63" s="1"/>
  <c r="AT72" i="63" s="1"/>
  <c r="AT73" i="63" s="1"/>
  <c r="AT74" i="63" s="1"/>
  <c r="AT75" i="63" s="1"/>
  <c r="AT76" i="63" s="1"/>
  <c r="AT77" i="63" s="1"/>
  <c r="AT78" i="63" s="1"/>
  <c r="AT79" i="63" s="1"/>
  <c r="AT80" i="63" s="1"/>
  <c r="AT81" i="63" s="1"/>
  <c r="AT82" i="63" s="1"/>
  <c r="AT83" i="63" s="1"/>
  <c r="AT84" i="63" s="1"/>
  <c r="AT85" i="63" s="1"/>
  <c r="AT86" i="63" s="1"/>
  <c r="AT87" i="63" s="1"/>
  <c r="AT88" i="63" s="1"/>
  <c r="AT89" i="63" s="1"/>
  <c r="AT90" i="63" s="1"/>
  <c r="AT91" i="63" s="1"/>
  <c r="AT92" i="63" s="1"/>
  <c r="AT93" i="63" s="1"/>
  <c r="AT94" i="63" s="1"/>
  <c r="AT95" i="63" s="1"/>
  <c r="AT96" i="63" s="1"/>
  <c r="AT97" i="63" s="1"/>
  <c r="AT98" i="63" s="1"/>
  <c r="AT99" i="63" s="1"/>
  <c r="AT100" i="63" s="1"/>
  <c r="AT101" i="63" s="1"/>
  <c r="AT102" i="63" s="1"/>
  <c r="AT103" i="63" s="1"/>
  <c r="AT104" i="63" s="1"/>
  <c r="AT105" i="63" s="1"/>
  <c r="AT106" i="63" s="1"/>
  <c r="AT107" i="63" s="1"/>
  <c r="AT108" i="63" s="1"/>
  <c r="AT109" i="63" s="1"/>
  <c r="AT110" i="63" s="1"/>
  <c r="AT111" i="63" s="1"/>
  <c r="AT112" i="63" s="1"/>
  <c r="AT113" i="63" s="1"/>
  <c r="AT114" i="63" s="1"/>
  <c r="AT115" i="63" s="1"/>
  <c r="AT116" i="63" s="1"/>
  <c r="AT117" i="63" s="1"/>
  <c r="AT118" i="63" s="1"/>
  <c r="AT119" i="63" s="1"/>
  <c r="AT120" i="63" s="1"/>
  <c r="AT121" i="63" s="1"/>
  <c r="AT122" i="63" s="1"/>
  <c r="AT123" i="63" s="1"/>
  <c r="AT124" i="63" s="1"/>
  <c r="AT125" i="63" s="1"/>
  <c r="AT126" i="63" s="1"/>
  <c r="AT127" i="63" s="1"/>
  <c r="AT128" i="63" s="1"/>
  <c r="AT129" i="63" s="1"/>
  <c r="AT130" i="63" s="1"/>
  <c r="AT131" i="63" s="1"/>
  <c r="AT132" i="63" s="1"/>
  <c r="AT133" i="63" s="1"/>
  <c r="AT134" i="63" s="1"/>
  <c r="AT135" i="63" s="1"/>
  <c r="AT136" i="63" s="1"/>
  <c r="AT137" i="63" s="1"/>
  <c r="AT138" i="63" s="1"/>
  <c r="AT139" i="63" s="1"/>
  <c r="AT140" i="63" s="1"/>
  <c r="AT141" i="63" s="1"/>
  <c r="AT142" i="63" s="1"/>
  <c r="AT143" i="63" s="1"/>
  <c r="AT144" i="63" s="1"/>
  <c r="AT145" i="63" s="1"/>
  <c r="AT146" i="63" s="1"/>
  <c r="AT147" i="63" s="1"/>
  <c r="AT148" i="63" s="1"/>
  <c r="AT149" i="63" s="1"/>
  <c r="AT150" i="63" s="1"/>
  <c r="AT151" i="63" s="1"/>
  <c r="AT152" i="63" s="1"/>
  <c r="AT153" i="63" s="1"/>
  <c r="AT154" i="63" s="1"/>
  <c r="AT155" i="63" s="1"/>
  <c r="AT156" i="63" s="1"/>
  <c r="AT157" i="63" s="1"/>
  <c r="AT158" i="63" s="1"/>
  <c r="AT159" i="63" s="1"/>
  <c r="AT160" i="63" s="1"/>
  <c r="AT161" i="63" s="1"/>
  <c r="AT162" i="63" s="1"/>
  <c r="AT163" i="63" s="1"/>
  <c r="AT164" i="63" s="1"/>
  <c r="AT165" i="63" s="1"/>
  <c r="AT166" i="63" s="1"/>
  <c r="AT167" i="63" s="1"/>
  <c r="AT168" i="63" s="1"/>
  <c r="AT169" i="63" s="1"/>
  <c r="AT170" i="63" s="1"/>
  <c r="AT171" i="63" s="1"/>
  <c r="AT172" i="63" s="1"/>
  <c r="AT173" i="63" s="1"/>
  <c r="AT174" i="63" s="1"/>
  <c r="AT175" i="63" s="1"/>
  <c r="AT176" i="63" s="1"/>
  <c r="AT177" i="63" s="1"/>
  <c r="AT178" i="63" s="1"/>
  <c r="AT179" i="63" s="1"/>
  <c r="AT180" i="63" s="1"/>
  <c r="AT181" i="63" s="1"/>
  <c r="AT182" i="63" s="1"/>
  <c r="AT183" i="63" s="1"/>
  <c r="AT184" i="63" s="1"/>
  <c r="AT185" i="63" s="1"/>
  <c r="AT186" i="63" s="1"/>
  <c r="AT187" i="63" s="1"/>
  <c r="AT188" i="63" s="1"/>
  <c r="AT189" i="63" s="1"/>
  <c r="AT190" i="63" s="1"/>
  <c r="AT191" i="63" s="1"/>
  <c r="AT192" i="63" s="1"/>
  <c r="AT193" i="63" s="1"/>
  <c r="AT194" i="63" s="1"/>
  <c r="AT195" i="63" s="1"/>
  <c r="AT196" i="63" s="1"/>
  <c r="AT197" i="63" s="1"/>
  <c r="AT198" i="63" s="1"/>
  <c r="AT199" i="63" s="1"/>
  <c r="AT200" i="63" s="1"/>
  <c r="AT201" i="63" s="1"/>
  <c r="AT202" i="63" s="1"/>
  <c r="AT203" i="63" s="1"/>
  <c r="AT204" i="63" s="1"/>
  <c r="AT205" i="63" s="1"/>
  <c r="AT206" i="63" s="1"/>
  <c r="AT207" i="63" s="1"/>
  <c r="AT208" i="63" s="1"/>
  <c r="AT209" i="63" s="1"/>
  <c r="AT210" i="63" s="1"/>
  <c r="AT211" i="63" s="1"/>
  <c r="AT212" i="63" s="1"/>
  <c r="AT213" i="63" s="1"/>
  <c r="AT214" i="63" s="1"/>
  <c r="AT215" i="63" s="1"/>
  <c r="AT216" i="63" s="1"/>
  <c r="AT217" i="63" s="1"/>
  <c r="AT218" i="63" s="1"/>
  <c r="AT219" i="63" s="1"/>
  <c r="AT220" i="63" s="1"/>
  <c r="AT221" i="63" s="1"/>
  <c r="AT222" i="63" s="1"/>
  <c r="AT223" i="63" s="1"/>
  <c r="AT224" i="63" s="1"/>
  <c r="AT225" i="63" s="1"/>
  <c r="AT226" i="63" s="1"/>
  <c r="AT227" i="63" s="1"/>
  <c r="AT228" i="63" s="1"/>
  <c r="AT229" i="63" s="1"/>
  <c r="AT230" i="63" s="1"/>
  <c r="AT231" i="63" s="1"/>
  <c r="AT232" i="63" s="1"/>
  <c r="AT233" i="63" s="1"/>
  <c r="AT234" i="63" s="1"/>
  <c r="AT235" i="63" s="1"/>
  <c r="AT236" i="63" s="1"/>
  <c r="AT237" i="63" s="1"/>
  <c r="AT238" i="63" s="1"/>
  <c r="AT239" i="63" s="1"/>
  <c r="AT240" i="63" s="1"/>
  <c r="AT241" i="63" s="1"/>
  <c r="AT242" i="63" s="1"/>
  <c r="AT243" i="63" s="1"/>
  <c r="AT244" i="63" s="1"/>
  <c r="AT245" i="63" s="1"/>
  <c r="AT246" i="63" s="1"/>
  <c r="AT247" i="63" s="1"/>
  <c r="AT248" i="63" s="1"/>
  <c r="AT249" i="63" s="1"/>
  <c r="AT250" i="63" s="1"/>
  <c r="AT251" i="63" s="1"/>
  <c r="AT252" i="63" s="1"/>
  <c r="AT253" i="63" s="1"/>
  <c r="AT254" i="63" s="1"/>
  <c r="AT255" i="63" s="1"/>
  <c r="AT256" i="63" s="1"/>
  <c r="AT257" i="63" s="1"/>
  <c r="AT258" i="63" s="1"/>
  <c r="AT259" i="63" s="1"/>
  <c r="AT260" i="63" s="1"/>
  <c r="AT261" i="63" s="1"/>
  <c r="AT262" i="63" s="1"/>
  <c r="AT263" i="63" s="1"/>
  <c r="AT264" i="63" s="1"/>
  <c r="AT265" i="63" s="1"/>
  <c r="AT266" i="63" s="1"/>
  <c r="AT267" i="63" s="1"/>
  <c r="AT268" i="63" s="1"/>
  <c r="AT269" i="63" s="1"/>
  <c r="AT270" i="63" s="1"/>
  <c r="AT271" i="63" s="1"/>
  <c r="AT272" i="63" s="1"/>
  <c r="AT273" i="63" s="1"/>
  <c r="AT274" i="63" s="1"/>
  <c r="AT275" i="63" s="1"/>
  <c r="AT276" i="63" s="1"/>
  <c r="AT277" i="63" s="1"/>
  <c r="AT278" i="63" s="1"/>
  <c r="AT279" i="63" s="1"/>
  <c r="AT280" i="63" s="1"/>
  <c r="AT281" i="63" s="1"/>
  <c r="AT282" i="63" s="1"/>
  <c r="AT283" i="63" s="1"/>
  <c r="AT284" i="63" s="1"/>
  <c r="AT285" i="63" s="1"/>
  <c r="AT286" i="63" s="1"/>
  <c r="AT287" i="63" s="1"/>
  <c r="AT288" i="63" s="1"/>
  <c r="AT289" i="63" s="1"/>
  <c r="AT290" i="63" s="1"/>
  <c r="AT291" i="63" s="1"/>
  <c r="AT292" i="63" s="1"/>
  <c r="AT293" i="63" s="1"/>
  <c r="AT294" i="63" s="1"/>
  <c r="AT295" i="63" s="1"/>
  <c r="AT296" i="63" s="1"/>
  <c r="AT297" i="63" s="1"/>
  <c r="AT298" i="63" s="1"/>
  <c r="AT299" i="63" s="1"/>
  <c r="AT300" i="63" s="1"/>
  <c r="AT301" i="63" s="1"/>
  <c r="AT302" i="63" s="1"/>
  <c r="AT303" i="63" s="1"/>
  <c r="AT304" i="63" s="1"/>
  <c r="AT305" i="63" s="1"/>
  <c r="AT306" i="63" s="1"/>
  <c r="AT307" i="63" s="1"/>
  <c r="AT308" i="63" s="1"/>
  <c r="AT7" i="63"/>
  <c r="AT6" i="63"/>
  <c r="AT5" i="63"/>
  <c r="AT4" i="63"/>
  <c r="AS8" i="63"/>
  <c r="AS9" i="63" s="1"/>
  <c r="AS10" i="63" s="1"/>
  <c r="AS11" i="63" s="1"/>
  <c r="AS12" i="63" s="1"/>
  <c r="AS13" i="63" s="1"/>
  <c r="AS14" i="63" s="1"/>
  <c r="AS15" i="63" s="1"/>
  <c r="AS16" i="63" s="1"/>
  <c r="AS17" i="63" s="1"/>
  <c r="AS18" i="63" s="1"/>
  <c r="AS19" i="63" s="1"/>
  <c r="AS20" i="63" s="1"/>
  <c r="AS21" i="63" s="1"/>
  <c r="AS22" i="63" s="1"/>
  <c r="AS23" i="63" s="1"/>
  <c r="AS24" i="63" s="1"/>
  <c r="AS25" i="63" s="1"/>
  <c r="AS26" i="63" s="1"/>
  <c r="AS27" i="63" s="1"/>
  <c r="AS28" i="63" s="1"/>
  <c r="AS29" i="63" s="1"/>
  <c r="AS30" i="63" s="1"/>
  <c r="AS31" i="63" s="1"/>
  <c r="AS32" i="63" s="1"/>
  <c r="AS33" i="63" s="1"/>
  <c r="AS34" i="63" s="1"/>
  <c r="AS35" i="63" s="1"/>
  <c r="AS36" i="63" s="1"/>
  <c r="AS37" i="63" s="1"/>
  <c r="AS38" i="63" s="1"/>
  <c r="AS39" i="63" s="1"/>
  <c r="AS40" i="63" s="1"/>
  <c r="AS41" i="63" s="1"/>
  <c r="AS42" i="63" s="1"/>
  <c r="AS43" i="63" s="1"/>
  <c r="AS44" i="63" s="1"/>
  <c r="AS45" i="63" s="1"/>
  <c r="AS46" i="63" s="1"/>
  <c r="AS47" i="63" s="1"/>
  <c r="AS48" i="63" s="1"/>
  <c r="AS49" i="63" s="1"/>
  <c r="AS50" i="63" s="1"/>
  <c r="AS51" i="63" s="1"/>
  <c r="AS52" i="63" s="1"/>
  <c r="AS53" i="63" s="1"/>
  <c r="AS54" i="63" s="1"/>
  <c r="AS55" i="63" s="1"/>
  <c r="AS56" i="63" s="1"/>
  <c r="AS57" i="63" s="1"/>
  <c r="AS58" i="63" s="1"/>
  <c r="AS59" i="63" s="1"/>
  <c r="AS60" i="63" s="1"/>
  <c r="AS61" i="63" s="1"/>
  <c r="AS62" i="63" s="1"/>
  <c r="AS63" i="63" s="1"/>
  <c r="AS64" i="63" s="1"/>
  <c r="AS65" i="63" s="1"/>
  <c r="AS66" i="63" s="1"/>
  <c r="AS67" i="63" s="1"/>
  <c r="AS68" i="63" s="1"/>
  <c r="AS69" i="63" s="1"/>
  <c r="AS70" i="63" s="1"/>
  <c r="AS71" i="63" s="1"/>
  <c r="AS72" i="63" s="1"/>
  <c r="AS73" i="63" s="1"/>
  <c r="AS74" i="63" s="1"/>
  <c r="AS75" i="63" s="1"/>
  <c r="AS76" i="63" s="1"/>
  <c r="AS77" i="63" s="1"/>
  <c r="AS78" i="63" s="1"/>
  <c r="AS79" i="63" s="1"/>
  <c r="AS80" i="63" s="1"/>
  <c r="AS81" i="63" s="1"/>
  <c r="AS82" i="63" s="1"/>
  <c r="AS83" i="63" s="1"/>
  <c r="AS84" i="63" s="1"/>
  <c r="AS85" i="63" s="1"/>
  <c r="AS86" i="63" s="1"/>
  <c r="AS87" i="63" s="1"/>
  <c r="AS88" i="63" s="1"/>
  <c r="AS89" i="63" s="1"/>
  <c r="AS90" i="63" s="1"/>
  <c r="AS91" i="63" s="1"/>
  <c r="AS92" i="63" s="1"/>
  <c r="AS93" i="63" s="1"/>
  <c r="AS94" i="63" s="1"/>
  <c r="AS95" i="63" s="1"/>
  <c r="AS96" i="63" s="1"/>
  <c r="AS97" i="63" s="1"/>
  <c r="AS98" i="63" s="1"/>
  <c r="AS99" i="63" s="1"/>
  <c r="AS100" i="63" s="1"/>
  <c r="AS101" i="63" s="1"/>
  <c r="AS102" i="63" s="1"/>
  <c r="AS103" i="63" s="1"/>
  <c r="AS104" i="63" s="1"/>
  <c r="AS105" i="63" s="1"/>
  <c r="AS106" i="63" s="1"/>
  <c r="AS107" i="63" s="1"/>
  <c r="AS108" i="63" s="1"/>
  <c r="AS109" i="63" s="1"/>
  <c r="AS110" i="63" s="1"/>
  <c r="AS111" i="63" s="1"/>
  <c r="AS112" i="63" s="1"/>
  <c r="AS113" i="63" s="1"/>
  <c r="AS114" i="63" s="1"/>
  <c r="AS115" i="63" s="1"/>
  <c r="AS116" i="63" s="1"/>
  <c r="AS117" i="63" s="1"/>
  <c r="AS118" i="63" s="1"/>
  <c r="AS119" i="63" s="1"/>
  <c r="AS120" i="63" s="1"/>
  <c r="AS121" i="63" s="1"/>
  <c r="AS122" i="63" s="1"/>
  <c r="AS123" i="63" s="1"/>
  <c r="AS124" i="63" s="1"/>
  <c r="AS125" i="63" s="1"/>
  <c r="AS126" i="63" s="1"/>
  <c r="AS127" i="63" s="1"/>
  <c r="AS128" i="63" s="1"/>
  <c r="AS129" i="63" s="1"/>
  <c r="AS130" i="63" s="1"/>
  <c r="AS131" i="63" s="1"/>
  <c r="AS132" i="63" s="1"/>
  <c r="AS133" i="63" s="1"/>
  <c r="AS134" i="63" s="1"/>
  <c r="AS135" i="63" s="1"/>
  <c r="AS136" i="63" s="1"/>
  <c r="AS137" i="63" s="1"/>
  <c r="AS138" i="63" s="1"/>
  <c r="AS139" i="63" s="1"/>
  <c r="AS140" i="63" s="1"/>
  <c r="AS141" i="63" s="1"/>
  <c r="AS142" i="63" s="1"/>
  <c r="AS143" i="63" s="1"/>
  <c r="AS144" i="63" s="1"/>
  <c r="AS145" i="63" s="1"/>
  <c r="AS146" i="63" s="1"/>
  <c r="AS147" i="63" s="1"/>
  <c r="AS148" i="63" s="1"/>
  <c r="AS149" i="63" s="1"/>
  <c r="AS150" i="63" s="1"/>
  <c r="AS151" i="63" s="1"/>
  <c r="AS152" i="63" s="1"/>
  <c r="AS153" i="63" s="1"/>
  <c r="AS154" i="63" s="1"/>
  <c r="AS155" i="63" s="1"/>
  <c r="AS156" i="63" s="1"/>
  <c r="AS157" i="63" s="1"/>
  <c r="AS158" i="63" s="1"/>
  <c r="AS159" i="63" s="1"/>
  <c r="AS160" i="63" s="1"/>
  <c r="AS161" i="63" s="1"/>
  <c r="AS162" i="63" s="1"/>
  <c r="AS163" i="63" s="1"/>
  <c r="AS164" i="63" s="1"/>
  <c r="AS165" i="63" s="1"/>
  <c r="AS166" i="63" s="1"/>
  <c r="AS167" i="63" s="1"/>
  <c r="AS168" i="63" s="1"/>
  <c r="AS169" i="63" s="1"/>
  <c r="AS170" i="63" s="1"/>
  <c r="AS171" i="63" s="1"/>
  <c r="AS172" i="63" s="1"/>
  <c r="AS173" i="63" s="1"/>
  <c r="AS174" i="63" s="1"/>
  <c r="AS175" i="63" s="1"/>
  <c r="AS176" i="63" s="1"/>
  <c r="AS177" i="63" s="1"/>
  <c r="AS178" i="63" s="1"/>
  <c r="AS179" i="63" s="1"/>
  <c r="AS180" i="63" s="1"/>
  <c r="AS181" i="63" s="1"/>
  <c r="AS182" i="63" s="1"/>
  <c r="AS183" i="63" s="1"/>
  <c r="AS184" i="63" s="1"/>
  <c r="AS185" i="63" s="1"/>
  <c r="AS186" i="63" s="1"/>
  <c r="AS187" i="63" s="1"/>
  <c r="AS188" i="63" s="1"/>
  <c r="AS189" i="63" s="1"/>
  <c r="AS190" i="63" s="1"/>
  <c r="AS191" i="63" s="1"/>
  <c r="AS192" i="63" s="1"/>
  <c r="AS193" i="63" s="1"/>
  <c r="AS194" i="63" s="1"/>
  <c r="AS195" i="63" s="1"/>
  <c r="AS196" i="63" s="1"/>
  <c r="AS197" i="63" s="1"/>
  <c r="AS198" i="63" s="1"/>
  <c r="AS199" i="63" s="1"/>
  <c r="AS200" i="63" s="1"/>
  <c r="AS201" i="63" s="1"/>
  <c r="AS202" i="63" s="1"/>
  <c r="AS203" i="63" s="1"/>
  <c r="AS204" i="63" s="1"/>
  <c r="AS205" i="63" s="1"/>
  <c r="AS206" i="63" s="1"/>
  <c r="AS207" i="63" s="1"/>
  <c r="AS208" i="63" s="1"/>
  <c r="AS209" i="63" s="1"/>
  <c r="AS210" i="63" s="1"/>
  <c r="AS211" i="63" s="1"/>
  <c r="AS212" i="63" s="1"/>
  <c r="AS213" i="63" s="1"/>
  <c r="AS214" i="63" s="1"/>
  <c r="AS215" i="63" s="1"/>
  <c r="AS216" i="63" s="1"/>
  <c r="AS217" i="63" s="1"/>
  <c r="AS218" i="63" s="1"/>
  <c r="AS219" i="63" s="1"/>
  <c r="AS220" i="63" s="1"/>
  <c r="AS221" i="63" s="1"/>
  <c r="AS222" i="63" s="1"/>
  <c r="AS223" i="63" s="1"/>
  <c r="AS224" i="63" s="1"/>
  <c r="AS225" i="63" s="1"/>
  <c r="AS226" i="63" s="1"/>
  <c r="AS227" i="63" s="1"/>
  <c r="AS228" i="63" s="1"/>
  <c r="AS229" i="63" s="1"/>
  <c r="AS230" i="63" s="1"/>
  <c r="AS231" i="63" s="1"/>
  <c r="AS232" i="63" s="1"/>
  <c r="AS233" i="63" s="1"/>
  <c r="AS234" i="63" s="1"/>
  <c r="AS235" i="63" s="1"/>
  <c r="AS236" i="63" s="1"/>
  <c r="AS237" i="63" s="1"/>
  <c r="AS238" i="63" s="1"/>
  <c r="AS239" i="63" s="1"/>
  <c r="AS240" i="63" s="1"/>
  <c r="AS241" i="63" s="1"/>
  <c r="AS242" i="63" s="1"/>
  <c r="AS243" i="63" s="1"/>
  <c r="AS244" i="63" s="1"/>
  <c r="AS245" i="63" s="1"/>
  <c r="AS246" i="63" s="1"/>
  <c r="AS247" i="63" s="1"/>
  <c r="AS248" i="63" s="1"/>
  <c r="AS249" i="63" s="1"/>
  <c r="AS250" i="63" s="1"/>
  <c r="AS251" i="63" s="1"/>
  <c r="AS252" i="63" s="1"/>
  <c r="AS253" i="63" s="1"/>
  <c r="AS254" i="63" s="1"/>
  <c r="AS255" i="63" s="1"/>
  <c r="AS256" i="63" s="1"/>
  <c r="AS257" i="63" s="1"/>
  <c r="AS258" i="63" s="1"/>
  <c r="AS259" i="63" s="1"/>
  <c r="AS260" i="63" s="1"/>
  <c r="AS261" i="63" s="1"/>
  <c r="AS262" i="63" s="1"/>
  <c r="AS263" i="63" s="1"/>
  <c r="AS264" i="63" s="1"/>
  <c r="AS265" i="63" s="1"/>
  <c r="AS266" i="63" s="1"/>
  <c r="AS267" i="63" s="1"/>
  <c r="AS268" i="63" s="1"/>
  <c r="AS269" i="63" s="1"/>
  <c r="AS270" i="63" s="1"/>
  <c r="AS271" i="63" s="1"/>
  <c r="AS272" i="63" s="1"/>
  <c r="AS273" i="63" s="1"/>
  <c r="AS274" i="63" s="1"/>
  <c r="AS275" i="63" s="1"/>
  <c r="AS276" i="63" s="1"/>
  <c r="AS277" i="63" s="1"/>
  <c r="AS278" i="63" s="1"/>
  <c r="AS279" i="63" s="1"/>
  <c r="AS280" i="63" s="1"/>
  <c r="AS281" i="63" s="1"/>
  <c r="AS282" i="63" s="1"/>
  <c r="AS283" i="63" s="1"/>
  <c r="AS284" i="63" s="1"/>
  <c r="AS285" i="63" s="1"/>
  <c r="AS286" i="63" s="1"/>
  <c r="AS287" i="63" s="1"/>
  <c r="AS288" i="63" s="1"/>
  <c r="AS289" i="63" s="1"/>
  <c r="AS290" i="63" s="1"/>
  <c r="AS291" i="63" s="1"/>
  <c r="AS292" i="63" s="1"/>
  <c r="AS293" i="63" s="1"/>
  <c r="AS294" i="63" s="1"/>
  <c r="AS295" i="63" s="1"/>
  <c r="AS296" i="63" s="1"/>
  <c r="AS297" i="63" s="1"/>
  <c r="AS298" i="63" s="1"/>
  <c r="AS299" i="63" s="1"/>
  <c r="AS300" i="63" s="1"/>
  <c r="AS301" i="63" s="1"/>
  <c r="AS302" i="63" s="1"/>
  <c r="AS303" i="63" s="1"/>
  <c r="AS304" i="63" s="1"/>
  <c r="AS305" i="63" s="1"/>
  <c r="AS306" i="63" s="1"/>
  <c r="AS307" i="63" s="1"/>
  <c r="AS308" i="63" s="1"/>
  <c r="AS7" i="63"/>
  <c r="AS6" i="63"/>
  <c r="AS5" i="63"/>
  <c r="AS4" i="63"/>
  <c r="AR8" i="63"/>
  <c r="AR7" i="63"/>
  <c r="AR6" i="63"/>
  <c r="AR5" i="63"/>
  <c r="AR4" i="63"/>
  <c r="AQ8" i="63"/>
  <c r="AQ9" i="63" s="1"/>
  <c r="AQ10" i="63" s="1"/>
  <c r="AQ11" i="63" s="1"/>
  <c r="AQ12" i="63" s="1"/>
  <c r="AQ13" i="63" s="1"/>
  <c r="AQ14" i="63" s="1"/>
  <c r="AQ15" i="63" s="1"/>
  <c r="AQ16" i="63" s="1"/>
  <c r="AQ17" i="63" s="1"/>
  <c r="AQ18" i="63" s="1"/>
  <c r="AQ19" i="63" s="1"/>
  <c r="AQ20" i="63" s="1"/>
  <c r="AQ21" i="63" s="1"/>
  <c r="AQ22" i="63" s="1"/>
  <c r="AQ23" i="63" s="1"/>
  <c r="AQ24" i="63" s="1"/>
  <c r="AQ25" i="63" s="1"/>
  <c r="AQ26" i="63" s="1"/>
  <c r="AQ27" i="63" s="1"/>
  <c r="AQ28" i="63" s="1"/>
  <c r="AQ29" i="63" s="1"/>
  <c r="AQ30" i="63" s="1"/>
  <c r="AQ31" i="63" s="1"/>
  <c r="AQ32" i="63" s="1"/>
  <c r="AQ33" i="63" s="1"/>
  <c r="AQ34" i="63" s="1"/>
  <c r="AQ35" i="63" s="1"/>
  <c r="AQ36" i="63" s="1"/>
  <c r="AQ37" i="63" s="1"/>
  <c r="AQ38" i="63" s="1"/>
  <c r="AQ39" i="63" s="1"/>
  <c r="AQ40" i="63" s="1"/>
  <c r="AQ41" i="63" s="1"/>
  <c r="AQ42" i="63" s="1"/>
  <c r="AQ43" i="63" s="1"/>
  <c r="AQ44" i="63" s="1"/>
  <c r="AQ45" i="63" s="1"/>
  <c r="AQ46" i="63" s="1"/>
  <c r="AQ47" i="63" s="1"/>
  <c r="AQ48" i="63" s="1"/>
  <c r="AQ49" i="63" s="1"/>
  <c r="AQ50" i="63" s="1"/>
  <c r="AQ51" i="63" s="1"/>
  <c r="AQ52" i="63" s="1"/>
  <c r="AQ53" i="63" s="1"/>
  <c r="AQ54" i="63" s="1"/>
  <c r="AQ55" i="63" s="1"/>
  <c r="AQ56" i="63" s="1"/>
  <c r="AQ57" i="63" s="1"/>
  <c r="AQ58" i="63" s="1"/>
  <c r="AQ59" i="63" s="1"/>
  <c r="AQ60" i="63" s="1"/>
  <c r="AQ61" i="63" s="1"/>
  <c r="AQ62" i="63" s="1"/>
  <c r="AQ63" i="63" s="1"/>
  <c r="AQ64" i="63" s="1"/>
  <c r="AQ65" i="63" s="1"/>
  <c r="AQ66" i="63" s="1"/>
  <c r="AQ67" i="63" s="1"/>
  <c r="AQ68" i="63" s="1"/>
  <c r="AQ69" i="63" s="1"/>
  <c r="AQ70" i="63" s="1"/>
  <c r="AQ71" i="63" s="1"/>
  <c r="AQ72" i="63" s="1"/>
  <c r="AQ73" i="63" s="1"/>
  <c r="AQ74" i="63" s="1"/>
  <c r="AQ75" i="63" s="1"/>
  <c r="AQ76" i="63" s="1"/>
  <c r="AQ77" i="63" s="1"/>
  <c r="AQ78" i="63" s="1"/>
  <c r="AQ79" i="63" s="1"/>
  <c r="AQ80" i="63" s="1"/>
  <c r="AQ81" i="63" s="1"/>
  <c r="AQ82" i="63" s="1"/>
  <c r="AQ83" i="63" s="1"/>
  <c r="AQ84" i="63" s="1"/>
  <c r="AQ85" i="63" s="1"/>
  <c r="AQ86" i="63" s="1"/>
  <c r="AQ87" i="63" s="1"/>
  <c r="AQ88" i="63" s="1"/>
  <c r="AQ89" i="63" s="1"/>
  <c r="AQ90" i="63" s="1"/>
  <c r="AQ91" i="63" s="1"/>
  <c r="AQ92" i="63" s="1"/>
  <c r="AQ93" i="63" s="1"/>
  <c r="AQ94" i="63" s="1"/>
  <c r="AQ95" i="63" s="1"/>
  <c r="AQ96" i="63" s="1"/>
  <c r="AQ97" i="63" s="1"/>
  <c r="AQ98" i="63" s="1"/>
  <c r="AQ99" i="63" s="1"/>
  <c r="AQ100" i="63" s="1"/>
  <c r="AQ101" i="63" s="1"/>
  <c r="AQ102" i="63" s="1"/>
  <c r="AQ103" i="63" s="1"/>
  <c r="AQ104" i="63" s="1"/>
  <c r="AQ105" i="63" s="1"/>
  <c r="AQ106" i="63" s="1"/>
  <c r="AQ107" i="63" s="1"/>
  <c r="AQ108" i="63" s="1"/>
  <c r="AQ109" i="63" s="1"/>
  <c r="AQ110" i="63" s="1"/>
  <c r="AQ111" i="63" s="1"/>
  <c r="AQ112" i="63" s="1"/>
  <c r="AQ113" i="63" s="1"/>
  <c r="AQ114" i="63" s="1"/>
  <c r="AQ115" i="63" s="1"/>
  <c r="AQ116" i="63" s="1"/>
  <c r="AQ117" i="63" s="1"/>
  <c r="AQ118" i="63" s="1"/>
  <c r="AQ119" i="63" s="1"/>
  <c r="AQ120" i="63" s="1"/>
  <c r="AQ121" i="63" s="1"/>
  <c r="AQ122" i="63" s="1"/>
  <c r="AQ123" i="63" s="1"/>
  <c r="AQ124" i="63" s="1"/>
  <c r="AQ125" i="63" s="1"/>
  <c r="AQ126" i="63" s="1"/>
  <c r="AQ127" i="63" s="1"/>
  <c r="AQ128" i="63" s="1"/>
  <c r="AQ129" i="63" s="1"/>
  <c r="AQ130" i="63" s="1"/>
  <c r="AQ131" i="63" s="1"/>
  <c r="AQ132" i="63" s="1"/>
  <c r="AQ133" i="63" s="1"/>
  <c r="AQ134" i="63" s="1"/>
  <c r="AQ135" i="63" s="1"/>
  <c r="AQ136" i="63" s="1"/>
  <c r="AQ137" i="63" s="1"/>
  <c r="AQ138" i="63" s="1"/>
  <c r="AQ139" i="63" s="1"/>
  <c r="AQ140" i="63" s="1"/>
  <c r="AQ141" i="63" s="1"/>
  <c r="AQ142" i="63" s="1"/>
  <c r="AQ143" i="63" s="1"/>
  <c r="AQ144" i="63" s="1"/>
  <c r="AQ145" i="63" s="1"/>
  <c r="AQ146" i="63" s="1"/>
  <c r="AQ147" i="63" s="1"/>
  <c r="AQ148" i="63" s="1"/>
  <c r="AQ149" i="63" s="1"/>
  <c r="AQ150" i="63" s="1"/>
  <c r="AQ151" i="63" s="1"/>
  <c r="AQ152" i="63" s="1"/>
  <c r="AQ153" i="63" s="1"/>
  <c r="AQ154" i="63" s="1"/>
  <c r="AQ155" i="63" s="1"/>
  <c r="AQ156" i="63" s="1"/>
  <c r="AQ157" i="63" s="1"/>
  <c r="AQ158" i="63" s="1"/>
  <c r="AQ159" i="63" s="1"/>
  <c r="AQ160" i="63" s="1"/>
  <c r="AQ161" i="63" s="1"/>
  <c r="AQ162" i="63" s="1"/>
  <c r="AQ163" i="63" s="1"/>
  <c r="AQ164" i="63" s="1"/>
  <c r="AQ165" i="63" s="1"/>
  <c r="AQ166" i="63" s="1"/>
  <c r="AQ167" i="63" s="1"/>
  <c r="AQ168" i="63" s="1"/>
  <c r="AQ169" i="63" s="1"/>
  <c r="AQ170" i="63" s="1"/>
  <c r="AQ171" i="63" s="1"/>
  <c r="AQ172" i="63" s="1"/>
  <c r="AQ173" i="63" s="1"/>
  <c r="AQ174" i="63" s="1"/>
  <c r="AQ175" i="63" s="1"/>
  <c r="AQ176" i="63" s="1"/>
  <c r="AQ177" i="63" s="1"/>
  <c r="AQ178" i="63" s="1"/>
  <c r="AQ179" i="63" s="1"/>
  <c r="AQ180" i="63" s="1"/>
  <c r="AQ181" i="63" s="1"/>
  <c r="AQ182" i="63" s="1"/>
  <c r="AQ183" i="63" s="1"/>
  <c r="AQ184" i="63" s="1"/>
  <c r="AQ185" i="63" s="1"/>
  <c r="AQ186" i="63" s="1"/>
  <c r="AQ187" i="63" s="1"/>
  <c r="AQ188" i="63" s="1"/>
  <c r="AQ189" i="63" s="1"/>
  <c r="AQ190" i="63" s="1"/>
  <c r="AQ191" i="63" s="1"/>
  <c r="AQ192" i="63" s="1"/>
  <c r="AQ193" i="63" s="1"/>
  <c r="AQ194" i="63" s="1"/>
  <c r="AQ195" i="63" s="1"/>
  <c r="AQ196" i="63" s="1"/>
  <c r="AQ197" i="63" s="1"/>
  <c r="AQ198" i="63" s="1"/>
  <c r="AQ199" i="63" s="1"/>
  <c r="AQ200" i="63" s="1"/>
  <c r="AQ201" i="63" s="1"/>
  <c r="AQ202" i="63" s="1"/>
  <c r="AQ203" i="63" s="1"/>
  <c r="AQ204" i="63" s="1"/>
  <c r="AQ205" i="63" s="1"/>
  <c r="AQ206" i="63" s="1"/>
  <c r="AQ207" i="63" s="1"/>
  <c r="AQ208" i="63" s="1"/>
  <c r="AQ209" i="63" s="1"/>
  <c r="AQ210" i="63" s="1"/>
  <c r="AQ211" i="63" s="1"/>
  <c r="AQ212" i="63" s="1"/>
  <c r="AQ213" i="63" s="1"/>
  <c r="AQ214" i="63" s="1"/>
  <c r="AQ215" i="63" s="1"/>
  <c r="AQ216" i="63" s="1"/>
  <c r="AQ217" i="63" s="1"/>
  <c r="AQ218" i="63" s="1"/>
  <c r="AQ219" i="63" s="1"/>
  <c r="AQ220" i="63" s="1"/>
  <c r="AQ221" i="63" s="1"/>
  <c r="AQ222" i="63" s="1"/>
  <c r="AQ223" i="63" s="1"/>
  <c r="AQ224" i="63" s="1"/>
  <c r="AQ225" i="63" s="1"/>
  <c r="AQ226" i="63" s="1"/>
  <c r="AQ227" i="63" s="1"/>
  <c r="AQ228" i="63" s="1"/>
  <c r="AQ229" i="63" s="1"/>
  <c r="AQ230" i="63" s="1"/>
  <c r="AQ231" i="63" s="1"/>
  <c r="AQ232" i="63" s="1"/>
  <c r="AQ233" i="63" s="1"/>
  <c r="AQ234" i="63" s="1"/>
  <c r="AQ235" i="63" s="1"/>
  <c r="AQ236" i="63" s="1"/>
  <c r="AQ237" i="63" s="1"/>
  <c r="AQ238" i="63" s="1"/>
  <c r="AQ239" i="63" s="1"/>
  <c r="AQ240" i="63" s="1"/>
  <c r="AQ241" i="63" s="1"/>
  <c r="AQ242" i="63" s="1"/>
  <c r="AQ243" i="63" s="1"/>
  <c r="AQ244" i="63" s="1"/>
  <c r="AQ245" i="63" s="1"/>
  <c r="AQ246" i="63" s="1"/>
  <c r="AQ247" i="63" s="1"/>
  <c r="AQ248" i="63" s="1"/>
  <c r="AQ249" i="63" s="1"/>
  <c r="AQ250" i="63" s="1"/>
  <c r="AQ251" i="63" s="1"/>
  <c r="AQ252" i="63" s="1"/>
  <c r="AQ253" i="63" s="1"/>
  <c r="AQ254" i="63" s="1"/>
  <c r="AQ255" i="63" s="1"/>
  <c r="AQ256" i="63" s="1"/>
  <c r="AQ257" i="63" s="1"/>
  <c r="AQ258" i="63" s="1"/>
  <c r="AQ259" i="63" s="1"/>
  <c r="AQ260" i="63" s="1"/>
  <c r="AQ261" i="63" s="1"/>
  <c r="AQ262" i="63" s="1"/>
  <c r="AQ263" i="63" s="1"/>
  <c r="AQ264" i="63" s="1"/>
  <c r="AQ265" i="63" s="1"/>
  <c r="AQ266" i="63" s="1"/>
  <c r="AQ267" i="63" s="1"/>
  <c r="AQ268" i="63" s="1"/>
  <c r="AQ269" i="63" s="1"/>
  <c r="AQ270" i="63" s="1"/>
  <c r="AQ271" i="63" s="1"/>
  <c r="AQ272" i="63" s="1"/>
  <c r="AQ273" i="63" s="1"/>
  <c r="AQ274" i="63" s="1"/>
  <c r="AQ275" i="63" s="1"/>
  <c r="AQ276" i="63" s="1"/>
  <c r="AQ277" i="63" s="1"/>
  <c r="AQ278" i="63" s="1"/>
  <c r="AQ279" i="63" s="1"/>
  <c r="AQ280" i="63" s="1"/>
  <c r="AQ281" i="63" s="1"/>
  <c r="AQ282" i="63" s="1"/>
  <c r="AQ283" i="63" s="1"/>
  <c r="AQ284" i="63" s="1"/>
  <c r="AQ285" i="63" s="1"/>
  <c r="AQ286" i="63" s="1"/>
  <c r="AQ287" i="63" s="1"/>
  <c r="AQ288" i="63" s="1"/>
  <c r="AQ289" i="63" s="1"/>
  <c r="AQ290" i="63" s="1"/>
  <c r="AQ291" i="63" s="1"/>
  <c r="AQ292" i="63" s="1"/>
  <c r="AQ293" i="63" s="1"/>
  <c r="AQ294" i="63" s="1"/>
  <c r="AQ295" i="63" s="1"/>
  <c r="AQ296" i="63" s="1"/>
  <c r="AQ297" i="63" s="1"/>
  <c r="AQ298" i="63" s="1"/>
  <c r="AQ299" i="63" s="1"/>
  <c r="AQ300" i="63" s="1"/>
  <c r="AQ301" i="63" s="1"/>
  <c r="AQ302" i="63" s="1"/>
  <c r="AQ303" i="63" s="1"/>
  <c r="AQ304" i="63" s="1"/>
  <c r="AQ305" i="63" s="1"/>
  <c r="AQ306" i="63" s="1"/>
  <c r="AQ307" i="63" s="1"/>
  <c r="AQ308" i="63" s="1"/>
  <c r="AQ7" i="63"/>
  <c r="AQ6" i="63"/>
  <c r="AQ5" i="63"/>
  <c r="AQ4" i="63"/>
  <c r="AP8" i="63"/>
  <c r="AP9" i="63" s="1"/>
  <c r="AP10" i="63" s="1"/>
  <c r="AP11" i="63" s="1"/>
  <c r="AP12" i="63" s="1"/>
  <c r="AP13" i="63" s="1"/>
  <c r="AP14" i="63" s="1"/>
  <c r="AP15" i="63" s="1"/>
  <c r="AP16" i="63" s="1"/>
  <c r="AP17" i="63" s="1"/>
  <c r="AP18" i="63" s="1"/>
  <c r="AP19" i="63" s="1"/>
  <c r="AP20" i="63" s="1"/>
  <c r="AP21" i="63" s="1"/>
  <c r="AP22" i="63" s="1"/>
  <c r="AP23" i="63" s="1"/>
  <c r="AP24" i="63" s="1"/>
  <c r="AP25" i="63" s="1"/>
  <c r="AP26" i="63" s="1"/>
  <c r="AP27" i="63" s="1"/>
  <c r="AP28" i="63" s="1"/>
  <c r="AP29" i="63" s="1"/>
  <c r="AP30" i="63" s="1"/>
  <c r="AP31" i="63" s="1"/>
  <c r="AP32" i="63" s="1"/>
  <c r="AP33" i="63" s="1"/>
  <c r="AP34" i="63" s="1"/>
  <c r="AP35" i="63" s="1"/>
  <c r="AP36" i="63" s="1"/>
  <c r="AP37" i="63" s="1"/>
  <c r="AP38" i="63" s="1"/>
  <c r="AP39" i="63" s="1"/>
  <c r="AP40" i="63" s="1"/>
  <c r="AP41" i="63" s="1"/>
  <c r="AP42" i="63" s="1"/>
  <c r="AP43" i="63" s="1"/>
  <c r="AP44" i="63" s="1"/>
  <c r="AP45" i="63" s="1"/>
  <c r="AP46" i="63" s="1"/>
  <c r="AP47" i="63" s="1"/>
  <c r="AP48" i="63" s="1"/>
  <c r="AP49" i="63" s="1"/>
  <c r="AP50" i="63" s="1"/>
  <c r="AP51" i="63" s="1"/>
  <c r="AP52" i="63" s="1"/>
  <c r="AP53" i="63" s="1"/>
  <c r="AP54" i="63" s="1"/>
  <c r="AP55" i="63" s="1"/>
  <c r="AP56" i="63" s="1"/>
  <c r="AP57" i="63" s="1"/>
  <c r="AP58" i="63" s="1"/>
  <c r="AP59" i="63" s="1"/>
  <c r="AP60" i="63" s="1"/>
  <c r="AP61" i="63" s="1"/>
  <c r="AP62" i="63" s="1"/>
  <c r="AP63" i="63" s="1"/>
  <c r="AP64" i="63" s="1"/>
  <c r="AP65" i="63" s="1"/>
  <c r="AP66" i="63" s="1"/>
  <c r="AP67" i="63" s="1"/>
  <c r="AP68" i="63" s="1"/>
  <c r="AP69" i="63" s="1"/>
  <c r="AP70" i="63" s="1"/>
  <c r="AP71" i="63" s="1"/>
  <c r="AP72" i="63" s="1"/>
  <c r="AP73" i="63" s="1"/>
  <c r="AP74" i="63" s="1"/>
  <c r="AP75" i="63" s="1"/>
  <c r="AP76" i="63" s="1"/>
  <c r="AP77" i="63" s="1"/>
  <c r="AP78" i="63" s="1"/>
  <c r="AP79" i="63" s="1"/>
  <c r="AP80" i="63" s="1"/>
  <c r="AP81" i="63" s="1"/>
  <c r="AP82" i="63" s="1"/>
  <c r="AP83" i="63" s="1"/>
  <c r="AP84" i="63" s="1"/>
  <c r="AP85" i="63" s="1"/>
  <c r="AP86" i="63" s="1"/>
  <c r="AP87" i="63" s="1"/>
  <c r="AP88" i="63" s="1"/>
  <c r="AP89" i="63" s="1"/>
  <c r="AP90" i="63" s="1"/>
  <c r="AP91" i="63" s="1"/>
  <c r="AP92" i="63" s="1"/>
  <c r="AP93" i="63" s="1"/>
  <c r="AP94" i="63" s="1"/>
  <c r="AP95" i="63" s="1"/>
  <c r="AP96" i="63" s="1"/>
  <c r="AP97" i="63" s="1"/>
  <c r="AP98" i="63" s="1"/>
  <c r="AP99" i="63" s="1"/>
  <c r="AP100" i="63" s="1"/>
  <c r="AP101" i="63" s="1"/>
  <c r="AP102" i="63" s="1"/>
  <c r="AP103" i="63" s="1"/>
  <c r="AP104" i="63" s="1"/>
  <c r="AP105" i="63" s="1"/>
  <c r="AP106" i="63" s="1"/>
  <c r="AP107" i="63" s="1"/>
  <c r="AP108" i="63" s="1"/>
  <c r="AP109" i="63" s="1"/>
  <c r="AP110" i="63" s="1"/>
  <c r="AP111" i="63" s="1"/>
  <c r="AP112" i="63" s="1"/>
  <c r="AP113" i="63" s="1"/>
  <c r="AP114" i="63" s="1"/>
  <c r="AP115" i="63" s="1"/>
  <c r="AP116" i="63" s="1"/>
  <c r="AP117" i="63" s="1"/>
  <c r="AP118" i="63" s="1"/>
  <c r="AP119" i="63" s="1"/>
  <c r="AP120" i="63" s="1"/>
  <c r="AP121" i="63" s="1"/>
  <c r="AP122" i="63" s="1"/>
  <c r="AP123" i="63" s="1"/>
  <c r="AP124" i="63" s="1"/>
  <c r="AP125" i="63" s="1"/>
  <c r="AP126" i="63" s="1"/>
  <c r="AP127" i="63" s="1"/>
  <c r="AP128" i="63" s="1"/>
  <c r="AP129" i="63" s="1"/>
  <c r="AP130" i="63" s="1"/>
  <c r="AP131" i="63" s="1"/>
  <c r="AP132" i="63" s="1"/>
  <c r="AP133" i="63" s="1"/>
  <c r="AP134" i="63" s="1"/>
  <c r="AP135" i="63" s="1"/>
  <c r="AP136" i="63" s="1"/>
  <c r="AP137" i="63" s="1"/>
  <c r="AP138" i="63" s="1"/>
  <c r="AP139" i="63" s="1"/>
  <c r="AP140" i="63" s="1"/>
  <c r="AP141" i="63" s="1"/>
  <c r="AP142" i="63" s="1"/>
  <c r="AP143" i="63" s="1"/>
  <c r="AP144" i="63" s="1"/>
  <c r="AP145" i="63" s="1"/>
  <c r="AP146" i="63" s="1"/>
  <c r="AP147" i="63" s="1"/>
  <c r="AP148" i="63" s="1"/>
  <c r="AP149" i="63" s="1"/>
  <c r="AP150" i="63" s="1"/>
  <c r="AP151" i="63" s="1"/>
  <c r="AP152" i="63" s="1"/>
  <c r="AP153" i="63" s="1"/>
  <c r="AP154" i="63" s="1"/>
  <c r="AP155" i="63" s="1"/>
  <c r="AP156" i="63" s="1"/>
  <c r="AP157" i="63" s="1"/>
  <c r="AP158" i="63" s="1"/>
  <c r="AP159" i="63" s="1"/>
  <c r="AP160" i="63" s="1"/>
  <c r="AP161" i="63" s="1"/>
  <c r="AP162" i="63" s="1"/>
  <c r="AP163" i="63" s="1"/>
  <c r="AP164" i="63" s="1"/>
  <c r="AP165" i="63" s="1"/>
  <c r="AP166" i="63" s="1"/>
  <c r="AP167" i="63" s="1"/>
  <c r="AP168" i="63" s="1"/>
  <c r="AP169" i="63" s="1"/>
  <c r="AP170" i="63" s="1"/>
  <c r="AP171" i="63" s="1"/>
  <c r="AP172" i="63" s="1"/>
  <c r="AP173" i="63" s="1"/>
  <c r="AP174" i="63" s="1"/>
  <c r="AP175" i="63" s="1"/>
  <c r="AP176" i="63" s="1"/>
  <c r="AP177" i="63" s="1"/>
  <c r="AP178" i="63" s="1"/>
  <c r="AP179" i="63" s="1"/>
  <c r="AP180" i="63" s="1"/>
  <c r="AP181" i="63" s="1"/>
  <c r="AP182" i="63" s="1"/>
  <c r="AP183" i="63" s="1"/>
  <c r="AP184" i="63" s="1"/>
  <c r="AP185" i="63" s="1"/>
  <c r="AP186" i="63" s="1"/>
  <c r="AP187" i="63" s="1"/>
  <c r="AP188" i="63" s="1"/>
  <c r="AP189" i="63" s="1"/>
  <c r="AP190" i="63" s="1"/>
  <c r="AP191" i="63" s="1"/>
  <c r="AP192" i="63" s="1"/>
  <c r="AP193" i="63" s="1"/>
  <c r="AP194" i="63" s="1"/>
  <c r="AP195" i="63" s="1"/>
  <c r="AP196" i="63" s="1"/>
  <c r="AP197" i="63" s="1"/>
  <c r="AP198" i="63" s="1"/>
  <c r="AP199" i="63" s="1"/>
  <c r="AP200" i="63" s="1"/>
  <c r="AP201" i="63" s="1"/>
  <c r="AP202" i="63" s="1"/>
  <c r="AP203" i="63" s="1"/>
  <c r="AP204" i="63" s="1"/>
  <c r="AP205" i="63" s="1"/>
  <c r="AP206" i="63" s="1"/>
  <c r="AP207" i="63" s="1"/>
  <c r="AP208" i="63" s="1"/>
  <c r="AP209" i="63" s="1"/>
  <c r="AP210" i="63" s="1"/>
  <c r="AP211" i="63" s="1"/>
  <c r="AP212" i="63" s="1"/>
  <c r="AP213" i="63" s="1"/>
  <c r="AP214" i="63" s="1"/>
  <c r="AP215" i="63" s="1"/>
  <c r="AP216" i="63" s="1"/>
  <c r="AP217" i="63" s="1"/>
  <c r="AP218" i="63" s="1"/>
  <c r="AP219" i="63" s="1"/>
  <c r="AP220" i="63" s="1"/>
  <c r="AP221" i="63" s="1"/>
  <c r="AP222" i="63" s="1"/>
  <c r="AP223" i="63" s="1"/>
  <c r="AP224" i="63" s="1"/>
  <c r="AP225" i="63" s="1"/>
  <c r="AP226" i="63" s="1"/>
  <c r="AP227" i="63" s="1"/>
  <c r="AP228" i="63" s="1"/>
  <c r="AP229" i="63" s="1"/>
  <c r="AP230" i="63" s="1"/>
  <c r="AP231" i="63" s="1"/>
  <c r="AP232" i="63" s="1"/>
  <c r="AP233" i="63" s="1"/>
  <c r="AP234" i="63" s="1"/>
  <c r="AP235" i="63" s="1"/>
  <c r="AP236" i="63" s="1"/>
  <c r="AP237" i="63" s="1"/>
  <c r="AP238" i="63" s="1"/>
  <c r="AP239" i="63" s="1"/>
  <c r="AP240" i="63" s="1"/>
  <c r="AP241" i="63" s="1"/>
  <c r="AP242" i="63" s="1"/>
  <c r="AP243" i="63" s="1"/>
  <c r="AP244" i="63" s="1"/>
  <c r="AP245" i="63" s="1"/>
  <c r="AP246" i="63" s="1"/>
  <c r="AP247" i="63" s="1"/>
  <c r="AP248" i="63" s="1"/>
  <c r="AP249" i="63" s="1"/>
  <c r="AP250" i="63" s="1"/>
  <c r="AP251" i="63" s="1"/>
  <c r="AP252" i="63" s="1"/>
  <c r="AP253" i="63" s="1"/>
  <c r="AP254" i="63" s="1"/>
  <c r="AP255" i="63" s="1"/>
  <c r="AP256" i="63" s="1"/>
  <c r="AP257" i="63" s="1"/>
  <c r="AP258" i="63" s="1"/>
  <c r="AP259" i="63" s="1"/>
  <c r="AP260" i="63" s="1"/>
  <c r="AP261" i="63" s="1"/>
  <c r="AP262" i="63" s="1"/>
  <c r="AP263" i="63" s="1"/>
  <c r="AP264" i="63" s="1"/>
  <c r="AP265" i="63" s="1"/>
  <c r="AP266" i="63" s="1"/>
  <c r="AP267" i="63" s="1"/>
  <c r="AP268" i="63" s="1"/>
  <c r="AP269" i="63" s="1"/>
  <c r="AP270" i="63" s="1"/>
  <c r="AP271" i="63" s="1"/>
  <c r="AP272" i="63" s="1"/>
  <c r="AP273" i="63" s="1"/>
  <c r="AP274" i="63" s="1"/>
  <c r="AP275" i="63" s="1"/>
  <c r="AP276" i="63" s="1"/>
  <c r="AP277" i="63" s="1"/>
  <c r="AP278" i="63" s="1"/>
  <c r="AP279" i="63" s="1"/>
  <c r="AP280" i="63" s="1"/>
  <c r="AP281" i="63" s="1"/>
  <c r="AP282" i="63" s="1"/>
  <c r="AP283" i="63" s="1"/>
  <c r="AP284" i="63" s="1"/>
  <c r="AP285" i="63" s="1"/>
  <c r="AP286" i="63" s="1"/>
  <c r="AP287" i="63" s="1"/>
  <c r="AP288" i="63" s="1"/>
  <c r="AP289" i="63" s="1"/>
  <c r="AP290" i="63" s="1"/>
  <c r="AP291" i="63" s="1"/>
  <c r="AP292" i="63" s="1"/>
  <c r="AP293" i="63" s="1"/>
  <c r="AP294" i="63" s="1"/>
  <c r="AP295" i="63" s="1"/>
  <c r="AP296" i="63" s="1"/>
  <c r="AP297" i="63" s="1"/>
  <c r="AP298" i="63" s="1"/>
  <c r="AP299" i="63" s="1"/>
  <c r="AP300" i="63" s="1"/>
  <c r="AP301" i="63" s="1"/>
  <c r="AP302" i="63" s="1"/>
  <c r="AP303" i="63" s="1"/>
  <c r="AP304" i="63" s="1"/>
  <c r="AP305" i="63" s="1"/>
  <c r="AP306" i="63" s="1"/>
  <c r="AP307" i="63" s="1"/>
  <c r="AP308" i="63" s="1"/>
  <c r="AP7" i="63"/>
  <c r="AP6" i="63"/>
  <c r="AP5" i="63"/>
  <c r="AP4" i="63"/>
  <c r="AO8" i="63"/>
  <c r="AO7" i="63"/>
  <c r="AO6" i="63"/>
  <c r="AO5" i="63"/>
  <c r="AO4" i="63"/>
  <c r="AN8" i="63"/>
  <c r="AN7" i="63"/>
  <c r="AN6" i="63"/>
  <c r="AN5" i="63"/>
  <c r="AN4" i="63"/>
  <c r="AM8" i="63"/>
  <c r="AM9" i="63" s="1"/>
  <c r="AM10" i="63" s="1"/>
  <c r="AM11" i="63" s="1"/>
  <c r="AM12" i="63" s="1"/>
  <c r="AM13" i="63" s="1"/>
  <c r="AM14" i="63" s="1"/>
  <c r="AM15" i="63" s="1"/>
  <c r="AM16" i="63" s="1"/>
  <c r="AM17" i="63" s="1"/>
  <c r="AM18" i="63" s="1"/>
  <c r="AM19" i="63" s="1"/>
  <c r="AM20" i="63" s="1"/>
  <c r="AM21" i="63" s="1"/>
  <c r="AM22" i="63" s="1"/>
  <c r="AM23" i="63" s="1"/>
  <c r="AM24" i="63" s="1"/>
  <c r="AM25" i="63" s="1"/>
  <c r="AM26" i="63" s="1"/>
  <c r="AM27" i="63" s="1"/>
  <c r="AM28" i="63" s="1"/>
  <c r="AM29" i="63" s="1"/>
  <c r="AM30" i="63" s="1"/>
  <c r="AM31" i="63" s="1"/>
  <c r="AM32" i="63" s="1"/>
  <c r="AM33" i="63" s="1"/>
  <c r="AM34" i="63" s="1"/>
  <c r="AM35" i="63" s="1"/>
  <c r="AM36" i="63" s="1"/>
  <c r="AM37" i="63" s="1"/>
  <c r="AM38" i="63" s="1"/>
  <c r="AM39" i="63" s="1"/>
  <c r="AM40" i="63" s="1"/>
  <c r="AM41" i="63" s="1"/>
  <c r="AM42" i="63" s="1"/>
  <c r="AM43" i="63" s="1"/>
  <c r="AM44" i="63" s="1"/>
  <c r="AM45" i="63" s="1"/>
  <c r="AM46" i="63" s="1"/>
  <c r="AM47" i="63" s="1"/>
  <c r="AM48" i="63" s="1"/>
  <c r="AM49" i="63" s="1"/>
  <c r="AM50" i="63" s="1"/>
  <c r="AM51" i="63" s="1"/>
  <c r="AM52" i="63" s="1"/>
  <c r="AM53" i="63" s="1"/>
  <c r="AM54" i="63" s="1"/>
  <c r="AM55" i="63" s="1"/>
  <c r="AM56" i="63" s="1"/>
  <c r="AM57" i="63" s="1"/>
  <c r="AM58" i="63" s="1"/>
  <c r="AM59" i="63" s="1"/>
  <c r="AM60" i="63" s="1"/>
  <c r="AM61" i="63" s="1"/>
  <c r="AM62" i="63" s="1"/>
  <c r="AM63" i="63" s="1"/>
  <c r="AM64" i="63" s="1"/>
  <c r="AM65" i="63" s="1"/>
  <c r="AM66" i="63" s="1"/>
  <c r="AM67" i="63" s="1"/>
  <c r="AM68" i="63" s="1"/>
  <c r="AM69" i="63" s="1"/>
  <c r="AM70" i="63" s="1"/>
  <c r="AM71" i="63" s="1"/>
  <c r="AM72" i="63" s="1"/>
  <c r="AM73" i="63" s="1"/>
  <c r="AM74" i="63" s="1"/>
  <c r="AM75" i="63" s="1"/>
  <c r="AM76" i="63" s="1"/>
  <c r="AM77" i="63" s="1"/>
  <c r="AM78" i="63" s="1"/>
  <c r="AM79" i="63" s="1"/>
  <c r="AM80" i="63" s="1"/>
  <c r="AM81" i="63" s="1"/>
  <c r="AM82" i="63" s="1"/>
  <c r="AM83" i="63" s="1"/>
  <c r="AM84" i="63" s="1"/>
  <c r="AM85" i="63" s="1"/>
  <c r="AM86" i="63" s="1"/>
  <c r="AM87" i="63" s="1"/>
  <c r="AM88" i="63" s="1"/>
  <c r="AM89" i="63" s="1"/>
  <c r="AM90" i="63" s="1"/>
  <c r="AM91" i="63" s="1"/>
  <c r="AM92" i="63" s="1"/>
  <c r="AM93" i="63" s="1"/>
  <c r="AM94" i="63" s="1"/>
  <c r="AM95" i="63" s="1"/>
  <c r="AM96" i="63" s="1"/>
  <c r="AM97" i="63" s="1"/>
  <c r="AM98" i="63" s="1"/>
  <c r="AM99" i="63" s="1"/>
  <c r="AM100" i="63" s="1"/>
  <c r="AM101" i="63" s="1"/>
  <c r="AM102" i="63" s="1"/>
  <c r="AM103" i="63" s="1"/>
  <c r="AM104" i="63" s="1"/>
  <c r="AM105" i="63" s="1"/>
  <c r="AM106" i="63" s="1"/>
  <c r="AM107" i="63" s="1"/>
  <c r="AM108" i="63" s="1"/>
  <c r="AM109" i="63" s="1"/>
  <c r="AM110" i="63" s="1"/>
  <c r="AM111" i="63" s="1"/>
  <c r="AM112" i="63" s="1"/>
  <c r="AM113" i="63" s="1"/>
  <c r="AM114" i="63" s="1"/>
  <c r="AM115" i="63" s="1"/>
  <c r="AM116" i="63" s="1"/>
  <c r="AM117" i="63" s="1"/>
  <c r="AM118" i="63" s="1"/>
  <c r="AM119" i="63" s="1"/>
  <c r="AM120" i="63" s="1"/>
  <c r="AM121" i="63" s="1"/>
  <c r="AM122" i="63" s="1"/>
  <c r="AM123" i="63" s="1"/>
  <c r="AM124" i="63" s="1"/>
  <c r="AM125" i="63" s="1"/>
  <c r="AM126" i="63" s="1"/>
  <c r="AM127" i="63" s="1"/>
  <c r="AM128" i="63" s="1"/>
  <c r="AM129" i="63" s="1"/>
  <c r="AM130" i="63" s="1"/>
  <c r="AM131" i="63" s="1"/>
  <c r="AM132" i="63" s="1"/>
  <c r="AM133" i="63" s="1"/>
  <c r="AM134" i="63" s="1"/>
  <c r="AM135" i="63" s="1"/>
  <c r="AM136" i="63" s="1"/>
  <c r="AM137" i="63" s="1"/>
  <c r="AM138" i="63" s="1"/>
  <c r="AM139" i="63" s="1"/>
  <c r="AM140" i="63" s="1"/>
  <c r="AM141" i="63" s="1"/>
  <c r="AM142" i="63" s="1"/>
  <c r="AM143" i="63" s="1"/>
  <c r="AM144" i="63" s="1"/>
  <c r="AM145" i="63" s="1"/>
  <c r="AM146" i="63" s="1"/>
  <c r="AM147" i="63" s="1"/>
  <c r="AM148" i="63" s="1"/>
  <c r="AM149" i="63" s="1"/>
  <c r="AM150" i="63" s="1"/>
  <c r="AM151" i="63" s="1"/>
  <c r="AM152" i="63" s="1"/>
  <c r="AM153" i="63" s="1"/>
  <c r="AM154" i="63" s="1"/>
  <c r="AM155" i="63" s="1"/>
  <c r="AM156" i="63" s="1"/>
  <c r="AM157" i="63" s="1"/>
  <c r="AM158" i="63" s="1"/>
  <c r="AM159" i="63" s="1"/>
  <c r="AM160" i="63" s="1"/>
  <c r="AM161" i="63" s="1"/>
  <c r="AM162" i="63" s="1"/>
  <c r="AM163" i="63" s="1"/>
  <c r="AM164" i="63" s="1"/>
  <c r="AM165" i="63" s="1"/>
  <c r="AM166" i="63" s="1"/>
  <c r="AM167" i="63" s="1"/>
  <c r="AM168" i="63" s="1"/>
  <c r="AM169" i="63" s="1"/>
  <c r="AM170" i="63" s="1"/>
  <c r="AM171" i="63" s="1"/>
  <c r="AM172" i="63" s="1"/>
  <c r="AM173" i="63" s="1"/>
  <c r="AM174" i="63" s="1"/>
  <c r="AM175" i="63" s="1"/>
  <c r="AM176" i="63" s="1"/>
  <c r="AM177" i="63" s="1"/>
  <c r="AM178" i="63" s="1"/>
  <c r="AM179" i="63" s="1"/>
  <c r="AM180" i="63" s="1"/>
  <c r="AM181" i="63" s="1"/>
  <c r="AM182" i="63" s="1"/>
  <c r="AM183" i="63" s="1"/>
  <c r="AM184" i="63" s="1"/>
  <c r="AM185" i="63" s="1"/>
  <c r="AM186" i="63" s="1"/>
  <c r="AM187" i="63" s="1"/>
  <c r="AM188" i="63" s="1"/>
  <c r="AM189" i="63" s="1"/>
  <c r="AM190" i="63" s="1"/>
  <c r="AM191" i="63" s="1"/>
  <c r="AM192" i="63" s="1"/>
  <c r="AM193" i="63" s="1"/>
  <c r="AM194" i="63" s="1"/>
  <c r="AM195" i="63" s="1"/>
  <c r="AM196" i="63" s="1"/>
  <c r="AM197" i="63" s="1"/>
  <c r="AM198" i="63" s="1"/>
  <c r="AM199" i="63" s="1"/>
  <c r="AM200" i="63" s="1"/>
  <c r="AM201" i="63" s="1"/>
  <c r="AM202" i="63" s="1"/>
  <c r="AM203" i="63" s="1"/>
  <c r="AM204" i="63" s="1"/>
  <c r="AM205" i="63" s="1"/>
  <c r="AM206" i="63" s="1"/>
  <c r="AM207" i="63" s="1"/>
  <c r="AM208" i="63" s="1"/>
  <c r="AM209" i="63" s="1"/>
  <c r="AM210" i="63" s="1"/>
  <c r="AM211" i="63" s="1"/>
  <c r="AM212" i="63" s="1"/>
  <c r="AM213" i="63" s="1"/>
  <c r="AM214" i="63" s="1"/>
  <c r="AM215" i="63" s="1"/>
  <c r="AM216" i="63" s="1"/>
  <c r="AM217" i="63" s="1"/>
  <c r="AM218" i="63" s="1"/>
  <c r="AM219" i="63" s="1"/>
  <c r="AM220" i="63" s="1"/>
  <c r="AM221" i="63" s="1"/>
  <c r="AM222" i="63" s="1"/>
  <c r="AM223" i="63" s="1"/>
  <c r="AM224" i="63" s="1"/>
  <c r="AM225" i="63" s="1"/>
  <c r="AM226" i="63" s="1"/>
  <c r="AM227" i="63" s="1"/>
  <c r="AM228" i="63" s="1"/>
  <c r="AM229" i="63" s="1"/>
  <c r="AM230" i="63" s="1"/>
  <c r="AM231" i="63" s="1"/>
  <c r="AM232" i="63" s="1"/>
  <c r="AM233" i="63" s="1"/>
  <c r="AM234" i="63" s="1"/>
  <c r="AM235" i="63" s="1"/>
  <c r="AM236" i="63" s="1"/>
  <c r="AM237" i="63" s="1"/>
  <c r="AM238" i="63" s="1"/>
  <c r="AM239" i="63" s="1"/>
  <c r="AM240" i="63" s="1"/>
  <c r="AM241" i="63" s="1"/>
  <c r="AM242" i="63" s="1"/>
  <c r="AM243" i="63" s="1"/>
  <c r="AM244" i="63" s="1"/>
  <c r="AM245" i="63" s="1"/>
  <c r="AM246" i="63" s="1"/>
  <c r="AM247" i="63" s="1"/>
  <c r="AM248" i="63" s="1"/>
  <c r="AM249" i="63" s="1"/>
  <c r="AM250" i="63" s="1"/>
  <c r="AM251" i="63" s="1"/>
  <c r="AM252" i="63" s="1"/>
  <c r="AM253" i="63" s="1"/>
  <c r="AM254" i="63" s="1"/>
  <c r="AM255" i="63" s="1"/>
  <c r="AM256" i="63" s="1"/>
  <c r="AM257" i="63" s="1"/>
  <c r="AM258" i="63" s="1"/>
  <c r="AM259" i="63" s="1"/>
  <c r="AM260" i="63" s="1"/>
  <c r="AM261" i="63" s="1"/>
  <c r="AM262" i="63" s="1"/>
  <c r="AM263" i="63" s="1"/>
  <c r="AM264" i="63" s="1"/>
  <c r="AM265" i="63" s="1"/>
  <c r="AM266" i="63" s="1"/>
  <c r="AM267" i="63" s="1"/>
  <c r="AM268" i="63" s="1"/>
  <c r="AM269" i="63" s="1"/>
  <c r="AM270" i="63" s="1"/>
  <c r="AM271" i="63" s="1"/>
  <c r="AM272" i="63" s="1"/>
  <c r="AM273" i="63" s="1"/>
  <c r="AM274" i="63" s="1"/>
  <c r="AM275" i="63" s="1"/>
  <c r="AM276" i="63" s="1"/>
  <c r="AM277" i="63" s="1"/>
  <c r="AM278" i="63" s="1"/>
  <c r="AM279" i="63" s="1"/>
  <c r="AM280" i="63" s="1"/>
  <c r="AM281" i="63" s="1"/>
  <c r="AM282" i="63" s="1"/>
  <c r="AM283" i="63" s="1"/>
  <c r="AM284" i="63" s="1"/>
  <c r="AM285" i="63" s="1"/>
  <c r="AM286" i="63" s="1"/>
  <c r="AM287" i="63" s="1"/>
  <c r="AM288" i="63" s="1"/>
  <c r="AM289" i="63" s="1"/>
  <c r="AM290" i="63" s="1"/>
  <c r="AM291" i="63" s="1"/>
  <c r="AM292" i="63" s="1"/>
  <c r="AM293" i="63" s="1"/>
  <c r="AM294" i="63" s="1"/>
  <c r="AM295" i="63" s="1"/>
  <c r="AM296" i="63" s="1"/>
  <c r="AM297" i="63" s="1"/>
  <c r="AM298" i="63" s="1"/>
  <c r="AM299" i="63" s="1"/>
  <c r="AM300" i="63" s="1"/>
  <c r="AM301" i="63" s="1"/>
  <c r="AM302" i="63" s="1"/>
  <c r="AM303" i="63" s="1"/>
  <c r="AM304" i="63" s="1"/>
  <c r="AM305" i="63" s="1"/>
  <c r="AM306" i="63" s="1"/>
  <c r="AM307" i="63" s="1"/>
  <c r="AM308" i="63" s="1"/>
  <c r="AM7" i="63"/>
  <c r="AM6" i="63"/>
  <c r="AM5" i="63"/>
  <c r="AM4" i="63"/>
  <c r="AL8" i="63"/>
  <c r="AL7" i="63"/>
  <c r="AL6" i="63"/>
  <c r="AL5" i="63"/>
  <c r="AL4" i="63"/>
  <c r="AK8" i="63"/>
  <c r="AK7" i="63"/>
  <c r="AK6" i="63"/>
  <c r="AK5" i="63"/>
  <c r="AK4" i="63"/>
  <c r="AJ8" i="63"/>
  <c r="AJ7" i="63"/>
  <c r="AJ6" i="63"/>
  <c r="AJ5" i="63"/>
  <c r="AJ4" i="63"/>
  <c r="AI8" i="63"/>
  <c r="AI9" i="63" s="1"/>
  <c r="AI10" i="63" s="1"/>
  <c r="AI11" i="63" s="1"/>
  <c r="AI12" i="63" s="1"/>
  <c r="AI13" i="63" s="1"/>
  <c r="AI14" i="63" s="1"/>
  <c r="AI15" i="63" s="1"/>
  <c r="AI16" i="63" s="1"/>
  <c r="AI17" i="63" s="1"/>
  <c r="AI18" i="63" s="1"/>
  <c r="AI19" i="63" s="1"/>
  <c r="AI20" i="63" s="1"/>
  <c r="AI21" i="63" s="1"/>
  <c r="AI22" i="63" s="1"/>
  <c r="AI23" i="63" s="1"/>
  <c r="AI24" i="63" s="1"/>
  <c r="AI25" i="63" s="1"/>
  <c r="AI26" i="63" s="1"/>
  <c r="AI27" i="63" s="1"/>
  <c r="AI28" i="63" s="1"/>
  <c r="AI29" i="63" s="1"/>
  <c r="AI30" i="63" s="1"/>
  <c r="AI31" i="63" s="1"/>
  <c r="AI32" i="63" s="1"/>
  <c r="AI33" i="63" s="1"/>
  <c r="AI34" i="63" s="1"/>
  <c r="AI35" i="63" s="1"/>
  <c r="AI36" i="63" s="1"/>
  <c r="AI37" i="63" s="1"/>
  <c r="AI38" i="63" s="1"/>
  <c r="AI39" i="63" s="1"/>
  <c r="AI40" i="63" s="1"/>
  <c r="AI41" i="63" s="1"/>
  <c r="AI42" i="63" s="1"/>
  <c r="AI43" i="63" s="1"/>
  <c r="AI44" i="63" s="1"/>
  <c r="AI45" i="63" s="1"/>
  <c r="AI46" i="63" s="1"/>
  <c r="AI47" i="63" s="1"/>
  <c r="AI48" i="63" s="1"/>
  <c r="AI49" i="63" s="1"/>
  <c r="AI50" i="63" s="1"/>
  <c r="AI51" i="63" s="1"/>
  <c r="AI52" i="63" s="1"/>
  <c r="AI53" i="63" s="1"/>
  <c r="AI54" i="63" s="1"/>
  <c r="AI55" i="63" s="1"/>
  <c r="AI56" i="63" s="1"/>
  <c r="AI57" i="63" s="1"/>
  <c r="AI58" i="63" s="1"/>
  <c r="AI59" i="63" s="1"/>
  <c r="AI60" i="63" s="1"/>
  <c r="AI61" i="63" s="1"/>
  <c r="AI62" i="63" s="1"/>
  <c r="AI63" i="63" s="1"/>
  <c r="AI64" i="63" s="1"/>
  <c r="AI65" i="63" s="1"/>
  <c r="AI66" i="63" s="1"/>
  <c r="AI67" i="63" s="1"/>
  <c r="AI68" i="63" s="1"/>
  <c r="AI69" i="63" s="1"/>
  <c r="AI70" i="63" s="1"/>
  <c r="AI71" i="63" s="1"/>
  <c r="AI72" i="63" s="1"/>
  <c r="AI73" i="63" s="1"/>
  <c r="AI74" i="63" s="1"/>
  <c r="AI75" i="63" s="1"/>
  <c r="AI76" i="63" s="1"/>
  <c r="AI77" i="63" s="1"/>
  <c r="AI78" i="63" s="1"/>
  <c r="AI79" i="63" s="1"/>
  <c r="AI80" i="63" s="1"/>
  <c r="AI81" i="63" s="1"/>
  <c r="AI82" i="63" s="1"/>
  <c r="AI83" i="63" s="1"/>
  <c r="AI84" i="63" s="1"/>
  <c r="AI85" i="63" s="1"/>
  <c r="AI86" i="63" s="1"/>
  <c r="AI87" i="63" s="1"/>
  <c r="AI88" i="63" s="1"/>
  <c r="AI89" i="63" s="1"/>
  <c r="AI90" i="63" s="1"/>
  <c r="AI91" i="63" s="1"/>
  <c r="AI92" i="63" s="1"/>
  <c r="AI93" i="63" s="1"/>
  <c r="AI94" i="63" s="1"/>
  <c r="AI95" i="63" s="1"/>
  <c r="AI96" i="63" s="1"/>
  <c r="AI97" i="63" s="1"/>
  <c r="AI98" i="63" s="1"/>
  <c r="AI99" i="63" s="1"/>
  <c r="AI100" i="63" s="1"/>
  <c r="AI101" i="63" s="1"/>
  <c r="AI102" i="63" s="1"/>
  <c r="AI103" i="63" s="1"/>
  <c r="AI104" i="63" s="1"/>
  <c r="AI105" i="63" s="1"/>
  <c r="AI106" i="63" s="1"/>
  <c r="AI107" i="63" s="1"/>
  <c r="AI108" i="63" s="1"/>
  <c r="AI109" i="63" s="1"/>
  <c r="AI110" i="63" s="1"/>
  <c r="AI111" i="63" s="1"/>
  <c r="AI112" i="63" s="1"/>
  <c r="AI113" i="63" s="1"/>
  <c r="AI114" i="63" s="1"/>
  <c r="AI115" i="63" s="1"/>
  <c r="AI116" i="63" s="1"/>
  <c r="AI117" i="63" s="1"/>
  <c r="AI118" i="63" s="1"/>
  <c r="AI119" i="63" s="1"/>
  <c r="AI120" i="63" s="1"/>
  <c r="AI121" i="63" s="1"/>
  <c r="AI122" i="63" s="1"/>
  <c r="AI123" i="63" s="1"/>
  <c r="AI124" i="63" s="1"/>
  <c r="AI125" i="63" s="1"/>
  <c r="AI126" i="63" s="1"/>
  <c r="AI127" i="63" s="1"/>
  <c r="AI128" i="63" s="1"/>
  <c r="AI129" i="63" s="1"/>
  <c r="AI130" i="63" s="1"/>
  <c r="AI131" i="63" s="1"/>
  <c r="AI132" i="63" s="1"/>
  <c r="AI133" i="63" s="1"/>
  <c r="AI134" i="63" s="1"/>
  <c r="AI135" i="63" s="1"/>
  <c r="AI136" i="63" s="1"/>
  <c r="AI137" i="63" s="1"/>
  <c r="AI138" i="63" s="1"/>
  <c r="AI139" i="63" s="1"/>
  <c r="AI140" i="63" s="1"/>
  <c r="AI141" i="63" s="1"/>
  <c r="AI142" i="63" s="1"/>
  <c r="AI143" i="63" s="1"/>
  <c r="AI144" i="63" s="1"/>
  <c r="AI145" i="63" s="1"/>
  <c r="AI146" i="63" s="1"/>
  <c r="AI147" i="63" s="1"/>
  <c r="AI148" i="63" s="1"/>
  <c r="AI149" i="63" s="1"/>
  <c r="AI150" i="63" s="1"/>
  <c r="AI151" i="63" s="1"/>
  <c r="AI152" i="63" s="1"/>
  <c r="AI153" i="63" s="1"/>
  <c r="AI154" i="63" s="1"/>
  <c r="AI155" i="63" s="1"/>
  <c r="AI156" i="63" s="1"/>
  <c r="AI157" i="63" s="1"/>
  <c r="AI158" i="63" s="1"/>
  <c r="AI159" i="63" s="1"/>
  <c r="AI160" i="63" s="1"/>
  <c r="AI161" i="63" s="1"/>
  <c r="AI162" i="63" s="1"/>
  <c r="AI163" i="63" s="1"/>
  <c r="AI164" i="63" s="1"/>
  <c r="AI165" i="63" s="1"/>
  <c r="AI166" i="63" s="1"/>
  <c r="AI167" i="63" s="1"/>
  <c r="AI168" i="63" s="1"/>
  <c r="AI169" i="63" s="1"/>
  <c r="AI170" i="63" s="1"/>
  <c r="AI171" i="63" s="1"/>
  <c r="AI172" i="63" s="1"/>
  <c r="AI173" i="63" s="1"/>
  <c r="AI174" i="63" s="1"/>
  <c r="AI175" i="63" s="1"/>
  <c r="AI176" i="63" s="1"/>
  <c r="AI177" i="63" s="1"/>
  <c r="AI178" i="63" s="1"/>
  <c r="AI179" i="63" s="1"/>
  <c r="AI180" i="63" s="1"/>
  <c r="AI181" i="63" s="1"/>
  <c r="AI182" i="63" s="1"/>
  <c r="AI183" i="63" s="1"/>
  <c r="AI184" i="63" s="1"/>
  <c r="AI185" i="63" s="1"/>
  <c r="AI186" i="63" s="1"/>
  <c r="AI187" i="63" s="1"/>
  <c r="AI188" i="63" s="1"/>
  <c r="AI189" i="63" s="1"/>
  <c r="AI190" i="63" s="1"/>
  <c r="AI191" i="63" s="1"/>
  <c r="AI192" i="63" s="1"/>
  <c r="AI193" i="63" s="1"/>
  <c r="AI194" i="63" s="1"/>
  <c r="AI195" i="63" s="1"/>
  <c r="AI196" i="63" s="1"/>
  <c r="AI197" i="63" s="1"/>
  <c r="AI198" i="63" s="1"/>
  <c r="AI199" i="63" s="1"/>
  <c r="AI200" i="63" s="1"/>
  <c r="AI201" i="63" s="1"/>
  <c r="AI202" i="63" s="1"/>
  <c r="AI203" i="63" s="1"/>
  <c r="AI204" i="63" s="1"/>
  <c r="AI205" i="63" s="1"/>
  <c r="AI206" i="63" s="1"/>
  <c r="AI207" i="63" s="1"/>
  <c r="AI208" i="63" s="1"/>
  <c r="AI209" i="63" s="1"/>
  <c r="AI210" i="63" s="1"/>
  <c r="AI211" i="63" s="1"/>
  <c r="AI212" i="63" s="1"/>
  <c r="AI213" i="63" s="1"/>
  <c r="AI214" i="63" s="1"/>
  <c r="AI215" i="63" s="1"/>
  <c r="AI216" i="63" s="1"/>
  <c r="AI217" i="63" s="1"/>
  <c r="AI218" i="63" s="1"/>
  <c r="AI219" i="63" s="1"/>
  <c r="AI220" i="63" s="1"/>
  <c r="AI221" i="63" s="1"/>
  <c r="AI222" i="63" s="1"/>
  <c r="AI223" i="63" s="1"/>
  <c r="AI224" i="63" s="1"/>
  <c r="AI225" i="63" s="1"/>
  <c r="AI226" i="63" s="1"/>
  <c r="AI227" i="63" s="1"/>
  <c r="AI228" i="63" s="1"/>
  <c r="AI229" i="63" s="1"/>
  <c r="AI230" i="63" s="1"/>
  <c r="AI231" i="63" s="1"/>
  <c r="AI232" i="63" s="1"/>
  <c r="AI233" i="63" s="1"/>
  <c r="AI234" i="63" s="1"/>
  <c r="AI235" i="63" s="1"/>
  <c r="AI236" i="63" s="1"/>
  <c r="AI237" i="63" s="1"/>
  <c r="AI238" i="63" s="1"/>
  <c r="AI239" i="63" s="1"/>
  <c r="AI240" i="63" s="1"/>
  <c r="AI241" i="63" s="1"/>
  <c r="AI242" i="63" s="1"/>
  <c r="AI243" i="63" s="1"/>
  <c r="AI244" i="63" s="1"/>
  <c r="AI245" i="63" s="1"/>
  <c r="AI246" i="63" s="1"/>
  <c r="AI247" i="63" s="1"/>
  <c r="AI248" i="63" s="1"/>
  <c r="AI249" i="63" s="1"/>
  <c r="AI250" i="63" s="1"/>
  <c r="AI251" i="63" s="1"/>
  <c r="AI252" i="63" s="1"/>
  <c r="AI253" i="63" s="1"/>
  <c r="AI254" i="63" s="1"/>
  <c r="AI255" i="63" s="1"/>
  <c r="AI256" i="63" s="1"/>
  <c r="AI257" i="63" s="1"/>
  <c r="AI258" i="63" s="1"/>
  <c r="AI259" i="63" s="1"/>
  <c r="AI260" i="63" s="1"/>
  <c r="AI261" i="63" s="1"/>
  <c r="AI262" i="63" s="1"/>
  <c r="AI263" i="63" s="1"/>
  <c r="AI264" i="63" s="1"/>
  <c r="AI265" i="63" s="1"/>
  <c r="AI266" i="63" s="1"/>
  <c r="AI267" i="63" s="1"/>
  <c r="AI268" i="63" s="1"/>
  <c r="AI269" i="63" s="1"/>
  <c r="AI270" i="63" s="1"/>
  <c r="AI271" i="63" s="1"/>
  <c r="AI272" i="63" s="1"/>
  <c r="AI273" i="63" s="1"/>
  <c r="AI274" i="63" s="1"/>
  <c r="AI275" i="63" s="1"/>
  <c r="AI276" i="63" s="1"/>
  <c r="AI277" i="63" s="1"/>
  <c r="AI278" i="63" s="1"/>
  <c r="AI279" i="63" s="1"/>
  <c r="AI280" i="63" s="1"/>
  <c r="AI281" i="63" s="1"/>
  <c r="AI282" i="63" s="1"/>
  <c r="AI283" i="63" s="1"/>
  <c r="AI284" i="63" s="1"/>
  <c r="AI285" i="63" s="1"/>
  <c r="AI286" i="63" s="1"/>
  <c r="AI287" i="63" s="1"/>
  <c r="AI288" i="63" s="1"/>
  <c r="AI289" i="63" s="1"/>
  <c r="AI290" i="63" s="1"/>
  <c r="AI291" i="63" s="1"/>
  <c r="AI292" i="63" s="1"/>
  <c r="AI293" i="63" s="1"/>
  <c r="AI294" i="63" s="1"/>
  <c r="AI295" i="63" s="1"/>
  <c r="AI296" i="63" s="1"/>
  <c r="AI297" i="63" s="1"/>
  <c r="AI298" i="63" s="1"/>
  <c r="AI299" i="63" s="1"/>
  <c r="AI300" i="63" s="1"/>
  <c r="AI301" i="63" s="1"/>
  <c r="AI302" i="63" s="1"/>
  <c r="AI303" i="63" s="1"/>
  <c r="AI304" i="63" s="1"/>
  <c r="AI305" i="63" s="1"/>
  <c r="AI306" i="63" s="1"/>
  <c r="AI307" i="63" s="1"/>
  <c r="AI308" i="63" s="1"/>
  <c r="AI7" i="63"/>
  <c r="AI6" i="63"/>
  <c r="AI5" i="63"/>
  <c r="AI4" i="63"/>
  <c r="AH8" i="63"/>
  <c r="AH7" i="63"/>
  <c r="AH6" i="63"/>
  <c r="AH5" i="63"/>
  <c r="AH4" i="63"/>
  <c r="AG8" i="63"/>
  <c r="AG9" i="63" s="1"/>
  <c r="AG10" i="63" s="1"/>
  <c r="AG11" i="63" s="1"/>
  <c r="AG12" i="63" s="1"/>
  <c r="AG13" i="63" s="1"/>
  <c r="AG14" i="63" s="1"/>
  <c r="AG15" i="63" s="1"/>
  <c r="AG16" i="63" s="1"/>
  <c r="AG17" i="63" s="1"/>
  <c r="AG18" i="63" s="1"/>
  <c r="AG19" i="63" s="1"/>
  <c r="AG20" i="63" s="1"/>
  <c r="AG21" i="63" s="1"/>
  <c r="AG22" i="63" s="1"/>
  <c r="AG23" i="63" s="1"/>
  <c r="AG24" i="63" s="1"/>
  <c r="AG25" i="63" s="1"/>
  <c r="AG26" i="63" s="1"/>
  <c r="AG27" i="63" s="1"/>
  <c r="AG28" i="63" s="1"/>
  <c r="AG29" i="63" s="1"/>
  <c r="AG30" i="63" s="1"/>
  <c r="AG31" i="63" s="1"/>
  <c r="AG32" i="63" s="1"/>
  <c r="AG33" i="63" s="1"/>
  <c r="AG34" i="63" s="1"/>
  <c r="AG35" i="63" s="1"/>
  <c r="AG36" i="63" s="1"/>
  <c r="AG37" i="63" s="1"/>
  <c r="AG38" i="63" s="1"/>
  <c r="AG39" i="63" s="1"/>
  <c r="AG40" i="63" s="1"/>
  <c r="AG41" i="63" s="1"/>
  <c r="AG42" i="63" s="1"/>
  <c r="AG43" i="63" s="1"/>
  <c r="AG44" i="63" s="1"/>
  <c r="AG45" i="63" s="1"/>
  <c r="AG46" i="63" s="1"/>
  <c r="AG47" i="63" s="1"/>
  <c r="AG48" i="63" s="1"/>
  <c r="AG49" i="63" s="1"/>
  <c r="AG50" i="63" s="1"/>
  <c r="AG51" i="63" s="1"/>
  <c r="AG52" i="63" s="1"/>
  <c r="AG53" i="63" s="1"/>
  <c r="AG54" i="63" s="1"/>
  <c r="AG55" i="63" s="1"/>
  <c r="AG56" i="63" s="1"/>
  <c r="AG57" i="63" s="1"/>
  <c r="AG58" i="63" s="1"/>
  <c r="AG59" i="63" s="1"/>
  <c r="AG60" i="63" s="1"/>
  <c r="AG61" i="63" s="1"/>
  <c r="AG62" i="63" s="1"/>
  <c r="AG63" i="63" s="1"/>
  <c r="AG64" i="63" s="1"/>
  <c r="AG65" i="63" s="1"/>
  <c r="AG66" i="63" s="1"/>
  <c r="AG67" i="63" s="1"/>
  <c r="AG68" i="63" s="1"/>
  <c r="AG69" i="63" s="1"/>
  <c r="AG70" i="63" s="1"/>
  <c r="AG71" i="63" s="1"/>
  <c r="AG72" i="63" s="1"/>
  <c r="AG73" i="63" s="1"/>
  <c r="AG74" i="63" s="1"/>
  <c r="AG75" i="63" s="1"/>
  <c r="AG76" i="63" s="1"/>
  <c r="AG77" i="63" s="1"/>
  <c r="AG78" i="63" s="1"/>
  <c r="AG79" i="63" s="1"/>
  <c r="AG80" i="63" s="1"/>
  <c r="AG81" i="63" s="1"/>
  <c r="AG82" i="63" s="1"/>
  <c r="AG83" i="63" s="1"/>
  <c r="AG84" i="63" s="1"/>
  <c r="AG85" i="63" s="1"/>
  <c r="AG86" i="63" s="1"/>
  <c r="AG87" i="63" s="1"/>
  <c r="AG88" i="63" s="1"/>
  <c r="AG89" i="63" s="1"/>
  <c r="AG90" i="63" s="1"/>
  <c r="AG91" i="63" s="1"/>
  <c r="AG92" i="63" s="1"/>
  <c r="AG93" i="63" s="1"/>
  <c r="AG94" i="63" s="1"/>
  <c r="AG95" i="63" s="1"/>
  <c r="AG96" i="63" s="1"/>
  <c r="AG97" i="63" s="1"/>
  <c r="AG98" i="63" s="1"/>
  <c r="AG99" i="63" s="1"/>
  <c r="AG100" i="63" s="1"/>
  <c r="AG101" i="63" s="1"/>
  <c r="AG102" i="63" s="1"/>
  <c r="AG103" i="63" s="1"/>
  <c r="AG104" i="63" s="1"/>
  <c r="AG105" i="63" s="1"/>
  <c r="AG106" i="63" s="1"/>
  <c r="AG107" i="63" s="1"/>
  <c r="AG108" i="63" s="1"/>
  <c r="AG109" i="63" s="1"/>
  <c r="AG110" i="63" s="1"/>
  <c r="AG111" i="63" s="1"/>
  <c r="AG112" i="63" s="1"/>
  <c r="AG113" i="63" s="1"/>
  <c r="AG114" i="63" s="1"/>
  <c r="AG115" i="63" s="1"/>
  <c r="AG116" i="63" s="1"/>
  <c r="AG117" i="63" s="1"/>
  <c r="AG118" i="63" s="1"/>
  <c r="AG119" i="63" s="1"/>
  <c r="AG120" i="63" s="1"/>
  <c r="AG121" i="63" s="1"/>
  <c r="AG122" i="63" s="1"/>
  <c r="AG123" i="63" s="1"/>
  <c r="AG124" i="63" s="1"/>
  <c r="AG125" i="63" s="1"/>
  <c r="AG126" i="63" s="1"/>
  <c r="AG127" i="63" s="1"/>
  <c r="AG128" i="63" s="1"/>
  <c r="AG129" i="63" s="1"/>
  <c r="AG130" i="63" s="1"/>
  <c r="AG131" i="63" s="1"/>
  <c r="AG132" i="63" s="1"/>
  <c r="AG133" i="63" s="1"/>
  <c r="AG134" i="63" s="1"/>
  <c r="AG135" i="63" s="1"/>
  <c r="AG136" i="63" s="1"/>
  <c r="AG137" i="63" s="1"/>
  <c r="AG138" i="63" s="1"/>
  <c r="AG139" i="63" s="1"/>
  <c r="AG140" i="63" s="1"/>
  <c r="AG141" i="63" s="1"/>
  <c r="AG142" i="63" s="1"/>
  <c r="AG143" i="63" s="1"/>
  <c r="AG144" i="63" s="1"/>
  <c r="AG145" i="63" s="1"/>
  <c r="AG146" i="63" s="1"/>
  <c r="AG147" i="63" s="1"/>
  <c r="AG148" i="63" s="1"/>
  <c r="AG149" i="63" s="1"/>
  <c r="AG150" i="63" s="1"/>
  <c r="AG151" i="63" s="1"/>
  <c r="AG152" i="63" s="1"/>
  <c r="AG153" i="63" s="1"/>
  <c r="AG154" i="63" s="1"/>
  <c r="AG155" i="63" s="1"/>
  <c r="AG156" i="63" s="1"/>
  <c r="AG157" i="63" s="1"/>
  <c r="AG158" i="63" s="1"/>
  <c r="AG159" i="63" s="1"/>
  <c r="AG160" i="63" s="1"/>
  <c r="AG161" i="63" s="1"/>
  <c r="AG162" i="63" s="1"/>
  <c r="AG163" i="63" s="1"/>
  <c r="AG164" i="63" s="1"/>
  <c r="AG165" i="63" s="1"/>
  <c r="AG166" i="63" s="1"/>
  <c r="AG167" i="63" s="1"/>
  <c r="AG168" i="63" s="1"/>
  <c r="AG169" i="63" s="1"/>
  <c r="AG170" i="63" s="1"/>
  <c r="AG171" i="63" s="1"/>
  <c r="AG172" i="63" s="1"/>
  <c r="AG173" i="63" s="1"/>
  <c r="AG174" i="63" s="1"/>
  <c r="AG175" i="63" s="1"/>
  <c r="AG176" i="63" s="1"/>
  <c r="AG177" i="63" s="1"/>
  <c r="AG178" i="63" s="1"/>
  <c r="AG179" i="63" s="1"/>
  <c r="AG180" i="63" s="1"/>
  <c r="AG181" i="63" s="1"/>
  <c r="AG182" i="63" s="1"/>
  <c r="AG183" i="63" s="1"/>
  <c r="AG184" i="63" s="1"/>
  <c r="AG185" i="63" s="1"/>
  <c r="AG186" i="63" s="1"/>
  <c r="AG187" i="63" s="1"/>
  <c r="AG188" i="63" s="1"/>
  <c r="AG189" i="63" s="1"/>
  <c r="AG190" i="63" s="1"/>
  <c r="AG191" i="63" s="1"/>
  <c r="AG192" i="63" s="1"/>
  <c r="AG193" i="63" s="1"/>
  <c r="AG194" i="63" s="1"/>
  <c r="AG195" i="63" s="1"/>
  <c r="AG196" i="63" s="1"/>
  <c r="AG197" i="63" s="1"/>
  <c r="AG198" i="63" s="1"/>
  <c r="AG199" i="63" s="1"/>
  <c r="AG200" i="63" s="1"/>
  <c r="AG201" i="63" s="1"/>
  <c r="AG202" i="63" s="1"/>
  <c r="AG203" i="63" s="1"/>
  <c r="AG204" i="63" s="1"/>
  <c r="AG205" i="63" s="1"/>
  <c r="AG206" i="63" s="1"/>
  <c r="AG207" i="63" s="1"/>
  <c r="AG208" i="63" s="1"/>
  <c r="AG209" i="63" s="1"/>
  <c r="AG210" i="63" s="1"/>
  <c r="AG211" i="63" s="1"/>
  <c r="AG212" i="63" s="1"/>
  <c r="AG213" i="63" s="1"/>
  <c r="AG214" i="63" s="1"/>
  <c r="AG215" i="63" s="1"/>
  <c r="AG216" i="63" s="1"/>
  <c r="AG217" i="63" s="1"/>
  <c r="AG218" i="63" s="1"/>
  <c r="AG219" i="63" s="1"/>
  <c r="AG220" i="63" s="1"/>
  <c r="AG221" i="63" s="1"/>
  <c r="AG222" i="63" s="1"/>
  <c r="AG223" i="63" s="1"/>
  <c r="AG224" i="63" s="1"/>
  <c r="AG225" i="63" s="1"/>
  <c r="AG226" i="63" s="1"/>
  <c r="AG227" i="63" s="1"/>
  <c r="AG228" i="63" s="1"/>
  <c r="AG229" i="63" s="1"/>
  <c r="AG230" i="63" s="1"/>
  <c r="AG231" i="63" s="1"/>
  <c r="AG232" i="63" s="1"/>
  <c r="AG233" i="63" s="1"/>
  <c r="AG234" i="63" s="1"/>
  <c r="AG235" i="63" s="1"/>
  <c r="AG236" i="63" s="1"/>
  <c r="AG237" i="63" s="1"/>
  <c r="AG238" i="63" s="1"/>
  <c r="AG239" i="63" s="1"/>
  <c r="AG240" i="63" s="1"/>
  <c r="AG241" i="63" s="1"/>
  <c r="AG242" i="63" s="1"/>
  <c r="AG243" i="63" s="1"/>
  <c r="AG244" i="63" s="1"/>
  <c r="AG245" i="63" s="1"/>
  <c r="AG246" i="63" s="1"/>
  <c r="AG247" i="63" s="1"/>
  <c r="AG248" i="63" s="1"/>
  <c r="AG249" i="63" s="1"/>
  <c r="AG250" i="63" s="1"/>
  <c r="AG251" i="63" s="1"/>
  <c r="AG252" i="63" s="1"/>
  <c r="AG253" i="63" s="1"/>
  <c r="AG254" i="63" s="1"/>
  <c r="AG255" i="63" s="1"/>
  <c r="AG256" i="63" s="1"/>
  <c r="AG257" i="63" s="1"/>
  <c r="AG258" i="63" s="1"/>
  <c r="AG259" i="63" s="1"/>
  <c r="AG260" i="63" s="1"/>
  <c r="AG261" i="63" s="1"/>
  <c r="AG262" i="63" s="1"/>
  <c r="AG263" i="63" s="1"/>
  <c r="AG264" i="63" s="1"/>
  <c r="AG265" i="63" s="1"/>
  <c r="AG266" i="63" s="1"/>
  <c r="AG267" i="63" s="1"/>
  <c r="AG268" i="63" s="1"/>
  <c r="AG269" i="63" s="1"/>
  <c r="AG270" i="63" s="1"/>
  <c r="AG271" i="63" s="1"/>
  <c r="AG272" i="63" s="1"/>
  <c r="AG273" i="63" s="1"/>
  <c r="AG274" i="63" s="1"/>
  <c r="AG275" i="63" s="1"/>
  <c r="AG276" i="63" s="1"/>
  <c r="AG277" i="63" s="1"/>
  <c r="AG278" i="63" s="1"/>
  <c r="AG279" i="63" s="1"/>
  <c r="AG280" i="63" s="1"/>
  <c r="AG281" i="63" s="1"/>
  <c r="AG282" i="63" s="1"/>
  <c r="AG283" i="63" s="1"/>
  <c r="AG284" i="63" s="1"/>
  <c r="AG285" i="63" s="1"/>
  <c r="AG286" i="63" s="1"/>
  <c r="AG287" i="63" s="1"/>
  <c r="AG288" i="63" s="1"/>
  <c r="AG289" i="63" s="1"/>
  <c r="AG290" i="63" s="1"/>
  <c r="AG291" i="63" s="1"/>
  <c r="AG292" i="63" s="1"/>
  <c r="AG293" i="63" s="1"/>
  <c r="AG294" i="63" s="1"/>
  <c r="AG295" i="63" s="1"/>
  <c r="AG296" i="63" s="1"/>
  <c r="AG297" i="63" s="1"/>
  <c r="AG298" i="63" s="1"/>
  <c r="AG299" i="63" s="1"/>
  <c r="AG300" i="63" s="1"/>
  <c r="AG301" i="63" s="1"/>
  <c r="AG302" i="63" s="1"/>
  <c r="AG303" i="63" s="1"/>
  <c r="AG304" i="63" s="1"/>
  <c r="AG305" i="63" s="1"/>
  <c r="AG306" i="63" s="1"/>
  <c r="AG307" i="63" s="1"/>
  <c r="AG308" i="63" s="1"/>
  <c r="AG7" i="63"/>
  <c r="AG6" i="63"/>
  <c r="AG5" i="63"/>
  <c r="AG4" i="63"/>
  <c r="AF8" i="63"/>
  <c r="AF9" i="63" s="1"/>
  <c r="AF10" i="63" s="1"/>
  <c r="AF11" i="63" s="1"/>
  <c r="AF12" i="63" s="1"/>
  <c r="AF13" i="63" s="1"/>
  <c r="AF14" i="63" s="1"/>
  <c r="AF15" i="63" s="1"/>
  <c r="AF16" i="63" s="1"/>
  <c r="AF17" i="63" s="1"/>
  <c r="AF18" i="63" s="1"/>
  <c r="AF19" i="63" s="1"/>
  <c r="AF20" i="63" s="1"/>
  <c r="AF21" i="63" s="1"/>
  <c r="AF22" i="63" s="1"/>
  <c r="AF23" i="63" s="1"/>
  <c r="AF24" i="63" s="1"/>
  <c r="AF25" i="63" s="1"/>
  <c r="AF26" i="63" s="1"/>
  <c r="AF27" i="63" s="1"/>
  <c r="AF28" i="63" s="1"/>
  <c r="AF29" i="63" s="1"/>
  <c r="AF30" i="63" s="1"/>
  <c r="AF31" i="63" s="1"/>
  <c r="AF32" i="63" s="1"/>
  <c r="AF33" i="63" s="1"/>
  <c r="AF34" i="63" s="1"/>
  <c r="AF35" i="63" s="1"/>
  <c r="AF36" i="63" s="1"/>
  <c r="AF37" i="63" s="1"/>
  <c r="AF38" i="63" s="1"/>
  <c r="AF39" i="63" s="1"/>
  <c r="AF40" i="63" s="1"/>
  <c r="AF41" i="63" s="1"/>
  <c r="AF42" i="63" s="1"/>
  <c r="AF43" i="63" s="1"/>
  <c r="AF44" i="63" s="1"/>
  <c r="AF45" i="63" s="1"/>
  <c r="AF46" i="63" s="1"/>
  <c r="AF47" i="63" s="1"/>
  <c r="AF48" i="63" s="1"/>
  <c r="AF49" i="63" s="1"/>
  <c r="AF50" i="63" s="1"/>
  <c r="AF51" i="63" s="1"/>
  <c r="AF52" i="63" s="1"/>
  <c r="AF53" i="63" s="1"/>
  <c r="AF54" i="63" s="1"/>
  <c r="AF55" i="63" s="1"/>
  <c r="AF56" i="63" s="1"/>
  <c r="AF57" i="63" s="1"/>
  <c r="AF58" i="63" s="1"/>
  <c r="AF59" i="63" s="1"/>
  <c r="AF60" i="63" s="1"/>
  <c r="AF61" i="63" s="1"/>
  <c r="AF62" i="63" s="1"/>
  <c r="AF63" i="63" s="1"/>
  <c r="AF64" i="63" s="1"/>
  <c r="AF65" i="63" s="1"/>
  <c r="AF66" i="63" s="1"/>
  <c r="AF67" i="63" s="1"/>
  <c r="AF68" i="63" s="1"/>
  <c r="AF69" i="63" s="1"/>
  <c r="AF70" i="63" s="1"/>
  <c r="AF71" i="63" s="1"/>
  <c r="AF72" i="63" s="1"/>
  <c r="AF73" i="63" s="1"/>
  <c r="AF74" i="63" s="1"/>
  <c r="AF75" i="63" s="1"/>
  <c r="AF76" i="63" s="1"/>
  <c r="AF77" i="63" s="1"/>
  <c r="AF78" i="63" s="1"/>
  <c r="AF79" i="63" s="1"/>
  <c r="AF80" i="63" s="1"/>
  <c r="AF81" i="63" s="1"/>
  <c r="AF82" i="63" s="1"/>
  <c r="AF83" i="63" s="1"/>
  <c r="AF84" i="63" s="1"/>
  <c r="AF85" i="63" s="1"/>
  <c r="AF86" i="63" s="1"/>
  <c r="AF87" i="63" s="1"/>
  <c r="AF88" i="63" s="1"/>
  <c r="AF89" i="63" s="1"/>
  <c r="AF90" i="63" s="1"/>
  <c r="AF91" i="63" s="1"/>
  <c r="AF92" i="63" s="1"/>
  <c r="AF93" i="63" s="1"/>
  <c r="AF94" i="63" s="1"/>
  <c r="AF95" i="63" s="1"/>
  <c r="AF96" i="63" s="1"/>
  <c r="AF97" i="63" s="1"/>
  <c r="AF98" i="63" s="1"/>
  <c r="AF99" i="63" s="1"/>
  <c r="AF100" i="63" s="1"/>
  <c r="AF101" i="63" s="1"/>
  <c r="AF102" i="63" s="1"/>
  <c r="AF103" i="63" s="1"/>
  <c r="AF104" i="63" s="1"/>
  <c r="AF105" i="63" s="1"/>
  <c r="AF106" i="63" s="1"/>
  <c r="AF107" i="63" s="1"/>
  <c r="AF108" i="63" s="1"/>
  <c r="AF109" i="63" s="1"/>
  <c r="AF110" i="63" s="1"/>
  <c r="AF111" i="63" s="1"/>
  <c r="AF112" i="63" s="1"/>
  <c r="AF113" i="63" s="1"/>
  <c r="AF114" i="63" s="1"/>
  <c r="AF115" i="63" s="1"/>
  <c r="AF116" i="63" s="1"/>
  <c r="AF117" i="63" s="1"/>
  <c r="AF118" i="63" s="1"/>
  <c r="AF119" i="63" s="1"/>
  <c r="AF120" i="63" s="1"/>
  <c r="AF121" i="63" s="1"/>
  <c r="AF122" i="63" s="1"/>
  <c r="AF123" i="63" s="1"/>
  <c r="AF124" i="63" s="1"/>
  <c r="AF125" i="63" s="1"/>
  <c r="AF126" i="63" s="1"/>
  <c r="AF127" i="63" s="1"/>
  <c r="AF128" i="63" s="1"/>
  <c r="AF129" i="63" s="1"/>
  <c r="AF130" i="63" s="1"/>
  <c r="AF131" i="63" s="1"/>
  <c r="AF132" i="63" s="1"/>
  <c r="AF133" i="63" s="1"/>
  <c r="AF134" i="63" s="1"/>
  <c r="AF135" i="63" s="1"/>
  <c r="AF136" i="63" s="1"/>
  <c r="AF137" i="63" s="1"/>
  <c r="AF138" i="63" s="1"/>
  <c r="AF139" i="63" s="1"/>
  <c r="AF140" i="63" s="1"/>
  <c r="AF141" i="63" s="1"/>
  <c r="AF142" i="63" s="1"/>
  <c r="AF143" i="63" s="1"/>
  <c r="AF144" i="63" s="1"/>
  <c r="AF145" i="63" s="1"/>
  <c r="AF146" i="63" s="1"/>
  <c r="AF147" i="63" s="1"/>
  <c r="AF148" i="63" s="1"/>
  <c r="AF149" i="63" s="1"/>
  <c r="AF150" i="63" s="1"/>
  <c r="AF151" i="63" s="1"/>
  <c r="AF152" i="63" s="1"/>
  <c r="AF153" i="63" s="1"/>
  <c r="AF154" i="63" s="1"/>
  <c r="AF155" i="63" s="1"/>
  <c r="AF156" i="63" s="1"/>
  <c r="AF157" i="63" s="1"/>
  <c r="AF158" i="63" s="1"/>
  <c r="AF159" i="63" s="1"/>
  <c r="AF160" i="63" s="1"/>
  <c r="AF161" i="63" s="1"/>
  <c r="AF162" i="63" s="1"/>
  <c r="AF163" i="63" s="1"/>
  <c r="AF164" i="63" s="1"/>
  <c r="AF165" i="63" s="1"/>
  <c r="AF166" i="63" s="1"/>
  <c r="AF167" i="63" s="1"/>
  <c r="AF168" i="63" s="1"/>
  <c r="AF169" i="63" s="1"/>
  <c r="AF170" i="63" s="1"/>
  <c r="AF171" i="63" s="1"/>
  <c r="AF172" i="63" s="1"/>
  <c r="AF173" i="63" s="1"/>
  <c r="AF174" i="63" s="1"/>
  <c r="AF175" i="63" s="1"/>
  <c r="AF176" i="63" s="1"/>
  <c r="AF177" i="63" s="1"/>
  <c r="AF178" i="63" s="1"/>
  <c r="AF179" i="63" s="1"/>
  <c r="AF180" i="63" s="1"/>
  <c r="AF181" i="63" s="1"/>
  <c r="AF182" i="63" s="1"/>
  <c r="AF183" i="63" s="1"/>
  <c r="AF184" i="63" s="1"/>
  <c r="AF185" i="63" s="1"/>
  <c r="AF186" i="63" s="1"/>
  <c r="AF187" i="63" s="1"/>
  <c r="AF188" i="63" s="1"/>
  <c r="AF189" i="63" s="1"/>
  <c r="AF190" i="63" s="1"/>
  <c r="AF191" i="63" s="1"/>
  <c r="AF192" i="63" s="1"/>
  <c r="AF193" i="63" s="1"/>
  <c r="AF194" i="63" s="1"/>
  <c r="AF195" i="63" s="1"/>
  <c r="AF196" i="63" s="1"/>
  <c r="AF197" i="63" s="1"/>
  <c r="AF198" i="63" s="1"/>
  <c r="AF199" i="63" s="1"/>
  <c r="AF200" i="63" s="1"/>
  <c r="AF201" i="63" s="1"/>
  <c r="AF202" i="63" s="1"/>
  <c r="AF203" i="63" s="1"/>
  <c r="AF204" i="63" s="1"/>
  <c r="AF205" i="63" s="1"/>
  <c r="AF206" i="63" s="1"/>
  <c r="AF207" i="63" s="1"/>
  <c r="AF208" i="63" s="1"/>
  <c r="AF209" i="63" s="1"/>
  <c r="AF210" i="63" s="1"/>
  <c r="AF211" i="63" s="1"/>
  <c r="AF212" i="63" s="1"/>
  <c r="AF213" i="63" s="1"/>
  <c r="AF214" i="63" s="1"/>
  <c r="AF215" i="63" s="1"/>
  <c r="AF216" i="63" s="1"/>
  <c r="AF217" i="63" s="1"/>
  <c r="AF218" i="63" s="1"/>
  <c r="AF219" i="63" s="1"/>
  <c r="AF220" i="63" s="1"/>
  <c r="AF221" i="63" s="1"/>
  <c r="AF222" i="63" s="1"/>
  <c r="AF223" i="63" s="1"/>
  <c r="AF224" i="63" s="1"/>
  <c r="AF225" i="63" s="1"/>
  <c r="AF226" i="63" s="1"/>
  <c r="AF227" i="63" s="1"/>
  <c r="AF228" i="63" s="1"/>
  <c r="AF229" i="63" s="1"/>
  <c r="AF230" i="63" s="1"/>
  <c r="AF231" i="63" s="1"/>
  <c r="AF232" i="63" s="1"/>
  <c r="AF233" i="63" s="1"/>
  <c r="AF234" i="63" s="1"/>
  <c r="AF235" i="63" s="1"/>
  <c r="AF236" i="63" s="1"/>
  <c r="AF237" i="63" s="1"/>
  <c r="AF238" i="63" s="1"/>
  <c r="AF239" i="63" s="1"/>
  <c r="AF240" i="63" s="1"/>
  <c r="AF241" i="63" s="1"/>
  <c r="AF242" i="63" s="1"/>
  <c r="AF243" i="63" s="1"/>
  <c r="AF244" i="63" s="1"/>
  <c r="AF245" i="63" s="1"/>
  <c r="AF246" i="63" s="1"/>
  <c r="AF247" i="63" s="1"/>
  <c r="AF248" i="63" s="1"/>
  <c r="AF249" i="63" s="1"/>
  <c r="AF250" i="63" s="1"/>
  <c r="AF251" i="63" s="1"/>
  <c r="AF252" i="63" s="1"/>
  <c r="AF253" i="63" s="1"/>
  <c r="AF254" i="63" s="1"/>
  <c r="AF255" i="63" s="1"/>
  <c r="AF256" i="63" s="1"/>
  <c r="AF257" i="63" s="1"/>
  <c r="AF258" i="63" s="1"/>
  <c r="AF259" i="63" s="1"/>
  <c r="AF260" i="63" s="1"/>
  <c r="AF261" i="63" s="1"/>
  <c r="AF262" i="63" s="1"/>
  <c r="AF263" i="63" s="1"/>
  <c r="AF264" i="63" s="1"/>
  <c r="AF265" i="63" s="1"/>
  <c r="AF266" i="63" s="1"/>
  <c r="AF267" i="63" s="1"/>
  <c r="AF268" i="63" s="1"/>
  <c r="AF269" i="63" s="1"/>
  <c r="AF270" i="63" s="1"/>
  <c r="AF271" i="63" s="1"/>
  <c r="AF272" i="63" s="1"/>
  <c r="AF273" i="63" s="1"/>
  <c r="AF274" i="63" s="1"/>
  <c r="AF275" i="63" s="1"/>
  <c r="AF276" i="63" s="1"/>
  <c r="AF277" i="63" s="1"/>
  <c r="AF278" i="63" s="1"/>
  <c r="AF279" i="63" s="1"/>
  <c r="AF280" i="63" s="1"/>
  <c r="AF281" i="63" s="1"/>
  <c r="AF282" i="63" s="1"/>
  <c r="AF283" i="63" s="1"/>
  <c r="AF284" i="63" s="1"/>
  <c r="AF285" i="63" s="1"/>
  <c r="AF286" i="63" s="1"/>
  <c r="AF287" i="63" s="1"/>
  <c r="AF288" i="63" s="1"/>
  <c r="AF289" i="63" s="1"/>
  <c r="AF290" i="63" s="1"/>
  <c r="AF291" i="63" s="1"/>
  <c r="AF292" i="63" s="1"/>
  <c r="AF293" i="63" s="1"/>
  <c r="AF294" i="63" s="1"/>
  <c r="AF295" i="63" s="1"/>
  <c r="AF296" i="63" s="1"/>
  <c r="AF297" i="63" s="1"/>
  <c r="AF298" i="63" s="1"/>
  <c r="AF299" i="63" s="1"/>
  <c r="AF300" i="63" s="1"/>
  <c r="AF301" i="63" s="1"/>
  <c r="AF302" i="63" s="1"/>
  <c r="AF303" i="63" s="1"/>
  <c r="AF304" i="63" s="1"/>
  <c r="AF305" i="63" s="1"/>
  <c r="AF306" i="63" s="1"/>
  <c r="AF307" i="63" s="1"/>
  <c r="AF308" i="63" s="1"/>
  <c r="AF7" i="63"/>
  <c r="AF6" i="63"/>
  <c r="AF5" i="63"/>
  <c r="AF4" i="63"/>
  <c r="AE8" i="63"/>
  <c r="AE9" i="63" s="1"/>
  <c r="AE10" i="63" s="1"/>
  <c r="AE11" i="63" s="1"/>
  <c r="AE12" i="63" s="1"/>
  <c r="AE13" i="63" s="1"/>
  <c r="AE14" i="63" s="1"/>
  <c r="AE15" i="63" s="1"/>
  <c r="AE16" i="63" s="1"/>
  <c r="AE17" i="63" s="1"/>
  <c r="AE18" i="63" s="1"/>
  <c r="AE19" i="63" s="1"/>
  <c r="AE20" i="63" s="1"/>
  <c r="AE21" i="63" s="1"/>
  <c r="AE22" i="63" s="1"/>
  <c r="AE23" i="63" s="1"/>
  <c r="AE24" i="63" s="1"/>
  <c r="AE25" i="63" s="1"/>
  <c r="AE26" i="63" s="1"/>
  <c r="AE27" i="63" s="1"/>
  <c r="AE28" i="63" s="1"/>
  <c r="AE29" i="63" s="1"/>
  <c r="AE30" i="63" s="1"/>
  <c r="AE31" i="63" s="1"/>
  <c r="AE32" i="63" s="1"/>
  <c r="AE33" i="63" s="1"/>
  <c r="AE34" i="63" s="1"/>
  <c r="AE35" i="63" s="1"/>
  <c r="AE36" i="63" s="1"/>
  <c r="AE37" i="63" s="1"/>
  <c r="AE38" i="63" s="1"/>
  <c r="AE39" i="63" s="1"/>
  <c r="AE40" i="63" s="1"/>
  <c r="AE41" i="63" s="1"/>
  <c r="AE42" i="63" s="1"/>
  <c r="AE43" i="63" s="1"/>
  <c r="AE44" i="63" s="1"/>
  <c r="AE45" i="63" s="1"/>
  <c r="AE46" i="63" s="1"/>
  <c r="AE47" i="63" s="1"/>
  <c r="AE48" i="63" s="1"/>
  <c r="AE49" i="63" s="1"/>
  <c r="AE50" i="63" s="1"/>
  <c r="AE51" i="63" s="1"/>
  <c r="AE52" i="63" s="1"/>
  <c r="AE53" i="63" s="1"/>
  <c r="AE54" i="63" s="1"/>
  <c r="AE55" i="63" s="1"/>
  <c r="AE56" i="63" s="1"/>
  <c r="AE57" i="63" s="1"/>
  <c r="AE58" i="63" s="1"/>
  <c r="AE59" i="63" s="1"/>
  <c r="AE60" i="63" s="1"/>
  <c r="AE61" i="63" s="1"/>
  <c r="AE62" i="63" s="1"/>
  <c r="AE63" i="63" s="1"/>
  <c r="AE64" i="63" s="1"/>
  <c r="AE65" i="63" s="1"/>
  <c r="AE66" i="63" s="1"/>
  <c r="AE67" i="63" s="1"/>
  <c r="AE68" i="63" s="1"/>
  <c r="AE69" i="63" s="1"/>
  <c r="AE70" i="63" s="1"/>
  <c r="AE71" i="63" s="1"/>
  <c r="AE72" i="63" s="1"/>
  <c r="AE73" i="63" s="1"/>
  <c r="AE74" i="63" s="1"/>
  <c r="AE75" i="63" s="1"/>
  <c r="AE76" i="63" s="1"/>
  <c r="AE77" i="63" s="1"/>
  <c r="AE78" i="63" s="1"/>
  <c r="AE79" i="63" s="1"/>
  <c r="AE80" i="63" s="1"/>
  <c r="AE81" i="63" s="1"/>
  <c r="AE82" i="63" s="1"/>
  <c r="AE83" i="63" s="1"/>
  <c r="AE84" i="63" s="1"/>
  <c r="AE85" i="63" s="1"/>
  <c r="AE86" i="63" s="1"/>
  <c r="AE87" i="63" s="1"/>
  <c r="AE88" i="63" s="1"/>
  <c r="AE89" i="63" s="1"/>
  <c r="AE90" i="63" s="1"/>
  <c r="AE91" i="63" s="1"/>
  <c r="AE92" i="63" s="1"/>
  <c r="AE93" i="63" s="1"/>
  <c r="AE94" i="63" s="1"/>
  <c r="AE95" i="63" s="1"/>
  <c r="AE96" i="63" s="1"/>
  <c r="AE97" i="63" s="1"/>
  <c r="AE98" i="63" s="1"/>
  <c r="AE99" i="63" s="1"/>
  <c r="AE100" i="63" s="1"/>
  <c r="AE101" i="63" s="1"/>
  <c r="AE102" i="63" s="1"/>
  <c r="AE103" i="63" s="1"/>
  <c r="AE104" i="63" s="1"/>
  <c r="AE105" i="63" s="1"/>
  <c r="AE106" i="63" s="1"/>
  <c r="AE107" i="63" s="1"/>
  <c r="AE108" i="63" s="1"/>
  <c r="AE109" i="63" s="1"/>
  <c r="AE110" i="63" s="1"/>
  <c r="AE111" i="63" s="1"/>
  <c r="AE112" i="63" s="1"/>
  <c r="AE113" i="63" s="1"/>
  <c r="AE114" i="63" s="1"/>
  <c r="AE115" i="63" s="1"/>
  <c r="AE116" i="63" s="1"/>
  <c r="AE117" i="63" s="1"/>
  <c r="AE118" i="63" s="1"/>
  <c r="AE119" i="63" s="1"/>
  <c r="AE120" i="63" s="1"/>
  <c r="AE121" i="63" s="1"/>
  <c r="AE122" i="63" s="1"/>
  <c r="AE123" i="63" s="1"/>
  <c r="AE124" i="63" s="1"/>
  <c r="AE125" i="63" s="1"/>
  <c r="AE126" i="63" s="1"/>
  <c r="AE127" i="63" s="1"/>
  <c r="AE128" i="63" s="1"/>
  <c r="AE129" i="63" s="1"/>
  <c r="AE130" i="63" s="1"/>
  <c r="AE131" i="63" s="1"/>
  <c r="AE132" i="63" s="1"/>
  <c r="AE133" i="63" s="1"/>
  <c r="AE134" i="63" s="1"/>
  <c r="AE135" i="63" s="1"/>
  <c r="AE136" i="63" s="1"/>
  <c r="AE137" i="63" s="1"/>
  <c r="AE138" i="63" s="1"/>
  <c r="AE139" i="63" s="1"/>
  <c r="AE140" i="63" s="1"/>
  <c r="AE141" i="63" s="1"/>
  <c r="AE142" i="63" s="1"/>
  <c r="AE143" i="63" s="1"/>
  <c r="AE144" i="63" s="1"/>
  <c r="AE145" i="63" s="1"/>
  <c r="AE146" i="63" s="1"/>
  <c r="AE147" i="63" s="1"/>
  <c r="AE148" i="63" s="1"/>
  <c r="AE149" i="63" s="1"/>
  <c r="AE150" i="63" s="1"/>
  <c r="AE151" i="63" s="1"/>
  <c r="AE152" i="63" s="1"/>
  <c r="AE153" i="63" s="1"/>
  <c r="AE154" i="63" s="1"/>
  <c r="AE155" i="63" s="1"/>
  <c r="AE156" i="63" s="1"/>
  <c r="AE157" i="63" s="1"/>
  <c r="AE158" i="63" s="1"/>
  <c r="AE159" i="63" s="1"/>
  <c r="AE160" i="63" s="1"/>
  <c r="AE161" i="63" s="1"/>
  <c r="AE162" i="63" s="1"/>
  <c r="AE163" i="63" s="1"/>
  <c r="AE164" i="63" s="1"/>
  <c r="AE165" i="63" s="1"/>
  <c r="AE166" i="63" s="1"/>
  <c r="AE167" i="63" s="1"/>
  <c r="AE168" i="63" s="1"/>
  <c r="AE169" i="63" s="1"/>
  <c r="AE170" i="63" s="1"/>
  <c r="AE171" i="63" s="1"/>
  <c r="AE172" i="63" s="1"/>
  <c r="AE173" i="63" s="1"/>
  <c r="AE174" i="63" s="1"/>
  <c r="AE175" i="63" s="1"/>
  <c r="AE176" i="63" s="1"/>
  <c r="AE177" i="63" s="1"/>
  <c r="AE178" i="63" s="1"/>
  <c r="AE179" i="63" s="1"/>
  <c r="AE180" i="63" s="1"/>
  <c r="AE181" i="63" s="1"/>
  <c r="AE182" i="63" s="1"/>
  <c r="AE183" i="63" s="1"/>
  <c r="AE184" i="63" s="1"/>
  <c r="AE185" i="63" s="1"/>
  <c r="AE186" i="63" s="1"/>
  <c r="AE187" i="63" s="1"/>
  <c r="AE188" i="63" s="1"/>
  <c r="AE189" i="63" s="1"/>
  <c r="AE190" i="63" s="1"/>
  <c r="AE191" i="63" s="1"/>
  <c r="AE192" i="63" s="1"/>
  <c r="AE193" i="63" s="1"/>
  <c r="AE194" i="63" s="1"/>
  <c r="AE195" i="63" s="1"/>
  <c r="AE196" i="63" s="1"/>
  <c r="AE197" i="63" s="1"/>
  <c r="AE198" i="63" s="1"/>
  <c r="AE199" i="63" s="1"/>
  <c r="AE200" i="63" s="1"/>
  <c r="AE201" i="63" s="1"/>
  <c r="AE202" i="63" s="1"/>
  <c r="AE203" i="63" s="1"/>
  <c r="AE204" i="63" s="1"/>
  <c r="AE205" i="63" s="1"/>
  <c r="AE206" i="63" s="1"/>
  <c r="AE207" i="63" s="1"/>
  <c r="AE208" i="63" s="1"/>
  <c r="AE209" i="63" s="1"/>
  <c r="AE210" i="63" s="1"/>
  <c r="AE211" i="63" s="1"/>
  <c r="AE212" i="63" s="1"/>
  <c r="AE213" i="63" s="1"/>
  <c r="AE214" i="63" s="1"/>
  <c r="AE215" i="63" s="1"/>
  <c r="AE216" i="63" s="1"/>
  <c r="AE217" i="63" s="1"/>
  <c r="AE218" i="63" s="1"/>
  <c r="AE219" i="63" s="1"/>
  <c r="AE220" i="63" s="1"/>
  <c r="AE221" i="63" s="1"/>
  <c r="AE222" i="63" s="1"/>
  <c r="AE223" i="63" s="1"/>
  <c r="AE224" i="63" s="1"/>
  <c r="AE225" i="63" s="1"/>
  <c r="AE226" i="63" s="1"/>
  <c r="AE227" i="63" s="1"/>
  <c r="AE228" i="63" s="1"/>
  <c r="AE229" i="63" s="1"/>
  <c r="AE230" i="63" s="1"/>
  <c r="AE231" i="63" s="1"/>
  <c r="AE232" i="63" s="1"/>
  <c r="AE233" i="63" s="1"/>
  <c r="AE234" i="63" s="1"/>
  <c r="AE235" i="63" s="1"/>
  <c r="AE236" i="63" s="1"/>
  <c r="AE237" i="63" s="1"/>
  <c r="AE238" i="63" s="1"/>
  <c r="AE239" i="63" s="1"/>
  <c r="AE240" i="63" s="1"/>
  <c r="AE241" i="63" s="1"/>
  <c r="AE242" i="63" s="1"/>
  <c r="AE243" i="63" s="1"/>
  <c r="AE244" i="63" s="1"/>
  <c r="AE245" i="63" s="1"/>
  <c r="AE246" i="63" s="1"/>
  <c r="AE247" i="63" s="1"/>
  <c r="AE248" i="63" s="1"/>
  <c r="AE249" i="63" s="1"/>
  <c r="AE250" i="63" s="1"/>
  <c r="AE251" i="63" s="1"/>
  <c r="AE252" i="63" s="1"/>
  <c r="AE253" i="63" s="1"/>
  <c r="AE254" i="63" s="1"/>
  <c r="AE255" i="63" s="1"/>
  <c r="AE256" i="63" s="1"/>
  <c r="AE257" i="63" s="1"/>
  <c r="AE258" i="63" s="1"/>
  <c r="AE259" i="63" s="1"/>
  <c r="AE260" i="63" s="1"/>
  <c r="AE261" i="63" s="1"/>
  <c r="AE262" i="63" s="1"/>
  <c r="AE263" i="63" s="1"/>
  <c r="AE264" i="63" s="1"/>
  <c r="AE265" i="63" s="1"/>
  <c r="AE266" i="63" s="1"/>
  <c r="AE267" i="63" s="1"/>
  <c r="AE268" i="63" s="1"/>
  <c r="AE269" i="63" s="1"/>
  <c r="AE270" i="63" s="1"/>
  <c r="AE271" i="63" s="1"/>
  <c r="AE272" i="63" s="1"/>
  <c r="AE273" i="63" s="1"/>
  <c r="AE274" i="63" s="1"/>
  <c r="AE275" i="63" s="1"/>
  <c r="AE276" i="63" s="1"/>
  <c r="AE277" i="63" s="1"/>
  <c r="AE278" i="63" s="1"/>
  <c r="AE279" i="63" s="1"/>
  <c r="AE280" i="63" s="1"/>
  <c r="AE281" i="63" s="1"/>
  <c r="AE282" i="63" s="1"/>
  <c r="AE283" i="63" s="1"/>
  <c r="AE284" i="63" s="1"/>
  <c r="AE285" i="63" s="1"/>
  <c r="AE286" i="63" s="1"/>
  <c r="AE287" i="63" s="1"/>
  <c r="AE288" i="63" s="1"/>
  <c r="AE289" i="63" s="1"/>
  <c r="AE290" i="63" s="1"/>
  <c r="AE291" i="63" s="1"/>
  <c r="AE292" i="63" s="1"/>
  <c r="AE293" i="63" s="1"/>
  <c r="AE294" i="63" s="1"/>
  <c r="AE295" i="63" s="1"/>
  <c r="AE296" i="63" s="1"/>
  <c r="AE297" i="63" s="1"/>
  <c r="AE298" i="63" s="1"/>
  <c r="AE299" i="63" s="1"/>
  <c r="AE300" i="63" s="1"/>
  <c r="AE301" i="63" s="1"/>
  <c r="AE302" i="63" s="1"/>
  <c r="AE303" i="63" s="1"/>
  <c r="AE304" i="63" s="1"/>
  <c r="AE305" i="63" s="1"/>
  <c r="AE306" i="63" s="1"/>
  <c r="AE307" i="63" s="1"/>
  <c r="AE308" i="63" s="1"/>
  <c r="AE7" i="63"/>
  <c r="AE6" i="63"/>
  <c r="AE5" i="63"/>
  <c r="AE4" i="63"/>
  <c r="AD8" i="63"/>
  <c r="AD9" i="63" s="1"/>
  <c r="AD10" i="63" s="1"/>
  <c r="AD11" i="63" s="1"/>
  <c r="AD12" i="63" s="1"/>
  <c r="AD13" i="63" s="1"/>
  <c r="AD14" i="63" s="1"/>
  <c r="AD15" i="63" s="1"/>
  <c r="AD16" i="63" s="1"/>
  <c r="AD17" i="63" s="1"/>
  <c r="AD18" i="63" s="1"/>
  <c r="AD19" i="63" s="1"/>
  <c r="AD20" i="63" s="1"/>
  <c r="AD21" i="63" s="1"/>
  <c r="AD22" i="63" s="1"/>
  <c r="AD23" i="63" s="1"/>
  <c r="AD24" i="63" s="1"/>
  <c r="AD25" i="63" s="1"/>
  <c r="AD26" i="63" s="1"/>
  <c r="AD27" i="63" s="1"/>
  <c r="AD28" i="63" s="1"/>
  <c r="AD29" i="63" s="1"/>
  <c r="AD30" i="63" s="1"/>
  <c r="AD31" i="63" s="1"/>
  <c r="AD32" i="63" s="1"/>
  <c r="AD33" i="63" s="1"/>
  <c r="AD34" i="63" s="1"/>
  <c r="AD35" i="63" s="1"/>
  <c r="AD36" i="63" s="1"/>
  <c r="AD37" i="63" s="1"/>
  <c r="AD38" i="63" s="1"/>
  <c r="AD39" i="63" s="1"/>
  <c r="AD40" i="63" s="1"/>
  <c r="AD41" i="63" s="1"/>
  <c r="AD42" i="63" s="1"/>
  <c r="AD43" i="63" s="1"/>
  <c r="AD44" i="63" s="1"/>
  <c r="AD45" i="63" s="1"/>
  <c r="AD46" i="63" s="1"/>
  <c r="AD47" i="63" s="1"/>
  <c r="AD48" i="63" s="1"/>
  <c r="AD49" i="63" s="1"/>
  <c r="AD50" i="63" s="1"/>
  <c r="AD51" i="63" s="1"/>
  <c r="AD52" i="63" s="1"/>
  <c r="AD53" i="63" s="1"/>
  <c r="AD54" i="63" s="1"/>
  <c r="AD55" i="63" s="1"/>
  <c r="AD56" i="63" s="1"/>
  <c r="AD57" i="63" s="1"/>
  <c r="AD58" i="63" s="1"/>
  <c r="AD59" i="63" s="1"/>
  <c r="AD60" i="63" s="1"/>
  <c r="AD61" i="63" s="1"/>
  <c r="AD62" i="63" s="1"/>
  <c r="AD63" i="63" s="1"/>
  <c r="AD64" i="63" s="1"/>
  <c r="AD65" i="63" s="1"/>
  <c r="AD66" i="63" s="1"/>
  <c r="AD67" i="63" s="1"/>
  <c r="AD68" i="63" s="1"/>
  <c r="AD69" i="63" s="1"/>
  <c r="AD70" i="63" s="1"/>
  <c r="AD71" i="63" s="1"/>
  <c r="AD72" i="63" s="1"/>
  <c r="AD73" i="63" s="1"/>
  <c r="AD74" i="63" s="1"/>
  <c r="AD75" i="63" s="1"/>
  <c r="AD76" i="63" s="1"/>
  <c r="AD77" i="63" s="1"/>
  <c r="AD78" i="63" s="1"/>
  <c r="AD79" i="63" s="1"/>
  <c r="AD80" i="63" s="1"/>
  <c r="AD81" i="63" s="1"/>
  <c r="AD82" i="63" s="1"/>
  <c r="AD83" i="63" s="1"/>
  <c r="AD84" i="63" s="1"/>
  <c r="AD85" i="63" s="1"/>
  <c r="AD86" i="63" s="1"/>
  <c r="AD87" i="63" s="1"/>
  <c r="AD88" i="63" s="1"/>
  <c r="AD89" i="63" s="1"/>
  <c r="AD90" i="63" s="1"/>
  <c r="AD91" i="63" s="1"/>
  <c r="AD92" i="63" s="1"/>
  <c r="AD93" i="63" s="1"/>
  <c r="AD94" i="63" s="1"/>
  <c r="AD95" i="63" s="1"/>
  <c r="AD96" i="63" s="1"/>
  <c r="AD97" i="63" s="1"/>
  <c r="AD98" i="63" s="1"/>
  <c r="AD99" i="63" s="1"/>
  <c r="AD100" i="63" s="1"/>
  <c r="AD101" i="63" s="1"/>
  <c r="AD102" i="63" s="1"/>
  <c r="AD103" i="63" s="1"/>
  <c r="AD104" i="63" s="1"/>
  <c r="AD105" i="63" s="1"/>
  <c r="AD106" i="63" s="1"/>
  <c r="AD107" i="63" s="1"/>
  <c r="AD108" i="63" s="1"/>
  <c r="AD109" i="63" s="1"/>
  <c r="AD110" i="63" s="1"/>
  <c r="AD111" i="63" s="1"/>
  <c r="AD112" i="63" s="1"/>
  <c r="AD113" i="63" s="1"/>
  <c r="AD114" i="63" s="1"/>
  <c r="AD115" i="63" s="1"/>
  <c r="AD116" i="63" s="1"/>
  <c r="AD117" i="63" s="1"/>
  <c r="AD118" i="63" s="1"/>
  <c r="AD119" i="63" s="1"/>
  <c r="AD120" i="63" s="1"/>
  <c r="AD121" i="63" s="1"/>
  <c r="AD122" i="63" s="1"/>
  <c r="AD123" i="63" s="1"/>
  <c r="AD124" i="63" s="1"/>
  <c r="AD125" i="63" s="1"/>
  <c r="AD126" i="63" s="1"/>
  <c r="AD127" i="63" s="1"/>
  <c r="AD128" i="63" s="1"/>
  <c r="AD129" i="63" s="1"/>
  <c r="AD130" i="63" s="1"/>
  <c r="AD131" i="63" s="1"/>
  <c r="AD132" i="63" s="1"/>
  <c r="AD133" i="63" s="1"/>
  <c r="AD134" i="63" s="1"/>
  <c r="AD135" i="63" s="1"/>
  <c r="AD136" i="63" s="1"/>
  <c r="AD137" i="63" s="1"/>
  <c r="AD138" i="63" s="1"/>
  <c r="AD139" i="63" s="1"/>
  <c r="AD140" i="63" s="1"/>
  <c r="AD141" i="63" s="1"/>
  <c r="AD142" i="63" s="1"/>
  <c r="AD143" i="63" s="1"/>
  <c r="AD144" i="63" s="1"/>
  <c r="AD145" i="63" s="1"/>
  <c r="AD146" i="63" s="1"/>
  <c r="AD147" i="63" s="1"/>
  <c r="AD148" i="63" s="1"/>
  <c r="AD149" i="63" s="1"/>
  <c r="AD150" i="63" s="1"/>
  <c r="AD151" i="63" s="1"/>
  <c r="AD152" i="63" s="1"/>
  <c r="AD153" i="63" s="1"/>
  <c r="AD154" i="63" s="1"/>
  <c r="AD155" i="63" s="1"/>
  <c r="AD156" i="63" s="1"/>
  <c r="AD157" i="63" s="1"/>
  <c r="AD158" i="63" s="1"/>
  <c r="AD159" i="63" s="1"/>
  <c r="AD160" i="63" s="1"/>
  <c r="AD161" i="63" s="1"/>
  <c r="AD162" i="63" s="1"/>
  <c r="AD163" i="63" s="1"/>
  <c r="AD164" i="63" s="1"/>
  <c r="AD165" i="63" s="1"/>
  <c r="AD166" i="63" s="1"/>
  <c r="AD167" i="63" s="1"/>
  <c r="AD168" i="63" s="1"/>
  <c r="AD169" i="63" s="1"/>
  <c r="AD170" i="63" s="1"/>
  <c r="AD171" i="63" s="1"/>
  <c r="AD172" i="63" s="1"/>
  <c r="AD173" i="63" s="1"/>
  <c r="AD174" i="63" s="1"/>
  <c r="AD175" i="63" s="1"/>
  <c r="AD176" i="63" s="1"/>
  <c r="AD177" i="63" s="1"/>
  <c r="AD178" i="63" s="1"/>
  <c r="AD179" i="63" s="1"/>
  <c r="AD180" i="63" s="1"/>
  <c r="AD181" i="63" s="1"/>
  <c r="AD182" i="63" s="1"/>
  <c r="AD183" i="63" s="1"/>
  <c r="AD184" i="63" s="1"/>
  <c r="AD185" i="63" s="1"/>
  <c r="AD186" i="63" s="1"/>
  <c r="AD187" i="63" s="1"/>
  <c r="AD188" i="63" s="1"/>
  <c r="AD189" i="63" s="1"/>
  <c r="AD190" i="63" s="1"/>
  <c r="AD191" i="63" s="1"/>
  <c r="AD192" i="63" s="1"/>
  <c r="AD193" i="63" s="1"/>
  <c r="AD194" i="63" s="1"/>
  <c r="AD195" i="63" s="1"/>
  <c r="AD196" i="63" s="1"/>
  <c r="AD197" i="63" s="1"/>
  <c r="AD198" i="63" s="1"/>
  <c r="AD199" i="63" s="1"/>
  <c r="AD200" i="63" s="1"/>
  <c r="AD201" i="63" s="1"/>
  <c r="AD202" i="63" s="1"/>
  <c r="AD203" i="63" s="1"/>
  <c r="AD204" i="63" s="1"/>
  <c r="AD205" i="63" s="1"/>
  <c r="AD206" i="63" s="1"/>
  <c r="AD207" i="63" s="1"/>
  <c r="AD208" i="63" s="1"/>
  <c r="AD209" i="63" s="1"/>
  <c r="AD210" i="63" s="1"/>
  <c r="AD211" i="63" s="1"/>
  <c r="AD212" i="63" s="1"/>
  <c r="AD213" i="63" s="1"/>
  <c r="AD214" i="63" s="1"/>
  <c r="AD215" i="63" s="1"/>
  <c r="AD216" i="63" s="1"/>
  <c r="AD217" i="63" s="1"/>
  <c r="AD218" i="63" s="1"/>
  <c r="AD219" i="63" s="1"/>
  <c r="AD220" i="63" s="1"/>
  <c r="AD221" i="63" s="1"/>
  <c r="AD222" i="63" s="1"/>
  <c r="AD223" i="63" s="1"/>
  <c r="AD224" i="63" s="1"/>
  <c r="AD225" i="63" s="1"/>
  <c r="AD226" i="63" s="1"/>
  <c r="AD227" i="63" s="1"/>
  <c r="AD228" i="63" s="1"/>
  <c r="AD229" i="63" s="1"/>
  <c r="AD230" i="63" s="1"/>
  <c r="AD231" i="63" s="1"/>
  <c r="AD232" i="63" s="1"/>
  <c r="AD233" i="63" s="1"/>
  <c r="AD234" i="63" s="1"/>
  <c r="AD235" i="63" s="1"/>
  <c r="AD236" i="63" s="1"/>
  <c r="AD237" i="63" s="1"/>
  <c r="AD238" i="63" s="1"/>
  <c r="AD239" i="63" s="1"/>
  <c r="AD240" i="63" s="1"/>
  <c r="AD241" i="63" s="1"/>
  <c r="AD242" i="63" s="1"/>
  <c r="AD243" i="63" s="1"/>
  <c r="AD244" i="63" s="1"/>
  <c r="AD245" i="63" s="1"/>
  <c r="AD246" i="63" s="1"/>
  <c r="AD247" i="63" s="1"/>
  <c r="AD248" i="63" s="1"/>
  <c r="AD249" i="63" s="1"/>
  <c r="AD250" i="63" s="1"/>
  <c r="AD251" i="63" s="1"/>
  <c r="AD252" i="63" s="1"/>
  <c r="AD253" i="63" s="1"/>
  <c r="AD254" i="63" s="1"/>
  <c r="AD255" i="63" s="1"/>
  <c r="AD256" i="63" s="1"/>
  <c r="AD257" i="63" s="1"/>
  <c r="AD258" i="63" s="1"/>
  <c r="AD259" i="63" s="1"/>
  <c r="AD260" i="63" s="1"/>
  <c r="AD261" i="63" s="1"/>
  <c r="AD262" i="63" s="1"/>
  <c r="AD263" i="63" s="1"/>
  <c r="AD264" i="63" s="1"/>
  <c r="AD265" i="63" s="1"/>
  <c r="AD266" i="63" s="1"/>
  <c r="AD267" i="63" s="1"/>
  <c r="AD268" i="63" s="1"/>
  <c r="AD269" i="63" s="1"/>
  <c r="AD270" i="63" s="1"/>
  <c r="AD271" i="63" s="1"/>
  <c r="AD272" i="63" s="1"/>
  <c r="AD273" i="63" s="1"/>
  <c r="AD274" i="63" s="1"/>
  <c r="AD275" i="63" s="1"/>
  <c r="AD276" i="63" s="1"/>
  <c r="AD277" i="63" s="1"/>
  <c r="AD278" i="63" s="1"/>
  <c r="AD279" i="63" s="1"/>
  <c r="AD280" i="63" s="1"/>
  <c r="AD281" i="63" s="1"/>
  <c r="AD282" i="63" s="1"/>
  <c r="AD283" i="63" s="1"/>
  <c r="AD284" i="63" s="1"/>
  <c r="AD285" i="63" s="1"/>
  <c r="AD286" i="63" s="1"/>
  <c r="AD287" i="63" s="1"/>
  <c r="AD288" i="63" s="1"/>
  <c r="AD289" i="63" s="1"/>
  <c r="AD290" i="63" s="1"/>
  <c r="AD291" i="63" s="1"/>
  <c r="AD292" i="63" s="1"/>
  <c r="AD293" i="63" s="1"/>
  <c r="AD294" i="63" s="1"/>
  <c r="AD295" i="63" s="1"/>
  <c r="AD296" i="63" s="1"/>
  <c r="AD297" i="63" s="1"/>
  <c r="AD298" i="63" s="1"/>
  <c r="AD299" i="63" s="1"/>
  <c r="AD300" i="63" s="1"/>
  <c r="AD301" i="63" s="1"/>
  <c r="AD302" i="63" s="1"/>
  <c r="AD303" i="63" s="1"/>
  <c r="AD304" i="63" s="1"/>
  <c r="AD305" i="63" s="1"/>
  <c r="AD306" i="63" s="1"/>
  <c r="AD307" i="63" s="1"/>
  <c r="AD308" i="63" s="1"/>
  <c r="AD7" i="63"/>
  <c r="AD6" i="63"/>
  <c r="AD5" i="63"/>
  <c r="AD4" i="63"/>
  <c r="AC8" i="63"/>
  <c r="AC9" i="63" s="1"/>
  <c r="AC10" i="63" s="1"/>
  <c r="AC11" i="63" s="1"/>
  <c r="AC12" i="63" s="1"/>
  <c r="AC13" i="63" s="1"/>
  <c r="AC14" i="63" s="1"/>
  <c r="AC15" i="63" s="1"/>
  <c r="AC16" i="63" s="1"/>
  <c r="AC17" i="63" s="1"/>
  <c r="AC18" i="63" s="1"/>
  <c r="AC19" i="63" s="1"/>
  <c r="AC20" i="63" s="1"/>
  <c r="AC21" i="63" s="1"/>
  <c r="AC22" i="63" s="1"/>
  <c r="AC23" i="63" s="1"/>
  <c r="AC24" i="63" s="1"/>
  <c r="AC25" i="63" s="1"/>
  <c r="AC26" i="63" s="1"/>
  <c r="AC27" i="63" s="1"/>
  <c r="AC28" i="63" s="1"/>
  <c r="AC29" i="63" s="1"/>
  <c r="AC30" i="63" s="1"/>
  <c r="AC31" i="63" s="1"/>
  <c r="AC32" i="63" s="1"/>
  <c r="AC33" i="63" s="1"/>
  <c r="AC34" i="63" s="1"/>
  <c r="AC35" i="63" s="1"/>
  <c r="AC36" i="63" s="1"/>
  <c r="AC37" i="63" s="1"/>
  <c r="AC38" i="63" s="1"/>
  <c r="AC39" i="63" s="1"/>
  <c r="AC40" i="63" s="1"/>
  <c r="AC41" i="63" s="1"/>
  <c r="AC42" i="63" s="1"/>
  <c r="AC43" i="63" s="1"/>
  <c r="AC44" i="63" s="1"/>
  <c r="AC45" i="63" s="1"/>
  <c r="AC46" i="63" s="1"/>
  <c r="AC47" i="63" s="1"/>
  <c r="AC48" i="63" s="1"/>
  <c r="AC49" i="63" s="1"/>
  <c r="AC50" i="63" s="1"/>
  <c r="AC51" i="63" s="1"/>
  <c r="AC52" i="63" s="1"/>
  <c r="AC53" i="63" s="1"/>
  <c r="AC54" i="63" s="1"/>
  <c r="AC55" i="63" s="1"/>
  <c r="AC56" i="63" s="1"/>
  <c r="AC57" i="63" s="1"/>
  <c r="AC58" i="63" s="1"/>
  <c r="AC59" i="63" s="1"/>
  <c r="AC60" i="63" s="1"/>
  <c r="AC61" i="63" s="1"/>
  <c r="AC62" i="63" s="1"/>
  <c r="AC63" i="63" s="1"/>
  <c r="AC64" i="63" s="1"/>
  <c r="AC65" i="63" s="1"/>
  <c r="AC66" i="63" s="1"/>
  <c r="AC67" i="63" s="1"/>
  <c r="AC68" i="63" s="1"/>
  <c r="AC69" i="63" s="1"/>
  <c r="AC70" i="63" s="1"/>
  <c r="AC71" i="63" s="1"/>
  <c r="AC72" i="63" s="1"/>
  <c r="AC73" i="63" s="1"/>
  <c r="AC74" i="63" s="1"/>
  <c r="AC75" i="63" s="1"/>
  <c r="AC76" i="63" s="1"/>
  <c r="AC77" i="63" s="1"/>
  <c r="AC78" i="63" s="1"/>
  <c r="AC79" i="63" s="1"/>
  <c r="AC80" i="63" s="1"/>
  <c r="AC81" i="63" s="1"/>
  <c r="AC82" i="63" s="1"/>
  <c r="AC83" i="63" s="1"/>
  <c r="AC84" i="63" s="1"/>
  <c r="AC85" i="63" s="1"/>
  <c r="AC86" i="63" s="1"/>
  <c r="AC87" i="63" s="1"/>
  <c r="AC88" i="63" s="1"/>
  <c r="AC89" i="63" s="1"/>
  <c r="AC90" i="63" s="1"/>
  <c r="AC91" i="63" s="1"/>
  <c r="AC92" i="63" s="1"/>
  <c r="AC93" i="63" s="1"/>
  <c r="AC94" i="63" s="1"/>
  <c r="AC95" i="63" s="1"/>
  <c r="AC96" i="63" s="1"/>
  <c r="AC97" i="63" s="1"/>
  <c r="AC98" i="63" s="1"/>
  <c r="AC99" i="63" s="1"/>
  <c r="AC100" i="63" s="1"/>
  <c r="AC101" i="63" s="1"/>
  <c r="AC102" i="63" s="1"/>
  <c r="AC103" i="63" s="1"/>
  <c r="AC104" i="63" s="1"/>
  <c r="AC105" i="63" s="1"/>
  <c r="AC106" i="63" s="1"/>
  <c r="AC107" i="63" s="1"/>
  <c r="AC108" i="63" s="1"/>
  <c r="AC109" i="63" s="1"/>
  <c r="AC110" i="63" s="1"/>
  <c r="AC111" i="63" s="1"/>
  <c r="AC112" i="63" s="1"/>
  <c r="AC113" i="63" s="1"/>
  <c r="AC114" i="63" s="1"/>
  <c r="AC115" i="63" s="1"/>
  <c r="AC116" i="63" s="1"/>
  <c r="AC117" i="63" s="1"/>
  <c r="AC118" i="63" s="1"/>
  <c r="AC119" i="63" s="1"/>
  <c r="AC120" i="63" s="1"/>
  <c r="AC121" i="63" s="1"/>
  <c r="AC122" i="63" s="1"/>
  <c r="AC123" i="63" s="1"/>
  <c r="AC124" i="63" s="1"/>
  <c r="AC125" i="63" s="1"/>
  <c r="AC126" i="63" s="1"/>
  <c r="AC127" i="63" s="1"/>
  <c r="AC128" i="63" s="1"/>
  <c r="AC129" i="63" s="1"/>
  <c r="AC130" i="63" s="1"/>
  <c r="AC131" i="63" s="1"/>
  <c r="AC132" i="63" s="1"/>
  <c r="AC133" i="63" s="1"/>
  <c r="AC134" i="63" s="1"/>
  <c r="AC135" i="63" s="1"/>
  <c r="AC136" i="63" s="1"/>
  <c r="AC137" i="63" s="1"/>
  <c r="AC138" i="63" s="1"/>
  <c r="AC139" i="63" s="1"/>
  <c r="AC140" i="63" s="1"/>
  <c r="AC141" i="63" s="1"/>
  <c r="AC142" i="63" s="1"/>
  <c r="AC143" i="63" s="1"/>
  <c r="AC144" i="63" s="1"/>
  <c r="AC145" i="63" s="1"/>
  <c r="AC146" i="63" s="1"/>
  <c r="AC147" i="63" s="1"/>
  <c r="AC148" i="63" s="1"/>
  <c r="AC149" i="63" s="1"/>
  <c r="AC150" i="63" s="1"/>
  <c r="AC151" i="63" s="1"/>
  <c r="AC152" i="63" s="1"/>
  <c r="AC153" i="63" s="1"/>
  <c r="AC154" i="63" s="1"/>
  <c r="AC155" i="63" s="1"/>
  <c r="AC156" i="63" s="1"/>
  <c r="AC157" i="63" s="1"/>
  <c r="AC158" i="63" s="1"/>
  <c r="AC159" i="63" s="1"/>
  <c r="AC160" i="63" s="1"/>
  <c r="AC161" i="63" s="1"/>
  <c r="AC162" i="63" s="1"/>
  <c r="AC163" i="63" s="1"/>
  <c r="AC164" i="63" s="1"/>
  <c r="AC165" i="63" s="1"/>
  <c r="AC166" i="63" s="1"/>
  <c r="AC167" i="63" s="1"/>
  <c r="AC168" i="63" s="1"/>
  <c r="AC169" i="63" s="1"/>
  <c r="AC170" i="63" s="1"/>
  <c r="AC171" i="63" s="1"/>
  <c r="AC172" i="63" s="1"/>
  <c r="AC173" i="63" s="1"/>
  <c r="AC174" i="63" s="1"/>
  <c r="AC175" i="63" s="1"/>
  <c r="AC176" i="63" s="1"/>
  <c r="AC177" i="63" s="1"/>
  <c r="AC178" i="63" s="1"/>
  <c r="AC179" i="63" s="1"/>
  <c r="AC180" i="63" s="1"/>
  <c r="AC181" i="63" s="1"/>
  <c r="AC182" i="63" s="1"/>
  <c r="AC183" i="63" s="1"/>
  <c r="AC184" i="63" s="1"/>
  <c r="AC185" i="63" s="1"/>
  <c r="AC186" i="63" s="1"/>
  <c r="AC187" i="63" s="1"/>
  <c r="AC188" i="63" s="1"/>
  <c r="AC189" i="63" s="1"/>
  <c r="AC190" i="63" s="1"/>
  <c r="AC191" i="63" s="1"/>
  <c r="AC192" i="63" s="1"/>
  <c r="AC193" i="63" s="1"/>
  <c r="AC194" i="63" s="1"/>
  <c r="AC195" i="63" s="1"/>
  <c r="AC196" i="63" s="1"/>
  <c r="AC197" i="63" s="1"/>
  <c r="AC198" i="63" s="1"/>
  <c r="AC199" i="63" s="1"/>
  <c r="AC200" i="63" s="1"/>
  <c r="AC201" i="63" s="1"/>
  <c r="AC202" i="63" s="1"/>
  <c r="AC203" i="63" s="1"/>
  <c r="AC204" i="63" s="1"/>
  <c r="AC205" i="63" s="1"/>
  <c r="AC206" i="63" s="1"/>
  <c r="AC207" i="63" s="1"/>
  <c r="AC208" i="63" s="1"/>
  <c r="AC209" i="63" s="1"/>
  <c r="AC210" i="63" s="1"/>
  <c r="AC211" i="63" s="1"/>
  <c r="AC212" i="63" s="1"/>
  <c r="AC213" i="63" s="1"/>
  <c r="AC214" i="63" s="1"/>
  <c r="AC215" i="63" s="1"/>
  <c r="AC216" i="63" s="1"/>
  <c r="AC217" i="63" s="1"/>
  <c r="AC218" i="63" s="1"/>
  <c r="AC219" i="63" s="1"/>
  <c r="AC220" i="63" s="1"/>
  <c r="AC221" i="63" s="1"/>
  <c r="AC222" i="63" s="1"/>
  <c r="AC223" i="63" s="1"/>
  <c r="AC224" i="63" s="1"/>
  <c r="AC225" i="63" s="1"/>
  <c r="AC226" i="63" s="1"/>
  <c r="AC227" i="63" s="1"/>
  <c r="AC228" i="63" s="1"/>
  <c r="AC229" i="63" s="1"/>
  <c r="AC230" i="63" s="1"/>
  <c r="AC231" i="63" s="1"/>
  <c r="AC232" i="63" s="1"/>
  <c r="AC233" i="63" s="1"/>
  <c r="AC234" i="63" s="1"/>
  <c r="AC235" i="63" s="1"/>
  <c r="AC236" i="63" s="1"/>
  <c r="AC237" i="63" s="1"/>
  <c r="AC238" i="63" s="1"/>
  <c r="AC239" i="63" s="1"/>
  <c r="AC240" i="63" s="1"/>
  <c r="AC241" i="63" s="1"/>
  <c r="AC242" i="63" s="1"/>
  <c r="AC243" i="63" s="1"/>
  <c r="AC244" i="63" s="1"/>
  <c r="AC245" i="63" s="1"/>
  <c r="AC246" i="63" s="1"/>
  <c r="AC247" i="63" s="1"/>
  <c r="AC248" i="63" s="1"/>
  <c r="AC249" i="63" s="1"/>
  <c r="AC250" i="63" s="1"/>
  <c r="AC251" i="63" s="1"/>
  <c r="AC252" i="63" s="1"/>
  <c r="AC253" i="63" s="1"/>
  <c r="AC254" i="63" s="1"/>
  <c r="AC255" i="63" s="1"/>
  <c r="AC256" i="63" s="1"/>
  <c r="AC257" i="63" s="1"/>
  <c r="AC258" i="63" s="1"/>
  <c r="AC259" i="63" s="1"/>
  <c r="AC260" i="63" s="1"/>
  <c r="AC261" i="63" s="1"/>
  <c r="AC262" i="63" s="1"/>
  <c r="AC263" i="63" s="1"/>
  <c r="AC264" i="63" s="1"/>
  <c r="AC265" i="63" s="1"/>
  <c r="AC266" i="63" s="1"/>
  <c r="AC267" i="63" s="1"/>
  <c r="AC268" i="63" s="1"/>
  <c r="AC269" i="63" s="1"/>
  <c r="AC270" i="63" s="1"/>
  <c r="AC271" i="63" s="1"/>
  <c r="AC272" i="63" s="1"/>
  <c r="AC273" i="63" s="1"/>
  <c r="AC274" i="63" s="1"/>
  <c r="AC275" i="63" s="1"/>
  <c r="AC276" i="63" s="1"/>
  <c r="AC277" i="63" s="1"/>
  <c r="AC278" i="63" s="1"/>
  <c r="AC279" i="63" s="1"/>
  <c r="AC280" i="63" s="1"/>
  <c r="AC281" i="63" s="1"/>
  <c r="AC282" i="63" s="1"/>
  <c r="AC283" i="63" s="1"/>
  <c r="AC284" i="63" s="1"/>
  <c r="AC285" i="63" s="1"/>
  <c r="AC286" i="63" s="1"/>
  <c r="AC287" i="63" s="1"/>
  <c r="AC288" i="63" s="1"/>
  <c r="AC289" i="63" s="1"/>
  <c r="AC290" i="63" s="1"/>
  <c r="AC291" i="63" s="1"/>
  <c r="AC292" i="63" s="1"/>
  <c r="AC293" i="63" s="1"/>
  <c r="AC294" i="63" s="1"/>
  <c r="AC295" i="63" s="1"/>
  <c r="AC296" i="63" s="1"/>
  <c r="AC297" i="63" s="1"/>
  <c r="AC298" i="63" s="1"/>
  <c r="AC299" i="63" s="1"/>
  <c r="AC300" i="63" s="1"/>
  <c r="AC301" i="63" s="1"/>
  <c r="AC302" i="63" s="1"/>
  <c r="AC303" i="63" s="1"/>
  <c r="AC304" i="63" s="1"/>
  <c r="AC305" i="63" s="1"/>
  <c r="AC306" i="63" s="1"/>
  <c r="AC307" i="63" s="1"/>
  <c r="AC308" i="63" s="1"/>
  <c r="AC7" i="63"/>
  <c r="AC6" i="63"/>
  <c r="AC5" i="63"/>
  <c r="AC4" i="63"/>
  <c r="AB8" i="63"/>
  <c r="AB9" i="63" s="1"/>
  <c r="AB10" i="63" s="1"/>
  <c r="AB11" i="63" s="1"/>
  <c r="AB12" i="63" s="1"/>
  <c r="AB13" i="63" s="1"/>
  <c r="AB14" i="63" s="1"/>
  <c r="AB15" i="63" s="1"/>
  <c r="AB16" i="63" s="1"/>
  <c r="AB17" i="63" s="1"/>
  <c r="AB18" i="63" s="1"/>
  <c r="AB19" i="63" s="1"/>
  <c r="AB20" i="63" s="1"/>
  <c r="AB21" i="63" s="1"/>
  <c r="AB22" i="63" s="1"/>
  <c r="AB23" i="63" s="1"/>
  <c r="AB24" i="63" s="1"/>
  <c r="AB25" i="63" s="1"/>
  <c r="AB26" i="63" s="1"/>
  <c r="AB27" i="63" s="1"/>
  <c r="AB28" i="63" s="1"/>
  <c r="AB29" i="63" s="1"/>
  <c r="AB30" i="63" s="1"/>
  <c r="AB31" i="63" s="1"/>
  <c r="AB32" i="63" s="1"/>
  <c r="AB33" i="63" s="1"/>
  <c r="AB34" i="63" s="1"/>
  <c r="AB35" i="63" s="1"/>
  <c r="AB36" i="63" s="1"/>
  <c r="AB37" i="63" s="1"/>
  <c r="AB38" i="63" s="1"/>
  <c r="AB39" i="63" s="1"/>
  <c r="AB40" i="63" s="1"/>
  <c r="AB41" i="63" s="1"/>
  <c r="AB42" i="63" s="1"/>
  <c r="AB43" i="63" s="1"/>
  <c r="AB44" i="63" s="1"/>
  <c r="AB45" i="63" s="1"/>
  <c r="AB46" i="63" s="1"/>
  <c r="AB47" i="63" s="1"/>
  <c r="AB48" i="63" s="1"/>
  <c r="AB49" i="63" s="1"/>
  <c r="AB50" i="63" s="1"/>
  <c r="AB51" i="63" s="1"/>
  <c r="AB52" i="63" s="1"/>
  <c r="AB53" i="63" s="1"/>
  <c r="AB54" i="63" s="1"/>
  <c r="AB55" i="63" s="1"/>
  <c r="AB56" i="63" s="1"/>
  <c r="AB57" i="63" s="1"/>
  <c r="AB58" i="63" s="1"/>
  <c r="AB59" i="63" s="1"/>
  <c r="AB60" i="63" s="1"/>
  <c r="AB61" i="63" s="1"/>
  <c r="AB62" i="63" s="1"/>
  <c r="AB63" i="63" s="1"/>
  <c r="AB64" i="63" s="1"/>
  <c r="AB65" i="63" s="1"/>
  <c r="AB66" i="63" s="1"/>
  <c r="AB67" i="63" s="1"/>
  <c r="AB68" i="63" s="1"/>
  <c r="AB69" i="63" s="1"/>
  <c r="AB70" i="63" s="1"/>
  <c r="AB71" i="63" s="1"/>
  <c r="AB72" i="63" s="1"/>
  <c r="AB73" i="63" s="1"/>
  <c r="AB74" i="63" s="1"/>
  <c r="AB75" i="63" s="1"/>
  <c r="AB76" i="63" s="1"/>
  <c r="AB77" i="63" s="1"/>
  <c r="AB78" i="63" s="1"/>
  <c r="AB79" i="63" s="1"/>
  <c r="AB80" i="63" s="1"/>
  <c r="AB81" i="63" s="1"/>
  <c r="AB82" i="63" s="1"/>
  <c r="AB83" i="63" s="1"/>
  <c r="AB84" i="63" s="1"/>
  <c r="AB85" i="63" s="1"/>
  <c r="AB86" i="63" s="1"/>
  <c r="AB87" i="63" s="1"/>
  <c r="AB88" i="63" s="1"/>
  <c r="AB89" i="63" s="1"/>
  <c r="AB90" i="63" s="1"/>
  <c r="AB91" i="63" s="1"/>
  <c r="AB92" i="63" s="1"/>
  <c r="AB93" i="63" s="1"/>
  <c r="AB94" i="63" s="1"/>
  <c r="AB95" i="63" s="1"/>
  <c r="AB96" i="63" s="1"/>
  <c r="AB97" i="63" s="1"/>
  <c r="AB98" i="63" s="1"/>
  <c r="AB99" i="63" s="1"/>
  <c r="AB100" i="63" s="1"/>
  <c r="AB101" i="63" s="1"/>
  <c r="AB102" i="63" s="1"/>
  <c r="AB103" i="63" s="1"/>
  <c r="AB104" i="63" s="1"/>
  <c r="AB105" i="63" s="1"/>
  <c r="AB106" i="63" s="1"/>
  <c r="AB107" i="63" s="1"/>
  <c r="AB108" i="63" s="1"/>
  <c r="AB109" i="63" s="1"/>
  <c r="AB110" i="63" s="1"/>
  <c r="AB111" i="63" s="1"/>
  <c r="AB112" i="63" s="1"/>
  <c r="AB113" i="63" s="1"/>
  <c r="AB114" i="63" s="1"/>
  <c r="AB115" i="63" s="1"/>
  <c r="AB116" i="63" s="1"/>
  <c r="AB117" i="63" s="1"/>
  <c r="AB118" i="63" s="1"/>
  <c r="AB119" i="63" s="1"/>
  <c r="AB120" i="63" s="1"/>
  <c r="AB121" i="63" s="1"/>
  <c r="AB122" i="63" s="1"/>
  <c r="AB123" i="63" s="1"/>
  <c r="AB124" i="63" s="1"/>
  <c r="AB125" i="63" s="1"/>
  <c r="AB126" i="63" s="1"/>
  <c r="AB127" i="63" s="1"/>
  <c r="AB128" i="63" s="1"/>
  <c r="AB129" i="63" s="1"/>
  <c r="AB130" i="63" s="1"/>
  <c r="AB131" i="63" s="1"/>
  <c r="AB132" i="63" s="1"/>
  <c r="AB133" i="63" s="1"/>
  <c r="AB134" i="63" s="1"/>
  <c r="AB135" i="63" s="1"/>
  <c r="AB136" i="63" s="1"/>
  <c r="AB137" i="63" s="1"/>
  <c r="AB138" i="63" s="1"/>
  <c r="AB139" i="63" s="1"/>
  <c r="AB140" i="63" s="1"/>
  <c r="AB141" i="63" s="1"/>
  <c r="AB142" i="63" s="1"/>
  <c r="AB143" i="63" s="1"/>
  <c r="AB144" i="63" s="1"/>
  <c r="AB145" i="63" s="1"/>
  <c r="AB146" i="63" s="1"/>
  <c r="AB147" i="63" s="1"/>
  <c r="AB148" i="63" s="1"/>
  <c r="AB149" i="63" s="1"/>
  <c r="AB150" i="63" s="1"/>
  <c r="AB151" i="63" s="1"/>
  <c r="AB152" i="63" s="1"/>
  <c r="AB153" i="63" s="1"/>
  <c r="AB154" i="63" s="1"/>
  <c r="AB155" i="63" s="1"/>
  <c r="AB156" i="63" s="1"/>
  <c r="AB157" i="63" s="1"/>
  <c r="AB158" i="63" s="1"/>
  <c r="AB159" i="63" s="1"/>
  <c r="AB160" i="63" s="1"/>
  <c r="AB161" i="63" s="1"/>
  <c r="AB162" i="63" s="1"/>
  <c r="AB163" i="63" s="1"/>
  <c r="AB164" i="63" s="1"/>
  <c r="AB165" i="63" s="1"/>
  <c r="AB166" i="63" s="1"/>
  <c r="AB167" i="63" s="1"/>
  <c r="AB168" i="63" s="1"/>
  <c r="AB169" i="63" s="1"/>
  <c r="AB170" i="63" s="1"/>
  <c r="AB171" i="63" s="1"/>
  <c r="AB172" i="63" s="1"/>
  <c r="AB173" i="63" s="1"/>
  <c r="AB174" i="63" s="1"/>
  <c r="AB175" i="63" s="1"/>
  <c r="AB176" i="63" s="1"/>
  <c r="AB177" i="63" s="1"/>
  <c r="AB178" i="63" s="1"/>
  <c r="AB179" i="63" s="1"/>
  <c r="AB180" i="63" s="1"/>
  <c r="AB181" i="63" s="1"/>
  <c r="AB182" i="63" s="1"/>
  <c r="AB183" i="63" s="1"/>
  <c r="AB184" i="63" s="1"/>
  <c r="AB185" i="63" s="1"/>
  <c r="AB186" i="63" s="1"/>
  <c r="AB187" i="63" s="1"/>
  <c r="AB188" i="63" s="1"/>
  <c r="AB189" i="63" s="1"/>
  <c r="AB190" i="63" s="1"/>
  <c r="AB191" i="63" s="1"/>
  <c r="AB192" i="63" s="1"/>
  <c r="AB193" i="63" s="1"/>
  <c r="AB194" i="63" s="1"/>
  <c r="AB195" i="63" s="1"/>
  <c r="AB196" i="63" s="1"/>
  <c r="AB197" i="63" s="1"/>
  <c r="AB198" i="63" s="1"/>
  <c r="AB199" i="63" s="1"/>
  <c r="AB200" i="63" s="1"/>
  <c r="AB201" i="63" s="1"/>
  <c r="AB202" i="63" s="1"/>
  <c r="AB203" i="63" s="1"/>
  <c r="AB204" i="63" s="1"/>
  <c r="AB205" i="63" s="1"/>
  <c r="AB206" i="63" s="1"/>
  <c r="AB207" i="63" s="1"/>
  <c r="AB208" i="63" s="1"/>
  <c r="AB209" i="63" s="1"/>
  <c r="AB210" i="63" s="1"/>
  <c r="AB211" i="63" s="1"/>
  <c r="AB212" i="63" s="1"/>
  <c r="AB213" i="63" s="1"/>
  <c r="AB214" i="63" s="1"/>
  <c r="AB215" i="63" s="1"/>
  <c r="AB216" i="63" s="1"/>
  <c r="AB217" i="63" s="1"/>
  <c r="AB218" i="63" s="1"/>
  <c r="AB219" i="63" s="1"/>
  <c r="AB220" i="63" s="1"/>
  <c r="AB221" i="63" s="1"/>
  <c r="AB222" i="63" s="1"/>
  <c r="AB223" i="63" s="1"/>
  <c r="AB224" i="63" s="1"/>
  <c r="AB225" i="63" s="1"/>
  <c r="AB226" i="63" s="1"/>
  <c r="AB227" i="63" s="1"/>
  <c r="AB228" i="63" s="1"/>
  <c r="AB229" i="63" s="1"/>
  <c r="AB230" i="63" s="1"/>
  <c r="AB231" i="63" s="1"/>
  <c r="AB232" i="63" s="1"/>
  <c r="AB233" i="63" s="1"/>
  <c r="AB234" i="63" s="1"/>
  <c r="AB235" i="63" s="1"/>
  <c r="AB236" i="63" s="1"/>
  <c r="AB237" i="63" s="1"/>
  <c r="AB238" i="63" s="1"/>
  <c r="AB239" i="63" s="1"/>
  <c r="AB240" i="63" s="1"/>
  <c r="AB241" i="63" s="1"/>
  <c r="AB242" i="63" s="1"/>
  <c r="AB243" i="63" s="1"/>
  <c r="AB244" i="63" s="1"/>
  <c r="AB245" i="63" s="1"/>
  <c r="AB246" i="63" s="1"/>
  <c r="AB247" i="63" s="1"/>
  <c r="AB248" i="63" s="1"/>
  <c r="AB249" i="63" s="1"/>
  <c r="AB250" i="63" s="1"/>
  <c r="AB251" i="63" s="1"/>
  <c r="AB252" i="63" s="1"/>
  <c r="AB253" i="63" s="1"/>
  <c r="AB254" i="63" s="1"/>
  <c r="AB255" i="63" s="1"/>
  <c r="AB256" i="63" s="1"/>
  <c r="AB257" i="63" s="1"/>
  <c r="AB258" i="63" s="1"/>
  <c r="AB259" i="63" s="1"/>
  <c r="AB260" i="63" s="1"/>
  <c r="AB261" i="63" s="1"/>
  <c r="AB262" i="63" s="1"/>
  <c r="AB263" i="63" s="1"/>
  <c r="AB264" i="63" s="1"/>
  <c r="AB265" i="63" s="1"/>
  <c r="AB266" i="63" s="1"/>
  <c r="AB267" i="63" s="1"/>
  <c r="AB268" i="63" s="1"/>
  <c r="AB269" i="63" s="1"/>
  <c r="AB270" i="63" s="1"/>
  <c r="AB271" i="63" s="1"/>
  <c r="AB272" i="63" s="1"/>
  <c r="AB273" i="63" s="1"/>
  <c r="AB274" i="63" s="1"/>
  <c r="AB275" i="63" s="1"/>
  <c r="AB276" i="63" s="1"/>
  <c r="AB277" i="63" s="1"/>
  <c r="AB278" i="63" s="1"/>
  <c r="AB279" i="63" s="1"/>
  <c r="AB280" i="63" s="1"/>
  <c r="AB281" i="63" s="1"/>
  <c r="AB282" i="63" s="1"/>
  <c r="AB283" i="63" s="1"/>
  <c r="AB284" i="63" s="1"/>
  <c r="AB285" i="63" s="1"/>
  <c r="AB286" i="63" s="1"/>
  <c r="AB287" i="63" s="1"/>
  <c r="AB288" i="63" s="1"/>
  <c r="AB289" i="63" s="1"/>
  <c r="AB290" i="63" s="1"/>
  <c r="AB291" i="63" s="1"/>
  <c r="AB292" i="63" s="1"/>
  <c r="AB293" i="63" s="1"/>
  <c r="AB294" i="63" s="1"/>
  <c r="AB295" i="63" s="1"/>
  <c r="AB296" i="63" s="1"/>
  <c r="AB297" i="63" s="1"/>
  <c r="AB298" i="63" s="1"/>
  <c r="AB299" i="63" s="1"/>
  <c r="AB300" i="63" s="1"/>
  <c r="AB301" i="63" s="1"/>
  <c r="AB302" i="63" s="1"/>
  <c r="AB303" i="63" s="1"/>
  <c r="AB304" i="63" s="1"/>
  <c r="AB305" i="63" s="1"/>
  <c r="AB306" i="63" s="1"/>
  <c r="AB307" i="63" s="1"/>
  <c r="AB308" i="63" s="1"/>
  <c r="AB7" i="63"/>
  <c r="AB6" i="63"/>
  <c r="AB5" i="63"/>
  <c r="AB4" i="63"/>
  <c r="AA8" i="63"/>
  <c r="AA9" i="63" s="1"/>
  <c r="AA10" i="63" s="1"/>
  <c r="AA11" i="63" s="1"/>
  <c r="AA12" i="63" s="1"/>
  <c r="AA13" i="63" s="1"/>
  <c r="AA14" i="63" s="1"/>
  <c r="AA15" i="63" s="1"/>
  <c r="AA16" i="63" s="1"/>
  <c r="AA17" i="63" s="1"/>
  <c r="AA18" i="63" s="1"/>
  <c r="AA19" i="63" s="1"/>
  <c r="AA20" i="63" s="1"/>
  <c r="AA21" i="63" s="1"/>
  <c r="AA22" i="63" s="1"/>
  <c r="AA23" i="63" s="1"/>
  <c r="AA24" i="63" s="1"/>
  <c r="AA25" i="63" s="1"/>
  <c r="AA26" i="63" s="1"/>
  <c r="AA27" i="63" s="1"/>
  <c r="AA28" i="63" s="1"/>
  <c r="AA29" i="63" s="1"/>
  <c r="AA30" i="63" s="1"/>
  <c r="AA31" i="63" s="1"/>
  <c r="AA32" i="63" s="1"/>
  <c r="AA33" i="63" s="1"/>
  <c r="AA34" i="63" s="1"/>
  <c r="AA35" i="63" s="1"/>
  <c r="AA36" i="63" s="1"/>
  <c r="AA37" i="63" s="1"/>
  <c r="AA38" i="63" s="1"/>
  <c r="AA39" i="63" s="1"/>
  <c r="AA40" i="63" s="1"/>
  <c r="AA41" i="63" s="1"/>
  <c r="AA42" i="63" s="1"/>
  <c r="AA43" i="63" s="1"/>
  <c r="AA44" i="63" s="1"/>
  <c r="AA45" i="63" s="1"/>
  <c r="AA46" i="63" s="1"/>
  <c r="AA47" i="63" s="1"/>
  <c r="AA48" i="63" s="1"/>
  <c r="AA49" i="63" s="1"/>
  <c r="AA50" i="63" s="1"/>
  <c r="AA51" i="63" s="1"/>
  <c r="AA52" i="63" s="1"/>
  <c r="AA53" i="63" s="1"/>
  <c r="AA54" i="63" s="1"/>
  <c r="AA55" i="63" s="1"/>
  <c r="AA56" i="63" s="1"/>
  <c r="AA57" i="63" s="1"/>
  <c r="AA58" i="63" s="1"/>
  <c r="AA59" i="63" s="1"/>
  <c r="AA60" i="63" s="1"/>
  <c r="AA61" i="63" s="1"/>
  <c r="AA62" i="63" s="1"/>
  <c r="AA63" i="63" s="1"/>
  <c r="AA64" i="63" s="1"/>
  <c r="AA65" i="63" s="1"/>
  <c r="AA66" i="63" s="1"/>
  <c r="AA67" i="63" s="1"/>
  <c r="AA68" i="63" s="1"/>
  <c r="AA69" i="63" s="1"/>
  <c r="AA70" i="63" s="1"/>
  <c r="AA71" i="63" s="1"/>
  <c r="AA72" i="63" s="1"/>
  <c r="AA73" i="63" s="1"/>
  <c r="AA74" i="63" s="1"/>
  <c r="AA75" i="63" s="1"/>
  <c r="AA76" i="63" s="1"/>
  <c r="AA77" i="63" s="1"/>
  <c r="AA78" i="63" s="1"/>
  <c r="AA79" i="63" s="1"/>
  <c r="AA80" i="63" s="1"/>
  <c r="AA81" i="63" s="1"/>
  <c r="AA82" i="63" s="1"/>
  <c r="AA83" i="63" s="1"/>
  <c r="AA84" i="63" s="1"/>
  <c r="AA85" i="63" s="1"/>
  <c r="AA86" i="63" s="1"/>
  <c r="AA87" i="63" s="1"/>
  <c r="AA88" i="63" s="1"/>
  <c r="AA89" i="63" s="1"/>
  <c r="AA90" i="63" s="1"/>
  <c r="AA91" i="63" s="1"/>
  <c r="AA92" i="63" s="1"/>
  <c r="AA93" i="63" s="1"/>
  <c r="AA94" i="63" s="1"/>
  <c r="AA95" i="63" s="1"/>
  <c r="AA96" i="63" s="1"/>
  <c r="AA97" i="63" s="1"/>
  <c r="AA98" i="63" s="1"/>
  <c r="AA99" i="63" s="1"/>
  <c r="AA100" i="63" s="1"/>
  <c r="AA101" i="63" s="1"/>
  <c r="AA102" i="63" s="1"/>
  <c r="AA103" i="63" s="1"/>
  <c r="AA104" i="63" s="1"/>
  <c r="AA105" i="63" s="1"/>
  <c r="AA106" i="63" s="1"/>
  <c r="AA107" i="63" s="1"/>
  <c r="AA108" i="63" s="1"/>
  <c r="AA109" i="63" s="1"/>
  <c r="AA110" i="63" s="1"/>
  <c r="AA111" i="63" s="1"/>
  <c r="AA112" i="63" s="1"/>
  <c r="AA113" i="63" s="1"/>
  <c r="AA114" i="63" s="1"/>
  <c r="AA115" i="63" s="1"/>
  <c r="AA116" i="63" s="1"/>
  <c r="AA117" i="63" s="1"/>
  <c r="AA118" i="63" s="1"/>
  <c r="AA119" i="63" s="1"/>
  <c r="AA120" i="63" s="1"/>
  <c r="AA121" i="63" s="1"/>
  <c r="AA122" i="63" s="1"/>
  <c r="AA123" i="63" s="1"/>
  <c r="AA124" i="63" s="1"/>
  <c r="AA125" i="63" s="1"/>
  <c r="AA126" i="63" s="1"/>
  <c r="AA127" i="63" s="1"/>
  <c r="AA128" i="63" s="1"/>
  <c r="AA129" i="63" s="1"/>
  <c r="AA130" i="63" s="1"/>
  <c r="AA131" i="63" s="1"/>
  <c r="AA132" i="63" s="1"/>
  <c r="AA133" i="63" s="1"/>
  <c r="AA134" i="63" s="1"/>
  <c r="AA135" i="63" s="1"/>
  <c r="AA136" i="63" s="1"/>
  <c r="AA137" i="63" s="1"/>
  <c r="AA138" i="63" s="1"/>
  <c r="AA139" i="63" s="1"/>
  <c r="AA140" i="63" s="1"/>
  <c r="AA141" i="63" s="1"/>
  <c r="AA142" i="63" s="1"/>
  <c r="AA143" i="63" s="1"/>
  <c r="AA144" i="63" s="1"/>
  <c r="AA145" i="63" s="1"/>
  <c r="AA146" i="63" s="1"/>
  <c r="AA147" i="63" s="1"/>
  <c r="AA148" i="63" s="1"/>
  <c r="AA149" i="63" s="1"/>
  <c r="AA150" i="63" s="1"/>
  <c r="AA151" i="63" s="1"/>
  <c r="AA152" i="63" s="1"/>
  <c r="AA153" i="63" s="1"/>
  <c r="AA154" i="63" s="1"/>
  <c r="AA155" i="63" s="1"/>
  <c r="AA156" i="63" s="1"/>
  <c r="AA157" i="63" s="1"/>
  <c r="AA158" i="63" s="1"/>
  <c r="AA159" i="63" s="1"/>
  <c r="AA160" i="63" s="1"/>
  <c r="AA161" i="63" s="1"/>
  <c r="AA162" i="63" s="1"/>
  <c r="AA163" i="63" s="1"/>
  <c r="AA164" i="63" s="1"/>
  <c r="AA165" i="63" s="1"/>
  <c r="AA166" i="63" s="1"/>
  <c r="AA167" i="63" s="1"/>
  <c r="AA168" i="63" s="1"/>
  <c r="AA169" i="63" s="1"/>
  <c r="AA170" i="63" s="1"/>
  <c r="AA171" i="63" s="1"/>
  <c r="AA172" i="63" s="1"/>
  <c r="AA173" i="63" s="1"/>
  <c r="AA174" i="63" s="1"/>
  <c r="AA175" i="63" s="1"/>
  <c r="AA176" i="63" s="1"/>
  <c r="AA177" i="63" s="1"/>
  <c r="AA178" i="63" s="1"/>
  <c r="AA179" i="63" s="1"/>
  <c r="AA180" i="63" s="1"/>
  <c r="AA181" i="63" s="1"/>
  <c r="AA182" i="63" s="1"/>
  <c r="AA183" i="63" s="1"/>
  <c r="AA184" i="63" s="1"/>
  <c r="AA185" i="63" s="1"/>
  <c r="AA186" i="63" s="1"/>
  <c r="AA187" i="63" s="1"/>
  <c r="AA188" i="63" s="1"/>
  <c r="AA189" i="63" s="1"/>
  <c r="AA190" i="63" s="1"/>
  <c r="AA191" i="63" s="1"/>
  <c r="AA192" i="63" s="1"/>
  <c r="AA193" i="63" s="1"/>
  <c r="AA194" i="63" s="1"/>
  <c r="AA195" i="63" s="1"/>
  <c r="AA196" i="63" s="1"/>
  <c r="AA197" i="63" s="1"/>
  <c r="AA198" i="63" s="1"/>
  <c r="AA199" i="63" s="1"/>
  <c r="AA200" i="63" s="1"/>
  <c r="AA201" i="63" s="1"/>
  <c r="AA202" i="63" s="1"/>
  <c r="AA203" i="63" s="1"/>
  <c r="AA204" i="63" s="1"/>
  <c r="AA205" i="63" s="1"/>
  <c r="AA206" i="63" s="1"/>
  <c r="AA207" i="63" s="1"/>
  <c r="AA208" i="63" s="1"/>
  <c r="AA209" i="63" s="1"/>
  <c r="AA210" i="63" s="1"/>
  <c r="AA211" i="63" s="1"/>
  <c r="AA212" i="63" s="1"/>
  <c r="AA213" i="63" s="1"/>
  <c r="AA214" i="63" s="1"/>
  <c r="AA215" i="63" s="1"/>
  <c r="AA216" i="63" s="1"/>
  <c r="AA217" i="63" s="1"/>
  <c r="AA218" i="63" s="1"/>
  <c r="AA219" i="63" s="1"/>
  <c r="AA220" i="63" s="1"/>
  <c r="AA221" i="63" s="1"/>
  <c r="AA222" i="63" s="1"/>
  <c r="AA223" i="63" s="1"/>
  <c r="AA224" i="63" s="1"/>
  <c r="AA225" i="63" s="1"/>
  <c r="AA226" i="63" s="1"/>
  <c r="AA227" i="63" s="1"/>
  <c r="AA228" i="63" s="1"/>
  <c r="AA229" i="63" s="1"/>
  <c r="AA230" i="63" s="1"/>
  <c r="AA231" i="63" s="1"/>
  <c r="AA232" i="63" s="1"/>
  <c r="AA233" i="63" s="1"/>
  <c r="AA234" i="63" s="1"/>
  <c r="AA235" i="63" s="1"/>
  <c r="AA236" i="63" s="1"/>
  <c r="AA237" i="63" s="1"/>
  <c r="AA238" i="63" s="1"/>
  <c r="AA239" i="63" s="1"/>
  <c r="AA240" i="63" s="1"/>
  <c r="AA241" i="63" s="1"/>
  <c r="AA242" i="63" s="1"/>
  <c r="AA243" i="63" s="1"/>
  <c r="AA244" i="63" s="1"/>
  <c r="AA245" i="63" s="1"/>
  <c r="AA246" i="63" s="1"/>
  <c r="AA247" i="63" s="1"/>
  <c r="AA248" i="63" s="1"/>
  <c r="AA249" i="63" s="1"/>
  <c r="AA250" i="63" s="1"/>
  <c r="AA251" i="63" s="1"/>
  <c r="AA252" i="63" s="1"/>
  <c r="AA253" i="63" s="1"/>
  <c r="AA254" i="63" s="1"/>
  <c r="AA255" i="63" s="1"/>
  <c r="AA256" i="63" s="1"/>
  <c r="AA257" i="63" s="1"/>
  <c r="AA258" i="63" s="1"/>
  <c r="AA259" i="63" s="1"/>
  <c r="AA260" i="63" s="1"/>
  <c r="AA261" i="63" s="1"/>
  <c r="AA262" i="63" s="1"/>
  <c r="AA263" i="63" s="1"/>
  <c r="AA264" i="63" s="1"/>
  <c r="AA265" i="63" s="1"/>
  <c r="AA266" i="63" s="1"/>
  <c r="AA267" i="63" s="1"/>
  <c r="AA268" i="63" s="1"/>
  <c r="AA269" i="63" s="1"/>
  <c r="AA270" i="63" s="1"/>
  <c r="AA271" i="63" s="1"/>
  <c r="AA272" i="63" s="1"/>
  <c r="AA273" i="63" s="1"/>
  <c r="AA274" i="63" s="1"/>
  <c r="AA275" i="63" s="1"/>
  <c r="AA276" i="63" s="1"/>
  <c r="AA277" i="63" s="1"/>
  <c r="AA278" i="63" s="1"/>
  <c r="AA279" i="63" s="1"/>
  <c r="AA280" i="63" s="1"/>
  <c r="AA281" i="63" s="1"/>
  <c r="AA282" i="63" s="1"/>
  <c r="AA283" i="63" s="1"/>
  <c r="AA284" i="63" s="1"/>
  <c r="AA285" i="63" s="1"/>
  <c r="AA286" i="63" s="1"/>
  <c r="AA287" i="63" s="1"/>
  <c r="AA288" i="63" s="1"/>
  <c r="AA289" i="63" s="1"/>
  <c r="AA290" i="63" s="1"/>
  <c r="AA291" i="63" s="1"/>
  <c r="AA292" i="63" s="1"/>
  <c r="AA293" i="63" s="1"/>
  <c r="AA294" i="63" s="1"/>
  <c r="AA295" i="63" s="1"/>
  <c r="AA296" i="63" s="1"/>
  <c r="AA297" i="63" s="1"/>
  <c r="AA298" i="63" s="1"/>
  <c r="AA299" i="63" s="1"/>
  <c r="AA300" i="63" s="1"/>
  <c r="AA301" i="63" s="1"/>
  <c r="AA302" i="63" s="1"/>
  <c r="AA303" i="63" s="1"/>
  <c r="AA304" i="63" s="1"/>
  <c r="AA305" i="63" s="1"/>
  <c r="AA306" i="63" s="1"/>
  <c r="AA307" i="63" s="1"/>
  <c r="AA308" i="63" s="1"/>
  <c r="AA7" i="63"/>
  <c r="AA6" i="63"/>
  <c r="AA5" i="63"/>
  <c r="AA4" i="63"/>
  <c r="Z8" i="63"/>
  <c r="Z7" i="63"/>
  <c r="Z6" i="63"/>
  <c r="Z5" i="63"/>
  <c r="Z4" i="63"/>
  <c r="Y8" i="63"/>
  <c r="Y9" i="63" s="1"/>
  <c r="Y10" i="63" s="1"/>
  <c r="Y11" i="63" s="1"/>
  <c r="Y12" i="63" s="1"/>
  <c r="Y13" i="63" s="1"/>
  <c r="Y14" i="63" s="1"/>
  <c r="Y15" i="63" s="1"/>
  <c r="Y16" i="63" s="1"/>
  <c r="Y17" i="63" s="1"/>
  <c r="Y18" i="63" s="1"/>
  <c r="Y19" i="63" s="1"/>
  <c r="Y20" i="63" s="1"/>
  <c r="Y21" i="63" s="1"/>
  <c r="Y22" i="63" s="1"/>
  <c r="Y23" i="63" s="1"/>
  <c r="Y24" i="63" s="1"/>
  <c r="Y25" i="63" s="1"/>
  <c r="Y26" i="63" s="1"/>
  <c r="Y27" i="63" s="1"/>
  <c r="Y28" i="63" s="1"/>
  <c r="Y29" i="63" s="1"/>
  <c r="Y30" i="63" s="1"/>
  <c r="Y31" i="63" s="1"/>
  <c r="Y32" i="63" s="1"/>
  <c r="Y33" i="63" s="1"/>
  <c r="Y34" i="63" s="1"/>
  <c r="Y35" i="63" s="1"/>
  <c r="Y36" i="63" s="1"/>
  <c r="Y37" i="63" s="1"/>
  <c r="Y38" i="63" s="1"/>
  <c r="Y39" i="63" s="1"/>
  <c r="Y40" i="63" s="1"/>
  <c r="Y41" i="63" s="1"/>
  <c r="Y42" i="63" s="1"/>
  <c r="Y43" i="63" s="1"/>
  <c r="Y44" i="63" s="1"/>
  <c r="Y45" i="63" s="1"/>
  <c r="Y46" i="63" s="1"/>
  <c r="Y47" i="63" s="1"/>
  <c r="Y48" i="63" s="1"/>
  <c r="Y49" i="63" s="1"/>
  <c r="Y50" i="63" s="1"/>
  <c r="Y51" i="63" s="1"/>
  <c r="Y52" i="63" s="1"/>
  <c r="Y53" i="63" s="1"/>
  <c r="Y54" i="63" s="1"/>
  <c r="Y55" i="63" s="1"/>
  <c r="Y56" i="63" s="1"/>
  <c r="Y57" i="63" s="1"/>
  <c r="Y58" i="63" s="1"/>
  <c r="Y59" i="63" s="1"/>
  <c r="Y60" i="63" s="1"/>
  <c r="Y61" i="63" s="1"/>
  <c r="Y62" i="63" s="1"/>
  <c r="Y63" i="63" s="1"/>
  <c r="Y64" i="63" s="1"/>
  <c r="Y65" i="63" s="1"/>
  <c r="Y66" i="63" s="1"/>
  <c r="Y67" i="63" s="1"/>
  <c r="Y68" i="63" s="1"/>
  <c r="Y69" i="63" s="1"/>
  <c r="Y70" i="63" s="1"/>
  <c r="Y71" i="63" s="1"/>
  <c r="Y72" i="63" s="1"/>
  <c r="Y73" i="63" s="1"/>
  <c r="Y74" i="63" s="1"/>
  <c r="Y75" i="63" s="1"/>
  <c r="Y76" i="63" s="1"/>
  <c r="Y77" i="63" s="1"/>
  <c r="Y78" i="63" s="1"/>
  <c r="Y79" i="63" s="1"/>
  <c r="Y80" i="63" s="1"/>
  <c r="Y81" i="63" s="1"/>
  <c r="Y82" i="63" s="1"/>
  <c r="Y83" i="63" s="1"/>
  <c r="Y84" i="63" s="1"/>
  <c r="Y85" i="63" s="1"/>
  <c r="Y86" i="63" s="1"/>
  <c r="Y87" i="63" s="1"/>
  <c r="Y88" i="63" s="1"/>
  <c r="Y89" i="63" s="1"/>
  <c r="Y90" i="63" s="1"/>
  <c r="Y91" i="63" s="1"/>
  <c r="Y92" i="63" s="1"/>
  <c r="Y93" i="63" s="1"/>
  <c r="Y94" i="63" s="1"/>
  <c r="Y95" i="63" s="1"/>
  <c r="Y96" i="63" s="1"/>
  <c r="Y97" i="63" s="1"/>
  <c r="Y98" i="63" s="1"/>
  <c r="Y99" i="63" s="1"/>
  <c r="Y100" i="63" s="1"/>
  <c r="Y101" i="63" s="1"/>
  <c r="Y102" i="63" s="1"/>
  <c r="Y103" i="63" s="1"/>
  <c r="Y104" i="63" s="1"/>
  <c r="Y105" i="63" s="1"/>
  <c r="Y106" i="63" s="1"/>
  <c r="Y107" i="63" s="1"/>
  <c r="Y108" i="63" s="1"/>
  <c r="Y109" i="63" s="1"/>
  <c r="Y110" i="63" s="1"/>
  <c r="Y111" i="63" s="1"/>
  <c r="Y112" i="63" s="1"/>
  <c r="Y113" i="63" s="1"/>
  <c r="Y114" i="63" s="1"/>
  <c r="Y115" i="63" s="1"/>
  <c r="Y116" i="63" s="1"/>
  <c r="Y117" i="63" s="1"/>
  <c r="Y118" i="63" s="1"/>
  <c r="Y119" i="63" s="1"/>
  <c r="Y120" i="63" s="1"/>
  <c r="Y121" i="63" s="1"/>
  <c r="Y122" i="63" s="1"/>
  <c r="Y123" i="63" s="1"/>
  <c r="Y124" i="63" s="1"/>
  <c r="Y125" i="63" s="1"/>
  <c r="Y126" i="63" s="1"/>
  <c r="Y127" i="63" s="1"/>
  <c r="Y128" i="63" s="1"/>
  <c r="Y129" i="63" s="1"/>
  <c r="Y130" i="63" s="1"/>
  <c r="Y131" i="63" s="1"/>
  <c r="Y132" i="63" s="1"/>
  <c r="Y133" i="63" s="1"/>
  <c r="Y134" i="63" s="1"/>
  <c r="Y135" i="63" s="1"/>
  <c r="Y136" i="63" s="1"/>
  <c r="Y137" i="63" s="1"/>
  <c r="Y138" i="63" s="1"/>
  <c r="Y139" i="63" s="1"/>
  <c r="Y140" i="63" s="1"/>
  <c r="Y141" i="63" s="1"/>
  <c r="Y142" i="63" s="1"/>
  <c r="Y143" i="63" s="1"/>
  <c r="Y144" i="63" s="1"/>
  <c r="Y145" i="63" s="1"/>
  <c r="Y146" i="63" s="1"/>
  <c r="Y147" i="63" s="1"/>
  <c r="Y148" i="63" s="1"/>
  <c r="Y149" i="63" s="1"/>
  <c r="Y150" i="63" s="1"/>
  <c r="Y151" i="63" s="1"/>
  <c r="Y152" i="63" s="1"/>
  <c r="Y153" i="63" s="1"/>
  <c r="Y154" i="63" s="1"/>
  <c r="Y155" i="63" s="1"/>
  <c r="Y156" i="63" s="1"/>
  <c r="Y157" i="63" s="1"/>
  <c r="Y158" i="63" s="1"/>
  <c r="Y159" i="63" s="1"/>
  <c r="Y160" i="63" s="1"/>
  <c r="Y161" i="63" s="1"/>
  <c r="Y162" i="63" s="1"/>
  <c r="Y163" i="63" s="1"/>
  <c r="Y164" i="63" s="1"/>
  <c r="Y165" i="63" s="1"/>
  <c r="Y166" i="63" s="1"/>
  <c r="Y167" i="63" s="1"/>
  <c r="Y168" i="63" s="1"/>
  <c r="Y169" i="63" s="1"/>
  <c r="Y170" i="63" s="1"/>
  <c r="Y171" i="63" s="1"/>
  <c r="Y172" i="63" s="1"/>
  <c r="Y173" i="63" s="1"/>
  <c r="Y174" i="63" s="1"/>
  <c r="Y175" i="63" s="1"/>
  <c r="Y176" i="63" s="1"/>
  <c r="Y177" i="63" s="1"/>
  <c r="Y178" i="63" s="1"/>
  <c r="Y179" i="63" s="1"/>
  <c r="Y180" i="63" s="1"/>
  <c r="Y181" i="63" s="1"/>
  <c r="Y182" i="63" s="1"/>
  <c r="Y183" i="63" s="1"/>
  <c r="Y184" i="63" s="1"/>
  <c r="Y185" i="63" s="1"/>
  <c r="Y186" i="63" s="1"/>
  <c r="Y187" i="63" s="1"/>
  <c r="Y188" i="63" s="1"/>
  <c r="Y189" i="63" s="1"/>
  <c r="Y190" i="63" s="1"/>
  <c r="Y191" i="63" s="1"/>
  <c r="Y192" i="63" s="1"/>
  <c r="Y193" i="63" s="1"/>
  <c r="Y194" i="63" s="1"/>
  <c r="Y195" i="63" s="1"/>
  <c r="Y196" i="63" s="1"/>
  <c r="Y197" i="63" s="1"/>
  <c r="Y198" i="63" s="1"/>
  <c r="Y199" i="63" s="1"/>
  <c r="Y200" i="63" s="1"/>
  <c r="Y201" i="63" s="1"/>
  <c r="Y202" i="63" s="1"/>
  <c r="Y203" i="63" s="1"/>
  <c r="Y204" i="63" s="1"/>
  <c r="Y205" i="63" s="1"/>
  <c r="Y206" i="63" s="1"/>
  <c r="Y207" i="63" s="1"/>
  <c r="Y208" i="63" s="1"/>
  <c r="Y209" i="63" s="1"/>
  <c r="Y210" i="63" s="1"/>
  <c r="Y211" i="63" s="1"/>
  <c r="Y212" i="63" s="1"/>
  <c r="Y213" i="63" s="1"/>
  <c r="Y214" i="63" s="1"/>
  <c r="Y215" i="63" s="1"/>
  <c r="Y216" i="63" s="1"/>
  <c r="Y217" i="63" s="1"/>
  <c r="Y218" i="63" s="1"/>
  <c r="Y219" i="63" s="1"/>
  <c r="Y220" i="63" s="1"/>
  <c r="Y221" i="63" s="1"/>
  <c r="Y222" i="63" s="1"/>
  <c r="Y223" i="63" s="1"/>
  <c r="Y224" i="63" s="1"/>
  <c r="Y225" i="63" s="1"/>
  <c r="Y226" i="63" s="1"/>
  <c r="Y227" i="63" s="1"/>
  <c r="Y228" i="63" s="1"/>
  <c r="Y229" i="63" s="1"/>
  <c r="Y230" i="63" s="1"/>
  <c r="Y231" i="63" s="1"/>
  <c r="Y232" i="63" s="1"/>
  <c r="Y233" i="63" s="1"/>
  <c r="Y234" i="63" s="1"/>
  <c r="Y235" i="63" s="1"/>
  <c r="Y236" i="63" s="1"/>
  <c r="Y237" i="63" s="1"/>
  <c r="Y238" i="63" s="1"/>
  <c r="Y239" i="63" s="1"/>
  <c r="Y240" i="63" s="1"/>
  <c r="Y241" i="63" s="1"/>
  <c r="Y242" i="63" s="1"/>
  <c r="Y243" i="63" s="1"/>
  <c r="Y244" i="63" s="1"/>
  <c r="Y245" i="63" s="1"/>
  <c r="Y246" i="63" s="1"/>
  <c r="Y247" i="63" s="1"/>
  <c r="Y248" i="63" s="1"/>
  <c r="Y249" i="63" s="1"/>
  <c r="Y250" i="63" s="1"/>
  <c r="Y251" i="63" s="1"/>
  <c r="Y252" i="63" s="1"/>
  <c r="Y253" i="63" s="1"/>
  <c r="Y254" i="63" s="1"/>
  <c r="Y255" i="63" s="1"/>
  <c r="Y256" i="63" s="1"/>
  <c r="Y257" i="63" s="1"/>
  <c r="Y258" i="63" s="1"/>
  <c r="Y259" i="63" s="1"/>
  <c r="Y260" i="63" s="1"/>
  <c r="Y261" i="63" s="1"/>
  <c r="Y262" i="63" s="1"/>
  <c r="Y263" i="63" s="1"/>
  <c r="Y264" i="63" s="1"/>
  <c r="Y265" i="63" s="1"/>
  <c r="Y266" i="63" s="1"/>
  <c r="Y267" i="63" s="1"/>
  <c r="Y268" i="63" s="1"/>
  <c r="Y269" i="63" s="1"/>
  <c r="Y270" i="63" s="1"/>
  <c r="Y271" i="63" s="1"/>
  <c r="Y272" i="63" s="1"/>
  <c r="Y273" i="63" s="1"/>
  <c r="Y274" i="63" s="1"/>
  <c r="Y275" i="63" s="1"/>
  <c r="Y276" i="63" s="1"/>
  <c r="Y277" i="63" s="1"/>
  <c r="Y278" i="63" s="1"/>
  <c r="Y279" i="63" s="1"/>
  <c r="Y280" i="63" s="1"/>
  <c r="Y281" i="63" s="1"/>
  <c r="Y282" i="63" s="1"/>
  <c r="Y283" i="63" s="1"/>
  <c r="Y284" i="63" s="1"/>
  <c r="Y285" i="63" s="1"/>
  <c r="Y286" i="63" s="1"/>
  <c r="Y287" i="63" s="1"/>
  <c r="Y288" i="63" s="1"/>
  <c r="Y289" i="63" s="1"/>
  <c r="Y290" i="63" s="1"/>
  <c r="Y291" i="63" s="1"/>
  <c r="Y292" i="63" s="1"/>
  <c r="Y293" i="63" s="1"/>
  <c r="Y294" i="63" s="1"/>
  <c r="Y295" i="63" s="1"/>
  <c r="Y296" i="63" s="1"/>
  <c r="Y297" i="63" s="1"/>
  <c r="Y298" i="63" s="1"/>
  <c r="Y299" i="63" s="1"/>
  <c r="Y300" i="63" s="1"/>
  <c r="Y301" i="63" s="1"/>
  <c r="Y302" i="63" s="1"/>
  <c r="Y303" i="63" s="1"/>
  <c r="Y304" i="63" s="1"/>
  <c r="Y305" i="63" s="1"/>
  <c r="Y306" i="63" s="1"/>
  <c r="Y307" i="63" s="1"/>
  <c r="Y308" i="63" s="1"/>
  <c r="Y7" i="63"/>
  <c r="Y6" i="63"/>
  <c r="Y5" i="63"/>
  <c r="Y4" i="63"/>
  <c r="X8" i="63"/>
  <c r="X7" i="63"/>
  <c r="X6" i="63"/>
  <c r="X5" i="63"/>
  <c r="X4" i="63"/>
  <c r="W8" i="63"/>
  <c r="W9" i="63" s="1"/>
  <c r="W10" i="63" s="1"/>
  <c r="W11" i="63" s="1"/>
  <c r="W12" i="63" s="1"/>
  <c r="W13" i="63" s="1"/>
  <c r="W14" i="63" s="1"/>
  <c r="W15" i="63" s="1"/>
  <c r="W16" i="63" s="1"/>
  <c r="W17" i="63" s="1"/>
  <c r="W18" i="63" s="1"/>
  <c r="W19" i="63" s="1"/>
  <c r="W20" i="63" s="1"/>
  <c r="W21" i="63" s="1"/>
  <c r="W22" i="63" s="1"/>
  <c r="W23" i="63" s="1"/>
  <c r="W24" i="63" s="1"/>
  <c r="W25" i="63" s="1"/>
  <c r="W26" i="63" s="1"/>
  <c r="W27" i="63" s="1"/>
  <c r="W28" i="63" s="1"/>
  <c r="W29" i="63" s="1"/>
  <c r="W30" i="63" s="1"/>
  <c r="W31" i="63" s="1"/>
  <c r="W32" i="63" s="1"/>
  <c r="W33" i="63" s="1"/>
  <c r="W34" i="63" s="1"/>
  <c r="W35" i="63" s="1"/>
  <c r="W36" i="63" s="1"/>
  <c r="W37" i="63" s="1"/>
  <c r="W38" i="63" s="1"/>
  <c r="W39" i="63" s="1"/>
  <c r="W40" i="63" s="1"/>
  <c r="W41" i="63" s="1"/>
  <c r="W42" i="63" s="1"/>
  <c r="W43" i="63" s="1"/>
  <c r="W44" i="63" s="1"/>
  <c r="W45" i="63" s="1"/>
  <c r="W46" i="63" s="1"/>
  <c r="W47" i="63" s="1"/>
  <c r="W48" i="63" s="1"/>
  <c r="W49" i="63" s="1"/>
  <c r="W50" i="63" s="1"/>
  <c r="W51" i="63" s="1"/>
  <c r="W52" i="63" s="1"/>
  <c r="W53" i="63" s="1"/>
  <c r="W54" i="63" s="1"/>
  <c r="W55" i="63" s="1"/>
  <c r="W56" i="63" s="1"/>
  <c r="W57" i="63" s="1"/>
  <c r="W58" i="63" s="1"/>
  <c r="W59" i="63" s="1"/>
  <c r="W60" i="63" s="1"/>
  <c r="W61" i="63" s="1"/>
  <c r="W62" i="63" s="1"/>
  <c r="W63" i="63" s="1"/>
  <c r="W64" i="63" s="1"/>
  <c r="W65" i="63" s="1"/>
  <c r="W66" i="63" s="1"/>
  <c r="W67" i="63" s="1"/>
  <c r="W68" i="63" s="1"/>
  <c r="W69" i="63" s="1"/>
  <c r="W70" i="63" s="1"/>
  <c r="W71" i="63" s="1"/>
  <c r="W72" i="63" s="1"/>
  <c r="W73" i="63" s="1"/>
  <c r="W74" i="63" s="1"/>
  <c r="W75" i="63" s="1"/>
  <c r="W76" i="63" s="1"/>
  <c r="W77" i="63" s="1"/>
  <c r="W78" i="63" s="1"/>
  <c r="W79" i="63" s="1"/>
  <c r="W80" i="63" s="1"/>
  <c r="W81" i="63" s="1"/>
  <c r="W82" i="63" s="1"/>
  <c r="W83" i="63" s="1"/>
  <c r="W84" i="63" s="1"/>
  <c r="W85" i="63" s="1"/>
  <c r="W86" i="63" s="1"/>
  <c r="W87" i="63" s="1"/>
  <c r="W88" i="63" s="1"/>
  <c r="W89" i="63" s="1"/>
  <c r="W90" i="63" s="1"/>
  <c r="W91" i="63" s="1"/>
  <c r="W92" i="63" s="1"/>
  <c r="W93" i="63" s="1"/>
  <c r="W94" i="63" s="1"/>
  <c r="W95" i="63" s="1"/>
  <c r="W96" i="63" s="1"/>
  <c r="W97" i="63" s="1"/>
  <c r="W98" i="63" s="1"/>
  <c r="W99" i="63" s="1"/>
  <c r="W100" i="63" s="1"/>
  <c r="W101" i="63" s="1"/>
  <c r="W102" i="63" s="1"/>
  <c r="W103" i="63" s="1"/>
  <c r="W104" i="63" s="1"/>
  <c r="W105" i="63" s="1"/>
  <c r="W106" i="63" s="1"/>
  <c r="W107" i="63" s="1"/>
  <c r="W108" i="63" s="1"/>
  <c r="W109" i="63" s="1"/>
  <c r="W110" i="63" s="1"/>
  <c r="W111" i="63" s="1"/>
  <c r="W112" i="63" s="1"/>
  <c r="W113" i="63" s="1"/>
  <c r="W114" i="63" s="1"/>
  <c r="W115" i="63" s="1"/>
  <c r="W116" i="63" s="1"/>
  <c r="W117" i="63" s="1"/>
  <c r="W118" i="63" s="1"/>
  <c r="W119" i="63" s="1"/>
  <c r="W120" i="63" s="1"/>
  <c r="W121" i="63" s="1"/>
  <c r="W122" i="63" s="1"/>
  <c r="W123" i="63" s="1"/>
  <c r="W124" i="63" s="1"/>
  <c r="W125" i="63" s="1"/>
  <c r="W126" i="63" s="1"/>
  <c r="W127" i="63" s="1"/>
  <c r="W128" i="63" s="1"/>
  <c r="W129" i="63" s="1"/>
  <c r="W130" i="63" s="1"/>
  <c r="W131" i="63" s="1"/>
  <c r="W132" i="63" s="1"/>
  <c r="W133" i="63" s="1"/>
  <c r="W134" i="63" s="1"/>
  <c r="W135" i="63" s="1"/>
  <c r="W136" i="63" s="1"/>
  <c r="W137" i="63" s="1"/>
  <c r="W138" i="63" s="1"/>
  <c r="W139" i="63" s="1"/>
  <c r="W140" i="63" s="1"/>
  <c r="W141" i="63" s="1"/>
  <c r="W142" i="63" s="1"/>
  <c r="W143" i="63" s="1"/>
  <c r="W144" i="63" s="1"/>
  <c r="W145" i="63" s="1"/>
  <c r="W146" i="63" s="1"/>
  <c r="W147" i="63" s="1"/>
  <c r="W148" i="63" s="1"/>
  <c r="W149" i="63" s="1"/>
  <c r="W150" i="63" s="1"/>
  <c r="W151" i="63" s="1"/>
  <c r="W152" i="63" s="1"/>
  <c r="W153" i="63" s="1"/>
  <c r="W154" i="63" s="1"/>
  <c r="W155" i="63" s="1"/>
  <c r="W156" i="63" s="1"/>
  <c r="W157" i="63" s="1"/>
  <c r="W158" i="63" s="1"/>
  <c r="W159" i="63" s="1"/>
  <c r="W160" i="63" s="1"/>
  <c r="W161" i="63" s="1"/>
  <c r="W162" i="63" s="1"/>
  <c r="W163" i="63" s="1"/>
  <c r="W164" i="63" s="1"/>
  <c r="W165" i="63" s="1"/>
  <c r="W166" i="63" s="1"/>
  <c r="W167" i="63" s="1"/>
  <c r="W168" i="63" s="1"/>
  <c r="W169" i="63" s="1"/>
  <c r="W170" i="63" s="1"/>
  <c r="W171" i="63" s="1"/>
  <c r="W172" i="63" s="1"/>
  <c r="W173" i="63" s="1"/>
  <c r="W174" i="63" s="1"/>
  <c r="W175" i="63" s="1"/>
  <c r="W176" i="63" s="1"/>
  <c r="W177" i="63" s="1"/>
  <c r="W178" i="63" s="1"/>
  <c r="W179" i="63" s="1"/>
  <c r="W180" i="63" s="1"/>
  <c r="W181" i="63" s="1"/>
  <c r="W182" i="63" s="1"/>
  <c r="W183" i="63" s="1"/>
  <c r="W184" i="63" s="1"/>
  <c r="W185" i="63" s="1"/>
  <c r="W186" i="63" s="1"/>
  <c r="W187" i="63" s="1"/>
  <c r="W188" i="63" s="1"/>
  <c r="W189" i="63" s="1"/>
  <c r="W190" i="63" s="1"/>
  <c r="W191" i="63" s="1"/>
  <c r="W192" i="63" s="1"/>
  <c r="W193" i="63" s="1"/>
  <c r="W194" i="63" s="1"/>
  <c r="W195" i="63" s="1"/>
  <c r="W196" i="63" s="1"/>
  <c r="W197" i="63" s="1"/>
  <c r="W198" i="63" s="1"/>
  <c r="W199" i="63" s="1"/>
  <c r="W200" i="63" s="1"/>
  <c r="W201" i="63" s="1"/>
  <c r="W202" i="63" s="1"/>
  <c r="W203" i="63" s="1"/>
  <c r="W204" i="63" s="1"/>
  <c r="W205" i="63" s="1"/>
  <c r="W206" i="63" s="1"/>
  <c r="W207" i="63" s="1"/>
  <c r="W208" i="63" s="1"/>
  <c r="W209" i="63" s="1"/>
  <c r="W210" i="63" s="1"/>
  <c r="W211" i="63" s="1"/>
  <c r="W212" i="63" s="1"/>
  <c r="W213" i="63" s="1"/>
  <c r="W214" i="63" s="1"/>
  <c r="W215" i="63" s="1"/>
  <c r="W216" i="63" s="1"/>
  <c r="W217" i="63" s="1"/>
  <c r="W218" i="63" s="1"/>
  <c r="W219" i="63" s="1"/>
  <c r="W220" i="63" s="1"/>
  <c r="W221" i="63" s="1"/>
  <c r="W222" i="63" s="1"/>
  <c r="W223" i="63" s="1"/>
  <c r="W224" i="63" s="1"/>
  <c r="W225" i="63" s="1"/>
  <c r="W226" i="63" s="1"/>
  <c r="W227" i="63" s="1"/>
  <c r="W228" i="63" s="1"/>
  <c r="W229" i="63" s="1"/>
  <c r="W230" i="63" s="1"/>
  <c r="W231" i="63" s="1"/>
  <c r="W232" i="63" s="1"/>
  <c r="W233" i="63" s="1"/>
  <c r="W234" i="63" s="1"/>
  <c r="W235" i="63" s="1"/>
  <c r="W236" i="63" s="1"/>
  <c r="W237" i="63" s="1"/>
  <c r="W238" i="63" s="1"/>
  <c r="W239" i="63" s="1"/>
  <c r="W240" i="63" s="1"/>
  <c r="W241" i="63" s="1"/>
  <c r="W242" i="63" s="1"/>
  <c r="W243" i="63" s="1"/>
  <c r="W244" i="63" s="1"/>
  <c r="W245" i="63" s="1"/>
  <c r="W246" i="63" s="1"/>
  <c r="W247" i="63" s="1"/>
  <c r="W248" i="63" s="1"/>
  <c r="W249" i="63" s="1"/>
  <c r="W250" i="63" s="1"/>
  <c r="W251" i="63" s="1"/>
  <c r="W252" i="63" s="1"/>
  <c r="W253" i="63" s="1"/>
  <c r="W254" i="63" s="1"/>
  <c r="W255" i="63" s="1"/>
  <c r="W256" i="63" s="1"/>
  <c r="W257" i="63" s="1"/>
  <c r="W258" i="63" s="1"/>
  <c r="W259" i="63" s="1"/>
  <c r="W260" i="63" s="1"/>
  <c r="W261" i="63" s="1"/>
  <c r="W262" i="63" s="1"/>
  <c r="W263" i="63" s="1"/>
  <c r="W264" i="63" s="1"/>
  <c r="W265" i="63" s="1"/>
  <c r="W266" i="63" s="1"/>
  <c r="W267" i="63" s="1"/>
  <c r="W268" i="63" s="1"/>
  <c r="W269" i="63" s="1"/>
  <c r="W270" i="63" s="1"/>
  <c r="W271" i="63" s="1"/>
  <c r="W272" i="63" s="1"/>
  <c r="W273" i="63" s="1"/>
  <c r="W274" i="63" s="1"/>
  <c r="W275" i="63" s="1"/>
  <c r="W276" i="63" s="1"/>
  <c r="W277" i="63" s="1"/>
  <c r="W278" i="63" s="1"/>
  <c r="W279" i="63" s="1"/>
  <c r="W280" i="63" s="1"/>
  <c r="W281" i="63" s="1"/>
  <c r="W282" i="63" s="1"/>
  <c r="W283" i="63" s="1"/>
  <c r="W284" i="63" s="1"/>
  <c r="W285" i="63" s="1"/>
  <c r="W286" i="63" s="1"/>
  <c r="W287" i="63" s="1"/>
  <c r="W288" i="63" s="1"/>
  <c r="W289" i="63" s="1"/>
  <c r="W290" i="63" s="1"/>
  <c r="W291" i="63" s="1"/>
  <c r="W292" i="63" s="1"/>
  <c r="W293" i="63" s="1"/>
  <c r="W294" i="63" s="1"/>
  <c r="W295" i="63" s="1"/>
  <c r="W296" i="63" s="1"/>
  <c r="W297" i="63" s="1"/>
  <c r="W298" i="63" s="1"/>
  <c r="W299" i="63" s="1"/>
  <c r="W300" i="63" s="1"/>
  <c r="W301" i="63" s="1"/>
  <c r="W302" i="63" s="1"/>
  <c r="W303" i="63" s="1"/>
  <c r="W304" i="63" s="1"/>
  <c r="W305" i="63" s="1"/>
  <c r="W306" i="63" s="1"/>
  <c r="W307" i="63" s="1"/>
  <c r="W308" i="63" s="1"/>
  <c r="W7" i="63"/>
  <c r="W6" i="63"/>
  <c r="W5" i="63"/>
  <c r="W4" i="63"/>
  <c r="V8" i="63"/>
  <c r="V7" i="63"/>
  <c r="V6" i="63"/>
  <c r="V5" i="63"/>
  <c r="V4" i="63"/>
  <c r="U8" i="63"/>
  <c r="U7" i="63"/>
  <c r="U6" i="63"/>
  <c r="U5" i="63"/>
  <c r="U4" i="63"/>
  <c r="T8" i="63"/>
  <c r="T7" i="63"/>
  <c r="T6" i="63"/>
  <c r="T5" i="63"/>
  <c r="T4" i="63"/>
  <c r="S8" i="63"/>
  <c r="S9" i="63" s="1"/>
  <c r="S10" i="63" s="1"/>
  <c r="S11" i="63" s="1"/>
  <c r="S12" i="63" s="1"/>
  <c r="S13" i="63" s="1"/>
  <c r="S14" i="63" s="1"/>
  <c r="S15" i="63" s="1"/>
  <c r="S16" i="63" s="1"/>
  <c r="S17" i="63" s="1"/>
  <c r="S18" i="63" s="1"/>
  <c r="S19" i="63" s="1"/>
  <c r="S20" i="63" s="1"/>
  <c r="S21" i="63" s="1"/>
  <c r="S22" i="63" s="1"/>
  <c r="S23" i="63" s="1"/>
  <c r="S24" i="63" s="1"/>
  <c r="S25" i="63" s="1"/>
  <c r="S26" i="63" s="1"/>
  <c r="S27" i="63" s="1"/>
  <c r="S28" i="63" s="1"/>
  <c r="S29" i="63" s="1"/>
  <c r="S30" i="63" s="1"/>
  <c r="S31" i="63" s="1"/>
  <c r="S32" i="63" s="1"/>
  <c r="S33" i="63" s="1"/>
  <c r="S34" i="63" s="1"/>
  <c r="S35" i="63" s="1"/>
  <c r="S36" i="63" s="1"/>
  <c r="S37" i="63" s="1"/>
  <c r="S38" i="63" s="1"/>
  <c r="S39" i="63" s="1"/>
  <c r="S40" i="63" s="1"/>
  <c r="S41" i="63" s="1"/>
  <c r="S42" i="63" s="1"/>
  <c r="S43" i="63" s="1"/>
  <c r="S44" i="63" s="1"/>
  <c r="S45" i="63" s="1"/>
  <c r="S46" i="63" s="1"/>
  <c r="S47" i="63" s="1"/>
  <c r="S48" i="63" s="1"/>
  <c r="S49" i="63" s="1"/>
  <c r="S50" i="63" s="1"/>
  <c r="S51" i="63" s="1"/>
  <c r="S52" i="63" s="1"/>
  <c r="S53" i="63" s="1"/>
  <c r="S54" i="63" s="1"/>
  <c r="S55" i="63" s="1"/>
  <c r="S56" i="63" s="1"/>
  <c r="S57" i="63" s="1"/>
  <c r="S58" i="63" s="1"/>
  <c r="S59" i="63" s="1"/>
  <c r="S60" i="63" s="1"/>
  <c r="S61" i="63" s="1"/>
  <c r="S62" i="63" s="1"/>
  <c r="S63" i="63" s="1"/>
  <c r="S64" i="63" s="1"/>
  <c r="S65" i="63" s="1"/>
  <c r="S66" i="63" s="1"/>
  <c r="S67" i="63" s="1"/>
  <c r="S68" i="63" s="1"/>
  <c r="S69" i="63" s="1"/>
  <c r="S70" i="63" s="1"/>
  <c r="S71" i="63" s="1"/>
  <c r="S72" i="63" s="1"/>
  <c r="S73" i="63" s="1"/>
  <c r="S74" i="63" s="1"/>
  <c r="S75" i="63" s="1"/>
  <c r="S76" i="63" s="1"/>
  <c r="S77" i="63" s="1"/>
  <c r="S78" i="63" s="1"/>
  <c r="S79" i="63" s="1"/>
  <c r="S80" i="63" s="1"/>
  <c r="S81" i="63" s="1"/>
  <c r="S82" i="63" s="1"/>
  <c r="S83" i="63" s="1"/>
  <c r="S84" i="63" s="1"/>
  <c r="S85" i="63" s="1"/>
  <c r="S86" i="63" s="1"/>
  <c r="S87" i="63" s="1"/>
  <c r="S88" i="63" s="1"/>
  <c r="S89" i="63" s="1"/>
  <c r="S90" i="63" s="1"/>
  <c r="S91" i="63" s="1"/>
  <c r="S92" i="63" s="1"/>
  <c r="S93" i="63" s="1"/>
  <c r="S94" i="63" s="1"/>
  <c r="S95" i="63" s="1"/>
  <c r="S96" i="63" s="1"/>
  <c r="S97" i="63" s="1"/>
  <c r="S98" i="63" s="1"/>
  <c r="S99" i="63" s="1"/>
  <c r="S100" i="63" s="1"/>
  <c r="S101" i="63" s="1"/>
  <c r="S102" i="63" s="1"/>
  <c r="S103" i="63" s="1"/>
  <c r="S104" i="63" s="1"/>
  <c r="S105" i="63" s="1"/>
  <c r="S106" i="63" s="1"/>
  <c r="S107" i="63" s="1"/>
  <c r="S108" i="63" s="1"/>
  <c r="S109" i="63" s="1"/>
  <c r="S110" i="63" s="1"/>
  <c r="S111" i="63" s="1"/>
  <c r="S112" i="63" s="1"/>
  <c r="S113" i="63" s="1"/>
  <c r="S114" i="63" s="1"/>
  <c r="S115" i="63" s="1"/>
  <c r="S116" i="63" s="1"/>
  <c r="S117" i="63" s="1"/>
  <c r="S118" i="63" s="1"/>
  <c r="S119" i="63" s="1"/>
  <c r="S120" i="63" s="1"/>
  <c r="S121" i="63" s="1"/>
  <c r="S122" i="63" s="1"/>
  <c r="S123" i="63" s="1"/>
  <c r="S124" i="63" s="1"/>
  <c r="S125" i="63" s="1"/>
  <c r="S126" i="63" s="1"/>
  <c r="S127" i="63" s="1"/>
  <c r="S128" i="63" s="1"/>
  <c r="S129" i="63" s="1"/>
  <c r="S130" i="63" s="1"/>
  <c r="S131" i="63" s="1"/>
  <c r="S132" i="63" s="1"/>
  <c r="S133" i="63" s="1"/>
  <c r="S134" i="63" s="1"/>
  <c r="S135" i="63" s="1"/>
  <c r="S136" i="63" s="1"/>
  <c r="S137" i="63" s="1"/>
  <c r="S138" i="63" s="1"/>
  <c r="S139" i="63" s="1"/>
  <c r="S140" i="63" s="1"/>
  <c r="S141" i="63" s="1"/>
  <c r="S142" i="63" s="1"/>
  <c r="S143" i="63" s="1"/>
  <c r="S144" i="63" s="1"/>
  <c r="S145" i="63" s="1"/>
  <c r="S146" i="63" s="1"/>
  <c r="S147" i="63" s="1"/>
  <c r="S148" i="63" s="1"/>
  <c r="S149" i="63" s="1"/>
  <c r="S150" i="63" s="1"/>
  <c r="S151" i="63" s="1"/>
  <c r="S152" i="63" s="1"/>
  <c r="S153" i="63" s="1"/>
  <c r="S154" i="63" s="1"/>
  <c r="S155" i="63" s="1"/>
  <c r="S156" i="63" s="1"/>
  <c r="S157" i="63" s="1"/>
  <c r="S158" i="63" s="1"/>
  <c r="S159" i="63" s="1"/>
  <c r="S160" i="63" s="1"/>
  <c r="S161" i="63" s="1"/>
  <c r="S162" i="63" s="1"/>
  <c r="S163" i="63" s="1"/>
  <c r="S164" i="63" s="1"/>
  <c r="S165" i="63" s="1"/>
  <c r="S166" i="63" s="1"/>
  <c r="S167" i="63" s="1"/>
  <c r="S168" i="63" s="1"/>
  <c r="S169" i="63" s="1"/>
  <c r="S170" i="63" s="1"/>
  <c r="S171" i="63" s="1"/>
  <c r="S172" i="63" s="1"/>
  <c r="S173" i="63" s="1"/>
  <c r="S174" i="63" s="1"/>
  <c r="S175" i="63" s="1"/>
  <c r="S176" i="63" s="1"/>
  <c r="S177" i="63" s="1"/>
  <c r="S178" i="63" s="1"/>
  <c r="S179" i="63" s="1"/>
  <c r="S180" i="63" s="1"/>
  <c r="S181" i="63" s="1"/>
  <c r="S182" i="63" s="1"/>
  <c r="S183" i="63" s="1"/>
  <c r="S184" i="63" s="1"/>
  <c r="S185" i="63" s="1"/>
  <c r="S186" i="63" s="1"/>
  <c r="S187" i="63" s="1"/>
  <c r="S188" i="63" s="1"/>
  <c r="S189" i="63" s="1"/>
  <c r="S190" i="63" s="1"/>
  <c r="S191" i="63" s="1"/>
  <c r="S192" i="63" s="1"/>
  <c r="S193" i="63" s="1"/>
  <c r="S194" i="63" s="1"/>
  <c r="S195" i="63" s="1"/>
  <c r="S196" i="63" s="1"/>
  <c r="S197" i="63" s="1"/>
  <c r="S198" i="63" s="1"/>
  <c r="S199" i="63" s="1"/>
  <c r="S200" i="63" s="1"/>
  <c r="S201" i="63" s="1"/>
  <c r="S202" i="63" s="1"/>
  <c r="S203" i="63" s="1"/>
  <c r="S204" i="63" s="1"/>
  <c r="S205" i="63" s="1"/>
  <c r="S206" i="63" s="1"/>
  <c r="S207" i="63" s="1"/>
  <c r="S208" i="63" s="1"/>
  <c r="S209" i="63" s="1"/>
  <c r="S210" i="63" s="1"/>
  <c r="S211" i="63" s="1"/>
  <c r="S212" i="63" s="1"/>
  <c r="S213" i="63" s="1"/>
  <c r="S214" i="63" s="1"/>
  <c r="S215" i="63" s="1"/>
  <c r="S216" i="63" s="1"/>
  <c r="S217" i="63" s="1"/>
  <c r="S218" i="63" s="1"/>
  <c r="S219" i="63" s="1"/>
  <c r="S220" i="63" s="1"/>
  <c r="S221" i="63" s="1"/>
  <c r="S222" i="63" s="1"/>
  <c r="S223" i="63" s="1"/>
  <c r="S224" i="63" s="1"/>
  <c r="S225" i="63" s="1"/>
  <c r="S226" i="63" s="1"/>
  <c r="S227" i="63" s="1"/>
  <c r="S228" i="63" s="1"/>
  <c r="S229" i="63" s="1"/>
  <c r="S230" i="63" s="1"/>
  <c r="S231" i="63" s="1"/>
  <c r="S232" i="63" s="1"/>
  <c r="S233" i="63" s="1"/>
  <c r="S234" i="63" s="1"/>
  <c r="S235" i="63" s="1"/>
  <c r="S236" i="63" s="1"/>
  <c r="S237" i="63" s="1"/>
  <c r="S238" i="63" s="1"/>
  <c r="S239" i="63" s="1"/>
  <c r="S240" i="63" s="1"/>
  <c r="S241" i="63" s="1"/>
  <c r="S242" i="63" s="1"/>
  <c r="S243" i="63" s="1"/>
  <c r="S244" i="63" s="1"/>
  <c r="S245" i="63" s="1"/>
  <c r="S246" i="63" s="1"/>
  <c r="S247" i="63" s="1"/>
  <c r="S248" i="63" s="1"/>
  <c r="S249" i="63" s="1"/>
  <c r="S250" i="63" s="1"/>
  <c r="S251" i="63" s="1"/>
  <c r="S252" i="63" s="1"/>
  <c r="S253" i="63" s="1"/>
  <c r="S254" i="63" s="1"/>
  <c r="S255" i="63" s="1"/>
  <c r="S256" i="63" s="1"/>
  <c r="S257" i="63" s="1"/>
  <c r="S258" i="63" s="1"/>
  <c r="S259" i="63" s="1"/>
  <c r="S260" i="63" s="1"/>
  <c r="S261" i="63" s="1"/>
  <c r="S262" i="63" s="1"/>
  <c r="S263" i="63" s="1"/>
  <c r="S264" i="63" s="1"/>
  <c r="S265" i="63" s="1"/>
  <c r="S266" i="63" s="1"/>
  <c r="S267" i="63" s="1"/>
  <c r="S268" i="63" s="1"/>
  <c r="S269" i="63" s="1"/>
  <c r="S270" i="63" s="1"/>
  <c r="S271" i="63" s="1"/>
  <c r="S272" i="63" s="1"/>
  <c r="S273" i="63" s="1"/>
  <c r="S274" i="63" s="1"/>
  <c r="S275" i="63" s="1"/>
  <c r="S276" i="63" s="1"/>
  <c r="S277" i="63" s="1"/>
  <c r="S278" i="63" s="1"/>
  <c r="S279" i="63" s="1"/>
  <c r="S280" i="63" s="1"/>
  <c r="S281" i="63" s="1"/>
  <c r="S282" i="63" s="1"/>
  <c r="S283" i="63" s="1"/>
  <c r="S284" i="63" s="1"/>
  <c r="S285" i="63" s="1"/>
  <c r="S286" i="63" s="1"/>
  <c r="S287" i="63" s="1"/>
  <c r="S288" i="63" s="1"/>
  <c r="S289" i="63" s="1"/>
  <c r="S290" i="63" s="1"/>
  <c r="S291" i="63" s="1"/>
  <c r="S292" i="63" s="1"/>
  <c r="S293" i="63" s="1"/>
  <c r="S294" i="63" s="1"/>
  <c r="S295" i="63" s="1"/>
  <c r="S296" i="63" s="1"/>
  <c r="S297" i="63" s="1"/>
  <c r="S298" i="63" s="1"/>
  <c r="S299" i="63" s="1"/>
  <c r="S300" i="63" s="1"/>
  <c r="S301" i="63" s="1"/>
  <c r="S302" i="63" s="1"/>
  <c r="S303" i="63" s="1"/>
  <c r="S304" i="63" s="1"/>
  <c r="S305" i="63" s="1"/>
  <c r="S306" i="63" s="1"/>
  <c r="S307" i="63" s="1"/>
  <c r="S308" i="63" s="1"/>
  <c r="S7" i="63"/>
  <c r="S6" i="63"/>
  <c r="S5" i="63"/>
  <c r="S4" i="63"/>
  <c r="R8" i="63"/>
  <c r="R7" i="63"/>
  <c r="R6" i="63"/>
  <c r="R5" i="63"/>
  <c r="R4" i="63"/>
  <c r="Q8" i="63"/>
  <c r="Q9" i="63" s="1"/>
  <c r="Q10" i="63" s="1"/>
  <c r="Q11" i="63" s="1"/>
  <c r="Q12" i="63" s="1"/>
  <c r="Q13" i="63" s="1"/>
  <c r="Q14" i="63" s="1"/>
  <c r="Q15" i="63" s="1"/>
  <c r="Q16" i="63" s="1"/>
  <c r="Q17" i="63" s="1"/>
  <c r="Q18" i="63" s="1"/>
  <c r="Q19" i="63" s="1"/>
  <c r="Q20" i="63" s="1"/>
  <c r="Q21" i="63" s="1"/>
  <c r="Q22" i="63" s="1"/>
  <c r="Q23" i="63" s="1"/>
  <c r="Q24" i="63" s="1"/>
  <c r="Q25" i="63" s="1"/>
  <c r="Q26" i="63" s="1"/>
  <c r="Q27" i="63" s="1"/>
  <c r="Q28" i="63" s="1"/>
  <c r="Q29" i="63" s="1"/>
  <c r="Q30" i="63" s="1"/>
  <c r="Q31" i="63" s="1"/>
  <c r="Q32" i="63" s="1"/>
  <c r="Q33" i="63" s="1"/>
  <c r="Q34" i="63" s="1"/>
  <c r="Q35" i="63" s="1"/>
  <c r="Q36" i="63" s="1"/>
  <c r="Q37" i="63" s="1"/>
  <c r="Q38" i="63" s="1"/>
  <c r="Q39" i="63" s="1"/>
  <c r="Q40" i="63" s="1"/>
  <c r="Q41" i="63" s="1"/>
  <c r="Q42" i="63" s="1"/>
  <c r="Q43" i="63" s="1"/>
  <c r="Q44" i="63" s="1"/>
  <c r="Q45" i="63" s="1"/>
  <c r="Q46" i="63" s="1"/>
  <c r="Q47" i="63" s="1"/>
  <c r="Q48" i="63" s="1"/>
  <c r="Q49" i="63" s="1"/>
  <c r="Q50" i="63" s="1"/>
  <c r="Q51" i="63" s="1"/>
  <c r="Q52" i="63" s="1"/>
  <c r="Q53" i="63" s="1"/>
  <c r="Q54" i="63" s="1"/>
  <c r="Q55" i="63" s="1"/>
  <c r="Q56" i="63" s="1"/>
  <c r="Q57" i="63" s="1"/>
  <c r="Q58" i="63" s="1"/>
  <c r="Q59" i="63" s="1"/>
  <c r="Q60" i="63" s="1"/>
  <c r="Q61" i="63" s="1"/>
  <c r="Q62" i="63" s="1"/>
  <c r="Q63" i="63" s="1"/>
  <c r="Q64" i="63" s="1"/>
  <c r="Q65" i="63" s="1"/>
  <c r="Q66" i="63" s="1"/>
  <c r="Q67" i="63" s="1"/>
  <c r="Q68" i="63" s="1"/>
  <c r="Q69" i="63" s="1"/>
  <c r="Q70" i="63" s="1"/>
  <c r="Q71" i="63" s="1"/>
  <c r="Q72" i="63" s="1"/>
  <c r="Q73" i="63" s="1"/>
  <c r="Q74" i="63" s="1"/>
  <c r="Q75" i="63" s="1"/>
  <c r="Q76" i="63" s="1"/>
  <c r="Q77" i="63" s="1"/>
  <c r="Q78" i="63" s="1"/>
  <c r="Q79" i="63" s="1"/>
  <c r="Q80" i="63" s="1"/>
  <c r="Q81" i="63" s="1"/>
  <c r="Q82" i="63" s="1"/>
  <c r="Q83" i="63" s="1"/>
  <c r="Q84" i="63" s="1"/>
  <c r="Q85" i="63" s="1"/>
  <c r="Q86" i="63" s="1"/>
  <c r="Q87" i="63" s="1"/>
  <c r="Q88" i="63" s="1"/>
  <c r="Q89" i="63" s="1"/>
  <c r="Q90" i="63" s="1"/>
  <c r="Q91" i="63" s="1"/>
  <c r="Q92" i="63" s="1"/>
  <c r="Q93" i="63" s="1"/>
  <c r="Q94" i="63" s="1"/>
  <c r="Q95" i="63" s="1"/>
  <c r="Q96" i="63" s="1"/>
  <c r="Q97" i="63" s="1"/>
  <c r="Q98" i="63" s="1"/>
  <c r="Q99" i="63" s="1"/>
  <c r="Q100" i="63" s="1"/>
  <c r="Q101" i="63" s="1"/>
  <c r="Q102" i="63" s="1"/>
  <c r="Q103" i="63" s="1"/>
  <c r="Q104" i="63" s="1"/>
  <c r="Q105" i="63" s="1"/>
  <c r="Q106" i="63" s="1"/>
  <c r="Q107" i="63" s="1"/>
  <c r="Q108" i="63" s="1"/>
  <c r="Q109" i="63" s="1"/>
  <c r="Q110" i="63" s="1"/>
  <c r="Q111" i="63" s="1"/>
  <c r="Q112" i="63" s="1"/>
  <c r="Q113" i="63" s="1"/>
  <c r="Q114" i="63" s="1"/>
  <c r="Q115" i="63" s="1"/>
  <c r="Q116" i="63" s="1"/>
  <c r="Q117" i="63" s="1"/>
  <c r="Q118" i="63" s="1"/>
  <c r="Q119" i="63" s="1"/>
  <c r="Q120" i="63" s="1"/>
  <c r="Q121" i="63" s="1"/>
  <c r="Q122" i="63" s="1"/>
  <c r="Q123" i="63" s="1"/>
  <c r="Q124" i="63" s="1"/>
  <c r="Q125" i="63" s="1"/>
  <c r="Q126" i="63" s="1"/>
  <c r="Q127" i="63" s="1"/>
  <c r="Q128" i="63" s="1"/>
  <c r="Q129" i="63" s="1"/>
  <c r="Q130" i="63" s="1"/>
  <c r="Q131" i="63" s="1"/>
  <c r="Q132" i="63" s="1"/>
  <c r="Q133" i="63" s="1"/>
  <c r="Q134" i="63" s="1"/>
  <c r="Q135" i="63" s="1"/>
  <c r="Q136" i="63" s="1"/>
  <c r="Q137" i="63" s="1"/>
  <c r="Q138" i="63" s="1"/>
  <c r="Q139" i="63" s="1"/>
  <c r="Q140" i="63" s="1"/>
  <c r="Q141" i="63" s="1"/>
  <c r="Q142" i="63" s="1"/>
  <c r="Q143" i="63" s="1"/>
  <c r="Q144" i="63" s="1"/>
  <c r="Q145" i="63" s="1"/>
  <c r="Q146" i="63" s="1"/>
  <c r="Q147" i="63" s="1"/>
  <c r="Q148" i="63" s="1"/>
  <c r="Q149" i="63" s="1"/>
  <c r="Q150" i="63" s="1"/>
  <c r="Q151" i="63" s="1"/>
  <c r="Q152" i="63" s="1"/>
  <c r="Q153" i="63" s="1"/>
  <c r="Q154" i="63" s="1"/>
  <c r="Q155" i="63" s="1"/>
  <c r="Q156" i="63" s="1"/>
  <c r="Q157" i="63" s="1"/>
  <c r="Q158" i="63" s="1"/>
  <c r="Q159" i="63" s="1"/>
  <c r="Q160" i="63" s="1"/>
  <c r="Q161" i="63" s="1"/>
  <c r="Q162" i="63" s="1"/>
  <c r="Q163" i="63" s="1"/>
  <c r="Q164" i="63" s="1"/>
  <c r="Q165" i="63" s="1"/>
  <c r="Q166" i="63" s="1"/>
  <c r="Q167" i="63" s="1"/>
  <c r="Q168" i="63" s="1"/>
  <c r="Q169" i="63" s="1"/>
  <c r="Q170" i="63" s="1"/>
  <c r="Q171" i="63" s="1"/>
  <c r="Q172" i="63" s="1"/>
  <c r="Q173" i="63" s="1"/>
  <c r="Q174" i="63" s="1"/>
  <c r="Q175" i="63" s="1"/>
  <c r="Q176" i="63" s="1"/>
  <c r="Q177" i="63" s="1"/>
  <c r="Q178" i="63" s="1"/>
  <c r="Q179" i="63" s="1"/>
  <c r="Q180" i="63" s="1"/>
  <c r="Q181" i="63" s="1"/>
  <c r="Q182" i="63" s="1"/>
  <c r="Q183" i="63" s="1"/>
  <c r="Q184" i="63" s="1"/>
  <c r="Q185" i="63" s="1"/>
  <c r="Q186" i="63" s="1"/>
  <c r="Q187" i="63" s="1"/>
  <c r="Q188" i="63" s="1"/>
  <c r="Q189" i="63" s="1"/>
  <c r="Q190" i="63" s="1"/>
  <c r="Q191" i="63" s="1"/>
  <c r="Q192" i="63" s="1"/>
  <c r="Q193" i="63" s="1"/>
  <c r="Q194" i="63" s="1"/>
  <c r="Q195" i="63" s="1"/>
  <c r="Q196" i="63" s="1"/>
  <c r="Q197" i="63" s="1"/>
  <c r="Q198" i="63" s="1"/>
  <c r="Q199" i="63" s="1"/>
  <c r="Q200" i="63" s="1"/>
  <c r="Q201" i="63" s="1"/>
  <c r="Q202" i="63" s="1"/>
  <c r="Q203" i="63" s="1"/>
  <c r="Q204" i="63" s="1"/>
  <c r="Q205" i="63" s="1"/>
  <c r="Q206" i="63" s="1"/>
  <c r="Q207" i="63" s="1"/>
  <c r="Q208" i="63" s="1"/>
  <c r="Q209" i="63" s="1"/>
  <c r="Q210" i="63" s="1"/>
  <c r="Q211" i="63" s="1"/>
  <c r="Q212" i="63" s="1"/>
  <c r="Q213" i="63" s="1"/>
  <c r="Q214" i="63" s="1"/>
  <c r="Q215" i="63" s="1"/>
  <c r="Q216" i="63" s="1"/>
  <c r="Q217" i="63" s="1"/>
  <c r="Q218" i="63" s="1"/>
  <c r="Q219" i="63" s="1"/>
  <c r="Q220" i="63" s="1"/>
  <c r="Q221" i="63" s="1"/>
  <c r="Q222" i="63" s="1"/>
  <c r="Q223" i="63" s="1"/>
  <c r="Q224" i="63" s="1"/>
  <c r="Q225" i="63" s="1"/>
  <c r="Q226" i="63" s="1"/>
  <c r="Q227" i="63" s="1"/>
  <c r="Q228" i="63" s="1"/>
  <c r="Q229" i="63" s="1"/>
  <c r="Q230" i="63" s="1"/>
  <c r="Q231" i="63" s="1"/>
  <c r="Q232" i="63" s="1"/>
  <c r="Q233" i="63" s="1"/>
  <c r="Q234" i="63" s="1"/>
  <c r="Q235" i="63" s="1"/>
  <c r="Q236" i="63" s="1"/>
  <c r="Q237" i="63" s="1"/>
  <c r="Q238" i="63" s="1"/>
  <c r="Q239" i="63" s="1"/>
  <c r="Q240" i="63" s="1"/>
  <c r="Q241" i="63" s="1"/>
  <c r="Q242" i="63" s="1"/>
  <c r="Q243" i="63" s="1"/>
  <c r="Q244" i="63" s="1"/>
  <c r="Q245" i="63" s="1"/>
  <c r="Q246" i="63" s="1"/>
  <c r="Q247" i="63" s="1"/>
  <c r="Q248" i="63" s="1"/>
  <c r="Q249" i="63" s="1"/>
  <c r="Q250" i="63" s="1"/>
  <c r="Q251" i="63" s="1"/>
  <c r="Q252" i="63" s="1"/>
  <c r="Q253" i="63" s="1"/>
  <c r="Q254" i="63" s="1"/>
  <c r="Q255" i="63" s="1"/>
  <c r="Q256" i="63" s="1"/>
  <c r="Q257" i="63" s="1"/>
  <c r="Q258" i="63" s="1"/>
  <c r="Q259" i="63" s="1"/>
  <c r="Q260" i="63" s="1"/>
  <c r="Q261" i="63" s="1"/>
  <c r="Q262" i="63" s="1"/>
  <c r="Q263" i="63" s="1"/>
  <c r="Q264" i="63" s="1"/>
  <c r="Q265" i="63" s="1"/>
  <c r="Q266" i="63" s="1"/>
  <c r="Q267" i="63" s="1"/>
  <c r="Q268" i="63" s="1"/>
  <c r="Q269" i="63" s="1"/>
  <c r="Q270" i="63" s="1"/>
  <c r="Q271" i="63" s="1"/>
  <c r="Q272" i="63" s="1"/>
  <c r="Q273" i="63" s="1"/>
  <c r="Q274" i="63" s="1"/>
  <c r="Q275" i="63" s="1"/>
  <c r="Q276" i="63" s="1"/>
  <c r="Q277" i="63" s="1"/>
  <c r="Q278" i="63" s="1"/>
  <c r="Q279" i="63" s="1"/>
  <c r="Q280" i="63" s="1"/>
  <c r="Q281" i="63" s="1"/>
  <c r="Q282" i="63" s="1"/>
  <c r="Q283" i="63" s="1"/>
  <c r="Q284" i="63" s="1"/>
  <c r="Q285" i="63" s="1"/>
  <c r="Q286" i="63" s="1"/>
  <c r="Q287" i="63" s="1"/>
  <c r="Q288" i="63" s="1"/>
  <c r="Q289" i="63" s="1"/>
  <c r="Q290" i="63" s="1"/>
  <c r="Q291" i="63" s="1"/>
  <c r="Q292" i="63" s="1"/>
  <c r="Q293" i="63" s="1"/>
  <c r="Q294" i="63" s="1"/>
  <c r="Q295" i="63" s="1"/>
  <c r="Q296" i="63" s="1"/>
  <c r="Q297" i="63" s="1"/>
  <c r="Q298" i="63" s="1"/>
  <c r="Q299" i="63" s="1"/>
  <c r="Q300" i="63" s="1"/>
  <c r="Q301" i="63" s="1"/>
  <c r="Q302" i="63" s="1"/>
  <c r="Q303" i="63" s="1"/>
  <c r="Q304" i="63" s="1"/>
  <c r="Q305" i="63" s="1"/>
  <c r="Q306" i="63" s="1"/>
  <c r="Q307" i="63" s="1"/>
  <c r="Q308" i="63" s="1"/>
  <c r="Q7" i="63"/>
  <c r="Q6" i="63"/>
  <c r="Q5" i="63"/>
  <c r="Q4" i="63"/>
  <c r="P8" i="63"/>
  <c r="P9" i="63" s="1"/>
  <c r="P10" i="63" s="1"/>
  <c r="P11" i="63" s="1"/>
  <c r="P12" i="63" s="1"/>
  <c r="P13" i="63" s="1"/>
  <c r="P14" i="63" s="1"/>
  <c r="P15" i="63" s="1"/>
  <c r="P16" i="63" s="1"/>
  <c r="P17" i="63" s="1"/>
  <c r="P18" i="63" s="1"/>
  <c r="P19" i="63" s="1"/>
  <c r="P20" i="63" s="1"/>
  <c r="P21" i="63" s="1"/>
  <c r="P22" i="63" s="1"/>
  <c r="P23" i="63" s="1"/>
  <c r="P24" i="63" s="1"/>
  <c r="P25" i="63" s="1"/>
  <c r="P26" i="63" s="1"/>
  <c r="P27" i="63" s="1"/>
  <c r="P28" i="63" s="1"/>
  <c r="P29" i="63" s="1"/>
  <c r="P30" i="63" s="1"/>
  <c r="P31" i="63" s="1"/>
  <c r="P32" i="63" s="1"/>
  <c r="P33" i="63" s="1"/>
  <c r="P34" i="63" s="1"/>
  <c r="P35" i="63" s="1"/>
  <c r="P36" i="63" s="1"/>
  <c r="P37" i="63" s="1"/>
  <c r="P38" i="63" s="1"/>
  <c r="P39" i="63" s="1"/>
  <c r="P40" i="63" s="1"/>
  <c r="P41" i="63" s="1"/>
  <c r="P42" i="63" s="1"/>
  <c r="P43" i="63" s="1"/>
  <c r="P44" i="63" s="1"/>
  <c r="P45" i="63" s="1"/>
  <c r="P46" i="63" s="1"/>
  <c r="P47" i="63" s="1"/>
  <c r="P48" i="63" s="1"/>
  <c r="P49" i="63" s="1"/>
  <c r="P50" i="63" s="1"/>
  <c r="P51" i="63" s="1"/>
  <c r="P52" i="63" s="1"/>
  <c r="P53" i="63" s="1"/>
  <c r="P54" i="63" s="1"/>
  <c r="P55" i="63" s="1"/>
  <c r="P56" i="63" s="1"/>
  <c r="P57" i="63" s="1"/>
  <c r="P58" i="63" s="1"/>
  <c r="P59" i="63" s="1"/>
  <c r="P60" i="63" s="1"/>
  <c r="P61" i="63" s="1"/>
  <c r="P62" i="63" s="1"/>
  <c r="P63" i="63" s="1"/>
  <c r="P64" i="63" s="1"/>
  <c r="P65" i="63" s="1"/>
  <c r="P66" i="63" s="1"/>
  <c r="P67" i="63" s="1"/>
  <c r="P68" i="63" s="1"/>
  <c r="P69" i="63" s="1"/>
  <c r="P70" i="63" s="1"/>
  <c r="P71" i="63" s="1"/>
  <c r="P72" i="63" s="1"/>
  <c r="P73" i="63" s="1"/>
  <c r="P74" i="63" s="1"/>
  <c r="P75" i="63" s="1"/>
  <c r="P76" i="63" s="1"/>
  <c r="P77" i="63" s="1"/>
  <c r="P78" i="63" s="1"/>
  <c r="P79" i="63" s="1"/>
  <c r="P80" i="63" s="1"/>
  <c r="P81" i="63" s="1"/>
  <c r="P82" i="63" s="1"/>
  <c r="P83" i="63" s="1"/>
  <c r="P84" i="63" s="1"/>
  <c r="P85" i="63" s="1"/>
  <c r="P86" i="63" s="1"/>
  <c r="P87" i="63" s="1"/>
  <c r="P88" i="63" s="1"/>
  <c r="P89" i="63" s="1"/>
  <c r="P90" i="63" s="1"/>
  <c r="P91" i="63" s="1"/>
  <c r="P92" i="63" s="1"/>
  <c r="P93" i="63" s="1"/>
  <c r="P94" i="63" s="1"/>
  <c r="P95" i="63" s="1"/>
  <c r="P96" i="63" s="1"/>
  <c r="P97" i="63" s="1"/>
  <c r="P98" i="63" s="1"/>
  <c r="P99" i="63" s="1"/>
  <c r="P100" i="63" s="1"/>
  <c r="P101" i="63" s="1"/>
  <c r="P102" i="63" s="1"/>
  <c r="P103" i="63" s="1"/>
  <c r="P104" i="63" s="1"/>
  <c r="P105" i="63" s="1"/>
  <c r="P106" i="63" s="1"/>
  <c r="P107" i="63" s="1"/>
  <c r="P108" i="63" s="1"/>
  <c r="P109" i="63" s="1"/>
  <c r="P110" i="63" s="1"/>
  <c r="P111" i="63" s="1"/>
  <c r="P112" i="63" s="1"/>
  <c r="P113" i="63" s="1"/>
  <c r="P114" i="63" s="1"/>
  <c r="P115" i="63" s="1"/>
  <c r="P116" i="63" s="1"/>
  <c r="P117" i="63" s="1"/>
  <c r="P118" i="63" s="1"/>
  <c r="P119" i="63" s="1"/>
  <c r="P120" i="63" s="1"/>
  <c r="P121" i="63" s="1"/>
  <c r="P122" i="63" s="1"/>
  <c r="P123" i="63" s="1"/>
  <c r="P124" i="63" s="1"/>
  <c r="P125" i="63" s="1"/>
  <c r="P126" i="63" s="1"/>
  <c r="P127" i="63" s="1"/>
  <c r="P128" i="63" s="1"/>
  <c r="P129" i="63" s="1"/>
  <c r="P130" i="63" s="1"/>
  <c r="P131" i="63" s="1"/>
  <c r="P132" i="63" s="1"/>
  <c r="P133" i="63" s="1"/>
  <c r="P134" i="63" s="1"/>
  <c r="P135" i="63" s="1"/>
  <c r="P136" i="63" s="1"/>
  <c r="P137" i="63" s="1"/>
  <c r="P138" i="63" s="1"/>
  <c r="P139" i="63" s="1"/>
  <c r="P140" i="63" s="1"/>
  <c r="P141" i="63" s="1"/>
  <c r="P142" i="63" s="1"/>
  <c r="P143" i="63" s="1"/>
  <c r="P144" i="63" s="1"/>
  <c r="P145" i="63" s="1"/>
  <c r="P146" i="63" s="1"/>
  <c r="P147" i="63" s="1"/>
  <c r="P148" i="63" s="1"/>
  <c r="P149" i="63" s="1"/>
  <c r="P150" i="63" s="1"/>
  <c r="P151" i="63" s="1"/>
  <c r="P152" i="63" s="1"/>
  <c r="P153" i="63" s="1"/>
  <c r="P154" i="63" s="1"/>
  <c r="P155" i="63" s="1"/>
  <c r="P156" i="63" s="1"/>
  <c r="P157" i="63" s="1"/>
  <c r="P158" i="63" s="1"/>
  <c r="P159" i="63" s="1"/>
  <c r="P160" i="63" s="1"/>
  <c r="P161" i="63" s="1"/>
  <c r="P162" i="63" s="1"/>
  <c r="P163" i="63" s="1"/>
  <c r="P164" i="63" s="1"/>
  <c r="P165" i="63" s="1"/>
  <c r="P166" i="63" s="1"/>
  <c r="P167" i="63" s="1"/>
  <c r="P168" i="63" s="1"/>
  <c r="P169" i="63" s="1"/>
  <c r="P170" i="63" s="1"/>
  <c r="P171" i="63" s="1"/>
  <c r="P172" i="63" s="1"/>
  <c r="P173" i="63" s="1"/>
  <c r="P174" i="63" s="1"/>
  <c r="P175" i="63" s="1"/>
  <c r="P176" i="63" s="1"/>
  <c r="P177" i="63" s="1"/>
  <c r="P178" i="63" s="1"/>
  <c r="P179" i="63" s="1"/>
  <c r="P180" i="63" s="1"/>
  <c r="P181" i="63" s="1"/>
  <c r="P182" i="63" s="1"/>
  <c r="P183" i="63" s="1"/>
  <c r="P184" i="63" s="1"/>
  <c r="P185" i="63" s="1"/>
  <c r="P186" i="63" s="1"/>
  <c r="P187" i="63" s="1"/>
  <c r="P188" i="63" s="1"/>
  <c r="P189" i="63" s="1"/>
  <c r="P190" i="63" s="1"/>
  <c r="P191" i="63" s="1"/>
  <c r="P192" i="63" s="1"/>
  <c r="P193" i="63" s="1"/>
  <c r="P194" i="63" s="1"/>
  <c r="P195" i="63" s="1"/>
  <c r="P196" i="63" s="1"/>
  <c r="P197" i="63" s="1"/>
  <c r="P198" i="63" s="1"/>
  <c r="P199" i="63" s="1"/>
  <c r="P200" i="63" s="1"/>
  <c r="P201" i="63" s="1"/>
  <c r="P202" i="63" s="1"/>
  <c r="P203" i="63" s="1"/>
  <c r="P204" i="63" s="1"/>
  <c r="P205" i="63" s="1"/>
  <c r="P206" i="63" s="1"/>
  <c r="P207" i="63" s="1"/>
  <c r="P208" i="63" s="1"/>
  <c r="P209" i="63" s="1"/>
  <c r="P210" i="63" s="1"/>
  <c r="P211" i="63" s="1"/>
  <c r="P212" i="63" s="1"/>
  <c r="P213" i="63" s="1"/>
  <c r="P214" i="63" s="1"/>
  <c r="P215" i="63" s="1"/>
  <c r="P216" i="63" s="1"/>
  <c r="P217" i="63" s="1"/>
  <c r="P218" i="63" s="1"/>
  <c r="P219" i="63" s="1"/>
  <c r="P220" i="63" s="1"/>
  <c r="P221" i="63" s="1"/>
  <c r="P222" i="63" s="1"/>
  <c r="P223" i="63" s="1"/>
  <c r="P224" i="63" s="1"/>
  <c r="P225" i="63" s="1"/>
  <c r="P226" i="63" s="1"/>
  <c r="P227" i="63" s="1"/>
  <c r="P228" i="63" s="1"/>
  <c r="P229" i="63" s="1"/>
  <c r="P230" i="63" s="1"/>
  <c r="P231" i="63" s="1"/>
  <c r="P232" i="63" s="1"/>
  <c r="P233" i="63" s="1"/>
  <c r="P234" i="63" s="1"/>
  <c r="P235" i="63" s="1"/>
  <c r="P236" i="63" s="1"/>
  <c r="P237" i="63" s="1"/>
  <c r="P238" i="63" s="1"/>
  <c r="P239" i="63" s="1"/>
  <c r="P240" i="63" s="1"/>
  <c r="P241" i="63" s="1"/>
  <c r="P242" i="63" s="1"/>
  <c r="P243" i="63" s="1"/>
  <c r="P244" i="63" s="1"/>
  <c r="P245" i="63" s="1"/>
  <c r="P246" i="63" s="1"/>
  <c r="P247" i="63" s="1"/>
  <c r="P248" i="63" s="1"/>
  <c r="P249" i="63" s="1"/>
  <c r="P250" i="63" s="1"/>
  <c r="P251" i="63" s="1"/>
  <c r="P252" i="63" s="1"/>
  <c r="P253" i="63" s="1"/>
  <c r="P254" i="63" s="1"/>
  <c r="P255" i="63" s="1"/>
  <c r="P256" i="63" s="1"/>
  <c r="P257" i="63" s="1"/>
  <c r="P258" i="63" s="1"/>
  <c r="P259" i="63" s="1"/>
  <c r="P260" i="63" s="1"/>
  <c r="P261" i="63" s="1"/>
  <c r="P262" i="63" s="1"/>
  <c r="P263" i="63" s="1"/>
  <c r="P264" i="63" s="1"/>
  <c r="P265" i="63" s="1"/>
  <c r="P266" i="63" s="1"/>
  <c r="P267" i="63" s="1"/>
  <c r="P268" i="63" s="1"/>
  <c r="P269" i="63" s="1"/>
  <c r="P270" i="63" s="1"/>
  <c r="P271" i="63" s="1"/>
  <c r="P272" i="63" s="1"/>
  <c r="P273" i="63" s="1"/>
  <c r="P274" i="63" s="1"/>
  <c r="P275" i="63" s="1"/>
  <c r="P276" i="63" s="1"/>
  <c r="P277" i="63" s="1"/>
  <c r="P278" i="63" s="1"/>
  <c r="P279" i="63" s="1"/>
  <c r="P280" i="63" s="1"/>
  <c r="P281" i="63" s="1"/>
  <c r="P282" i="63" s="1"/>
  <c r="P283" i="63" s="1"/>
  <c r="P284" i="63" s="1"/>
  <c r="P285" i="63" s="1"/>
  <c r="P286" i="63" s="1"/>
  <c r="P287" i="63" s="1"/>
  <c r="P288" i="63" s="1"/>
  <c r="P289" i="63" s="1"/>
  <c r="P290" i="63" s="1"/>
  <c r="P291" i="63" s="1"/>
  <c r="P292" i="63" s="1"/>
  <c r="P293" i="63" s="1"/>
  <c r="P294" i="63" s="1"/>
  <c r="P295" i="63" s="1"/>
  <c r="P296" i="63" s="1"/>
  <c r="P297" i="63" s="1"/>
  <c r="P298" i="63" s="1"/>
  <c r="P299" i="63" s="1"/>
  <c r="P300" i="63" s="1"/>
  <c r="P301" i="63" s="1"/>
  <c r="P302" i="63" s="1"/>
  <c r="P303" i="63" s="1"/>
  <c r="P304" i="63" s="1"/>
  <c r="P305" i="63" s="1"/>
  <c r="P306" i="63" s="1"/>
  <c r="P307" i="63" s="1"/>
  <c r="P308" i="63" s="1"/>
  <c r="P7" i="63"/>
  <c r="P6" i="63"/>
  <c r="P5" i="63"/>
  <c r="P4" i="63"/>
  <c r="O8" i="63"/>
  <c r="O7" i="63"/>
  <c r="O6" i="63"/>
  <c r="O5" i="63"/>
  <c r="O4" i="63"/>
  <c r="N8" i="63"/>
  <c r="N9" i="63" s="1"/>
  <c r="N10" i="63" s="1"/>
  <c r="N11" i="63" s="1"/>
  <c r="N12" i="63" s="1"/>
  <c r="N13" i="63" s="1"/>
  <c r="N14" i="63" s="1"/>
  <c r="N15" i="63" s="1"/>
  <c r="N16" i="63" s="1"/>
  <c r="N17" i="63" s="1"/>
  <c r="N18" i="63" s="1"/>
  <c r="N19" i="63" s="1"/>
  <c r="N20" i="63" s="1"/>
  <c r="N21" i="63" s="1"/>
  <c r="N22" i="63" s="1"/>
  <c r="N23" i="63" s="1"/>
  <c r="N24" i="63" s="1"/>
  <c r="N25" i="63" s="1"/>
  <c r="N26" i="63" s="1"/>
  <c r="N27" i="63" s="1"/>
  <c r="N28" i="63" s="1"/>
  <c r="N29" i="63" s="1"/>
  <c r="N30" i="63" s="1"/>
  <c r="N31" i="63" s="1"/>
  <c r="N32" i="63" s="1"/>
  <c r="N33" i="63" s="1"/>
  <c r="N34" i="63" s="1"/>
  <c r="N35" i="63" s="1"/>
  <c r="N36" i="63" s="1"/>
  <c r="N37" i="63" s="1"/>
  <c r="N38" i="63" s="1"/>
  <c r="N39" i="63" s="1"/>
  <c r="N40" i="63" s="1"/>
  <c r="N41" i="63" s="1"/>
  <c r="N42" i="63" s="1"/>
  <c r="N43" i="63" s="1"/>
  <c r="N44" i="63" s="1"/>
  <c r="N45" i="63" s="1"/>
  <c r="N46" i="63" s="1"/>
  <c r="N47" i="63" s="1"/>
  <c r="N48" i="63" s="1"/>
  <c r="N49" i="63" s="1"/>
  <c r="N50" i="63" s="1"/>
  <c r="N51" i="63" s="1"/>
  <c r="N52" i="63" s="1"/>
  <c r="N53" i="63" s="1"/>
  <c r="N54" i="63" s="1"/>
  <c r="N55" i="63" s="1"/>
  <c r="N56" i="63" s="1"/>
  <c r="N57" i="63" s="1"/>
  <c r="N58" i="63" s="1"/>
  <c r="N59" i="63" s="1"/>
  <c r="N60" i="63" s="1"/>
  <c r="N61" i="63" s="1"/>
  <c r="N62" i="63" s="1"/>
  <c r="N63" i="63" s="1"/>
  <c r="N64" i="63" s="1"/>
  <c r="N65" i="63" s="1"/>
  <c r="N66" i="63" s="1"/>
  <c r="N67" i="63" s="1"/>
  <c r="N68" i="63" s="1"/>
  <c r="N69" i="63" s="1"/>
  <c r="N70" i="63" s="1"/>
  <c r="N71" i="63" s="1"/>
  <c r="N72" i="63" s="1"/>
  <c r="N73" i="63" s="1"/>
  <c r="N74" i="63" s="1"/>
  <c r="N75" i="63" s="1"/>
  <c r="N76" i="63" s="1"/>
  <c r="N77" i="63" s="1"/>
  <c r="N78" i="63" s="1"/>
  <c r="N79" i="63" s="1"/>
  <c r="N80" i="63" s="1"/>
  <c r="N81" i="63" s="1"/>
  <c r="N82" i="63" s="1"/>
  <c r="N83" i="63" s="1"/>
  <c r="N84" i="63" s="1"/>
  <c r="N85" i="63" s="1"/>
  <c r="N86" i="63" s="1"/>
  <c r="N87" i="63" s="1"/>
  <c r="N88" i="63" s="1"/>
  <c r="N89" i="63" s="1"/>
  <c r="N90" i="63" s="1"/>
  <c r="N91" i="63" s="1"/>
  <c r="N92" i="63" s="1"/>
  <c r="N93" i="63" s="1"/>
  <c r="N94" i="63" s="1"/>
  <c r="N95" i="63" s="1"/>
  <c r="N96" i="63" s="1"/>
  <c r="N97" i="63" s="1"/>
  <c r="N98" i="63" s="1"/>
  <c r="N99" i="63" s="1"/>
  <c r="N100" i="63" s="1"/>
  <c r="N101" i="63" s="1"/>
  <c r="N102" i="63" s="1"/>
  <c r="N103" i="63" s="1"/>
  <c r="N104" i="63" s="1"/>
  <c r="N105" i="63" s="1"/>
  <c r="N106" i="63" s="1"/>
  <c r="N107" i="63" s="1"/>
  <c r="N108" i="63" s="1"/>
  <c r="N109" i="63" s="1"/>
  <c r="N110" i="63" s="1"/>
  <c r="N111" i="63" s="1"/>
  <c r="N112" i="63" s="1"/>
  <c r="N113" i="63" s="1"/>
  <c r="N114" i="63" s="1"/>
  <c r="N115" i="63" s="1"/>
  <c r="N116" i="63" s="1"/>
  <c r="N117" i="63" s="1"/>
  <c r="N118" i="63" s="1"/>
  <c r="N119" i="63" s="1"/>
  <c r="N120" i="63" s="1"/>
  <c r="N121" i="63" s="1"/>
  <c r="N122" i="63" s="1"/>
  <c r="N123" i="63" s="1"/>
  <c r="N124" i="63" s="1"/>
  <c r="N125" i="63" s="1"/>
  <c r="N126" i="63" s="1"/>
  <c r="N127" i="63" s="1"/>
  <c r="N128" i="63" s="1"/>
  <c r="N129" i="63" s="1"/>
  <c r="N130" i="63" s="1"/>
  <c r="N131" i="63" s="1"/>
  <c r="N132" i="63" s="1"/>
  <c r="N133" i="63" s="1"/>
  <c r="N134" i="63" s="1"/>
  <c r="N135" i="63" s="1"/>
  <c r="N136" i="63" s="1"/>
  <c r="N137" i="63" s="1"/>
  <c r="N138" i="63" s="1"/>
  <c r="N139" i="63" s="1"/>
  <c r="N140" i="63" s="1"/>
  <c r="N141" i="63" s="1"/>
  <c r="N142" i="63" s="1"/>
  <c r="N143" i="63" s="1"/>
  <c r="N144" i="63" s="1"/>
  <c r="N145" i="63" s="1"/>
  <c r="N146" i="63" s="1"/>
  <c r="N147" i="63" s="1"/>
  <c r="N148" i="63" s="1"/>
  <c r="N149" i="63" s="1"/>
  <c r="N150" i="63" s="1"/>
  <c r="N151" i="63" s="1"/>
  <c r="N152" i="63" s="1"/>
  <c r="N153" i="63" s="1"/>
  <c r="N154" i="63" s="1"/>
  <c r="N155" i="63" s="1"/>
  <c r="N156" i="63" s="1"/>
  <c r="N157" i="63" s="1"/>
  <c r="N158" i="63" s="1"/>
  <c r="N159" i="63" s="1"/>
  <c r="N160" i="63" s="1"/>
  <c r="N161" i="63" s="1"/>
  <c r="N162" i="63" s="1"/>
  <c r="N163" i="63" s="1"/>
  <c r="N164" i="63" s="1"/>
  <c r="N165" i="63" s="1"/>
  <c r="N166" i="63" s="1"/>
  <c r="N167" i="63" s="1"/>
  <c r="N168" i="63" s="1"/>
  <c r="N169" i="63" s="1"/>
  <c r="N170" i="63" s="1"/>
  <c r="N171" i="63" s="1"/>
  <c r="N172" i="63" s="1"/>
  <c r="N173" i="63" s="1"/>
  <c r="N174" i="63" s="1"/>
  <c r="N175" i="63" s="1"/>
  <c r="N176" i="63" s="1"/>
  <c r="N177" i="63" s="1"/>
  <c r="N178" i="63" s="1"/>
  <c r="N179" i="63" s="1"/>
  <c r="N180" i="63" s="1"/>
  <c r="N181" i="63" s="1"/>
  <c r="N182" i="63" s="1"/>
  <c r="N183" i="63" s="1"/>
  <c r="N184" i="63" s="1"/>
  <c r="N185" i="63" s="1"/>
  <c r="N186" i="63" s="1"/>
  <c r="N187" i="63" s="1"/>
  <c r="N188" i="63" s="1"/>
  <c r="N189" i="63" s="1"/>
  <c r="N190" i="63" s="1"/>
  <c r="N191" i="63" s="1"/>
  <c r="N192" i="63" s="1"/>
  <c r="N193" i="63" s="1"/>
  <c r="N194" i="63" s="1"/>
  <c r="N195" i="63" s="1"/>
  <c r="N196" i="63" s="1"/>
  <c r="N197" i="63" s="1"/>
  <c r="N198" i="63" s="1"/>
  <c r="N199" i="63" s="1"/>
  <c r="N200" i="63" s="1"/>
  <c r="N201" i="63" s="1"/>
  <c r="N202" i="63" s="1"/>
  <c r="N203" i="63" s="1"/>
  <c r="N204" i="63" s="1"/>
  <c r="N205" i="63" s="1"/>
  <c r="N206" i="63" s="1"/>
  <c r="N207" i="63" s="1"/>
  <c r="N208" i="63" s="1"/>
  <c r="N209" i="63" s="1"/>
  <c r="N210" i="63" s="1"/>
  <c r="N211" i="63" s="1"/>
  <c r="N212" i="63" s="1"/>
  <c r="N213" i="63" s="1"/>
  <c r="N214" i="63" s="1"/>
  <c r="N215" i="63" s="1"/>
  <c r="N216" i="63" s="1"/>
  <c r="N217" i="63" s="1"/>
  <c r="N218" i="63" s="1"/>
  <c r="N219" i="63" s="1"/>
  <c r="N220" i="63" s="1"/>
  <c r="N221" i="63" s="1"/>
  <c r="N222" i="63" s="1"/>
  <c r="N223" i="63" s="1"/>
  <c r="N224" i="63" s="1"/>
  <c r="N225" i="63" s="1"/>
  <c r="N226" i="63" s="1"/>
  <c r="N227" i="63" s="1"/>
  <c r="N228" i="63" s="1"/>
  <c r="N229" i="63" s="1"/>
  <c r="N230" i="63" s="1"/>
  <c r="N231" i="63" s="1"/>
  <c r="N232" i="63" s="1"/>
  <c r="N233" i="63" s="1"/>
  <c r="N234" i="63" s="1"/>
  <c r="N235" i="63" s="1"/>
  <c r="N236" i="63" s="1"/>
  <c r="N237" i="63" s="1"/>
  <c r="N238" i="63" s="1"/>
  <c r="N239" i="63" s="1"/>
  <c r="N240" i="63" s="1"/>
  <c r="N241" i="63" s="1"/>
  <c r="N242" i="63" s="1"/>
  <c r="N243" i="63" s="1"/>
  <c r="N244" i="63" s="1"/>
  <c r="N245" i="63" s="1"/>
  <c r="N246" i="63" s="1"/>
  <c r="N247" i="63" s="1"/>
  <c r="N248" i="63" s="1"/>
  <c r="N249" i="63" s="1"/>
  <c r="N250" i="63" s="1"/>
  <c r="N251" i="63" s="1"/>
  <c r="N252" i="63" s="1"/>
  <c r="N253" i="63" s="1"/>
  <c r="N254" i="63" s="1"/>
  <c r="N255" i="63" s="1"/>
  <c r="N256" i="63" s="1"/>
  <c r="N257" i="63" s="1"/>
  <c r="N258" i="63" s="1"/>
  <c r="N259" i="63" s="1"/>
  <c r="N260" i="63" s="1"/>
  <c r="N261" i="63" s="1"/>
  <c r="N262" i="63" s="1"/>
  <c r="N263" i="63" s="1"/>
  <c r="N264" i="63" s="1"/>
  <c r="N265" i="63" s="1"/>
  <c r="N266" i="63" s="1"/>
  <c r="N267" i="63" s="1"/>
  <c r="N268" i="63" s="1"/>
  <c r="N269" i="63" s="1"/>
  <c r="N270" i="63" s="1"/>
  <c r="N271" i="63" s="1"/>
  <c r="N272" i="63" s="1"/>
  <c r="N273" i="63" s="1"/>
  <c r="N274" i="63" s="1"/>
  <c r="N275" i="63" s="1"/>
  <c r="N276" i="63" s="1"/>
  <c r="N277" i="63" s="1"/>
  <c r="N278" i="63" s="1"/>
  <c r="N279" i="63" s="1"/>
  <c r="N280" i="63" s="1"/>
  <c r="N281" i="63" s="1"/>
  <c r="N282" i="63" s="1"/>
  <c r="N283" i="63" s="1"/>
  <c r="N284" i="63" s="1"/>
  <c r="N285" i="63" s="1"/>
  <c r="N286" i="63" s="1"/>
  <c r="N287" i="63" s="1"/>
  <c r="N288" i="63" s="1"/>
  <c r="N289" i="63" s="1"/>
  <c r="N290" i="63" s="1"/>
  <c r="N291" i="63" s="1"/>
  <c r="N292" i="63" s="1"/>
  <c r="N293" i="63" s="1"/>
  <c r="N294" i="63" s="1"/>
  <c r="N295" i="63" s="1"/>
  <c r="N296" i="63" s="1"/>
  <c r="N297" i="63" s="1"/>
  <c r="N298" i="63" s="1"/>
  <c r="N299" i="63" s="1"/>
  <c r="N300" i="63" s="1"/>
  <c r="N301" i="63" s="1"/>
  <c r="N302" i="63" s="1"/>
  <c r="N303" i="63" s="1"/>
  <c r="N304" i="63" s="1"/>
  <c r="N305" i="63" s="1"/>
  <c r="N306" i="63" s="1"/>
  <c r="N307" i="63" s="1"/>
  <c r="N308" i="63" s="1"/>
  <c r="N7" i="63"/>
  <c r="N6" i="63"/>
  <c r="N5" i="63"/>
  <c r="N4" i="63"/>
  <c r="M8" i="63"/>
  <c r="M7" i="63"/>
  <c r="M6" i="63"/>
  <c r="M5" i="63"/>
  <c r="M4" i="63"/>
  <c r="L8" i="63"/>
  <c r="L9" i="63" s="1"/>
  <c r="L10" i="63" s="1"/>
  <c r="L11" i="63" s="1"/>
  <c r="L12" i="63" s="1"/>
  <c r="L13" i="63" s="1"/>
  <c r="L14" i="63" s="1"/>
  <c r="L15" i="63" s="1"/>
  <c r="L16" i="63" s="1"/>
  <c r="L17" i="63" s="1"/>
  <c r="L18" i="63" s="1"/>
  <c r="L19" i="63" s="1"/>
  <c r="L20" i="63" s="1"/>
  <c r="L21" i="63" s="1"/>
  <c r="L22" i="63" s="1"/>
  <c r="L23" i="63" s="1"/>
  <c r="L24" i="63" s="1"/>
  <c r="L25" i="63" s="1"/>
  <c r="L26" i="63" s="1"/>
  <c r="L27" i="63" s="1"/>
  <c r="L28" i="63" s="1"/>
  <c r="L29" i="63" s="1"/>
  <c r="L30" i="63" s="1"/>
  <c r="L31" i="63" s="1"/>
  <c r="L32" i="63" s="1"/>
  <c r="L33" i="63" s="1"/>
  <c r="L34" i="63" s="1"/>
  <c r="L35" i="63" s="1"/>
  <c r="L36" i="63" s="1"/>
  <c r="L37" i="63" s="1"/>
  <c r="L38" i="63" s="1"/>
  <c r="L39" i="63" s="1"/>
  <c r="L40" i="63" s="1"/>
  <c r="L41" i="63" s="1"/>
  <c r="L42" i="63" s="1"/>
  <c r="L43" i="63" s="1"/>
  <c r="L44" i="63" s="1"/>
  <c r="L45" i="63" s="1"/>
  <c r="L46" i="63" s="1"/>
  <c r="L47" i="63" s="1"/>
  <c r="L48" i="63" s="1"/>
  <c r="L49" i="63" s="1"/>
  <c r="L50" i="63" s="1"/>
  <c r="L51" i="63" s="1"/>
  <c r="L52" i="63" s="1"/>
  <c r="L53" i="63" s="1"/>
  <c r="L54" i="63" s="1"/>
  <c r="L55" i="63" s="1"/>
  <c r="L56" i="63" s="1"/>
  <c r="L57" i="63" s="1"/>
  <c r="L58" i="63" s="1"/>
  <c r="L59" i="63" s="1"/>
  <c r="L60" i="63" s="1"/>
  <c r="L61" i="63" s="1"/>
  <c r="L62" i="63" s="1"/>
  <c r="L63" i="63" s="1"/>
  <c r="L64" i="63" s="1"/>
  <c r="L65" i="63" s="1"/>
  <c r="L66" i="63" s="1"/>
  <c r="L67" i="63" s="1"/>
  <c r="L68" i="63" s="1"/>
  <c r="L69" i="63" s="1"/>
  <c r="L70" i="63" s="1"/>
  <c r="L71" i="63" s="1"/>
  <c r="L72" i="63" s="1"/>
  <c r="L73" i="63" s="1"/>
  <c r="L74" i="63" s="1"/>
  <c r="L75" i="63" s="1"/>
  <c r="L76" i="63" s="1"/>
  <c r="L77" i="63" s="1"/>
  <c r="L78" i="63" s="1"/>
  <c r="L79" i="63" s="1"/>
  <c r="L80" i="63" s="1"/>
  <c r="L81" i="63" s="1"/>
  <c r="L82" i="63" s="1"/>
  <c r="L83" i="63" s="1"/>
  <c r="L84" i="63" s="1"/>
  <c r="L85" i="63" s="1"/>
  <c r="L86" i="63" s="1"/>
  <c r="L87" i="63" s="1"/>
  <c r="L88" i="63" s="1"/>
  <c r="L89" i="63" s="1"/>
  <c r="L90" i="63" s="1"/>
  <c r="L91" i="63" s="1"/>
  <c r="L92" i="63" s="1"/>
  <c r="L93" i="63" s="1"/>
  <c r="L94" i="63" s="1"/>
  <c r="L95" i="63" s="1"/>
  <c r="L96" i="63" s="1"/>
  <c r="L97" i="63" s="1"/>
  <c r="L98" i="63" s="1"/>
  <c r="L99" i="63" s="1"/>
  <c r="L100" i="63" s="1"/>
  <c r="L101" i="63" s="1"/>
  <c r="L102" i="63" s="1"/>
  <c r="L103" i="63" s="1"/>
  <c r="L104" i="63" s="1"/>
  <c r="L105" i="63" s="1"/>
  <c r="L106" i="63" s="1"/>
  <c r="L107" i="63" s="1"/>
  <c r="L108" i="63" s="1"/>
  <c r="L109" i="63" s="1"/>
  <c r="L110" i="63" s="1"/>
  <c r="L111" i="63" s="1"/>
  <c r="L112" i="63" s="1"/>
  <c r="L113" i="63" s="1"/>
  <c r="L114" i="63" s="1"/>
  <c r="L115" i="63" s="1"/>
  <c r="L116" i="63" s="1"/>
  <c r="L117" i="63" s="1"/>
  <c r="L118" i="63" s="1"/>
  <c r="L119" i="63" s="1"/>
  <c r="L120" i="63" s="1"/>
  <c r="L121" i="63" s="1"/>
  <c r="L122" i="63" s="1"/>
  <c r="L123" i="63" s="1"/>
  <c r="L124" i="63" s="1"/>
  <c r="L125" i="63" s="1"/>
  <c r="L126" i="63" s="1"/>
  <c r="L127" i="63" s="1"/>
  <c r="L128" i="63" s="1"/>
  <c r="L129" i="63" s="1"/>
  <c r="L130" i="63" s="1"/>
  <c r="L131" i="63" s="1"/>
  <c r="L132" i="63" s="1"/>
  <c r="L133" i="63" s="1"/>
  <c r="L134" i="63" s="1"/>
  <c r="L135" i="63" s="1"/>
  <c r="L136" i="63" s="1"/>
  <c r="L137" i="63" s="1"/>
  <c r="L138" i="63" s="1"/>
  <c r="L139" i="63" s="1"/>
  <c r="L140" i="63" s="1"/>
  <c r="L141" i="63" s="1"/>
  <c r="L142" i="63" s="1"/>
  <c r="L143" i="63" s="1"/>
  <c r="L144" i="63" s="1"/>
  <c r="L145" i="63" s="1"/>
  <c r="L146" i="63" s="1"/>
  <c r="L147" i="63" s="1"/>
  <c r="L148" i="63" s="1"/>
  <c r="L149" i="63" s="1"/>
  <c r="L150" i="63" s="1"/>
  <c r="L151" i="63" s="1"/>
  <c r="L152" i="63" s="1"/>
  <c r="L153" i="63" s="1"/>
  <c r="L154" i="63" s="1"/>
  <c r="L155" i="63" s="1"/>
  <c r="L156" i="63" s="1"/>
  <c r="L157" i="63" s="1"/>
  <c r="L158" i="63" s="1"/>
  <c r="L159" i="63" s="1"/>
  <c r="L160" i="63" s="1"/>
  <c r="L161" i="63" s="1"/>
  <c r="L162" i="63" s="1"/>
  <c r="L163" i="63" s="1"/>
  <c r="L164" i="63" s="1"/>
  <c r="L165" i="63" s="1"/>
  <c r="L166" i="63" s="1"/>
  <c r="L167" i="63" s="1"/>
  <c r="L168" i="63" s="1"/>
  <c r="L169" i="63" s="1"/>
  <c r="L170" i="63" s="1"/>
  <c r="L171" i="63" s="1"/>
  <c r="L172" i="63" s="1"/>
  <c r="L173" i="63" s="1"/>
  <c r="L174" i="63" s="1"/>
  <c r="L175" i="63" s="1"/>
  <c r="L176" i="63" s="1"/>
  <c r="L177" i="63" s="1"/>
  <c r="L178" i="63" s="1"/>
  <c r="L179" i="63" s="1"/>
  <c r="L180" i="63" s="1"/>
  <c r="L181" i="63" s="1"/>
  <c r="L182" i="63" s="1"/>
  <c r="L183" i="63" s="1"/>
  <c r="L184" i="63" s="1"/>
  <c r="L185" i="63" s="1"/>
  <c r="L186" i="63" s="1"/>
  <c r="L187" i="63" s="1"/>
  <c r="L188" i="63" s="1"/>
  <c r="L189" i="63" s="1"/>
  <c r="L190" i="63" s="1"/>
  <c r="L191" i="63" s="1"/>
  <c r="L192" i="63" s="1"/>
  <c r="L193" i="63" s="1"/>
  <c r="L194" i="63" s="1"/>
  <c r="L195" i="63" s="1"/>
  <c r="L196" i="63" s="1"/>
  <c r="L197" i="63" s="1"/>
  <c r="L198" i="63" s="1"/>
  <c r="L199" i="63" s="1"/>
  <c r="L200" i="63" s="1"/>
  <c r="L201" i="63" s="1"/>
  <c r="L202" i="63" s="1"/>
  <c r="L203" i="63" s="1"/>
  <c r="L204" i="63" s="1"/>
  <c r="L205" i="63" s="1"/>
  <c r="L206" i="63" s="1"/>
  <c r="L207" i="63" s="1"/>
  <c r="L208" i="63" s="1"/>
  <c r="L209" i="63" s="1"/>
  <c r="L210" i="63" s="1"/>
  <c r="L211" i="63" s="1"/>
  <c r="L212" i="63" s="1"/>
  <c r="L213" i="63" s="1"/>
  <c r="L214" i="63" s="1"/>
  <c r="L215" i="63" s="1"/>
  <c r="L216" i="63" s="1"/>
  <c r="L217" i="63" s="1"/>
  <c r="L218" i="63" s="1"/>
  <c r="L219" i="63" s="1"/>
  <c r="L220" i="63" s="1"/>
  <c r="L221" i="63" s="1"/>
  <c r="L222" i="63" s="1"/>
  <c r="L223" i="63" s="1"/>
  <c r="L224" i="63" s="1"/>
  <c r="L225" i="63" s="1"/>
  <c r="L226" i="63" s="1"/>
  <c r="L227" i="63" s="1"/>
  <c r="L228" i="63" s="1"/>
  <c r="L229" i="63" s="1"/>
  <c r="L230" i="63" s="1"/>
  <c r="L231" i="63" s="1"/>
  <c r="L232" i="63" s="1"/>
  <c r="L233" i="63" s="1"/>
  <c r="L234" i="63" s="1"/>
  <c r="L235" i="63" s="1"/>
  <c r="L236" i="63" s="1"/>
  <c r="L237" i="63" s="1"/>
  <c r="L238" i="63" s="1"/>
  <c r="L239" i="63" s="1"/>
  <c r="L240" i="63" s="1"/>
  <c r="L241" i="63" s="1"/>
  <c r="L242" i="63" s="1"/>
  <c r="L243" i="63" s="1"/>
  <c r="L244" i="63" s="1"/>
  <c r="L245" i="63" s="1"/>
  <c r="L246" i="63" s="1"/>
  <c r="L247" i="63" s="1"/>
  <c r="L248" i="63" s="1"/>
  <c r="L249" i="63" s="1"/>
  <c r="L250" i="63" s="1"/>
  <c r="L251" i="63" s="1"/>
  <c r="L252" i="63" s="1"/>
  <c r="L253" i="63" s="1"/>
  <c r="L254" i="63" s="1"/>
  <c r="L255" i="63" s="1"/>
  <c r="L256" i="63" s="1"/>
  <c r="L257" i="63" s="1"/>
  <c r="L258" i="63" s="1"/>
  <c r="L259" i="63" s="1"/>
  <c r="L260" i="63" s="1"/>
  <c r="L261" i="63" s="1"/>
  <c r="L262" i="63" s="1"/>
  <c r="L263" i="63" s="1"/>
  <c r="L264" i="63" s="1"/>
  <c r="L265" i="63" s="1"/>
  <c r="L266" i="63" s="1"/>
  <c r="L267" i="63" s="1"/>
  <c r="L268" i="63" s="1"/>
  <c r="L269" i="63" s="1"/>
  <c r="L270" i="63" s="1"/>
  <c r="L271" i="63" s="1"/>
  <c r="L272" i="63" s="1"/>
  <c r="L273" i="63" s="1"/>
  <c r="L274" i="63" s="1"/>
  <c r="L275" i="63" s="1"/>
  <c r="L276" i="63" s="1"/>
  <c r="L277" i="63" s="1"/>
  <c r="L278" i="63" s="1"/>
  <c r="L279" i="63" s="1"/>
  <c r="L280" i="63" s="1"/>
  <c r="L281" i="63" s="1"/>
  <c r="L282" i="63" s="1"/>
  <c r="L283" i="63" s="1"/>
  <c r="L284" i="63" s="1"/>
  <c r="L285" i="63" s="1"/>
  <c r="L286" i="63" s="1"/>
  <c r="L287" i="63" s="1"/>
  <c r="L288" i="63" s="1"/>
  <c r="L289" i="63" s="1"/>
  <c r="L290" i="63" s="1"/>
  <c r="L291" i="63" s="1"/>
  <c r="L292" i="63" s="1"/>
  <c r="L293" i="63" s="1"/>
  <c r="L294" i="63" s="1"/>
  <c r="L295" i="63" s="1"/>
  <c r="L296" i="63" s="1"/>
  <c r="L297" i="63" s="1"/>
  <c r="L298" i="63" s="1"/>
  <c r="L299" i="63" s="1"/>
  <c r="L300" i="63" s="1"/>
  <c r="L301" i="63" s="1"/>
  <c r="L302" i="63" s="1"/>
  <c r="L303" i="63" s="1"/>
  <c r="L304" i="63" s="1"/>
  <c r="L305" i="63" s="1"/>
  <c r="L306" i="63" s="1"/>
  <c r="L307" i="63" s="1"/>
  <c r="L308" i="63" s="1"/>
  <c r="L7" i="63"/>
  <c r="L6" i="63"/>
  <c r="L5" i="63"/>
  <c r="L4" i="63"/>
  <c r="K8" i="63"/>
  <c r="K7" i="63"/>
  <c r="K6" i="63"/>
  <c r="K5" i="63"/>
  <c r="K4" i="63"/>
  <c r="J8" i="63"/>
  <c r="J7" i="63"/>
  <c r="J6" i="63"/>
  <c r="J5" i="63"/>
  <c r="J4" i="63"/>
  <c r="I8" i="63"/>
  <c r="I9" i="63" s="1"/>
  <c r="I10" i="63" s="1"/>
  <c r="I11" i="63" s="1"/>
  <c r="I12" i="63" s="1"/>
  <c r="I13" i="63" s="1"/>
  <c r="I14" i="63" s="1"/>
  <c r="I15" i="63" s="1"/>
  <c r="I16" i="63" s="1"/>
  <c r="I17" i="63" s="1"/>
  <c r="I18" i="63" s="1"/>
  <c r="I19" i="63" s="1"/>
  <c r="I20" i="63" s="1"/>
  <c r="I21" i="63" s="1"/>
  <c r="I22" i="63" s="1"/>
  <c r="I23" i="63" s="1"/>
  <c r="I24" i="63" s="1"/>
  <c r="I25" i="63" s="1"/>
  <c r="I26" i="63" s="1"/>
  <c r="I27" i="63" s="1"/>
  <c r="I28" i="63" s="1"/>
  <c r="I29" i="63" s="1"/>
  <c r="I30" i="63" s="1"/>
  <c r="I31" i="63" s="1"/>
  <c r="I32" i="63" s="1"/>
  <c r="I33" i="63" s="1"/>
  <c r="I34" i="63" s="1"/>
  <c r="I35" i="63" s="1"/>
  <c r="I36" i="63" s="1"/>
  <c r="I37" i="63" s="1"/>
  <c r="I38" i="63" s="1"/>
  <c r="I39" i="63" s="1"/>
  <c r="I40" i="63" s="1"/>
  <c r="I41" i="63" s="1"/>
  <c r="I42" i="63" s="1"/>
  <c r="I43" i="63" s="1"/>
  <c r="I44" i="63" s="1"/>
  <c r="I45" i="63" s="1"/>
  <c r="I46" i="63" s="1"/>
  <c r="I47" i="63" s="1"/>
  <c r="I48" i="63" s="1"/>
  <c r="I49" i="63" s="1"/>
  <c r="I50" i="63" s="1"/>
  <c r="I51" i="63" s="1"/>
  <c r="I52" i="63" s="1"/>
  <c r="I53" i="63" s="1"/>
  <c r="I54" i="63" s="1"/>
  <c r="I55" i="63" s="1"/>
  <c r="I56" i="63" s="1"/>
  <c r="I57" i="63" s="1"/>
  <c r="I58" i="63" s="1"/>
  <c r="I59" i="63" s="1"/>
  <c r="I60" i="63" s="1"/>
  <c r="I61" i="63" s="1"/>
  <c r="I62" i="63" s="1"/>
  <c r="I63" i="63" s="1"/>
  <c r="I64" i="63" s="1"/>
  <c r="I65" i="63" s="1"/>
  <c r="I66" i="63" s="1"/>
  <c r="I67" i="63" s="1"/>
  <c r="I68" i="63" s="1"/>
  <c r="I69" i="63" s="1"/>
  <c r="I70" i="63" s="1"/>
  <c r="I71" i="63" s="1"/>
  <c r="I72" i="63" s="1"/>
  <c r="I73" i="63" s="1"/>
  <c r="I74" i="63" s="1"/>
  <c r="I75" i="63" s="1"/>
  <c r="I76" i="63" s="1"/>
  <c r="I77" i="63" s="1"/>
  <c r="I78" i="63" s="1"/>
  <c r="I79" i="63" s="1"/>
  <c r="I80" i="63" s="1"/>
  <c r="I81" i="63" s="1"/>
  <c r="I82" i="63" s="1"/>
  <c r="I83" i="63" s="1"/>
  <c r="I84" i="63" s="1"/>
  <c r="I85" i="63" s="1"/>
  <c r="I86" i="63" s="1"/>
  <c r="I87" i="63" s="1"/>
  <c r="I88" i="63" s="1"/>
  <c r="I89" i="63" s="1"/>
  <c r="I90" i="63" s="1"/>
  <c r="I91" i="63" s="1"/>
  <c r="I92" i="63" s="1"/>
  <c r="I93" i="63" s="1"/>
  <c r="I94" i="63" s="1"/>
  <c r="I95" i="63" s="1"/>
  <c r="I96" i="63" s="1"/>
  <c r="I97" i="63" s="1"/>
  <c r="I98" i="63" s="1"/>
  <c r="I99" i="63" s="1"/>
  <c r="I100" i="63" s="1"/>
  <c r="I101" i="63" s="1"/>
  <c r="I102" i="63" s="1"/>
  <c r="I103" i="63" s="1"/>
  <c r="I104" i="63" s="1"/>
  <c r="I105" i="63" s="1"/>
  <c r="I106" i="63" s="1"/>
  <c r="I107" i="63" s="1"/>
  <c r="I108" i="63" s="1"/>
  <c r="I109" i="63" s="1"/>
  <c r="I110" i="63" s="1"/>
  <c r="I111" i="63" s="1"/>
  <c r="I112" i="63" s="1"/>
  <c r="I113" i="63" s="1"/>
  <c r="I114" i="63" s="1"/>
  <c r="I115" i="63" s="1"/>
  <c r="I116" i="63" s="1"/>
  <c r="I117" i="63" s="1"/>
  <c r="I118" i="63" s="1"/>
  <c r="I119" i="63" s="1"/>
  <c r="I120" i="63" s="1"/>
  <c r="I121" i="63" s="1"/>
  <c r="I122" i="63" s="1"/>
  <c r="I123" i="63" s="1"/>
  <c r="I124" i="63" s="1"/>
  <c r="I125" i="63" s="1"/>
  <c r="I126" i="63" s="1"/>
  <c r="I127" i="63" s="1"/>
  <c r="I128" i="63" s="1"/>
  <c r="I129" i="63" s="1"/>
  <c r="I130" i="63" s="1"/>
  <c r="I131" i="63" s="1"/>
  <c r="I132" i="63" s="1"/>
  <c r="I133" i="63" s="1"/>
  <c r="I134" i="63" s="1"/>
  <c r="I135" i="63" s="1"/>
  <c r="I136" i="63" s="1"/>
  <c r="I137" i="63" s="1"/>
  <c r="I138" i="63" s="1"/>
  <c r="I139" i="63" s="1"/>
  <c r="I140" i="63" s="1"/>
  <c r="I141" i="63" s="1"/>
  <c r="I142" i="63" s="1"/>
  <c r="I143" i="63" s="1"/>
  <c r="I144" i="63" s="1"/>
  <c r="I145" i="63" s="1"/>
  <c r="I146" i="63" s="1"/>
  <c r="I147" i="63" s="1"/>
  <c r="I148" i="63" s="1"/>
  <c r="I149" i="63" s="1"/>
  <c r="I150" i="63" s="1"/>
  <c r="I151" i="63" s="1"/>
  <c r="I152" i="63" s="1"/>
  <c r="I153" i="63" s="1"/>
  <c r="I154" i="63" s="1"/>
  <c r="I155" i="63" s="1"/>
  <c r="I156" i="63" s="1"/>
  <c r="I157" i="63" s="1"/>
  <c r="I158" i="63" s="1"/>
  <c r="I159" i="63" s="1"/>
  <c r="I160" i="63" s="1"/>
  <c r="I161" i="63" s="1"/>
  <c r="I162" i="63" s="1"/>
  <c r="I163" i="63" s="1"/>
  <c r="I164" i="63" s="1"/>
  <c r="I165" i="63" s="1"/>
  <c r="I166" i="63" s="1"/>
  <c r="I167" i="63" s="1"/>
  <c r="I168" i="63" s="1"/>
  <c r="I169" i="63" s="1"/>
  <c r="I170" i="63" s="1"/>
  <c r="I171" i="63" s="1"/>
  <c r="I172" i="63" s="1"/>
  <c r="I173" i="63" s="1"/>
  <c r="I174" i="63" s="1"/>
  <c r="I175" i="63" s="1"/>
  <c r="I176" i="63" s="1"/>
  <c r="I177" i="63" s="1"/>
  <c r="I178" i="63" s="1"/>
  <c r="I179" i="63" s="1"/>
  <c r="I180" i="63" s="1"/>
  <c r="I181" i="63" s="1"/>
  <c r="I182" i="63" s="1"/>
  <c r="I183" i="63" s="1"/>
  <c r="I184" i="63" s="1"/>
  <c r="I185" i="63" s="1"/>
  <c r="I186" i="63" s="1"/>
  <c r="I187" i="63" s="1"/>
  <c r="I188" i="63" s="1"/>
  <c r="I189" i="63" s="1"/>
  <c r="I190" i="63" s="1"/>
  <c r="I191" i="63" s="1"/>
  <c r="I192" i="63" s="1"/>
  <c r="I193" i="63" s="1"/>
  <c r="I194" i="63" s="1"/>
  <c r="I195" i="63" s="1"/>
  <c r="I196" i="63" s="1"/>
  <c r="I197" i="63" s="1"/>
  <c r="I198" i="63" s="1"/>
  <c r="I199" i="63" s="1"/>
  <c r="I200" i="63" s="1"/>
  <c r="I201" i="63" s="1"/>
  <c r="I202" i="63" s="1"/>
  <c r="I203" i="63" s="1"/>
  <c r="I204" i="63" s="1"/>
  <c r="I205" i="63" s="1"/>
  <c r="I206" i="63" s="1"/>
  <c r="I207" i="63" s="1"/>
  <c r="I208" i="63" s="1"/>
  <c r="I209" i="63" s="1"/>
  <c r="I210" i="63" s="1"/>
  <c r="I211" i="63" s="1"/>
  <c r="I212" i="63" s="1"/>
  <c r="I213" i="63" s="1"/>
  <c r="I214" i="63" s="1"/>
  <c r="I215" i="63" s="1"/>
  <c r="I216" i="63" s="1"/>
  <c r="I217" i="63" s="1"/>
  <c r="I218" i="63" s="1"/>
  <c r="I219" i="63" s="1"/>
  <c r="I220" i="63" s="1"/>
  <c r="I221" i="63" s="1"/>
  <c r="I222" i="63" s="1"/>
  <c r="I223" i="63" s="1"/>
  <c r="I224" i="63" s="1"/>
  <c r="I225" i="63" s="1"/>
  <c r="I226" i="63" s="1"/>
  <c r="I227" i="63" s="1"/>
  <c r="I228" i="63" s="1"/>
  <c r="I229" i="63" s="1"/>
  <c r="I230" i="63" s="1"/>
  <c r="I231" i="63" s="1"/>
  <c r="I232" i="63" s="1"/>
  <c r="I233" i="63" s="1"/>
  <c r="I234" i="63" s="1"/>
  <c r="I235" i="63" s="1"/>
  <c r="I236" i="63" s="1"/>
  <c r="I237" i="63" s="1"/>
  <c r="I238" i="63" s="1"/>
  <c r="I239" i="63" s="1"/>
  <c r="I240" i="63" s="1"/>
  <c r="I241" i="63" s="1"/>
  <c r="I242" i="63" s="1"/>
  <c r="I243" i="63" s="1"/>
  <c r="I244" i="63" s="1"/>
  <c r="I245" i="63" s="1"/>
  <c r="I246" i="63" s="1"/>
  <c r="I247" i="63" s="1"/>
  <c r="I248" i="63" s="1"/>
  <c r="I249" i="63" s="1"/>
  <c r="I250" i="63" s="1"/>
  <c r="I251" i="63" s="1"/>
  <c r="I252" i="63" s="1"/>
  <c r="I253" i="63" s="1"/>
  <c r="I254" i="63" s="1"/>
  <c r="I255" i="63" s="1"/>
  <c r="I256" i="63" s="1"/>
  <c r="I257" i="63" s="1"/>
  <c r="I258" i="63" s="1"/>
  <c r="I259" i="63" s="1"/>
  <c r="I260" i="63" s="1"/>
  <c r="I261" i="63" s="1"/>
  <c r="I262" i="63" s="1"/>
  <c r="I263" i="63" s="1"/>
  <c r="I264" i="63" s="1"/>
  <c r="I265" i="63" s="1"/>
  <c r="I266" i="63" s="1"/>
  <c r="I267" i="63" s="1"/>
  <c r="I268" i="63" s="1"/>
  <c r="I269" i="63" s="1"/>
  <c r="I270" i="63" s="1"/>
  <c r="I271" i="63" s="1"/>
  <c r="I272" i="63" s="1"/>
  <c r="I273" i="63" s="1"/>
  <c r="I274" i="63" s="1"/>
  <c r="I275" i="63" s="1"/>
  <c r="I276" i="63" s="1"/>
  <c r="I277" i="63" s="1"/>
  <c r="I278" i="63" s="1"/>
  <c r="I279" i="63" s="1"/>
  <c r="I280" i="63" s="1"/>
  <c r="I281" i="63" s="1"/>
  <c r="I282" i="63" s="1"/>
  <c r="I283" i="63" s="1"/>
  <c r="I284" i="63" s="1"/>
  <c r="I285" i="63" s="1"/>
  <c r="I286" i="63" s="1"/>
  <c r="I287" i="63" s="1"/>
  <c r="I288" i="63" s="1"/>
  <c r="I289" i="63" s="1"/>
  <c r="I290" i="63" s="1"/>
  <c r="I291" i="63" s="1"/>
  <c r="I292" i="63" s="1"/>
  <c r="I293" i="63" s="1"/>
  <c r="I294" i="63" s="1"/>
  <c r="I295" i="63" s="1"/>
  <c r="I296" i="63" s="1"/>
  <c r="I297" i="63" s="1"/>
  <c r="I298" i="63" s="1"/>
  <c r="I299" i="63" s="1"/>
  <c r="I300" i="63" s="1"/>
  <c r="I301" i="63" s="1"/>
  <c r="I302" i="63" s="1"/>
  <c r="I303" i="63" s="1"/>
  <c r="I304" i="63" s="1"/>
  <c r="I305" i="63" s="1"/>
  <c r="I306" i="63" s="1"/>
  <c r="I307" i="63" s="1"/>
  <c r="I308" i="63" s="1"/>
  <c r="I7" i="63"/>
  <c r="I6" i="63"/>
  <c r="I5" i="63"/>
  <c r="I4" i="63"/>
  <c r="H8" i="63"/>
  <c r="H9" i="63" s="1"/>
  <c r="H10" i="63" s="1"/>
  <c r="H11" i="63" s="1"/>
  <c r="H12" i="63" s="1"/>
  <c r="H13" i="63" s="1"/>
  <c r="H14" i="63" s="1"/>
  <c r="H15" i="63" s="1"/>
  <c r="H16" i="63" s="1"/>
  <c r="H17" i="63" s="1"/>
  <c r="H18" i="63" s="1"/>
  <c r="H19" i="63" s="1"/>
  <c r="H20" i="63" s="1"/>
  <c r="H21" i="63" s="1"/>
  <c r="H22" i="63" s="1"/>
  <c r="H23" i="63" s="1"/>
  <c r="H24" i="63" s="1"/>
  <c r="H25" i="63" s="1"/>
  <c r="H26" i="63" s="1"/>
  <c r="H27" i="63" s="1"/>
  <c r="H28" i="63" s="1"/>
  <c r="H29" i="63" s="1"/>
  <c r="H30" i="63" s="1"/>
  <c r="H31" i="63" s="1"/>
  <c r="H32" i="63" s="1"/>
  <c r="H33" i="63" s="1"/>
  <c r="H34" i="63" s="1"/>
  <c r="H35" i="63" s="1"/>
  <c r="H36" i="63" s="1"/>
  <c r="H37" i="63" s="1"/>
  <c r="H38" i="63" s="1"/>
  <c r="H39" i="63" s="1"/>
  <c r="H40" i="63" s="1"/>
  <c r="H41" i="63" s="1"/>
  <c r="H42" i="63" s="1"/>
  <c r="H43" i="63" s="1"/>
  <c r="H44" i="63" s="1"/>
  <c r="H45" i="63" s="1"/>
  <c r="H46" i="63" s="1"/>
  <c r="H47" i="63" s="1"/>
  <c r="H48" i="63" s="1"/>
  <c r="H49" i="63" s="1"/>
  <c r="H50" i="63" s="1"/>
  <c r="H51" i="63" s="1"/>
  <c r="H52" i="63" s="1"/>
  <c r="H53" i="63" s="1"/>
  <c r="H54" i="63" s="1"/>
  <c r="H55" i="63" s="1"/>
  <c r="H56" i="63" s="1"/>
  <c r="H57" i="63" s="1"/>
  <c r="H58" i="63" s="1"/>
  <c r="H59" i="63" s="1"/>
  <c r="H60" i="63" s="1"/>
  <c r="H61" i="63" s="1"/>
  <c r="H62" i="63" s="1"/>
  <c r="H63" i="63" s="1"/>
  <c r="H64" i="63" s="1"/>
  <c r="H65" i="63" s="1"/>
  <c r="H66" i="63" s="1"/>
  <c r="H67" i="63" s="1"/>
  <c r="H68" i="63" s="1"/>
  <c r="H69" i="63" s="1"/>
  <c r="H70" i="63" s="1"/>
  <c r="H71" i="63" s="1"/>
  <c r="H72" i="63" s="1"/>
  <c r="H73" i="63" s="1"/>
  <c r="H74" i="63" s="1"/>
  <c r="H75" i="63" s="1"/>
  <c r="H76" i="63" s="1"/>
  <c r="H77" i="63" s="1"/>
  <c r="H78" i="63" s="1"/>
  <c r="H79" i="63" s="1"/>
  <c r="H80" i="63" s="1"/>
  <c r="H81" i="63" s="1"/>
  <c r="H82" i="63" s="1"/>
  <c r="H83" i="63" s="1"/>
  <c r="H84" i="63" s="1"/>
  <c r="H85" i="63" s="1"/>
  <c r="H86" i="63" s="1"/>
  <c r="H87" i="63" s="1"/>
  <c r="H88" i="63" s="1"/>
  <c r="H89" i="63" s="1"/>
  <c r="H90" i="63" s="1"/>
  <c r="H91" i="63" s="1"/>
  <c r="H92" i="63" s="1"/>
  <c r="H93" i="63" s="1"/>
  <c r="H94" i="63" s="1"/>
  <c r="H95" i="63" s="1"/>
  <c r="H96" i="63" s="1"/>
  <c r="H97" i="63" s="1"/>
  <c r="H98" i="63" s="1"/>
  <c r="H99" i="63" s="1"/>
  <c r="H100" i="63" s="1"/>
  <c r="H101" i="63" s="1"/>
  <c r="H102" i="63" s="1"/>
  <c r="H103" i="63" s="1"/>
  <c r="H104" i="63" s="1"/>
  <c r="H105" i="63" s="1"/>
  <c r="H106" i="63" s="1"/>
  <c r="H107" i="63" s="1"/>
  <c r="H108" i="63" s="1"/>
  <c r="H109" i="63" s="1"/>
  <c r="H110" i="63" s="1"/>
  <c r="H111" i="63" s="1"/>
  <c r="H112" i="63" s="1"/>
  <c r="H113" i="63" s="1"/>
  <c r="H114" i="63" s="1"/>
  <c r="H115" i="63" s="1"/>
  <c r="H116" i="63" s="1"/>
  <c r="H117" i="63" s="1"/>
  <c r="H118" i="63" s="1"/>
  <c r="H119" i="63" s="1"/>
  <c r="H120" i="63" s="1"/>
  <c r="H121" i="63" s="1"/>
  <c r="H122" i="63" s="1"/>
  <c r="H123" i="63" s="1"/>
  <c r="H124" i="63" s="1"/>
  <c r="H125" i="63" s="1"/>
  <c r="H126" i="63" s="1"/>
  <c r="H127" i="63" s="1"/>
  <c r="H128" i="63" s="1"/>
  <c r="H129" i="63" s="1"/>
  <c r="H130" i="63" s="1"/>
  <c r="H131" i="63" s="1"/>
  <c r="H132" i="63" s="1"/>
  <c r="H133" i="63" s="1"/>
  <c r="H134" i="63" s="1"/>
  <c r="H135" i="63" s="1"/>
  <c r="H136" i="63" s="1"/>
  <c r="H137" i="63" s="1"/>
  <c r="H138" i="63" s="1"/>
  <c r="H139" i="63" s="1"/>
  <c r="H140" i="63" s="1"/>
  <c r="H141" i="63" s="1"/>
  <c r="H142" i="63" s="1"/>
  <c r="H143" i="63" s="1"/>
  <c r="H144" i="63" s="1"/>
  <c r="H145" i="63" s="1"/>
  <c r="H146" i="63" s="1"/>
  <c r="H147" i="63" s="1"/>
  <c r="H148" i="63" s="1"/>
  <c r="H149" i="63" s="1"/>
  <c r="H150" i="63" s="1"/>
  <c r="H151" i="63" s="1"/>
  <c r="H152" i="63" s="1"/>
  <c r="H153" i="63" s="1"/>
  <c r="H154" i="63" s="1"/>
  <c r="H155" i="63" s="1"/>
  <c r="H156" i="63" s="1"/>
  <c r="H157" i="63" s="1"/>
  <c r="H158" i="63" s="1"/>
  <c r="H159" i="63" s="1"/>
  <c r="H160" i="63" s="1"/>
  <c r="H161" i="63" s="1"/>
  <c r="H162" i="63" s="1"/>
  <c r="H163" i="63" s="1"/>
  <c r="H164" i="63" s="1"/>
  <c r="H165" i="63" s="1"/>
  <c r="H166" i="63" s="1"/>
  <c r="H167" i="63" s="1"/>
  <c r="H168" i="63" s="1"/>
  <c r="H169" i="63" s="1"/>
  <c r="H170" i="63" s="1"/>
  <c r="H171" i="63" s="1"/>
  <c r="H172" i="63" s="1"/>
  <c r="H173" i="63" s="1"/>
  <c r="H174" i="63" s="1"/>
  <c r="H175" i="63" s="1"/>
  <c r="H176" i="63" s="1"/>
  <c r="H177" i="63" s="1"/>
  <c r="H178" i="63" s="1"/>
  <c r="H179" i="63" s="1"/>
  <c r="H180" i="63" s="1"/>
  <c r="H181" i="63" s="1"/>
  <c r="H182" i="63" s="1"/>
  <c r="H183" i="63" s="1"/>
  <c r="H184" i="63" s="1"/>
  <c r="H185" i="63" s="1"/>
  <c r="H186" i="63" s="1"/>
  <c r="H187" i="63" s="1"/>
  <c r="H188" i="63" s="1"/>
  <c r="H189" i="63" s="1"/>
  <c r="H190" i="63" s="1"/>
  <c r="H191" i="63" s="1"/>
  <c r="H192" i="63" s="1"/>
  <c r="H193" i="63" s="1"/>
  <c r="H194" i="63" s="1"/>
  <c r="H195" i="63" s="1"/>
  <c r="H196" i="63" s="1"/>
  <c r="H197" i="63" s="1"/>
  <c r="H198" i="63" s="1"/>
  <c r="H199" i="63" s="1"/>
  <c r="H200" i="63" s="1"/>
  <c r="H201" i="63" s="1"/>
  <c r="H202" i="63" s="1"/>
  <c r="H203" i="63" s="1"/>
  <c r="H204" i="63" s="1"/>
  <c r="H205" i="63" s="1"/>
  <c r="H206" i="63" s="1"/>
  <c r="H207" i="63" s="1"/>
  <c r="H208" i="63" s="1"/>
  <c r="H209" i="63" s="1"/>
  <c r="H210" i="63" s="1"/>
  <c r="H211" i="63" s="1"/>
  <c r="H212" i="63" s="1"/>
  <c r="H213" i="63" s="1"/>
  <c r="H214" i="63" s="1"/>
  <c r="H215" i="63" s="1"/>
  <c r="H216" i="63" s="1"/>
  <c r="H217" i="63" s="1"/>
  <c r="H218" i="63" s="1"/>
  <c r="H219" i="63" s="1"/>
  <c r="H220" i="63" s="1"/>
  <c r="H221" i="63" s="1"/>
  <c r="H222" i="63" s="1"/>
  <c r="H223" i="63" s="1"/>
  <c r="H224" i="63" s="1"/>
  <c r="H225" i="63" s="1"/>
  <c r="H226" i="63" s="1"/>
  <c r="H227" i="63" s="1"/>
  <c r="H228" i="63" s="1"/>
  <c r="H229" i="63" s="1"/>
  <c r="H230" i="63" s="1"/>
  <c r="H231" i="63" s="1"/>
  <c r="H232" i="63" s="1"/>
  <c r="H233" i="63" s="1"/>
  <c r="H234" i="63" s="1"/>
  <c r="H235" i="63" s="1"/>
  <c r="H236" i="63" s="1"/>
  <c r="H237" i="63" s="1"/>
  <c r="H238" i="63" s="1"/>
  <c r="H239" i="63" s="1"/>
  <c r="H240" i="63" s="1"/>
  <c r="H241" i="63" s="1"/>
  <c r="H242" i="63" s="1"/>
  <c r="H243" i="63" s="1"/>
  <c r="H244" i="63" s="1"/>
  <c r="H245" i="63" s="1"/>
  <c r="H246" i="63" s="1"/>
  <c r="H247" i="63" s="1"/>
  <c r="H248" i="63" s="1"/>
  <c r="H249" i="63" s="1"/>
  <c r="H250" i="63" s="1"/>
  <c r="H251" i="63" s="1"/>
  <c r="H252" i="63" s="1"/>
  <c r="H253" i="63" s="1"/>
  <c r="H254" i="63" s="1"/>
  <c r="H255" i="63" s="1"/>
  <c r="H256" i="63" s="1"/>
  <c r="H257" i="63" s="1"/>
  <c r="H258" i="63" s="1"/>
  <c r="H259" i="63" s="1"/>
  <c r="H260" i="63" s="1"/>
  <c r="H261" i="63" s="1"/>
  <c r="H262" i="63" s="1"/>
  <c r="H263" i="63" s="1"/>
  <c r="H264" i="63" s="1"/>
  <c r="H265" i="63" s="1"/>
  <c r="H266" i="63" s="1"/>
  <c r="H267" i="63" s="1"/>
  <c r="H268" i="63" s="1"/>
  <c r="H269" i="63" s="1"/>
  <c r="H270" i="63" s="1"/>
  <c r="H271" i="63" s="1"/>
  <c r="H272" i="63" s="1"/>
  <c r="H273" i="63" s="1"/>
  <c r="H274" i="63" s="1"/>
  <c r="H275" i="63" s="1"/>
  <c r="H276" i="63" s="1"/>
  <c r="H277" i="63" s="1"/>
  <c r="H278" i="63" s="1"/>
  <c r="H279" i="63" s="1"/>
  <c r="H280" i="63" s="1"/>
  <c r="H281" i="63" s="1"/>
  <c r="H282" i="63" s="1"/>
  <c r="H283" i="63" s="1"/>
  <c r="H284" i="63" s="1"/>
  <c r="H285" i="63" s="1"/>
  <c r="H286" i="63" s="1"/>
  <c r="H287" i="63" s="1"/>
  <c r="H288" i="63" s="1"/>
  <c r="H289" i="63" s="1"/>
  <c r="H290" i="63" s="1"/>
  <c r="H291" i="63" s="1"/>
  <c r="H292" i="63" s="1"/>
  <c r="H293" i="63" s="1"/>
  <c r="H294" i="63" s="1"/>
  <c r="H295" i="63" s="1"/>
  <c r="H296" i="63" s="1"/>
  <c r="H297" i="63" s="1"/>
  <c r="H298" i="63" s="1"/>
  <c r="H299" i="63" s="1"/>
  <c r="H300" i="63" s="1"/>
  <c r="H301" i="63" s="1"/>
  <c r="H302" i="63" s="1"/>
  <c r="H303" i="63" s="1"/>
  <c r="H304" i="63" s="1"/>
  <c r="H305" i="63" s="1"/>
  <c r="H306" i="63" s="1"/>
  <c r="H307" i="63" s="1"/>
  <c r="H308" i="63" s="1"/>
  <c r="H7" i="63"/>
  <c r="H6" i="63"/>
  <c r="H5" i="63"/>
  <c r="H4" i="63"/>
  <c r="G8" i="63"/>
  <c r="G7" i="63"/>
  <c r="G6" i="63"/>
  <c r="G5" i="63"/>
  <c r="G4" i="63"/>
  <c r="F8" i="63"/>
  <c r="F9" i="63" s="1"/>
  <c r="F10" i="63" s="1"/>
  <c r="F11" i="63" s="1"/>
  <c r="F12" i="63" s="1"/>
  <c r="F13" i="63" s="1"/>
  <c r="F14" i="63" s="1"/>
  <c r="F15" i="63" s="1"/>
  <c r="F16" i="63" s="1"/>
  <c r="F17" i="63" s="1"/>
  <c r="F18" i="63" s="1"/>
  <c r="F19" i="63" s="1"/>
  <c r="F20" i="63" s="1"/>
  <c r="F21" i="63" s="1"/>
  <c r="F22" i="63" s="1"/>
  <c r="F23" i="63" s="1"/>
  <c r="F24" i="63" s="1"/>
  <c r="F25" i="63" s="1"/>
  <c r="F26" i="63" s="1"/>
  <c r="F27" i="63" s="1"/>
  <c r="F28" i="63" s="1"/>
  <c r="F29" i="63" s="1"/>
  <c r="F30" i="63" s="1"/>
  <c r="F31" i="63" s="1"/>
  <c r="F32" i="63" s="1"/>
  <c r="F33" i="63" s="1"/>
  <c r="F34" i="63" s="1"/>
  <c r="F35" i="63" s="1"/>
  <c r="F36" i="63" s="1"/>
  <c r="F37" i="63" s="1"/>
  <c r="F38" i="63" s="1"/>
  <c r="F39" i="63" s="1"/>
  <c r="F40" i="63" s="1"/>
  <c r="F41" i="63" s="1"/>
  <c r="F42" i="63" s="1"/>
  <c r="F43" i="63" s="1"/>
  <c r="F44" i="63" s="1"/>
  <c r="F45" i="63" s="1"/>
  <c r="F46" i="63" s="1"/>
  <c r="F47" i="63" s="1"/>
  <c r="F48" i="63" s="1"/>
  <c r="F49" i="63" s="1"/>
  <c r="F50" i="63" s="1"/>
  <c r="F51" i="63" s="1"/>
  <c r="F52" i="63" s="1"/>
  <c r="F53" i="63" s="1"/>
  <c r="F54" i="63" s="1"/>
  <c r="F55" i="63" s="1"/>
  <c r="F56" i="63" s="1"/>
  <c r="F57" i="63" s="1"/>
  <c r="F58" i="63" s="1"/>
  <c r="F59" i="63" s="1"/>
  <c r="F60" i="63" s="1"/>
  <c r="F61" i="63" s="1"/>
  <c r="F62" i="63" s="1"/>
  <c r="F63" i="63" s="1"/>
  <c r="F64" i="63" s="1"/>
  <c r="F65" i="63" s="1"/>
  <c r="F66" i="63" s="1"/>
  <c r="F67" i="63" s="1"/>
  <c r="F68" i="63" s="1"/>
  <c r="F69" i="63" s="1"/>
  <c r="F70" i="63" s="1"/>
  <c r="F71" i="63" s="1"/>
  <c r="F72" i="63" s="1"/>
  <c r="F73" i="63" s="1"/>
  <c r="F74" i="63" s="1"/>
  <c r="F75" i="63" s="1"/>
  <c r="F76" i="63" s="1"/>
  <c r="F77" i="63" s="1"/>
  <c r="F78" i="63" s="1"/>
  <c r="F79" i="63" s="1"/>
  <c r="F80" i="63" s="1"/>
  <c r="F81" i="63" s="1"/>
  <c r="F82" i="63" s="1"/>
  <c r="F83" i="63" s="1"/>
  <c r="F84" i="63" s="1"/>
  <c r="F85" i="63" s="1"/>
  <c r="F86" i="63" s="1"/>
  <c r="F87" i="63" s="1"/>
  <c r="F88" i="63" s="1"/>
  <c r="F89" i="63" s="1"/>
  <c r="F90" i="63" s="1"/>
  <c r="F91" i="63" s="1"/>
  <c r="F92" i="63" s="1"/>
  <c r="F93" i="63" s="1"/>
  <c r="F94" i="63" s="1"/>
  <c r="F95" i="63" s="1"/>
  <c r="F96" i="63" s="1"/>
  <c r="F97" i="63" s="1"/>
  <c r="F98" i="63" s="1"/>
  <c r="F99" i="63" s="1"/>
  <c r="F100" i="63" s="1"/>
  <c r="F101" i="63" s="1"/>
  <c r="F102" i="63" s="1"/>
  <c r="F103" i="63" s="1"/>
  <c r="F104" i="63" s="1"/>
  <c r="F105" i="63" s="1"/>
  <c r="F106" i="63" s="1"/>
  <c r="F107" i="63" s="1"/>
  <c r="F108" i="63" s="1"/>
  <c r="F109" i="63" s="1"/>
  <c r="F110" i="63" s="1"/>
  <c r="F111" i="63" s="1"/>
  <c r="F112" i="63" s="1"/>
  <c r="F113" i="63" s="1"/>
  <c r="F114" i="63" s="1"/>
  <c r="F115" i="63" s="1"/>
  <c r="F116" i="63" s="1"/>
  <c r="F117" i="63" s="1"/>
  <c r="F118" i="63" s="1"/>
  <c r="F119" i="63" s="1"/>
  <c r="F120" i="63" s="1"/>
  <c r="F121" i="63" s="1"/>
  <c r="F122" i="63" s="1"/>
  <c r="F123" i="63" s="1"/>
  <c r="F124" i="63" s="1"/>
  <c r="F125" i="63" s="1"/>
  <c r="F126" i="63" s="1"/>
  <c r="F127" i="63" s="1"/>
  <c r="F128" i="63" s="1"/>
  <c r="F129" i="63" s="1"/>
  <c r="F130" i="63" s="1"/>
  <c r="F131" i="63" s="1"/>
  <c r="F132" i="63" s="1"/>
  <c r="F133" i="63" s="1"/>
  <c r="F134" i="63" s="1"/>
  <c r="F135" i="63" s="1"/>
  <c r="F136" i="63" s="1"/>
  <c r="F137" i="63" s="1"/>
  <c r="F138" i="63" s="1"/>
  <c r="F139" i="63" s="1"/>
  <c r="F140" i="63" s="1"/>
  <c r="F141" i="63" s="1"/>
  <c r="F142" i="63" s="1"/>
  <c r="F143" i="63" s="1"/>
  <c r="F144" i="63" s="1"/>
  <c r="F145" i="63" s="1"/>
  <c r="F146" i="63" s="1"/>
  <c r="F147" i="63" s="1"/>
  <c r="F148" i="63" s="1"/>
  <c r="F149" i="63" s="1"/>
  <c r="F150" i="63" s="1"/>
  <c r="F151" i="63" s="1"/>
  <c r="F152" i="63" s="1"/>
  <c r="F153" i="63" s="1"/>
  <c r="F154" i="63" s="1"/>
  <c r="F155" i="63" s="1"/>
  <c r="F156" i="63" s="1"/>
  <c r="F157" i="63" s="1"/>
  <c r="F158" i="63" s="1"/>
  <c r="F159" i="63" s="1"/>
  <c r="F160" i="63" s="1"/>
  <c r="F161" i="63" s="1"/>
  <c r="F162" i="63" s="1"/>
  <c r="F163" i="63" s="1"/>
  <c r="F164" i="63" s="1"/>
  <c r="F165" i="63" s="1"/>
  <c r="F166" i="63" s="1"/>
  <c r="F167" i="63" s="1"/>
  <c r="F168" i="63" s="1"/>
  <c r="F169" i="63" s="1"/>
  <c r="F170" i="63" s="1"/>
  <c r="F171" i="63" s="1"/>
  <c r="F172" i="63" s="1"/>
  <c r="F173" i="63" s="1"/>
  <c r="F174" i="63" s="1"/>
  <c r="F175" i="63" s="1"/>
  <c r="F176" i="63" s="1"/>
  <c r="F177" i="63" s="1"/>
  <c r="F178" i="63" s="1"/>
  <c r="F179" i="63" s="1"/>
  <c r="F180" i="63" s="1"/>
  <c r="F181" i="63" s="1"/>
  <c r="F182" i="63" s="1"/>
  <c r="F183" i="63" s="1"/>
  <c r="F184" i="63" s="1"/>
  <c r="F185" i="63" s="1"/>
  <c r="F186" i="63" s="1"/>
  <c r="F187" i="63" s="1"/>
  <c r="F188" i="63" s="1"/>
  <c r="F189" i="63" s="1"/>
  <c r="F190" i="63" s="1"/>
  <c r="F191" i="63" s="1"/>
  <c r="F192" i="63" s="1"/>
  <c r="F193" i="63" s="1"/>
  <c r="F194" i="63" s="1"/>
  <c r="F195" i="63" s="1"/>
  <c r="F196" i="63" s="1"/>
  <c r="F197" i="63" s="1"/>
  <c r="F198" i="63" s="1"/>
  <c r="F199" i="63" s="1"/>
  <c r="F200" i="63" s="1"/>
  <c r="F201" i="63" s="1"/>
  <c r="F202" i="63" s="1"/>
  <c r="F203" i="63" s="1"/>
  <c r="F204" i="63" s="1"/>
  <c r="F205" i="63" s="1"/>
  <c r="F206" i="63" s="1"/>
  <c r="F207" i="63" s="1"/>
  <c r="F208" i="63" s="1"/>
  <c r="F209" i="63" s="1"/>
  <c r="F210" i="63" s="1"/>
  <c r="F211" i="63" s="1"/>
  <c r="F212" i="63" s="1"/>
  <c r="F213" i="63" s="1"/>
  <c r="F214" i="63" s="1"/>
  <c r="F215" i="63" s="1"/>
  <c r="F216" i="63" s="1"/>
  <c r="F217" i="63" s="1"/>
  <c r="F218" i="63" s="1"/>
  <c r="F219" i="63" s="1"/>
  <c r="F220" i="63" s="1"/>
  <c r="F221" i="63" s="1"/>
  <c r="F222" i="63" s="1"/>
  <c r="F223" i="63" s="1"/>
  <c r="F224" i="63" s="1"/>
  <c r="F225" i="63" s="1"/>
  <c r="F226" i="63" s="1"/>
  <c r="F227" i="63" s="1"/>
  <c r="F228" i="63" s="1"/>
  <c r="F229" i="63" s="1"/>
  <c r="F230" i="63" s="1"/>
  <c r="F231" i="63" s="1"/>
  <c r="F232" i="63" s="1"/>
  <c r="F233" i="63" s="1"/>
  <c r="F234" i="63" s="1"/>
  <c r="F235" i="63" s="1"/>
  <c r="F236" i="63" s="1"/>
  <c r="F237" i="63" s="1"/>
  <c r="F238" i="63" s="1"/>
  <c r="F239" i="63" s="1"/>
  <c r="F240" i="63" s="1"/>
  <c r="F241" i="63" s="1"/>
  <c r="F242" i="63" s="1"/>
  <c r="F243" i="63" s="1"/>
  <c r="F244" i="63" s="1"/>
  <c r="F245" i="63" s="1"/>
  <c r="F246" i="63" s="1"/>
  <c r="F247" i="63" s="1"/>
  <c r="F248" i="63" s="1"/>
  <c r="F249" i="63" s="1"/>
  <c r="F250" i="63" s="1"/>
  <c r="F251" i="63" s="1"/>
  <c r="F252" i="63" s="1"/>
  <c r="F253" i="63" s="1"/>
  <c r="F254" i="63" s="1"/>
  <c r="F255" i="63" s="1"/>
  <c r="F256" i="63" s="1"/>
  <c r="F257" i="63" s="1"/>
  <c r="F258" i="63" s="1"/>
  <c r="F259" i="63" s="1"/>
  <c r="F260" i="63" s="1"/>
  <c r="F261" i="63" s="1"/>
  <c r="F262" i="63" s="1"/>
  <c r="F263" i="63" s="1"/>
  <c r="F264" i="63" s="1"/>
  <c r="F265" i="63" s="1"/>
  <c r="F266" i="63" s="1"/>
  <c r="F267" i="63" s="1"/>
  <c r="F268" i="63" s="1"/>
  <c r="F269" i="63" s="1"/>
  <c r="F270" i="63" s="1"/>
  <c r="F271" i="63" s="1"/>
  <c r="F272" i="63" s="1"/>
  <c r="F273" i="63" s="1"/>
  <c r="F274" i="63" s="1"/>
  <c r="F275" i="63" s="1"/>
  <c r="F276" i="63" s="1"/>
  <c r="F277" i="63" s="1"/>
  <c r="F278" i="63" s="1"/>
  <c r="F279" i="63" s="1"/>
  <c r="F280" i="63" s="1"/>
  <c r="F281" i="63" s="1"/>
  <c r="F282" i="63" s="1"/>
  <c r="F283" i="63" s="1"/>
  <c r="F284" i="63" s="1"/>
  <c r="F285" i="63" s="1"/>
  <c r="F286" i="63" s="1"/>
  <c r="F287" i="63" s="1"/>
  <c r="F288" i="63" s="1"/>
  <c r="F289" i="63" s="1"/>
  <c r="F290" i="63" s="1"/>
  <c r="F291" i="63" s="1"/>
  <c r="F292" i="63" s="1"/>
  <c r="F293" i="63" s="1"/>
  <c r="F294" i="63" s="1"/>
  <c r="F295" i="63" s="1"/>
  <c r="F296" i="63" s="1"/>
  <c r="F297" i="63" s="1"/>
  <c r="F298" i="63" s="1"/>
  <c r="F299" i="63" s="1"/>
  <c r="F300" i="63" s="1"/>
  <c r="F301" i="63" s="1"/>
  <c r="F302" i="63" s="1"/>
  <c r="F303" i="63" s="1"/>
  <c r="F304" i="63" s="1"/>
  <c r="F305" i="63" s="1"/>
  <c r="F306" i="63" s="1"/>
  <c r="F307" i="63" s="1"/>
  <c r="F308" i="63" s="1"/>
  <c r="F7" i="63"/>
  <c r="F6" i="63"/>
  <c r="F5" i="63"/>
  <c r="F4" i="63"/>
  <c r="E8" i="63"/>
  <c r="E7" i="63"/>
  <c r="E6" i="63"/>
  <c r="E5" i="63"/>
  <c r="E4" i="63"/>
  <c r="D8" i="63"/>
  <c r="D7" i="63"/>
  <c r="D6" i="63"/>
  <c r="D5" i="63"/>
  <c r="D4" i="63"/>
  <c r="C8" i="63"/>
  <c r="C9" i="63" s="1"/>
  <c r="C10" i="63" s="1"/>
  <c r="C11" i="63" s="1"/>
  <c r="C12" i="63" s="1"/>
  <c r="C13" i="63" s="1"/>
  <c r="C14" i="63" s="1"/>
  <c r="C15" i="63" s="1"/>
  <c r="C16" i="63" s="1"/>
  <c r="C17" i="63" s="1"/>
  <c r="C18" i="63" s="1"/>
  <c r="C19" i="63" s="1"/>
  <c r="C20" i="63" s="1"/>
  <c r="C21" i="63" s="1"/>
  <c r="C22" i="63" s="1"/>
  <c r="C23" i="63" s="1"/>
  <c r="C24" i="63" s="1"/>
  <c r="C25" i="63" s="1"/>
  <c r="C26" i="63" s="1"/>
  <c r="C27" i="63" s="1"/>
  <c r="C28" i="63" s="1"/>
  <c r="C29" i="63" s="1"/>
  <c r="C30" i="63" s="1"/>
  <c r="C31" i="63" s="1"/>
  <c r="C32" i="63" s="1"/>
  <c r="C33" i="63" s="1"/>
  <c r="C34" i="63" s="1"/>
  <c r="C35" i="63" s="1"/>
  <c r="C36" i="63" s="1"/>
  <c r="C37" i="63" s="1"/>
  <c r="C38" i="63" s="1"/>
  <c r="C39" i="63" s="1"/>
  <c r="C40" i="63" s="1"/>
  <c r="C41" i="63" s="1"/>
  <c r="C42" i="63" s="1"/>
  <c r="C43" i="63" s="1"/>
  <c r="C44" i="63" s="1"/>
  <c r="C45" i="63" s="1"/>
  <c r="C46" i="63" s="1"/>
  <c r="C47" i="63" s="1"/>
  <c r="C48" i="63" s="1"/>
  <c r="C49" i="63" s="1"/>
  <c r="C50" i="63" s="1"/>
  <c r="C51" i="63" s="1"/>
  <c r="C52" i="63" s="1"/>
  <c r="C53" i="63" s="1"/>
  <c r="C54" i="63" s="1"/>
  <c r="C55" i="63" s="1"/>
  <c r="C56" i="63" s="1"/>
  <c r="C57" i="63" s="1"/>
  <c r="C58" i="63" s="1"/>
  <c r="C59" i="63" s="1"/>
  <c r="C60" i="63" s="1"/>
  <c r="C61" i="63" s="1"/>
  <c r="C62" i="63" s="1"/>
  <c r="C63" i="63" s="1"/>
  <c r="C64" i="63" s="1"/>
  <c r="C65" i="63" s="1"/>
  <c r="C66" i="63" s="1"/>
  <c r="C67" i="63" s="1"/>
  <c r="C68" i="63" s="1"/>
  <c r="C69" i="63" s="1"/>
  <c r="C70" i="63" s="1"/>
  <c r="C71" i="63" s="1"/>
  <c r="C72" i="63" s="1"/>
  <c r="C73" i="63" s="1"/>
  <c r="C74" i="63" s="1"/>
  <c r="C75" i="63" s="1"/>
  <c r="C76" i="63" s="1"/>
  <c r="C77" i="63" s="1"/>
  <c r="C78" i="63" s="1"/>
  <c r="C79" i="63" s="1"/>
  <c r="C80" i="63" s="1"/>
  <c r="C81" i="63" s="1"/>
  <c r="C82" i="63" s="1"/>
  <c r="C83" i="63" s="1"/>
  <c r="C84" i="63" s="1"/>
  <c r="C85" i="63" s="1"/>
  <c r="C86" i="63" s="1"/>
  <c r="C87" i="63" s="1"/>
  <c r="C88" i="63" s="1"/>
  <c r="C89" i="63" s="1"/>
  <c r="C90" i="63" s="1"/>
  <c r="C91" i="63" s="1"/>
  <c r="C92" i="63" s="1"/>
  <c r="C93" i="63" s="1"/>
  <c r="C94" i="63" s="1"/>
  <c r="C95" i="63" s="1"/>
  <c r="C96" i="63" s="1"/>
  <c r="C97" i="63" s="1"/>
  <c r="C98" i="63" s="1"/>
  <c r="C99" i="63" s="1"/>
  <c r="C100" i="63" s="1"/>
  <c r="C101" i="63" s="1"/>
  <c r="C102" i="63" s="1"/>
  <c r="C103" i="63" s="1"/>
  <c r="C104" i="63" s="1"/>
  <c r="C105" i="63" s="1"/>
  <c r="C106" i="63" s="1"/>
  <c r="C107" i="63" s="1"/>
  <c r="C108" i="63" s="1"/>
  <c r="C109" i="63" s="1"/>
  <c r="C110" i="63" s="1"/>
  <c r="C111" i="63" s="1"/>
  <c r="C112" i="63" s="1"/>
  <c r="C113" i="63" s="1"/>
  <c r="C114" i="63" s="1"/>
  <c r="C115" i="63" s="1"/>
  <c r="C116" i="63" s="1"/>
  <c r="C117" i="63" s="1"/>
  <c r="C118" i="63" s="1"/>
  <c r="C119" i="63" s="1"/>
  <c r="C120" i="63" s="1"/>
  <c r="C121" i="63" s="1"/>
  <c r="C122" i="63" s="1"/>
  <c r="C123" i="63" s="1"/>
  <c r="C124" i="63" s="1"/>
  <c r="C125" i="63" s="1"/>
  <c r="C126" i="63" s="1"/>
  <c r="C127" i="63" s="1"/>
  <c r="C128" i="63" s="1"/>
  <c r="C129" i="63" s="1"/>
  <c r="C130" i="63" s="1"/>
  <c r="C131" i="63" s="1"/>
  <c r="C132" i="63" s="1"/>
  <c r="C133" i="63" s="1"/>
  <c r="C134" i="63" s="1"/>
  <c r="C135" i="63" s="1"/>
  <c r="C136" i="63" s="1"/>
  <c r="C137" i="63" s="1"/>
  <c r="C138" i="63" s="1"/>
  <c r="C139" i="63" s="1"/>
  <c r="C140" i="63" s="1"/>
  <c r="C141" i="63" s="1"/>
  <c r="C142" i="63" s="1"/>
  <c r="C143" i="63" s="1"/>
  <c r="C144" i="63" s="1"/>
  <c r="C145" i="63" s="1"/>
  <c r="C146" i="63" s="1"/>
  <c r="C147" i="63" s="1"/>
  <c r="C148" i="63" s="1"/>
  <c r="C149" i="63" s="1"/>
  <c r="C150" i="63" s="1"/>
  <c r="C151" i="63" s="1"/>
  <c r="C152" i="63" s="1"/>
  <c r="C153" i="63" s="1"/>
  <c r="C154" i="63" s="1"/>
  <c r="C155" i="63" s="1"/>
  <c r="C156" i="63" s="1"/>
  <c r="C157" i="63" s="1"/>
  <c r="C158" i="63" s="1"/>
  <c r="C159" i="63" s="1"/>
  <c r="C160" i="63" s="1"/>
  <c r="C161" i="63" s="1"/>
  <c r="C162" i="63" s="1"/>
  <c r="C163" i="63" s="1"/>
  <c r="C164" i="63" s="1"/>
  <c r="C165" i="63" s="1"/>
  <c r="C166" i="63" s="1"/>
  <c r="C167" i="63" s="1"/>
  <c r="C168" i="63" s="1"/>
  <c r="C169" i="63" s="1"/>
  <c r="C170" i="63" s="1"/>
  <c r="C171" i="63" s="1"/>
  <c r="C172" i="63" s="1"/>
  <c r="C173" i="63" s="1"/>
  <c r="C174" i="63" s="1"/>
  <c r="C175" i="63" s="1"/>
  <c r="C176" i="63" s="1"/>
  <c r="C177" i="63" s="1"/>
  <c r="C178" i="63" s="1"/>
  <c r="C179" i="63" s="1"/>
  <c r="C180" i="63" s="1"/>
  <c r="C181" i="63" s="1"/>
  <c r="C182" i="63" s="1"/>
  <c r="C183" i="63" s="1"/>
  <c r="C184" i="63" s="1"/>
  <c r="C185" i="63" s="1"/>
  <c r="C186" i="63" s="1"/>
  <c r="C187" i="63" s="1"/>
  <c r="C188" i="63" s="1"/>
  <c r="C189" i="63" s="1"/>
  <c r="C190" i="63" s="1"/>
  <c r="C191" i="63" s="1"/>
  <c r="C192" i="63" s="1"/>
  <c r="C193" i="63" s="1"/>
  <c r="C194" i="63" s="1"/>
  <c r="C195" i="63" s="1"/>
  <c r="C196" i="63" s="1"/>
  <c r="C197" i="63" s="1"/>
  <c r="C198" i="63" s="1"/>
  <c r="C199" i="63" s="1"/>
  <c r="C200" i="63" s="1"/>
  <c r="C201" i="63" s="1"/>
  <c r="C202" i="63" s="1"/>
  <c r="C203" i="63" s="1"/>
  <c r="C204" i="63" s="1"/>
  <c r="C205" i="63" s="1"/>
  <c r="C206" i="63" s="1"/>
  <c r="C207" i="63" s="1"/>
  <c r="C208" i="63" s="1"/>
  <c r="C209" i="63" s="1"/>
  <c r="C210" i="63" s="1"/>
  <c r="C211" i="63" s="1"/>
  <c r="C212" i="63" s="1"/>
  <c r="C213" i="63" s="1"/>
  <c r="C214" i="63" s="1"/>
  <c r="C215" i="63" s="1"/>
  <c r="C216" i="63" s="1"/>
  <c r="C217" i="63" s="1"/>
  <c r="C218" i="63" s="1"/>
  <c r="C219" i="63" s="1"/>
  <c r="C220" i="63" s="1"/>
  <c r="C221" i="63" s="1"/>
  <c r="C222" i="63" s="1"/>
  <c r="C223" i="63" s="1"/>
  <c r="C224" i="63" s="1"/>
  <c r="C225" i="63" s="1"/>
  <c r="C226" i="63" s="1"/>
  <c r="C227" i="63" s="1"/>
  <c r="C228" i="63" s="1"/>
  <c r="C229" i="63" s="1"/>
  <c r="C230" i="63" s="1"/>
  <c r="C231" i="63" s="1"/>
  <c r="C232" i="63" s="1"/>
  <c r="C233" i="63" s="1"/>
  <c r="C234" i="63" s="1"/>
  <c r="C235" i="63" s="1"/>
  <c r="C236" i="63" s="1"/>
  <c r="C237" i="63" s="1"/>
  <c r="C238" i="63" s="1"/>
  <c r="C239" i="63" s="1"/>
  <c r="C240" i="63" s="1"/>
  <c r="C241" i="63" s="1"/>
  <c r="C242" i="63" s="1"/>
  <c r="C243" i="63" s="1"/>
  <c r="C244" i="63" s="1"/>
  <c r="C245" i="63" s="1"/>
  <c r="C246" i="63" s="1"/>
  <c r="C247" i="63" s="1"/>
  <c r="C248" i="63" s="1"/>
  <c r="C249" i="63" s="1"/>
  <c r="C250" i="63" s="1"/>
  <c r="C251" i="63" s="1"/>
  <c r="C252" i="63" s="1"/>
  <c r="C253" i="63" s="1"/>
  <c r="C254" i="63" s="1"/>
  <c r="C255" i="63" s="1"/>
  <c r="C256" i="63" s="1"/>
  <c r="C257" i="63" s="1"/>
  <c r="C258" i="63" s="1"/>
  <c r="C259" i="63" s="1"/>
  <c r="C260" i="63" s="1"/>
  <c r="C261" i="63" s="1"/>
  <c r="C262" i="63" s="1"/>
  <c r="C263" i="63" s="1"/>
  <c r="C264" i="63" s="1"/>
  <c r="C265" i="63" s="1"/>
  <c r="C266" i="63" s="1"/>
  <c r="C267" i="63" s="1"/>
  <c r="C268" i="63" s="1"/>
  <c r="C269" i="63" s="1"/>
  <c r="C270" i="63" s="1"/>
  <c r="C271" i="63" s="1"/>
  <c r="C272" i="63" s="1"/>
  <c r="C273" i="63" s="1"/>
  <c r="C274" i="63" s="1"/>
  <c r="C275" i="63" s="1"/>
  <c r="C276" i="63" s="1"/>
  <c r="C277" i="63" s="1"/>
  <c r="C278" i="63" s="1"/>
  <c r="C279" i="63" s="1"/>
  <c r="C280" i="63" s="1"/>
  <c r="C281" i="63" s="1"/>
  <c r="C282" i="63" s="1"/>
  <c r="C283" i="63" s="1"/>
  <c r="C284" i="63" s="1"/>
  <c r="C285" i="63" s="1"/>
  <c r="C286" i="63" s="1"/>
  <c r="C287" i="63" s="1"/>
  <c r="C288" i="63" s="1"/>
  <c r="C289" i="63" s="1"/>
  <c r="C290" i="63" s="1"/>
  <c r="C291" i="63" s="1"/>
  <c r="C292" i="63" s="1"/>
  <c r="C293" i="63" s="1"/>
  <c r="C294" i="63" s="1"/>
  <c r="C295" i="63" s="1"/>
  <c r="C296" i="63" s="1"/>
  <c r="C297" i="63" s="1"/>
  <c r="C298" i="63" s="1"/>
  <c r="C299" i="63" s="1"/>
  <c r="C300" i="63" s="1"/>
  <c r="C301" i="63" s="1"/>
  <c r="C302" i="63" s="1"/>
  <c r="C303" i="63" s="1"/>
  <c r="C304" i="63" s="1"/>
  <c r="C305" i="63" s="1"/>
  <c r="C306" i="63" s="1"/>
  <c r="C307" i="63" s="1"/>
  <c r="C308" i="63" s="1"/>
  <c r="C7" i="63"/>
  <c r="C6" i="63"/>
  <c r="C5" i="63"/>
  <c r="C4" i="63"/>
  <c r="B1" i="63"/>
  <c r="A8" i="63"/>
  <c r="A7" i="63"/>
  <c r="A6" i="63"/>
  <c r="A5" i="63"/>
  <c r="A4" i="63"/>
  <c r="EM9" i="63" l="1"/>
  <c r="EM10" i="63" s="1"/>
  <c r="EM11" i="63" s="1"/>
  <c r="EM12" i="63" s="1"/>
  <c r="EM13" i="63" s="1"/>
  <c r="EM14" i="63" s="1"/>
  <c r="EM15" i="63" s="1"/>
  <c r="EM16" i="63" s="1"/>
  <c r="EM17" i="63" s="1"/>
  <c r="EM18" i="63" s="1"/>
  <c r="EM19" i="63" s="1"/>
  <c r="EM20" i="63" s="1"/>
  <c r="EM21" i="63" s="1"/>
  <c r="EM22" i="63" s="1"/>
  <c r="EM23" i="63" s="1"/>
  <c r="EM24" i="63" s="1"/>
  <c r="EM25" i="63" s="1"/>
  <c r="EM26" i="63" s="1"/>
  <c r="EM27" i="63" s="1"/>
  <c r="EM28" i="63" s="1"/>
  <c r="EM29" i="63" s="1"/>
  <c r="EM30" i="63" s="1"/>
  <c r="EM31" i="63" s="1"/>
  <c r="EM32" i="63" s="1"/>
  <c r="EM33" i="63" s="1"/>
  <c r="EM34" i="63" s="1"/>
  <c r="EM35" i="63" s="1"/>
  <c r="EM36" i="63" s="1"/>
  <c r="EM37" i="63" s="1"/>
  <c r="EM38" i="63" s="1"/>
  <c r="EM39" i="63" s="1"/>
  <c r="EM40" i="63" s="1"/>
  <c r="EM41" i="63" s="1"/>
  <c r="EM42" i="63" s="1"/>
  <c r="EM43" i="63" s="1"/>
  <c r="EM44" i="63" s="1"/>
  <c r="EM45" i="63" s="1"/>
  <c r="EM46" i="63" s="1"/>
  <c r="EM47" i="63" s="1"/>
  <c r="EM48" i="63" s="1"/>
  <c r="EM49" i="63" s="1"/>
  <c r="EM50" i="63" s="1"/>
  <c r="EM51" i="63" s="1"/>
  <c r="EM52" i="63" s="1"/>
  <c r="EM53" i="63" s="1"/>
  <c r="EM54" i="63" s="1"/>
  <c r="EM55" i="63" s="1"/>
  <c r="EM56" i="63" s="1"/>
  <c r="EM57" i="63" s="1"/>
  <c r="EM58" i="63" s="1"/>
  <c r="EM59" i="63" s="1"/>
  <c r="EM60" i="63" s="1"/>
  <c r="EM61" i="63" s="1"/>
  <c r="EM62" i="63" s="1"/>
  <c r="EM63" i="63" s="1"/>
  <c r="EM64" i="63" s="1"/>
  <c r="EM65" i="63" s="1"/>
  <c r="EM66" i="63" s="1"/>
  <c r="EM67" i="63" s="1"/>
  <c r="EM68" i="63" s="1"/>
  <c r="EM69" i="63" s="1"/>
  <c r="EM70" i="63" s="1"/>
  <c r="EM71" i="63" s="1"/>
  <c r="EM72" i="63" s="1"/>
  <c r="EM73" i="63" s="1"/>
  <c r="EM74" i="63" s="1"/>
  <c r="EM75" i="63" s="1"/>
  <c r="EM76" i="63" s="1"/>
  <c r="EM77" i="63" s="1"/>
  <c r="EM78" i="63" s="1"/>
  <c r="EM79" i="63" s="1"/>
  <c r="EM80" i="63" s="1"/>
  <c r="EM81" i="63" s="1"/>
  <c r="EM82" i="63" s="1"/>
  <c r="EM83" i="63" s="1"/>
  <c r="EM84" i="63" s="1"/>
  <c r="EM85" i="63" s="1"/>
  <c r="EM86" i="63" s="1"/>
  <c r="EM87" i="63" s="1"/>
  <c r="EM88" i="63" s="1"/>
  <c r="EM89" i="63" s="1"/>
  <c r="EM90" i="63" s="1"/>
  <c r="EM91" i="63" s="1"/>
  <c r="EM92" i="63" s="1"/>
  <c r="EM93" i="63" s="1"/>
  <c r="EM94" i="63" s="1"/>
  <c r="EM95" i="63" s="1"/>
  <c r="EM96" i="63" s="1"/>
  <c r="EM97" i="63" s="1"/>
  <c r="EM98" i="63" s="1"/>
  <c r="EM99" i="63" s="1"/>
  <c r="EM100" i="63" s="1"/>
  <c r="EM101" i="63" s="1"/>
  <c r="EM102" i="63" s="1"/>
  <c r="EM103" i="63" s="1"/>
  <c r="EM104" i="63" s="1"/>
  <c r="EM105" i="63" s="1"/>
  <c r="EM106" i="63" s="1"/>
  <c r="EM107" i="63" s="1"/>
  <c r="EM108" i="63" s="1"/>
  <c r="EM109" i="63" s="1"/>
  <c r="EM110" i="63" s="1"/>
  <c r="EM111" i="63" s="1"/>
  <c r="EM112" i="63" s="1"/>
  <c r="EM113" i="63" s="1"/>
  <c r="EM114" i="63" s="1"/>
  <c r="EM115" i="63" s="1"/>
  <c r="EM116" i="63" s="1"/>
  <c r="EM117" i="63" s="1"/>
  <c r="EM118" i="63" s="1"/>
  <c r="EM119" i="63" s="1"/>
  <c r="EM120" i="63" s="1"/>
  <c r="EM121" i="63" s="1"/>
  <c r="EM122" i="63" s="1"/>
  <c r="EM123" i="63" s="1"/>
  <c r="EM124" i="63" s="1"/>
  <c r="EM125" i="63" s="1"/>
  <c r="EM126" i="63" s="1"/>
  <c r="EM127" i="63" s="1"/>
  <c r="EM128" i="63" s="1"/>
  <c r="EM129" i="63" s="1"/>
  <c r="EM130" i="63" s="1"/>
  <c r="EM131" i="63" s="1"/>
  <c r="EM132" i="63" s="1"/>
  <c r="EM133" i="63" s="1"/>
  <c r="EM134" i="63" s="1"/>
  <c r="EM135" i="63" s="1"/>
  <c r="EM136" i="63" s="1"/>
  <c r="EM137" i="63" s="1"/>
  <c r="EM138" i="63" s="1"/>
  <c r="EM139" i="63" s="1"/>
  <c r="EM140" i="63" s="1"/>
  <c r="EM141" i="63" s="1"/>
  <c r="EM142" i="63" s="1"/>
  <c r="EM143" i="63" s="1"/>
  <c r="EM144" i="63" s="1"/>
  <c r="EM145" i="63" s="1"/>
  <c r="EM146" i="63" s="1"/>
  <c r="EM147" i="63" s="1"/>
  <c r="EM148" i="63" s="1"/>
  <c r="EM149" i="63" s="1"/>
  <c r="EM150" i="63" s="1"/>
  <c r="EM151" i="63" s="1"/>
  <c r="EM152" i="63" s="1"/>
  <c r="EM153" i="63" s="1"/>
  <c r="EM154" i="63" s="1"/>
  <c r="EM155" i="63" s="1"/>
  <c r="EM156" i="63" s="1"/>
  <c r="EM157" i="63" s="1"/>
  <c r="EM158" i="63" s="1"/>
  <c r="EM159" i="63" s="1"/>
  <c r="EM160" i="63" s="1"/>
  <c r="EM161" i="63" s="1"/>
  <c r="EM162" i="63" s="1"/>
  <c r="EM163" i="63" s="1"/>
  <c r="EM164" i="63" s="1"/>
  <c r="EM165" i="63" s="1"/>
  <c r="EM166" i="63" s="1"/>
  <c r="EM167" i="63" s="1"/>
  <c r="EM168" i="63" s="1"/>
  <c r="EM169" i="63" s="1"/>
  <c r="EM170" i="63" s="1"/>
  <c r="EM171" i="63" s="1"/>
  <c r="EM172" i="63" s="1"/>
  <c r="EM173" i="63" s="1"/>
  <c r="EM174" i="63" s="1"/>
  <c r="EM175" i="63" s="1"/>
  <c r="EM176" i="63" s="1"/>
  <c r="EM177" i="63" s="1"/>
  <c r="EM178" i="63" s="1"/>
  <c r="EM179" i="63" s="1"/>
  <c r="EM180" i="63" s="1"/>
  <c r="EM181" i="63" s="1"/>
  <c r="EM182" i="63" s="1"/>
  <c r="EM183" i="63" s="1"/>
  <c r="EM184" i="63" s="1"/>
  <c r="EM185" i="63" s="1"/>
  <c r="EM186" i="63" s="1"/>
  <c r="EM187" i="63" s="1"/>
  <c r="EM188" i="63" s="1"/>
  <c r="EM189" i="63" s="1"/>
  <c r="EM190" i="63" s="1"/>
  <c r="EM191" i="63" s="1"/>
  <c r="EM192" i="63" s="1"/>
  <c r="EM193" i="63" s="1"/>
  <c r="EM194" i="63" s="1"/>
  <c r="EM195" i="63" s="1"/>
  <c r="EM196" i="63" s="1"/>
  <c r="EM197" i="63" s="1"/>
  <c r="EM198" i="63" s="1"/>
  <c r="EM199" i="63" s="1"/>
  <c r="EM200" i="63" s="1"/>
  <c r="EM201" i="63" s="1"/>
  <c r="EM202" i="63" s="1"/>
  <c r="EM203" i="63" s="1"/>
  <c r="EM204" i="63" s="1"/>
  <c r="EM205" i="63" s="1"/>
  <c r="EM206" i="63" s="1"/>
  <c r="EM207" i="63" s="1"/>
  <c r="EM208" i="63" s="1"/>
  <c r="EM209" i="63" s="1"/>
  <c r="EM210" i="63" s="1"/>
  <c r="EM211" i="63" s="1"/>
  <c r="EM212" i="63" s="1"/>
  <c r="EM213" i="63" s="1"/>
  <c r="EM214" i="63" s="1"/>
  <c r="EM215" i="63" s="1"/>
  <c r="EM216" i="63" s="1"/>
  <c r="EM217" i="63" s="1"/>
  <c r="EM218" i="63" s="1"/>
  <c r="EM219" i="63" s="1"/>
  <c r="EM220" i="63" s="1"/>
  <c r="EM221" i="63" s="1"/>
  <c r="EM222" i="63" s="1"/>
  <c r="EM223" i="63" s="1"/>
  <c r="EM224" i="63" s="1"/>
  <c r="EM225" i="63" s="1"/>
  <c r="EM226" i="63" s="1"/>
  <c r="EM227" i="63" s="1"/>
  <c r="EM228" i="63" s="1"/>
  <c r="EM229" i="63" s="1"/>
  <c r="EM230" i="63" s="1"/>
  <c r="EM231" i="63" s="1"/>
  <c r="EM232" i="63" s="1"/>
  <c r="EM233" i="63" s="1"/>
  <c r="EM234" i="63" s="1"/>
  <c r="EM235" i="63" s="1"/>
  <c r="EM236" i="63" s="1"/>
  <c r="EM237" i="63" s="1"/>
  <c r="EM238" i="63" s="1"/>
  <c r="EM239" i="63" s="1"/>
  <c r="EM240" i="63" s="1"/>
  <c r="EM241" i="63" s="1"/>
  <c r="EM242" i="63" s="1"/>
  <c r="EM243" i="63" s="1"/>
  <c r="EM244" i="63" s="1"/>
  <c r="EM245" i="63" s="1"/>
  <c r="EM246" i="63" s="1"/>
  <c r="EM247" i="63" s="1"/>
  <c r="EM248" i="63" s="1"/>
  <c r="EM249" i="63" s="1"/>
  <c r="EM250" i="63" s="1"/>
  <c r="EM251" i="63" s="1"/>
  <c r="EM252" i="63" s="1"/>
  <c r="EM253" i="63" s="1"/>
  <c r="EM254" i="63" s="1"/>
  <c r="EM255" i="63" s="1"/>
  <c r="EM256" i="63" s="1"/>
  <c r="EM257" i="63" s="1"/>
  <c r="EM258" i="63" s="1"/>
  <c r="EM259" i="63" s="1"/>
  <c r="EM260" i="63" s="1"/>
  <c r="EM261" i="63" s="1"/>
  <c r="EM262" i="63" s="1"/>
  <c r="EM263" i="63" s="1"/>
  <c r="EM264" i="63" s="1"/>
  <c r="EM265" i="63" s="1"/>
  <c r="EM266" i="63" s="1"/>
  <c r="EM267" i="63" s="1"/>
  <c r="EM268" i="63" s="1"/>
  <c r="EM269" i="63" s="1"/>
  <c r="EM270" i="63" s="1"/>
  <c r="EM271" i="63" s="1"/>
  <c r="EM272" i="63" s="1"/>
  <c r="EM273" i="63" s="1"/>
  <c r="EM274" i="63" s="1"/>
  <c r="EM275" i="63" s="1"/>
  <c r="EM276" i="63" s="1"/>
  <c r="EM277" i="63" s="1"/>
  <c r="EM278" i="63" s="1"/>
  <c r="EM279" i="63" s="1"/>
  <c r="EM280" i="63" s="1"/>
  <c r="EM281" i="63" s="1"/>
  <c r="EM282" i="63" s="1"/>
  <c r="EM283" i="63" s="1"/>
  <c r="EM284" i="63" s="1"/>
  <c r="EM285" i="63" s="1"/>
  <c r="EM286" i="63" s="1"/>
  <c r="EM287" i="63" s="1"/>
  <c r="EM288" i="63" s="1"/>
  <c r="EM289" i="63" s="1"/>
  <c r="EM290" i="63" s="1"/>
  <c r="EM291" i="63" s="1"/>
  <c r="EM292" i="63" s="1"/>
  <c r="EM293" i="63" s="1"/>
  <c r="EM294" i="63" s="1"/>
  <c r="EM295" i="63" s="1"/>
  <c r="EM296" i="63" s="1"/>
  <c r="EM297" i="63" s="1"/>
  <c r="EM298" i="63" s="1"/>
  <c r="EM299" i="63" s="1"/>
  <c r="EM300" i="63" s="1"/>
  <c r="EM301" i="63" s="1"/>
  <c r="EM302" i="63" s="1"/>
  <c r="EM303" i="63" s="1"/>
  <c r="EM304" i="63" s="1"/>
  <c r="EM305" i="63" s="1"/>
  <c r="EM306" i="63" s="1"/>
  <c r="EM307" i="63" s="1"/>
  <c r="EM308" i="63" s="1"/>
  <c r="EL9" i="63"/>
  <c r="EL10" i="63" s="1"/>
  <c r="EL11" i="63" s="1"/>
  <c r="EL12" i="63" s="1"/>
  <c r="EL13" i="63" s="1"/>
  <c r="EL14" i="63" s="1"/>
  <c r="EL15" i="63" s="1"/>
  <c r="EL16" i="63" s="1"/>
  <c r="EL17" i="63" s="1"/>
  <c r="EL18" i="63" s="1"/>
  <c r="EL19" i="63" s="1"/>
  <c r="EL20" i="63" s="1"/>
  <c r="EL21" i="63" s="1"/>
  <c r="EL22" i="63" s="1"/>
  <c r="EL23" i="63" s="1"/>
  <c r="EL24" i="63" s="1"/>
  <c r="EL25" i="63" s="1"/>
  <c r="EL26" i="63" s="1"/>
  <c r="EL27" i="63" s="1"/>
  <c r="EL28" i="63" s="1"/>
  <c r="EL29" i="63" s="1"/>
  <c r="EL30" i="63" s="1"/>
  <c r="EL31" i="63" s="1"/>
  <c r="EL32" i="63" s="1"/>
  <c r="EL33" i="63" s="1"/>
  <c r="EL34" i="63" s="1"/>
  <c r="EL35" i="63" s="1"/>
  <c r="EL36" i="63" s="1"/>
  <c r="EL37" i="63" s="1"/>
  <c r="EL38" i="63" s="1"/>
  <c r="EL39" i="63" s="1"/>
  <c r="EL40" i="63" s="1"/>
  <c r="EL41" i="63" s="1"/>
  <c r="EL42" i="63" s="1"/>
  <c r="EL43" i="63" s="1"/>
  <c r="EL44" i="63" s="1"/>
  <c r="EL45" i="63" s="1"/>
  <c r="EL46" i="63" s="1"/>
  <c r="EL47" i="63" s="1"/>
  <c r="EL48" i="63" s="1"/>
  <c r="EL49" i="63" s="1"/>
  <c r="EL50" i="63" s="1"/>
  <c r="EL51" i="63" s="1"/>
  <c r="EL52" i="63" s="1"/>
  <c r="EL53" i="63" s="1"/>
  <c r="EL54" i="63" s="1"/>
  <c r="EL55" i="63" s="1"/>
  <c r="EL56" i="63" s="1"/>
  <c r="EL57" i="63" s="1"/>
  <c r="EL58" i="63" s="1"/>
  <c r="EL59" i="63" s="1"/>
  <c r="EL60" i="63" s="1"/>
  <c r="EL61" i="63" s="1"/>
  <c r="EL62" i="63" s="1"/>
  <c r="EL63" i="63" s="1"/>
  <c r="EL64" i="63" s="1"/>
  <c r="EL65" i="63" s="1"/>
  <c r="EL66" i="63" s="1"/>
  <c r="EL67" i="63" s="1"/>
  <c r="EL68" i="63" s="1"/>
  <c r="EL69" i="63" s="1"/>
  <c r="EL70" i="63" s="1"/>
  <c r="EL71" i="63" s="1"/>
  <c r="EL72" i="63" s="1"/>
  <c r="EL73" i="63" s="1"/>
  <c r="EL74" i="63" s="1"/>
  <c r="EL75" i="63" s="1"/>
  <c r="EL76" i="63" s="1"/>
  <c r="EL77" i="63" s="1"/>
  <c r="EL78" i="63" s="1"/>
  <c r="EL79" i="63" s="1"/>
  <c r="EL80" i="63" s="1"/>
  <c r="EL81" i="63" s="1"/>
  <c r="EL82" i="63" s="1"/>
  <c r="EL83" i="63" s="1"/>
  <c r="EL84" i="63" s="1"/>
  <c r="EL85" i="63" s="1"/>
  <c r="EL86" i="63" s="1"/>
  <c r="EL87" i="63" s="1"/>
  <c r="EL88" i="63" s="1"/>
  <c r="EL89" i="63" s="1"/>
  <c r="EL90" i="63" s="1"/>
  <c r="EL91" i="63" s="1"/>
  <c r="EL92" i="63" s="1"/>
  <c r="EL93" i="63" s="1"/>
  <c r="EL94" i="63" s="1"/>
  <c r="EL95" i="63" s="1"/>
  <c r="EL96" i="63" s="1"/>
  <c r="EL97" i="63" s="1"/>
  <c r="EL98" i="63" s="1"/>
  <c r="EL99" i="63" s="1"/>
  <c r="EL100" i="63" s="1"/>
  <c r="EL101" i="63" s="1"/>
  <c r="EL102" i="63" s="1"/>
  <c r="EL103" i="63" s="1"/>
  <c r="EL104" i="63" s="1"/>
  <c r="EL105" i="63" s="1"/>
  <c r="EL106" i="63" s="1"/>
  <c r="EL107" i="63" s="1"/>
  <c r="EL108" i="63" s="1"/>
  <c r="EL109" i="63" s="1"/>
  <c r="EL110" i="63" s="1"/>
  <c r="EL111" i="63" s="1"/>
  <c r="EL112" i="63" s="1"/>
  <c r="EL113" i="63" s="1"/>
  <c r="EL114" i="63" s="1"/>
  <c r="EL115" i="63" s="1"/>
  <c r="EL116" i="63" s="1"/>
  <c r="EL117" i="63" s="1"/>
  <c r="EL118" i="63" s="1"/>
  <c r="EL119" i="63" s="1"/>
  <c r="EL120" i="63" s="1"/>
  <c r="EL121" i="63" s="1"/>
  <c r="EL122" i="63" s="1"/>
  <c r="EL123" i="63" s="1"/>
  <c r="EL124" i="63" s="1"/>
  <c r="EL125" i="63" s="1"/>
  <c r="EL126" i="63" s="1"/>
  <c r="EL127" i="63" s="1"/>
  <c r="EL128" i="63" s="1"/>
  <c r="EL129" i="63" s="1"/>
  <c r="EL130" i="63" s="1"/>
  <c r="EL131" i="63" s="1"/>
  <c r="EL132" i="63" s="1"/>
  <c r="EL133" i="63" s="1"/>
  <c r="EL134" i="63" s="1"/>
  <c r="EL135" i="63" s="1"/>
  <c r="EL136" i="63" s="1"/>
  <c r="EL137" i="63" s="1"/>
  <c r="EL138" i="63" s="1"/>
  <c r="EL139" i="63" s="1"/>
  <c r="EL140" i="63" s="1"/>
  <c r="EL141" i="63" s="1"/>
  <c r="EL142" i="63" s="1"/>
  <c r="EL143" i="63" s="1"/>
  <c r="EL144" i="63" s="1"/>
  <c r="EL145" i="63" s="1"/>
  <c r="EL146" i="63" s="1"/>
  <c r="EL147" i="63" s="1"/>
  <c r="EL148" i="63" s="1"/>
  <c r="EL149" i="63" s="1"/>
  <c r="EL150" i="63" s="1"/>
  <c r="EL151" i="63" s="1"/>
  <c r="EL152" i="63" s="1"/>
  <c r="EL153" i="63" s="1"/>
  <c r="EL154" i="63" s="1"/>
  <c r="EL155" i="63" s="1"/>
  <c r="EL156" i="63" s="1"/>
  <c r="EL157" i="63" s="1"/>
  <c r="EL158" i="63" s="1"/>
  <c r="EL159" i="63" s="1"/>
  <c r="EL160" i="63" s="1"/>
  <c r="EL161" i="63" s="1"/>
  <c r="EL162" i="63" s="1"/>
  <c r="EL163" i="63" s="1"/>
  <c r="EL164" i="63" s="1"/>
  <c r="EL165" i="63" s="1"/>
  <c r="EL166" i="63" s="1"/>
  <c r="EL167" i="63" s="1"/>
  <c r="EL168" i="63" s="1"/>
  <c r="EL169" i="63" s="1"/>
  <c r="EL170" i="63" s="1"/>
  <c r="EL171" i="63" s="1"/>
  <c r="EL172" i="63" s="1"/>
  <c r="EL173" i="63" s="1"/>
  <c r="EL174" i="63" s="1"/>
  <c r="EL175" i="63" s="1"/>
  <c r="EL176" i="63" s="1"/>
  <c r="EL177" i="63" s="1"/>
  <c r="EL178" i="63" s="1"/>
  <c r="EL179" i="63" s="1"/>
  <c r="EL180" i="63" s="1"/>
  <c r="EL181" i="63" s="1"/>
  <c r="EL182" i="63" s="1"/>
  <c r="EL183" i="63" s="1"/>
  <c r="EL184" i="63" s="1"/>
  <c r="EL185" i="63" s="1"/>
  <c r="EL186" i="63" s="1"/>
  <c r="EL187" i="63" s="1"/>
  <c r="EL188" i="63" s="1"/>
  <c r="EL189" i="63" s="1"/>
  <c r="EL190" i="63" s="1"/>
  <c r="EL191" i="63" s="1"/>
  <c r="EL192" i="63" s="1"/>
  <c r="EL193" i="63" s="1"/>
  <c r="EL194" i="63" s="1"/>
  <c r="EL195" i="63" s="1"/>
  <c r="EL196" i="63" s="1"/>
  <c r="EL197" i="63" s="1"/>
  <c r="EL198" i="63" s="1"/>
  <c r="EL199" i="63" s="1"/>
  <c r="EL200" i="63" s="1"/>
  <c r="EL201" i="63" s="1"/>
  <c r="EL202" i="63" s="1"/>
  <c r="EL203" i="63" s="1"/>
  <c r="EL204" i="63" s="1"/>
  <c r="EL205" i="63" s="1"/>
  <c r="EL206" i="63" s="1"/>
  <c r="EL207" i="63" s="1"/>
  <c r="EL208" i="63" s="1"/>
  <c r="EL209" i="63" s="1"/>
  <c r="EL210" i="63" s="1"/>
  <c r="EL211" i="63" s="1"/>
  <c r="EL212" i="63" s="1"/>
  <c r="EL213" i="63" s="1"/>
  <c r="EL214" i="63" s="1"/>
  <c r="EL215" i="63" s="1"/>
  <c r="EL216" i="63" s="1"/>
  <c r="EL217" i="63" s="1"/>
  <c r="EL218" i="63" s="1"/>
  <c r="EL219" i="63" s="1"/>
  <c r="EL220" i="63" s="1"/>
  <c r="EL221" i="63" s="1"/>
  <c r="EL222" i="63" s="1"/>
  <c r="EL223" i="63" s="1"/>
  <c r="EL224" i="63" s="1"/>
  <c r="EL225" i="63" s="1"/>
  <c r="EL226" i="63" s="1"/>
  <c r="EL227" i="63" s="1"/>
  <c r="EL228" i="63" s="1"/>
  <c r="EL229" i="63" s="1"/>
  <c r="EL230" i="63" s="1"/>
  <c r="EL231" i="63" s="1"/>
  <c r="EL232" i="63" s="1"/>
  <c r="EL233" i="63" s="1"/>
  <c r="EL234" i="63" s="1"/>
  <c r="EL235" i="63" s="1"/>
  <c r="EL236" i="63" s="1"/>
  <c r="EL237" i="63" s="1"/>
  <c r="EL238" i="63" s="1"/>
  <c r="EL239" i="63" s="1"/>
  <c r="EL240" i="63" s="1"/>
  <c r="EL241" i="63" s="1"/>
  <c r="EL242" i="63" s="1"/>
  <c r="EL243" i="63" s="1"/>
  <c r="EL244" i="63" s="1"/>
  <c r="EL245" i="63" s="1"/>
  <c r="EL246" i="63" s="1"/>
  <c r="EL247" i="63" s="1"/>
  <c r="EL248" i="63" s="1"/>
  <c r="EL249" i="63" s="1"/>
  <c r="EL250" i="63" s="1"/>
  <c r="EL251" i="63" s="1"/>
  <c r="EL252" i="63" s="1"/>
  <c r="EL253" i="63" s="1"/>
  <c r="EL254" i="63" s="1"/>
  <c r="EL255" i="63" s="1"/>
  <c r="EL256" i="63" s="1"/>
  <c r="EL257" i="63" s="1"/>
  <c r="EL258" i="63" s="1"/>
  <c r="EL259" i="63" s="1"/>
  <c r="EL260" i="63" s="1"/>
  <c r="EL261" i="63" s="1"/>
  <c r="EL262" i="63" s="1"/>
  <c r="EL263" i="63" s="1"/>
  <c r="EL264" i="63" s="1"/>
  <c r="EL265" i="63" s="1"/>
  <c r="EL266" i="63" s="1"/>
  <c r="EL267" i="63" s="1"/>
  <c r="EL268" i="63" s="1"/>
  <c r="EL269" i="63" s="1"/>
  <c r="EL270" i="63" s="1"/>
  <c r="EL271" i="63" s="1"/>
  <c r="EL272" i="63" s="1"/>
  <c r="EL273" i="63" s="1"/>
  <c r="EL274" i="63" s="1"/>
  <c r="EL275" i="63" s="1"/>
  <c r="EL276" i="63" s="1"/>
  <c r="EL277" i="63" s="1"/>
  <c r="EL278" i="63" s="1"/>
  <c r="EL279" i="63" s="1"/>
  <c r="EL280" i="63" s="1"/>
  <c r="EL281" i="63" s="1"/>
  <c r="EL282" i="63" s="1"/>
  <c r="EL283" i="63" s="1"/>
  <c r="EL284" i="63" s="1"/>
  <c r="EL285" i="63" s="1"/>
  <c r="EL286" i="63" s="1"/>
  <c r="EL287" i="63" s="1"/>
  <c r="EL288" i="63" s="1"/>
  <c r="EL289" i="63" s="1"/>
  <c r="EL290" i="63" s="1"/>
  <c r="EL291" i="63" s="1"/>
  <c r="EL292" i="63" s="1"/>
  <c r="EL293" i="63" s="1"/>
  <c r="EL294" i="63" s="1"/>
  <c r="EL295" i="63" s="1"/>
  <c r="EL296" i="63" s="1"/>
  <c r="EL297" i="63" s="1"/>
  <c r="EL298" i="63" s="1"/>
  <c r="EL299" i="63" s="1"/>
  <c r="EL300" i="63" s="1"/>
  <c r="EL301" i="63" s="1"/>
  <c r="EL302" i="63" s="1"/>
  <c r="EL303" i="63" s="1"/>
  <c r="EL304" i="63" s="1"/>
  <c r="EL305" i="63" s="1"/>
  <c r="EL306" i="63" s="1"/>
  <c r="EL307" i="63" s="1"/>
  <c r="EL308" i="63" s="1"/>
  <c r="EK9" i="63"/>
  <c r="EK10" i="63" s="1"/>
  <c r="EK11" i="63" s="1"/>
  <c r="EK12" i="63" s="1"/>
  <c r="EK13" i="63" s="1"/>
  <c r="EK14" i="63" s="1"/>
  <c r="EK15" i="63" s="1"/>
  <c r="EK16" i="63" s="1"/>
  <c r="EK17" i="63" s="1"/>
  <c r="EK18" i="63" s="1"/>
  <c r="EK19" i="63" s="1"/>
  <c r="EK20" i="63" s="1"/>
  <c r="EK21" i="63" s="1"/>
  <c r="EK22" i="63" s="1"/>
  <c r="EK23" i="63" s="1"/>
  <c r="EK24" i="63" s="1"/>
  <c r="EK25" i="63" s="1"/>
  <c r="EK26" i="63" s="1"/>
  <c r="EK27" i="63" s="1"/>
  <c r="EK28" i="63" s="1"/>
  <c r="EK29" i="63" s="1"/>
  <c r="EK30" i="63" s="1"/>
  <c r="EK31" i="63" s="1"/>
  <c r="EK32" i="63" s="1"/>
  <c r="EK33" i="63" s="1"/>
  <c r="EK34" i="63" s="1"/>
  <c r="EK35" i="63" s="1"/>
  <c r="EK36" i="63" s="1"/>
  <c r="EK37" i="63" s="1"/>
  <c r="EK38" i="63" s="1"/>
  <c r="EK39" i="63" s="1"/>
  <c r="EK40" i="63" s="1"/>
  <c r="EK41" i="63" s="1"/>
  <c r="EK42" i="63" s="1"/>
  <c r="EK43" i="63" s="1"/>
  <c r="EK44" i="63" s="1"/>
  <c r="EK45" i="63" s="1"/>
  <c r="EK46" i="63" s="1"/>
  <c r="EK47" i="63" s="1"/>
  <c r="EK48" i="63" s="1"/>
  <c r="EK49" i="63" s="1"/>
  <c r="EK50" i="63" s="1"/>
  <c r="EK51" i="63" s="1"/>
  <c r="EK52" i="63" s="1"/>
  <c r="EK53" i="63" s="1"/>
  <c r="EK54" i="63" s="1"/>
  <c r="EK55" i="63" s="1"/>
  <c r="EK56" i="63" s="1"/>
  <c r="EK57" i="63" s="1"/>
  <c r="EK58" i="63" s="1"/>
  <c r="EK59" i="63" s="1"/>
  <c r="EK60" i="63" s="1"/>
  <c r="EK61" i="63" s="1"/>
  <c r="EK62" i="63" s="1"/>
  <c r="EK63" i="63" s="1"/>
  <c r="EK64" i="63" s="1"/>
  <c r="EK65" i="63" s="1"/>
  <c r="EK66" i="63" s="1"/>
  <c r="EK67" i="63" s="1"/>
  <c r="EK68" i="63" s="1"/>
  <c r="EK69" i="63" s="1"/>
  <c r="EK70" i="63" s="1"/>
  <c r="EK71" i="63" s="1"/>
  <c r="EK72" i="63" s="1"/>
  <c r="EK73" i="63" s="1"/>
  <c r="EK74" i="63" s="1"/>
  <c r="EK75" i="63" s="1"/>
  <c r="EK76" i="63" s="1"/>
  <c r="EK77" i="63" s="1"/>
  <c r="EK78" i="63" s="1"/>
  <c r="EK79" i="63" s="1"/>
  <c r="EK80" i="63" s="1"/>
  <c r="EK81" i="63" s="1"/>
  <c r="EK82" i="63" s="1"/>
  <c r="EK83" i="63" s="1"/>
  <c r="EK84" i="63" s="1"/>
  <c r="EK85" i="63" s="1"/>
  <c r="EK86" i="63" s="1"/>
  <c r="EK87" i="63" s="1"/>
  <c r="EK88" i="63" s="1"/>
  <c r="EK89" i="63" s="1"/>
  <c r="EK90" i="63" s="1"/>
  <c r="EK91" i="63" s="1"/>
  <c r="EK92" i="63" s="1"/>
  <c r="EK93" i="63" s="1"/>
  <c r="EK94" i="63" s="1"/>
  <c r="EK95" i="63" s="1"/>
  <c r="EK96" i="63" s="1"/>
  <c r="EK97" i="63" s="1"/>
  <c r="EK98" i="63" s="1"/>
  <c r="EK99" i="63" s="1"/>
  <c r="EK100" i="63" s="1"/>
  <c r="EK101" i="63" s="1"/>
  <c r="EK102" i="63" s="1"/>
  <c r="EK103" i="63" s="1"/>
  <c r="EK104" i="63" s="1"/>
  <c r="EK105" i="63" s="1"/>
  <c r="EK106" i="63" s="1"/>
  <c r="EK107" i="63" s="1"/>
  <c r="EK108" i="63" s="1"/>
  <c r="EK109" i="63" s="1"/>
  <c r="EK110" i="63" s="1"/>
  <c r="EK111" i="63" s="1"/>
  <c r="EK112" i="63" s="1"/>
  <c r="EK113" i="63" s="1"/>
  <c r="EK114" i="63" s="1"/>
  <c r="EK115" i="63" s="1"/>
  <c r="EK116" i="63" s="1"/>
  <c r="EK117" i="63" s="1"/>
  <c r="EK118" i="63" s="1"/>
  <c r="EK119" i="63" s="1"/>
  <c r="EK120" i="63" s="1"/>
  <c r="EK121" i="63" s="1"/>
  <c r="EK122" i="63" s="1"/>
  <c r="EK123" i="63" s="1"/>
  <c r="EK124" i="63" s="1"/>
  <c r="EK125" i="63" s="1"/>
  <c r="EK126" i="63" s="1"/>
  <c r="EK127" i="63" s="1"/>
  <c r="EK128" i="63" s="1"/>
  <c r="EK129" i="63" s="1"/>
  <c r="EK130" i="63" s="1"/>
  <c r="EK131" i="63" s="1"/>
  <c r="EK132" i="63" s="1"/>
  <c r="EK133" i="63" s="1"/>
  <c r="EK134" i="63" s="1"/>
  <c r="EK135" i="63" s="1"/>
  <c r="EK136" i="63" s="1"/>
  <c r="EK137" i="63" s="1"/>
  <c r="EK138" i="63" s="1"/>
  <c r="EK139" i="63" s="1"/>
  <c r="EK140" i="63" s="1"/>
  <c r="EK141" i="63" s="1"/>
  <c r="EK142" i="63" s="1"/>
  <c r="EK143" i="63" s="1"/>
  <c r="EK144" i="63" s="1"/>
  <c r="EK145" i="63" s="1"/>
  <c r="EK146" i="63" s="1"/>
  <c r="EK147" i="63" s="1"/>
  <c r="EK148" i="63" s="1"/>
  <c r="EK149" i="63" s="1"/>
  <c r="EK150" i="63" s="1"/>
  <c r="EK151" i="63" s="1"/>
  <c r="EK152" i="63" s="1"/>
  <c r="EK153" i="63" s="1"/>
  <c r="EK154" i="63" s="1"/>
  <c r="EK155" i="63" s="1"/>
  <c r="EK156" i="63" s="1"/>
  <c r="EK157" i="63" s="1"/>
  <c r="EK158" i="63" s="1"/>
  <c r="EK159" i="63" s="1"/>
  <c r="EK160" i="63" s="1"/>
  <c r="EK161" i="63" s="1"/>
  <c r="EK162" i="63" s="1"/>
  <c r="EK163" i="63" s="1"/>
  <c r="EK164" i="63" s="1"/>
  <c r="EK165" i="63" s="1"/>
  <c r="EK166" i="63" s="1"/>
  <c r="EK167" i="63" s="1"/>
  <c r="EK168" i="63" s="1"/>
  <c r="EK169" i="63" s="1"/>
  <c r="EK170" i="63" s="1"/>
  <c r="EK171" i="63" s="1"/>
  <c r="EK172" i="63" s="1"/>
  <c r="EK173" i="63" s="1"/>
  <c r="EK174" i="63" s="1"/>
  <c r="EK175" i="63" s="1"/>
  <c r="EK176" i="63" s="1"/>
  <c r="EK177" i="63" s="1"/>
  <c r="EK178" i="63" s="1"/>
  <c r="EK179" i="63" s="1"/>
  <c r="EK180" i="63" s="1"/>
  <c r="EK181" i="63" s="1"/>
  <c r="EK182" i="63" s="1"/>
  <c r="EK183" i="63" s="1"/>
  <c r="EK184" i="63" s="1"/>
  <c r="EK185" i="63" s="1"/>
  <c r="EK186" i="63" s="1"/>
  <c r="EK187" i="63" s="1"/>
  <c r="EK188" i="63" s="1"/>
  <c r="EK189" i="63" s="1"/>
  <c r="EK190" i="63" s="1"/>
  <c r="EK191" i="63" s="1"/>
  <c r="EK192" i="63" s="1"/>
  <c r="EK193" i="63" s="1"/>
  <c r="EK194" i="63" s="1"/>
  <c r="EK195" i="63" s="1"/>
  <c r="EK196" i="63" s="1"/>
  <c r="EK197" i="63" s="1"/>
  <c r="EK198" i="63" s="1"/>
  <c r="EK199" i="63" s="1"/>
  <c r="EK200" i="63" s="1"/>
  <c r="EK201" i="63" s="1"/>
  <c r="EK202" i="63" s="1"/>
  <c r="EK203" i="63" s="1"/>
  <c r="EK204" i="63" s="1"/>
  <c r="EK205" i="63" s="1"/>
  <c r="EK206" i="63" s="1"/>
  <c r="EK207" i="63" s="1"/>
  <c r="EK208" i="63" s="1"/>
  <c r="EK209" i="63" s="1"/>
  <c r="EK210" i="63" s="1"/>
  <c r="EK211" i="63" s="1"/>
  <c r="EK212" i="63" s="1"/>
  <c r="EK213" i="63" s="1"/>
  <c r="EK214" i="63" s="1"/>
  <c r="EK215" i="63" s="1"/>
  <c r="EK216" i="63" s="1"/>
  <c r="EK217" i="63" s="1"/>
  <c r="EK218" i="63" s="1"/>
  <c r="EK219" i="63" s="1"/>
  <c r="EK220" i="63" s="1"/>
  <c r="EK221" i="63" s="1"/>
  <c r="EK222" i="63" s="1"/>
  <c r="EK223" i="63" s="1"/>
  <c r="EK224" i="63" s="1"/>
  <c r="EK225" i="63" s="1"/>
  <c r="EK226" i="63" s="1"/>
  <c r="EK227" i="63" s="1"/>
  <c r="EK228" i="63" s="1"/>
  <c r="EK229" i="63" s="1"/>
  <c r="EK230" i="63" s="1"/>
  <c r="EK231" i="63" s="1"/>
  <c r="EK232" i="63" s="1"/>
  <c r="EK233" i="63" s="1"/>
  <c r="EK234" i="63" s="1"/>
  <c r="EK235" i="63" s="1"/>
  <c r="EK236" i="63" s="1"/>
  <c r="EK237" i="63" s="1"/>
  <c r="EK238" i="63" s="1"/>
  <c r="EK239" i="63" s="1"/>
  <c r="EK240" i="63" s="1"/>
  <c r="EK241" i="63" s="1"/>
  <c r="EK242" i="63" s="1"/>
  <c r="EK243" i="63" s="1"/>
  <c r="EK244" i="63" s="1"/>
  <c r="EK245" i="63" s="1"/>
  <c r="EK246" i="63" s="1"/>
  <c r="EK247" i="63" s="1"/>
  <c r="EK248" i="63" s="1"/>
  <c r="EK249" i="63" s="1"/>
  <c r="EK250" i="63" s="1"/>
  <c r="EK251" i="63" s="1"/>
  <c r="EK252" i="63" s="1"/>
  <c r="EK253" i="63" s="1"/>
  <c r="EK254" i="63" s="1"/>
  <c r="EK255" i="63" s="1"/>
  <c r="EK256" i="63" s="1"/>
  <c r="EK257" i="63" s="1"/>
  <c r="EK258" i="63" s="1"/>
  <c r="EK259" i="63" s="1"/>
  <c r="EK260" i="63" s="1"/>
  <c r="EK261" i="63" s="1"/>
  <c r="EK262" i="63" s="1"/>
  <c r="EK263" i="63" s="1"/>
  <c r="EK264" i="63" s="1"/>
  <c r="EK265" i="63" s="1"/>
  <c r="EK266" i="63" s="1"/>
  <c r="EK267" i="63" s="1"/>
  <c r="EK268" i="63" s="1"/>
  <c r="EK269" i="63" s="1"/>
  <c r="EK270" i="63" s="1"/>
  <c r="EK271" i="63" s="1"/>
  <c r="EK272" i="63" s="1"/>
  <c r="EK273" i="63" s="1"/>
  <c r="EK274" i="63" s="1"/>
  <c r="EK275" i="63" s="1"/>
  <c r="EK276" i="63" s="1"/>
  <c r="EK277" i="63" s="1"/>
  <c r="EK278" i="63" s="1"/>
  <c r="EK279" i="63" s="1"/>
  <c r="EK280" i="63" s="1"/>
  <c r="EK281" i="63" s="1"/>
  <c r="EK282" i="63" s="1"/>
  <c r="EK283" i="63" s="1"/>
  <c r="EK284" i="63" s="1"/>
  <c r="EK285" i="63" s="1"/>
  <c r="EK286" i="63" s="1"/>
  <c r="EK287" i="63" s="1"/>
  <c r="EK288" i="63" s="1"/>
  <c r="EK289" i="63" s="1"/>
  <c r="EK290" i="63" s="1"/>
  <c r="EK291" i="63" s="1"/>
  <c r="EK292" i="63" s="1"/>
  <c r="EK293" i="63" s="1"/>
  <c r="EK294" i="63" s="1"/>
  <c r="EK295" i="63" s="1"/>
  <c r="EK296" i="63" s="1"/>
  <c r="EK297" i="63" s="1"/>
  <c r="EK298" i="63" s="1"/>
  <c r="EK299" i="63" s="1"/>
  <c r="EK300" i="63" s="1"/>
  <c r="EK301" i="63" s="1"/>
  <c r="EK302" i="63" s="1"/>
  <c r="EK303" i="63" s="1"/>
  <c r="EK304" i="63" s="1"/>
  <c r="EK305" i="63" s="1"/>
  <c r="EK306" i="63" s="1"/>
  <c r="EK307" i="63" s="1"/>
  <c r="EK308" i="63" s="1"/>
  <c r="EF9" i="63"/>
  <c r="EF10" i="63" s="1"/>
  <c r="EF11" i="63" s="1"/>
  <c r="EF12" i="63" s="1"/>
  <c r="EF13" i="63" s="1"/>
  <c r="EF14" i="63" s="1"/>
  <c r="EF15" i="63" s="1"/>
  <c r="EF16" i="63" s="1"/>
  <c r="EF17" i="63" s="1"/>
  <c r="EF18" i="63" s="1"/>
  <c r="EF19" i="63" s="1"/>
  <c r="EF20" i="63" s="1"/>
  <c r="EF21" i="63" s="1"/>
  <c r="EF22" i="63" s="1"/>
  <c r="EF23" i="63" s="1"/>
  <c r="EF24" i="63" s="1"/>
  <c r="EF25" i="63" s="1"/>
  <c r="EF26" i="63" s="1"/>
  <c r="EF27" i="63" s="1"/>
  <c r="EF28" i="63" s="1"/>
  <c r="EF29" i="63" s="1"/>
  <c r="EF30" i="63" s="1"/>
  <c r="EF31" i="63" s="1"/>
  <c r="EF32" i="63" s="1"/>
  <c r="EF33" i="63" s="1"/>
  <c r="EF34" i="63" s="1"/>
  <c r="EF35" i="63" s="1"/>
  <c r="EF36" i="63" s="1"/>
  <c r="EF37" i="63" s="1"/>
  <c r="EF38" i="63" s="1"/>
  <c r="EF39" i="63" s="1"/>
  <c r="EF40" i="63" s="1"/>
  <c r="EF41" i="63" s="1"/>
  <c r="EF42" i="63" s="1"/>
  <c r="EF43" i="63" s="1"/>
  <c r="EF44" i="63" s="1"/>
  <c r="EF45" i="63" s="1"/>
  <c r="EF46" i="63" s="1"/>
  <c r="EF47" i="63" s="1"/>
  <c r="EF48" i="63" s="1"/>
  <c r="EF49" i="63" s="1"/>
  <c r="EF50" i="63" s="1"/>
  <c r="EF51" i="63" s="1"/>
  <c r="EF52" i="63" s="1"/>
  <c r="EF53" i="63" s="1"/>
  <c r="EF54" i="63" s="1"/>
  <c r="EF55" i="63" s="1"/>
  <c r="EF56" i="63" s="1"/>
  <c r="EF57" i="63" s="1"/>
  <c r="EF58" i="63" s="1"/>
  <c r="EF59" i="63" s="1"/>
  <c r="EF60" i="63" s="1"/>
  <c r="EF61" i="63" s="1"/>
  <c r="EF62" i="63" s="1"/>
  <c r="EF63" i="63" s="1"/>
  <c r="EF64" i="63" s="1"/>
  <c r="EF65" i="63" s="1"/>
  <c r="EF66" i="63" s="1"/>
  <c r="EF67" i="63" s="1"/>
  <c r="EF68" i="63" s="1"/>
  <c r="EF69" i="63" s="1"/>
  <c r="EF70" i="63" s="1"/>
  <c r="EF71" i="63" s="1"/>
  <c r="EF72" i="63" s="1"/>
  <c r="EF73" i="63" s="1"/>
  <c r="EF74" i="63" s="1"/>
  <c r="EF75" i="63" s="1"/>
  <c r="EF76" i="63" s="1"/>
  <c r="EF77" i="63" s="1"/>
  <c r="EF78" i="63" s="1"/>
  <c r="EF79" i="63" s="1"/>
  <c r="EF80" i="63" s="1"/>
  <c r="EF81" i="63" s="1"/>
  <c r="EF82" i="63" s="1"/>
  <c r="EF83" i="63" s="1"/>
  <c r="EF84" i="63" s="1"/>
  <c r="EF85" i="63" s="1"/>
  <c r="EF86" i="63" s="1"/>
  <c r="EF87" i="63" s="1"/>
  <c r="EF88" i="63" s="1"/>
  <c r="EF89" i="63" s="1"/>
  <c r="EF90" i="63" s="1"/>
  <c r="EF91" i="63" s="1"/>
  <c r="EF92" i="63" s="1"/>
  <c r="EF93" i="63" s="1"/>
  <c r="EF94" i="63" s="1"/>
  <c r="EF95" i="63" s="1"/>
  <c r="EF96" i="63" s="1"/>
  <c r="EF97" i="63" s="1"/>
  <c r="EF98" i="63" s="1"/>
  <c r="EF99" i="63" s="1"/>
  <c r="EF100" i="63" s="1"/>
  <c r="EF101" i="63" s="1"/>
  <c r="EF102" i="63" s="1"/>
  <c r="EF103" i="63" s="1"/>
  <c r="EF104" i="63" s="1"/>
  <c r="EF105" i="63" s="1"/>
  <c r="EF106" i="63" s="1"/>
  <c r="EF107" i="63" s="1"/>
  <c r="EF108" i="63" s="1"/>
  <c r="EF109" i="63" s="1"/>
  <c r="EF110" i="63" s="1"/>
  <c r="EF111" i="63" s="1"/>
  <c r="EF112" i="63" s="1"/>
  <c r="EF113" i="63" s="1"/>
  <c r="EF114" i="63" s="1"/>
  <c r="EF115" i="63" s="1"/>
  <c r="EF116" i="63" s="1"/>
  <c r="EF117" i="63" s="1"/>
  <c r="EF118" i="63" s="1"/>
  <c r="EF119" i="63" s="1"/>
  <c r="EF120" i="63" s="1"/>
  <c r="EF121" i="63" s="1"/>
  <c r="EF122" i="63" s="1"/>
  <c r="EF123" i="63" s="1"/>
  <c r="EF124" i="63" s="1"/>
  <c r="EF125" i="63" s="1"/>
  <c r="EF126" i="63" s="1"/>
  <c r="EF127" i="63" s="1"/>
  <c r="EF128" i="63" s="1"/>
  <c r="EF129" i="63" s="1"/>
  <c r="EF130" i="63" s="1"/>
  <c r="EF131" i="63" s="1"/>
  <c r="EF132" i="63" s="1"/>
  <c r="EF133" i="63" s="1"/>
  <c r="EF134" i="63" s="1"/>
  <c r="EF135" i="63" s="1"/>
  <c r="EF136" i="63" s="1"/>
  <c r="EF137" i="63" s="1"/>
  <c r="EF138" i="63" s="1"/>
  <c r="EF139" i="63" s="1"/>
  <c r="EF140" i="63" s="1"/>
  <c r="EF141" i="63" s="1"/>
  <c r="EF142" i="63" s="1"/>
  <c r="EF143" i="63" s="1"/>
  <c r="EF144" i="63" s="1"/>
  <c r="EF145" i="63" s="1"/>
  <c r="EF146" i="63" s="1"/>
  <c r="EF147" i="63" s="1"/>
  <c r="EF148" i="63" s="1"/>
  <c r="EF149" i="63" s="1"/>
  <c r="EF150" i="63" s="1"/>
  <c r="EF151" i="63" s="1"/>
  <c r="EF152" i="63" s="1"/>
  <c r="EF153" i="63" s="1"/>
  <c r="EF154" i="63" s="1"/>
  <c r="EF155" i="63" s="1"/>
  <c r="EF156" i="63" s="1"/>
  <c r="EF157" i="63" s="1"/>
  <c r="EF158" i="63" s="1"/>
  <c r="EF159" i="63" s="1"/>
  <c r="EF160" i="63" s="1"/>
  <c r="EF161" i="63" s="1"/>
  <c r="EF162" i="63" s="1"/>
  <c r="EF163" i="63" s="1"/>
  <c r="EF164" i="63" s="1"/>
  <c r="EF165" i="63" s="1"/>
  <c r="EF166" i="63" s="1"/>
  <c r="EF167" i="63" s="1"/>
  <c r="EF168" i="63" s="1"/>
  <c r="EF169" i="63" s="1"/>
  <c r="EF170" i="63" s="1"/>
  <c r="EF171" i="63" s="1"/>
  <c r="EF172" i="63" s="1"/>
  <c r="EF173" i="63" s="1"/>
  <c r="EF174" i="63" s="1"/>
  <c r="EF175" i="63" s="1"/>
  <c r="EF176" i="63" s="1"/>
  <c r="EF177" i="63" s="1"/>
  <c r="EF178" i="63" s="1"/>
  <c r="EF179" i="63" s="1"/>
  <c r="EF180" i="63" s="1"/>
  <c r="EF181" i="63" s="1"/>
  <c r="EF182" i="63" s="1"/>
  <c r="EF183" i="63" s="1"/>
  <c r="EF184" i="63" s="1"/>
  <c r="EF185" i="63" s="1"/>
  <c r="EF186" i="63" s="1"/>
  <c r="EF187" i="63" s="1"/>
  <c r="EF188" i="63" s="1"/>
  <c r="EF189" i="63" s="1"/>
  <c r="EF190" i="63" s="1"/>
  <c r="EF191" i="63" s="1"/>
  <c r="EF192" i="63" s="1"/>
  <c r="EF193" i="63" s="1"/>
  <c r="EF194" i="63" s="1"/>
  <c r="EF195" i="63" s="1"/>
  <c r="EF196" i="63" s="1"/>
  <c r="EF197" i="63" s="1"/>
  <c r="EF198" i="63" s="1"/>
  <c r="EF199" i="63" s="1"/>
  <c r="EF200" i="63" s="1"/>
  <c r="EF201" i="63" s="1"/>
  <c r="EF202" i="63" s="1"/>
  <c r="EF203" i="63" s="1"/>
  <c r="EF204" i="63" s="1"/>
  <c r="EF205" i="63" s="1"/>
  <c r="EF206" i="63" s="1"/>
  <c r="EF207" i="63" s="1"/>
  <c r="EF208" i="63" s="1"/>
  <c r="EF209" i="63" s="1"/>
  <c r="EF210" i="63" s="1"/>
  <c r="EF211" i="63" s="1"/>
  <c r="EF212" i="63" s="1"/>
  <c r="EF213" i="63" s="1"/>
  <c r="EF214" i="63" s="1"/>
  <c r="EF215" i="63" s="1"/>
  <c r="EF216" i="63" s="1"/>
  <c r="EF217" i="63" s="1"/>
  <c r="EF218" i="63" s="1"/>
  <c r="EF219" i="63" s="1"/>
  <c r="EF220" i="63" s="1"/>
  <c r="EF221" i="63" s="1"/>
  <c r="EF222" i="63" s="1"/>
  <c r="EF223" i="63" s="1"/>
  <c r="EF224" i="63" s="1"/>
  <c r="EF225" i="63" s="1"/>
  <c r="EF226" i="63" s="1"/>
  <c r="EF227" i="63" s="1"/>
  <c r="EF228" i="63" s="1"/>
  <c r="EF229" i="63" s="1"/>
  <c r="EF230" i="63" s="1"/>
  <c r="EF231" i="63" s="1"/>
  <c r="EF232" i="63" s="1"/>
  <c r="EF233" i="63" s="1"/>
  <c r="EF234" i="63" s="1"/>
  <c r="EF235" i="63" s="1"/>
  <c r="EF236" i="63" s="1"/>
  <c r="EF237" i="63" s="1"/>
  <c r="EF238" i="63" s="1"/>
  <c r="EF239" i="63" s="1"/>
  <c r="EF240" i="63" s="1"/>
  <c r="EF241" i="63" s="1"/>
  <c r="EF242" i="63" s="1"/>
  <c r="EF243" i="63" s="1"/>
  <c r="EF244" i="63" s="1"/>
  <c r="EF245" i="63" s="1"/>
  <c r="EF246" i="63" s="1"/>
  <c r="EF247" i="63" s="1"/>
  <c r="EF248" i="63" s="1"/>
  <c r="EF249" i="63" s="1"/>
  <c r="EF250" i="63" s="1"/>
  <c r="EF251" i="63" s="1"/>
  <c r="EF252" i="63" s="1"/>
  <c r="EF253" i="63" s="1"/>
  <c r="EF254" i="63" s="1"/>
  <c r="EF255" i="63" s="1"/>
  <c r="EF256" i="63" s="1"/>
  <c r="EF257" i="63" s="1"/>
  <c r="EF258" i="63" s="1"/>
  <c r="EF259" i="63" s="1"/>
  <c r="EF260" i="63" s="1"/>
  <c r="EF261" i="63" s="1"/>
  <c r="EF262" i="63" s="1"/>
  <c r="EF263" i="63" s="1"/>
  <c r="EF264" i="63" s="1"/>
  <c r="EF265" i="63" s="1"/>
  <c r="EF266" i="63" s="1"/>
  <c r="EF267" i="63" s="1"/>
  <c r="EF268" i="63" s="1"/>
  <c r="EF269" i="63" s="1"/>
  <c r="EF270" i="63" s="1"/>
  <c r="EF271" i="63" s="1"/>
  <c r="EF272" i="63" s="1"/>
  <c r="EF273" i="63" s="1"/>
  <c r="EF274" i="63" s="1"/>
  <c r="EF275" i="63" s="1"/>
  <c r="EF276" i="63" s="1"/>
  <c r="EF277" i="63" s="1"/>
  <c r="EF278" i="63" s="1"/>
  <c r="EF279" i="63" s="1"/>
  <c r="EF280" i="63" s="1"/>
  <c r="EF281" i="63" s="1"/>
  <c r="EF282" i="63" s="1"/>
  <c r="EF283" i="63" s="1"/>
  <c r="EF284" i="63" s="1"/>
  <c r="EF285" i="63" s="1"/>
  <c r="EF286" i="63" s="1"/>
  <c r="EF287" i="63" s="1"/>
  <c r="EF288" i="63" s="1"/>
  <c r="EF289" i="63" s="1"/>
  <c r="EF290" i="63" s="1"/>
  <c r="EF291" i="63" s="1"/>
  <c r="EF292" i="63" s="1"/>
  <c r="EF293" i="63" s="1"/>
  <c r="EF294" i="63" s="1"/>
  <c r="EF295" i="63" s="1"/>
  <c r="EF296" i="63" s="1"/>
  <c r="EF297" i="63" s="1"/>
  <c r="EF298" i="63" s="1"/>
  <c r="EF299" i="63" s="1"/>
  <c r="EF300" i="63" s="1"/>
  <c r="EF301" i="63" s="1"/>
  <c r="EF302" i="63" s="1"/>
  <c r="EF303" i="63" s="1"/>
  <c r="EF304" i="63" s="1"/>
  <c r="EF305" i="63" s="1"/>
  <c r="EF306" i="63" s="1"/>
  <c r="EF307" i="63" s="1"/>
  <c r="EF308" i="63" s="1"/>
  <c r="EE9" i="63"/>
  <c r="EE10" i="63" s="1"/>
  <c r="EE11" i="63" s="1"/>
  <c r="EE12" i="63" s="1"/>
  <c r="EE13" i="63" s="1"/>
  <c r="EE14" i="63" s="1"/>
  <c r="EE15" i="63" s="1"/>
  <c r="EE16" i="63" s="1"/>
  <c r="EE17" i="63" s="1"/>
  <c r="EE18" i="63" s="1"/>
  <c r="EE19" i="63" s="1"/>
  <c r="EE20" i="63" s="1"/>
  <c r="EE21" i="63" s="1"/>
  <c r="EE22" i="63" s="1"/>
  <c r="EE23" i="63" s="1"/>
  <c r="EE24" i="63" s="1"/>
  <c r="EE25" i="63" s="1"/>
  <c r="EE26" i="63" s="1"/>
  <c r="EE27" i="63" s="1"/>
  <c r="EE28" i="63" s="1"/>
  <c r="EE29" i="63" s="1"/>
  <c r="EE30" i="63" s="1"/>
  <c r="EE31" i="63" s="1"/>
  <c r="EE32" i="63" s="1"/>
  <c r="EE33" i="63" s="1"/>
  <c r="EE34" i="63" s="1"/>
  <c r="EE35" i="63" s="1"/>
  <c r="EE36" i="63" s="1"/>
  <c r="EE37" i="63" s="1"/>
  <c r="EE38" i="63" s="1"/>
  <c r="EE39" i="63" s="1"/>
  <c r="EE40" i="63" s="1"/>
  <c r="EE41" i="63" s="1"/>
  <c r="EE42" i="63" s="1"/>
  <c r="EE43" i="63" s="1"/>
  <c r="EE44" i="63" s="1"/>
  <c r="EE45" i="63" s="1"/>
  <c r="EE46" i="63" s="1"/>
  <c r="EE47" i="63" s="1"/>
  <c r="EE48" i="63" s="1"/>
  <c r="EE49" i="63" s="1"/>
  <c r="EE50" i="63" s="1"/>
  <c r="EE51" i="63" s="1"/>
  <c r="EE52" i="63" s="1"/>
  <c r="EE53" i="63" s="1"/>
  <c r="EE54" i="63" s="1"/>
  <c r="EE55" i="63" s="1"/>
  <c r="EE56" i="63" s="1"/>
  <c r="EE57" i="63" s="1"/>
  <c r="EE58" i="63" s="1"/>
  <c r="EE59" i="63" s="1"/>
  <c r="EE60" i="63" s="1"/>
  <c r="EE61" i="63" s="1"/>
  <c r="EE62" i="63" s="1"/>
  <c r="EE63" i="63" s="1"/>
  <c r="EE64" i="63" s="1"/>
  <c r="EE65" i="63" s="1"/>
  <c r="EE66" i="63" s="1"/>
  <c r="EE67" i="63" s="1"/>
  <c r="EE68" i="63" s="1"/>
  <c r="EE69" i="63" s="1"/>
  <c r="EE70" i="63" s="1"/>
  <c r="EE71" i="63" s="1"/>
  <c r="EE72" i="63" s="1"/>
  <c r="EE73" i="63" s="1"/>
  <c r="EE74" i="63" s="1"/>
  <c r="EE75" i="63" s="1"/>
  <c r="EE76" i="63" s="1"/>
  <c r="EE77" i="63" s="1"/>
  <c r="EE78" i="63" s="1"/>
  <c r="EE79" i="63" s="1"/>
  <c r="EE80" i="63" s="1"/>
  <c r="EE81" i="63" s="1"/>
  <c r="EE82" i="63" s="1"/>
  <c r="EE83" i="63" s="1"/>
  <c r="EE84" i="63" s="1"/>
  <c r="EE85" i="63" s="1"/>
  <c r="EE86" i="63" s="1"/>
  <c r="EE87" i="63" s="1"/>
  <c r="EE88" i="63" s="1"/>
  <c r="EE89" i="63" s="1"/>
  <c r="EE90" i="63" s="1"/>
  <c r="EE91" i="63" s="1"/>
  <c r="EE92" i="63" s="1"/>
  <c r="EE93" i="63" s="1"/>
  <c r="EE94" i="63" s="1"/>
  <c r="EE95" i="63" s="1"/>
  <c r="EE96" i="63" s="1"/>
  <c r="EE97" i="63" s="1"/>
  <c r="EE98" i="63" s="1"/>
  <c r="EE99" i="63" s="1"/>
  <c r="EE100" i="63" s="1"/>
  <c r="EE101" i="63" s="1"/>
  <c r="EE102" i="63" s="1"/>
  <c r="EE103" i="63" s="1"/>
  <c r="EE104" i="63" s="1"/>
  <c r="EE105" i="63" s="1"/>
  <c r="EE106" i="63" s="1"/>
  <c r="EE107" i="63" s="1"/>
  <c r="EE108" i="63" s="1"/>
  <c r="EE109" i="63" s="1"/>
  <c r="EE110" i="63" s="1"/>
  <c r="EE111" i="63" s="1"/>
  <c r="EE112" i="63" s="1"/>
  <c r="EE113" i="63" s="1"/>
  <c r="EE114" i="63" s="1"/>
  <c r="EE115" i="63" s="1"/>
  <c r="EE116" i="63" s="1"/>
  <c r="EE117" i="63" s="1"/>
  <c r="EE118" i="63" s="1"/>
  <c r="EE119" i="63" s="1"/>
  <c r="EE120" i="63" s="1"/>
  <c r="EE121" i="63" s="1"/>
  <c r="EE122" i="63" s="1"/>
  <c r="EE123" i="63" s="1"/>
  <c r="EE124" i="63" s="1"/>
  <c r="EE125" i="63" s="1"/>
  <c r="EE126" i="63" s="1"/>
  <c r="EE127" i="63" s="1"/>
  <c r="EE128" i="63" s="1"/>
  <c r="EE129" i="63" s="1"/>
  <c r="EE130" i="63" s="1"/>
  <c r="EE131" i="63" s="1"/>
  <c r="EE132" i="63" s="1"/>
  <c r="EE133" i="63" s="1"/>
  <c r="EE134" i="63" s="1"/>
  <c r="EE135" i="63" s="1"/>
  <c r="EE136" i="63" s="1"/>
  <c r="EE137" i="63" s="1"/>
  <c r="EE138" i="63" s="1"/>
  <c r="EE139" i="63" s="1"/>
  <c r="EE140" i="63" s="1"/>
  <c r="EE141" i="63" s="1"/>
  <c r="EE142" i="63" s="1"/>
  <c r="EE143" i="63" s="1"/>
  <c r="EE144" i="63" s="1"/>
  <c r="EE145" i="63" s="1"/>
  <c r="EE146" i="63" s="1"/>
  <c r="EE147" i="63" s="1"/>
  <c r="EE148" i="63" s="1"/>
  <c r="EE149" i="63" s="1"/>
  <c r="EE150" i="63" s="1"/>
  <c r="EE151" i="63" s="1"/>
  <c r="EE152" i="63" s="1"/>
  <c r="EE153" i="63" s="1"/>
  <c r="EE154" i="63" s="1"/>
  <c r="EE155" i="63" s="1"/>
  <c r="EE156" i="63" s="1"/>
  <c r="EE157" i="63" s="1"/>
  <c r="EE158" i="63" s="1"/>
  <c r="EE159" i="63" s="1"/>
  <c r="EE160" i="63" s="1"/>
  <c r="EE161" i="63" s="1"/>
  <c r="EE162" i="63" s="1"/>
  <c r="EE163" i="63" s="1"/>
  <c r="EE164" i="63" s="1"/>
  <c r="EE165" i="63" s="1"/>
  <c r="EE166" i="63" s="1"/>
  <c r="EE167" i="63" s="1"/>
  <c r="EE168" i="63" s="1"/>
  <c r="EE169" i="63" s="1"/>
  <c r="EE170" i="63" s="1"/>
  <c r="EE171" i="63" s="1"/>
  <c r="EE172" i="63" s="1"/>
  <c r="EE173" i="63" s="1"/>
  <c r="EE174" i="63" s="1"/>
  <c r="EE175" i="63" s="1"/>
  <c r="EE176" i="63" s="1"/>
  <c r="EE177" i="63" s="1"/>
  <c r="EE178" i="63" s="1"/>
  <c r="EE179" i="63" s="1"/>
  <c r="EE180" i="63" s="1"/>
  <c r="EE181" i="63" s="1"/>
  <c r="EE182" i="63" s="1"/>
  <c r="EE183" i="63" s="1"/>
  <c r="EE184" i="63" s="1"/>
  <c r="EE185" i="63" s="1"/>
  <c r="EE186" i="63" s="1"/>
  <c r="EE187" i="63" s="1"/>
  <c r="EE188" i="63" s="1"/>
  <c r="EE189" i="63" s="1"/>
  <c r="EE190" i="63" s="1"/>
  <c r="EE191" i="63" s="1"/>
  <c r="EE192" i="63" s="1"/>
  <c r="EE193" i="63" s="1"/>
  <c r="EE194" i="63" s="1"/>
  <c r="EE195" i="63" s="1"/>
  <c r="EE196" i="63" s="1"/>
  <c r="EE197" i="63" s="1"/>
  <c r="EE198" i="63" s="1"/>
  <c r="EE199" i="63" s="1"/>
  <c r="EE200" i="63" s="1"/>
  <c r="EE201" i="63" s="1"/>
  <c r="EE202" i="63" s="1"/>
  <c r="EE203" i="63" s="1"/>
  <c r="EE204" i="63" s="1"/>
  <c r="EE205" i="63" s="1"/>
  <c r="EE206" i="63" s="1"/>
  <c r="EE207" i="63" s="1"/>
  <c r="EE208" i="63" s="1"/>
  <c r="EE209" i="63" s="1"/>
  <c r="EE210" i="63" s="1"/>
  <c r="EE211" i="63" s="1"/>
  <c r="EE212" i="63" s="1"/>
  <c r="EE213" i="63" s="1"/>
  <c r="EE214" i="63" s="1"/>
  <c r="EE215" i="63" s="1"/>
  <c r="EE216" i="63" s="1"/>
  <c r="EE217" i="63" s="1"/>
  <c r="EE218" i="63" s="1"/>
  <c r="EE219" i="63" s="1"/>
  <c r="EE220" i="63" s="1"/>
  <c r="EE221" i="63" s="1"/>
  <c r="EE222" i="63" s="1"/>
  <c r="EE223" i="63" s="1"/>
  <c r="EE224" i="63" s="1"/>
  <c r="EE225" i="63" s="1"/>
  <c r="EE226" i="63" s="1"/>
  <c r="EE227" i="63" s="1"/>
  <c r="EE228" i="63" s="1"/>
  <c r="EE229" i="63" s="1"/>
  <c r="EE230" i="63" s="1"/>
  <c r="EE231" i="63" s="1"/>
  <c r="EE232" i="63" s="1"/>
  <c r="EE233" i="63" s="1"/>
  <c r="EE234" i="63" s="1"/>
  <c r="EE235" i="63" s="1"/>
  <c r="EE236" i="63" s="1"/>
  <c r="EE237" i="63" s="1"/>
  <c r="EE238" i="63" s="1"/>
  <c r="EE239" i="63" s="1"/>
  <c r="EE240" i="63" s="1"/>
  <c r="EE241" i="63" s="1"/>
  <c r="EE242" i="63" s="1"/>
  <c r="EE243" i="63" s="1"/>
  <c r="EE244" i="63" s="1"/>
  <c r="EE245" i="63" s="1"/>
  <c r="EE246" i="63" s="1"/>
  <c r="EE247" i="63" s="1"/>
  <c r="EE248" i="63" s="1"/>
  <c r="EE249" i="63" s="1"/>
  <c r="EE250" i="63" s="1"/>
  <c r="EE251" i="63" s="1"/>
  <c r="EE252" i="63" s="1"/>
  <c r="EE253" i="63" s="1"/>
  <c r="EE254" i="63" s="1"/>
  <c r="EE255" i="63" s="1"/>
  <c r="EE256" i="63" s="1"/>
  <c r="EE257" i="63" s="1"/>
  <c r="EE258" i="63" s="1"/>
  <c r="EE259" i="63" s="1"/>
  <c r="EE260" i="63" s="1"/>
  <c r="EE261" i="63" s="1"/>
  <c r="EE262" i="63" s="1"/>
  <c r="EE263" i="63" s="1"/>
  <c r="EE264" i="63" s="1"/>
  <c r="EE265" i="63" s="1"/>
  <c r="EE266" i="63" s="1"/>
  <c r="EE267" i="63" s="1"/>
  <c r="EE268" i="63" s="1"/>
  <c r="EE269" i="63" s="1"/>
  <c r="EE270" i="63" s="1"/>
  <c r="EE271" i="63" s="1"/>
  <c r="EE272" i="63" s="1"/>
  <c r="EE273" i="63" s="1"/>
  <c r="EE274" i="63" s="1"/>
  <c r="EE275" i="63" s="1"/>
  <c r="EE276" i="63" s="1"/>
  <c r="EE277" i="63" s="1"/>
  <c r="EE278" i="63" s="1"/>
  <c r="EE279" i="63" s="1"/>
  <c r="EE280" i="63" s="1"/>
  <c r="EE281" i="63" s="1"/>
  <c r="EE282" i="63" s="1"/>
  <c r="EE283" i="63" s="1"/>
  <c r="EE284" i="63" s="1"/>
  <c r="EE285" i="63" s="1"/>
  <c r="EE286" i="63" s="1"/>
  <c r="EE287" i="63" s="1"/>
  <c r="EE288" i="63" s="1"/>
  <c r="EE289" i="63" s="1"/>
  <c r="EE290" i="63" s="1"/>
  <c r="EE291" i="63" s="1"/>
  <c r="EE292" i="63" s="1"/>
  <c r="EE293" i="63" s="1"/>
  <c r="EE294" i="63" s="1"/>
  <c r="EE295" i="63" s="1"/>
  <c r="EE296" i="63" s="1"/>
  <c r="EE297" i="63" s="1"/>
  <c r="EE298" i="63" s="1"/>
  <c r="EE299" i="63" s="1"/>
  <c r="EE300" i="63" s="1"/>
  <c r="EE301" i="63" s="1"/>
  <c r="EE302" i="63" s="1"/>
  <c r="EE303" i="63" s="1"/>
  <c r="EE304" i="63" s="1"/>
  <c r="EE305" i="63" s="1"/>
  <c r="EE306" i="63" s="1"/>
  <c r="EE307" i="63" s="1"/>
  <c r="EE308" i="63" s="1"/>
  <c r="ED9" i="63"/>
  <c r="ED10" i="63" s="1"/>
  <c r="ED11" i="63" s="1"/>
  <c r="ED12" i="63" s="1"/>
  <c r="ED13" i="63" s="1"/>
  <c r="ED14" i="63" s="1"/>
  <c r="ED15" i="63" s="1"/>
  <c r="ED16" i="63" s="1"/>
  <c r="ED17" i="63" s="1"/>
  <c r="ED18" i="63" s="1"/>
  <c r="ED19" i="63" s="1"/>
  <c r="ED20" i="63" s="1"/>
  <c r="ED21" i="63" s="1"/>
  <c r="ED22" i="63" s="1"/>
  <c r="ED23" i="63" s="1"/>
  <c r="ED24" i="63" s="1"/>
  <c r="ED25" i="63" s="1"/>
  <c r="ED26" i="63" s="1"/>
  <c r="ED27" i="63" s="1"/>
  <c r="ED28" i="63" s="1"/>
  <c r="ED29" i="63" s="1"/>
  <c r="ED30" i="63" s="1"/>
  <c r="ED31" i="63" s="1"/>
  <c r="ED32" i="63" s="1"/>
  <c r="ED33" i="63" s="1"/>
  <c r="ED34" i="63" s="1"/>
  <c r="ED35" i="63" s="1"/>
  <c r="ED36" i="63" s="1"/>
  <c r="ED37" i="63" s="1"/>
  <c r="ED38" i="63" s="1"/>
  <c r="ED39" i="63" s="1"/>
  <c r="ED40" i="63" s="1"/>
  <c r="ED41" i="63" s="1"/>
  <c r="ED42" i="63" s="1"/>
  <c r="ED43" i="63" s="1"/>
  <c r="ED44" i="63" s="1"/>
  <c r="ED45" i="63" s="1"/>
  <c r="ED46" i="63" s="1"/>
  <c r="ED47" i="63" s="1"/>
  <c r="ED48" i="63" s="1"/>
  <c r="ED49" i="63" s="1"/>
  <c r="ED50" i="63" s="1"/>
  <c r="ED51" i="63" s="1"/>
  <c r="ED52" i="63" s="1"/>
  <c r="ED53" i="63" s="1"/>
  <c r="ED54" i="63" s="1"/>
  <c r="ED55" i="63" s="1"/>
  <c r="ED56" i="63" s="1"/>
  <c r="ED57" i="63" s="1"/>
  <c r="ED58" i="63" s="1"/>
  <c r="ED59" i="63" s="1"/>
  <c r="ED60" i="63" s="1"/>
  <c r="ED61" i="63" s="1"/>
  <c r="ED62" i="63" s="1"/>
  <c r="ED63" i="63" s="1"/>
  <c r="ED64" i="63" s="1"/>
  <c r="ED65" i="63" s="1"/>
  <c r="ED66" i="63" s="1"/>
  <c r="ED67" i="63" s="1"/>
  <c r="ED68" i="63" s="1"/>
  <c r="ED69" i="63" s="1"/>
  <c r="ED70" i="63" s="1"/>
  <c r="ED71" i="63" s="1"/>
  <c r="ED72" i="63" s="1"/>
  <c r="ED73" i="63" s="1"/>
  <c r="ED74" i="63" s="1"/>
  <c r="ED75" i="63" s="1"/>
  <c r="ED76" i="63" s="1"/>
  <c r="ED77" i="63" s="1"/>
  <c r="ED78" i="63" s="1"/>
  <c r="ED79" i="63" s="1"/>
  <c r="ED80" i="63" s="1"/>
  <c r="ED81" i="63" s="1"/>
  <c r="ED82" i="63" s="1"/>
  <c r="ED83" i="63" s="1"/>
  <c r="ED84" i="63" s="1"/>
  <c r="ED85" i="63" s="1"/>
  <c r="ED86" i="63" s="1"/>
  <c r="ED87" i="63" s="1"/>
  <c r="ED88" i="63" s="1"/>
  <c r="ED89" i="63" s="1"/>
  <c r="ED90" i="63" s="1"/>
  <c r="ED91" i="63" s="1"/>
  <c r="ED92" i="63" s="1"/>
  <c r="ED93" i="63" s="1"/>
  <c r="ED94" i="63" s="1"/>
  <c r="ED95" i="63" s="1"/>
  <c r="ED96" i="63" s="1"/>
  <c r="ED97" i="63" s="1"/>
  <c r="ED98" i="63" s="1"/>
  <c r="ED99" i="63" s="1"/>
  <c r="ED100" i="63" s="1"/>
  <c r="ED101" i="63" s="1"/>
  <c r="ED102" i="63" s="1"/>
  <c r="ED103" i="63" s="1"/>
  <c r="ED104" i="63" s="1"/>
  <c r="ED105" i="63" s="1"/>
  <c r="ED106" i="63" s="1"/>
  <c r="ED107" i="63" s="1"/>
  <c r="ED108" i="63" s="1"/>
  <c r="ED109" i="63" s="1"/>
  <c r="ED110" i="63" s="1"/>
  <c r="ED111" i="63" s="1"/>
  <c r="ED112" i="63" s="1"/>
  <c r="ED113" i="63" s="1"/>
  <c r="ED114" i="63" s="1"/>
  <c r="ED115" i="63" s="1"/>
  <c r="ED116" i="63" s="1"/>
  <c r="ED117" i="63" s="1"/>
  <c r="ED118" i="63" s="1"/>
  <c r="ED119" i="63" s="1"/>
  <c r="ED120" i="63" s="1"/>
  <c r="ED121" i="63" s="1"/>
  <c r="ED122" i="63" s="1"/>
  <c r="ED123" i="63" s="1"/>
  <c r="ED124" i="63" s="1"/>
  <c r="ED125" i="63" s="1"/>
  <c r="ED126" i="63" s="1"/>
  <c r="ED127" i="63" s="1"/>
  <c r="ED128" i="63" s="1"/>
  <c r="ED129" i="63" s="1"/>
  <c r="ED130" i="63" s="1"/>
  <c r="ED131" i="63" s="1"/>
  <c r="ED132" i="63" s="1"/>
  <c r="ED133" i="63" s="1"/>
  <c r="ED134" i="63" s="1"/>
  <c r="ED135" i="63" s="1"/>
  <c r="ED136" i="63" s="1"/>
  <c r="ED137" i="63" s="1"/>
  <c r="ED138" i="63" s="1"/>
  <c r="ED139" i="63" s="1"/>
  <c r="ED140" i="63" s="1"/>
  <c r="ED141" i="63" s="1"/>
  <c r="ED142" i="63" s="1"/>
  <c r="ED143" i="63" s="1"/>
  <c r="ED144" i="63" s="1"/>
  <c r="ED145" i="63" s="1"/>
  <c r="ED146" i="63" s="1"/>
  <c r="ED147" i="63" s="1"/>
  <c r="ED148" i="63" s="1"/>
  <c r="ED149" i="63" s="1"/>
  <c r="ED150" i="63" s="1"/>
  <c r="ED151" i="63" s="1"/>
  <c r="ED152" i="63" s="1"/>
  <c r="ED153" i="63" s="1"/>
  <c r="ED154" i="63" s="1"/>
  <c r="ED155" i="63" s="1"/>
  <c r="ED156" i="63" s="1"/>
  <c r="ED157" i="63" s="1"/>
  <c r="ED158" i="63" s="1"/>
  <c r="ED159" i="63" s="1"/>
  <c r="ED160" i="63" s="1"/>
  <c r="ED161" i="63" s="1"/>
  <c r="ED162" i="63" s="1"/>
  <c r="ED163" i="63" s="1"/>
  <c r="ED164" i="63" s="1"/>
  <c r="ED165" i="63" s="1"/>
  <c r="ED166" i="63" s="1"/>
  <c r="ED167" i="63" s="1"/>
  <c r="ED168" i="63" s="1"/>
  <c r="ED169" i="63" s="1"/>
  <c r="ED170" i="63" s="1"/>
  <c r="ED171" i="63" s="1"/>
  <c r="ED172" i="63" s="1"/>
  <c r="ED173" i="63" s="1"/>
  <c r="ED174" i="63" s="1"/>
  <c r="ED175" i="63" s="1"/>
  <c r="ED176" i="63" s="1"/>
  <c r="ED177" i="63" s="1"/>
  <c r="ED178" i="63" s="1"/>
  <c r="ED179" i="63" s="1"/>
  <c r="ED180" i="63" s="1"/>
  <c r="ED181" i="63" s="1"/>
  <c r="ED182" i="63" s="1"/>
  <c r="ED183" i="63" s="1"/>
  <c r="ED184" i="63" s="1"/>
  <c r="ED185" i="63" s="1"/>
  <c r="ED186" i="63" s="1"/>
  <c r="ED187" i="63" s="1"/>
  <c r="ED188" i="63" s="1"/>
  <c r="ED189" i="63" s="1"/>
  <c r="ED190" i="63" s="1"/>
  <c r="ED191" i="63" s="1"/>
  <c r="ED192" i="63" s="1"/>
  <c r="ED193" i="63" s="1"/>
  <c r="ED194" i="63" s="1"/>
  <c r="ED195" i="63" s="1"/>
  <c r="ED196" i="63" s="1"/>
  <c r="ED197" i="63" s="1"/>
  <c r="ED198" i="63" s="1"/>
  <c r="ED199" i="63" s="1"/>
  <c r="ED200" i="63" s="1"/>
  <c r="ED201" i="63" s="1"/>
  <c r="ED202" i="63" s="1"/>
  <c r="ED203" i="63" s="1"/>
  <c r="ED204" i="63" s="1"/>
  <c r="ED205" i="63" s="1"/>
  <c r="ED206" i="63" s="1"/>
  <c r="ED207" i="63" s="1"/>
  <c r="ED208" i="63" s="1"/>
  <c r="ED209" i="63" s="1"/>
  <c r="ED210" i="63" s="1"/>
  <c r="ED211" i="63" s="1"/>
  <c r="ED212" i="63" s="1"/>
  <c r="ED213" i="63" s="1"/>
  <c r="ED214" i="63" s="1"/>
  <c r="ED215" i="63" s="1"/>
  <c r="ED216" i="63" s="1"/>
  <c r="ED217" i="63" s="1"/>
  <c r="ED218" i="63" s="1"/>
  <c r="ED219" i="63" s="1"/>
  <c r="ED220" i="63" s="1"/>
  <c r="ED221" i="63" s="1"/>
  <c r="ED222" i="63" s="1"/>
  <c r="ED223" i="63" s="1"/>
  <c r="ED224" i="63" s="1"/>
  <c r="ED225" i="63" s="1"/>
  <c r="ED226" i="63" s="1"/>
  <c r="ED227" i="63" s="1"/>
  <c r="ED228" i="63" s="1"/>
  <c r="ED229" i="63" s="1"/>
  <c r="ED230" i="63" s="1"/>
  <c r="ED231" i="63" s="1"/>
  <c r="ED232" i="63" s="1"/>
  <c r="ED233" i="63" s="1"/>
  <c r="ED234" i="63" s="1"/>
  <c r="ED235" i="63" s="1"/>
  <c r="ED236" i="63" s="1"/>
  <c r="ED237" i="63" s="1"/>
  <c r="ED238" i="63" s="1"/>
  <c r="ED239" i="63" s="1"/>
  <c r="ED240" i="63" s="1"/>
  <c r="ED241" i="63" s="1"/>
  <c r="ED242" i="63" s="1"/>
  <c r="ED243" i="63" s="1"/>
  <c r="ED244" i="63" s="1"/>
  <c r="ED245" i="63" s="1"/>
  <c r="ED246" i="63" s="1"/>
  <c r="ED247" i="63" s="1"/>
  <c r="ED248" i="63" s="1"/>
  <c r="ED249" i="63" s="1"/>
  <c r="ED250" i="63" s="1"/>
  <c r="ED251" i="63" s="1"/>
  <c r="ED252" i="63" s="1"/>
  <c r="ED253" i="63" s="1"/>
  <c r="ED254" i="63" s="1"/>
  <c r="ED255" i="63" s="1"/>
  <c r="ED256" i="63" s="1"/>
  <c r="ED257" i="63" s="1"/>
  <c r="ED258" i="63" s="1"/>
  <c r="ED259" i="63" s="1"/>
  <c r="ED260" i="63" s="1"/>
  <c r="ED261" i="63" s="1"/>
  <c r="ED262" i="63" s="1"/>
  <c r="ED263" i="63" s="1"/>
  <c r="ED264" i="63" s="1"/>
  <c r="ED265" i="63" s="1"/>
  <c r="ED266" i="63" s="1"/>
  <c r="ED267" i="63" s="1"/>
  <c r="ED268" i="63" s="1"/>
  <c r="ED269" i="63" s="1"/>
  <c r="ED270" i="63" s="1"/>
  <c r="ED271" i="63" s="1"/>
  <c r="ED272" i="63" s="1"/>
  <c r="ED273" i="63" s="1"/>
  <c r="ED274" i="63" s="1"/>
  <c r="ED275" i="63" s="1"/>
  <c r="ED276" i="63" s="1"/>
  <c r="ED277" i="63" s="1"/>
  <c r="ED278" i="63" s="1"/>
  <c r="ED279" i="63" s="1"/>
  <c r="ED280" i="63" s="1"/>
  <c r="ED281" i="63" s="1"/>
  <c r="ED282" i="63" s="1"/>
  <c r="ED283" i="63" s="1"/>
  <c r="ED284" i="63" s="1"/>
  <c r="ED285" i="63" s="1"/>
  <c r="ED286" i="63" s="1"/>
  <c r="ED287" i="63" s="1"/>
  <c r="ED288" i="63" s="1"/>
  <c r="ED289" i="63" s="1"/>
  <c r="ED290" i="63" s="1"/>
  <c r="ED291" i="63" s="1"/>
  <c r="ED292" i="63" s="1"/>
  <c r="ED293" i="63" s="1"/>
  <c r="ED294" i="63" s="1"/>
  <c r="ED295" i="63" s="1"/>
  <c r="ED296" i="63" s="1"/>
  <c r="ED297" i="63" s="1"/>
  <c r="ED298" i="63" s="1"/>
  <c r="ED299" i="63" s="1"/>
  <c r="ED300" i="63" s="1"/>
  <c r="ED301" i="63" s="1"/>
  <c r="ED302" i="63" s="1"/>
  <c r="ED303" i="63" s="1"/>
  <c r="ED304" i="63" s="1"/>
  <c r="ED305" i="63" s="1"/>
  <c r="ED306" i="63" s="1"/>
  <c r="ED307" i="63" s="1"/>
  <c r="ED308" i="63" s="1"/>
  <c r="EB9" i="63"/>
  <c r="EB10" i="63" s="1"/>
  <c r="EB11" i="63" s="1"/>
  <c r="EB12" i="63" s="1"/>
  <c r="EB13" i="63" s="1"/>
  <c r="EB14" i="63" s="1"/>
  <c r="EB15" i="63" s="1"/>
  <c r="EB16" i="63" s="1"/>
  <c r="EB17" i="63" s="1"/>
  <c r="EB18" i="63" s="1"/>
  <c r="EB19" i="63" s="1"/>
  <c r="EB20" i="63" s="1"/>
  <c r="EB21" i="63" s="1"/>
  <c r="EB22" i="63" s="1"/>
  <c r="EB23" i="63" s="1"/>
  <c r="EB24" i="63" s="1"/>
  <c r="EB25" i="63" s="1"/>
  <c r="EB26" i="63" s="1"/>
  <c r="EB27" i="63" s="1"/>
  <c r="EB28" i="63" s="1"/>
  <c r="EB29" i="63" s="1"/>
  <c r="EB30" i="63" s="1"/>
  <c r="EB31" i="63" s="1"/>
  <c r="EB32" i="63" s="1"/>
  <c r="EB33" i="63" s="1"/>
  <c r="EB34" i="63" s="1"/>
  <c r="EB35" i="63" s="1"/>
  <c r="EB36" i="63" s="1"/>
  <c r="EB37" i="63" s="1"/>
  <c r="EB38" i="63" s="1"/>
  <c r="EB39" i="63" s="1"/>
  <c r="EB40" i="63" s="1"/>
  <c r="EB41" i="63" s="1"/>
  <c r="EB42" i="63" s="1"/>
  <c r="EB43" i="63" s="1"/>
  <c r="EB44" i="63" s="1"/>
  <c r="EB45" i="63" s="1"/>
  <c r="EB46" i="63" s="1"/>
  <c r="EB47" i="63" s="1"/>
  <c r="EB48" i="63" s="1"/>
  <c r="EB49" i="63" s="1"/>
  <c r="EB50" i="63" s="1"/>
  <c r="EB51" i="63" s="1"/>
  <c r="EB52" i="63" s="1"/>
  <c r="EB53" i="63" s="1"/>
  <c r="EB54" i="63" s="1"/>
  <c r="EB55" i="63" s="1"/>
  <c r="EB56" i="63" s="1"/>
  <c r="EB57" i="63" s="1"/>
  <c r="EB58" i="63" s="1"/>
  <c r="EB59" i="63" s="1"/>
  <c r="EB60" i="63" s="1"/>
  <c r="EB61" i="63" s="1"/>
  <c r="EB62" i="63" s="1"/>
  <c r="EB63" i="63" s="1"/>
  <c r="EB64" i="63" s="1"/>
  <c r="EB65" i="63" s="1"/>
  <c r="EB66" i="63" s="1"/>
  <c r="EB67" i="63" s="1"/>
  <c r="EB68" i="63" s="1"/>
  <c r="EB69" i="63" s="1"/>
  <c r="EB70" i="63" s="1"/>
  <c r="EB71" i="63" s="1"/>
  <c r="EB72" i="63" s="1"/>
  <c r="EB73" i="63" s="1"/>
  <c r="EB74" i="63" s="1"/>
  <c r="EB75" i="63" s="1"/>
  <c r="EB76" i="63" s="1"/>
  <c r="EB77" i="63" s="1"/>
  <c r="EB78" i="63" s="1"/>
  <c r="EB79" i="63" s="1"/>
  <c r="EB80" i="63" s="1"/>
  <c r="EB81" i="63" s="1"/>
  <c r="EB82" i="63" s="1"/>
  <c r="EB83" i="63" s="1"/>
  <c r="EB84" i="63" s="1"/>
  <c r="EB85" i="63" s="1"/>
  <c r="EB86" i="63" s="1"/>
  <c r="EB87" i="63" s="1"/>
  <c r="EB88" i="63" s="1"/>
  <c r="EB89" i="63" s="1"/>
  <c r="EB90" i="63" s="1"/>
  <c r="EB91" i="63" s="1"/>
  <c r="EB92" i="63" s="1"/>
  <c r="EB93" i="63" s="1"/>
  <c r="EB94" i="63" s="1"/>
  <c r="EB95" i="63" s="1"/>
  <c r="EB96" i="63" s="1"/>
  <c r="EB97" i="63" s="1"/>
  <c r="EB98" i="63" s="1"/>
  <c r="EB99" i="63" s="1"/>
  <c r="EB100" i="63" s="1"/>
  <c r="EB101" i="63" s="1"/>
  <c r="EB102" i="63" s="1"/>
  <c r="EB103" i="63" s="1"/>
  <c r="EB104" i="63" s="1"/>
  <c r="EB105" i="63" s="1"/>
  <c r="EB106" i="63" s="1"/>
  <c r="EB107" i="63" s="1"/>
  <c r="EB108" i="63" s="1"/>
  <c r="EB109" i="63" s="1"/>
  <c r="EB110" i="63" s="1"/>
  <c r="EB111" i="63" s="1"/>
  <c r="EB112" i="63" s="1"/>
  <c r="EB113" i="63" s="1"/>
  <c r="EB114" i="63" s="1"/>
  <c r="EB115" i="63" s="1"/>
  <c r="EB116" i="63" s="1"/>
  <c r="EB117" i="63" s="1"/>
  <c r="EB118" i="63" s="1"/>
  <c r="EB119" i="63" s="1"/>
  <c r="EB120" i="63" s="1"/>
  <c r="EB121" i="63" s="1"/>
  <c r="EB122" i="63" s="1"/>
  <c r="EB123" i="63" s="1"/>
  <c r="EB124" i="63" s="1"/>
  <c r="EB125" i="63" s="1"/>
  <c r="EB126" i="63" s="1"/>
  <c r="EB127" i="63" s="1"/>
  <c r="EB128" i="63" s="1"/>
  <c r="EB129" i="63" s="1"/>
  <c r="EB130" i="63" s="1"/>
  <c r="EB131" i="63" s="1"/>
  <c r="EB132" i="63" s="1"/>
  <c r="EB133" i="63" s="1"/>
  <c r="EB134" i="63" s="1"/>
  <c r="EB135" i="63" s="1"/>
  <c r="EB136" i="63" s="1"/>
  <c r="EB137" i="63" s="1"/>
  <c r="EB138" i="63" s="1"/>
  <c r="EB139" i="63" s="1"/>
  <c r="EB140" i="63" s="1"/>
  <c r="EB141" i="63" s="1"/>
  <c r="EB142" i="63" s="1"/>
  <c r="EB143" i="63" s="1"/>
  <c r="EB144" i="63" s="1"/>
  <c r="EB145" i="63" s="1"/>
  <c r="EB146" i="63" s="1"/>
  <c r="EB147" i="63" s="1"/>
  <c r="EB148" i="63" s="1"/>
  <c r="EB149" i="63" s="1"/>
  <c r="EB150" i="63" s="1"/>
  <c r="EB151" i="63" s="1"/>
  <c r="EB152" i="63" s="1"/>
  <c r="EB153" i="63" s="1"/>
  <c r="EB154" i="63" s="1"/>
  <c r="EB155" i="63" s="1"/>
  <c r="EB156" i="63" s="1"/>
  <c r="EB157" i="63" s="1"/>
  <c r="EB158" i="63" s="1"/>
  <c r="EB159" i="63" s="1"/>
  <c r="EB160" i="63" s="1"/>
  <c r="EB161" i="63" s="1"/>
  <c r="EB162" i="63" s="1"/>
  <c r="EB163" i="63" s="1"/>
  <c r="EB164" i="63" s="1"/>
  <c r="EB165" i="63" s="1"/>
  <c r="EB166" i="63" s="1"/>
  <c r="EB167" i="63" s="1"/>
  <c r="EB168" i="63" s="1"/>
  <c r="EB169" i="63" s="1"/>
  <c r="EB170" i="63" s="1"/>
  <c r="EB171" i="63" s="1"/>
  <c r="EB172" i="63" s="1"/>
  <c r="EB173" i="63" s="1"/>
  <c r="EB174" i="63" s="1"/>
  <c r="EB175" i="63" s="1"/>
  <c r="EB176" i="63" s="1"/>
  <c r="EB177" i="63" s="1"/>
  <c r="EB178" i="63" s="1"/>
  <c r="EB179" i="63" s="1"/>
  <c r="EB180" i="63" s="1"/>
  <c r="EB181" i="63" s="1"/>
  <c r="EB182" i="63" s="1"/>
  <c r="EB183" i="63" s="1"/>
  <c r="EB184" i="63" s="1"/>
  <c r="EB185" i="63" s="1"/>
  <c r="EB186" i="63" s="1"/>
  <c r="EB187" i="63" s="1"/>
  <c r="EB188" i="63" s="1"/>
  <c r="EB189" i="63" s="1"/>
  <c r="EB190" i="63" s="1"/>
  <c r="EB191" i="63" s="1"/>
  <c r="EB192" i="63" s="1"/>
  <c r="EB193" i="63" s="1"/>
  <c r="EB194" i="63" s="1"/>
  <c r="EB195" i="63" s="1"/>
  <c r="EB196" i="63" s="1"/>
  <c r="EB197" i="63" s="1"/>
  <c r="EB198" i="63" s="1"/>
  <c r="EB199" i="63" s="1"/>
  <c r="EB200" i="63" s="1"/>
  <c r="EB201" i="63" s="1"/>
  <c r="EB202" i="63" s="1"/>
  <c r="EB203" i="63" s="1"/>
  <c r="EB204" i="63" s="1"/>
  <c r="EB205" i="63" s="1"/>
  <c r="EB206" i="63" s="1"/>
  <c r="EB207" i="63" s="1"/>
  <c r="EB208" i="63" s="1"/>
  <c r="EB209" i="63" s="1"/>
  <c r="EB210" i="63" s="1"/>
  <c r="EB211" i="63" s="1"/>
  <c r="EB212" i="63" s="1"/>
  <c r="EB213" i="63" s="1"/>
  <c r="EB214" i="63" s="1"/>
  <c r="EB215" i="63" s="1"/>
  <c r="EB216" i="63" s="1"/>
  <c r="EB217" i="63" s="1"/>
  <c r="EB218" i="63" s="1"/>
  <c r="EB219" i="63" s="1"/>
  <c r="EB220" i="63" s="1"/>
  <c r="EB221" i="63" s="1"/>
  <c r="EB222" i="63" s="1"/>
  <c r="EB223" i="63" s="1"/>
  <c r="EB224" i="63" s="1"/>
  <c r="EB225" i="63" s="1"/>
  <c r="EB226" i="63" s="1"/>
  <c r="EB227" i="63" s="1"/>
  <c r="EB228" i="63" s="1"/>
  <c r="EB229" i="63" s="1"/>
  <c r="EB230" i="63" s="1"/>
  <c r="EB231" i="63" s="1"/>
  <c r="EB232" i="63" s="1"/>
  <c r="EB233" i="63" s="1"/>
  <c r="EB234" i="63" s="1"/>
  <c r="EB235" i="63" s="1"/>
  <c r="EB236" i="63" s="1"/>
  <c r="EB237" i="63" s="1"/>
  <c r="EB238" i="63" s="1"/>
  <c r="EB239" i="63" s="1"/>
  <c r="EB240" i="63" s="1"/>
  <c r="EB241" i="63" s="1"/>
  <c r="EB242" i="63" s="1"/>
  <c r="EB243" i="63" s="1"/>
  <c r="EB244" i="63" s="1"/>
  <c r="EB245" i="63" s="1"/>
  <c r="EB246" i="63" s="1"/>
  <c r="EB247" i="63" s="1"/>
  <c r="EB248" i="63" s="1"/>
  <c r="EB249" i="63" s="1"/>
  <c r="EB250" i="63" s="1"/>
  <c r="EB251" i="63" s="1"/>
  <c r="EB252" i="63" s="1"/>
  <c r="EB253" i="63" s="1"/>
  <c r="EB254" i="63" s="1"/>
  <c r="EB255" i="63" s="1"/>
  <c r="EB256" i="63" s="1"/>
  <c r="EB257" i="63" s="1"/>
  <c r="EB258" i="63" s="1"/>
  <c r="EB259" i="63" s="1"/>
  <c r="EB260" i="63" s="1"/>
  <c r="EB261" i="63" s="1"/>
  <c r="EB262" i="63" s="1"/>
  <c r="EB263" i="63" s="1"/>
  <c r="EB264" i="63" s="1"/>
  <c r="EB265" i="63" s="1"/>
  <c r="EB266" i="63" s="1"/>
  <c r="EB267" i="63" s="1"/>
  <c r="EB268" i="63" s="1"/>
  <c r="EB269" i="63" s="1"/>
  <c r="EB270" i="63" s="1"/>
  <c r="EB271" i="63" s="1"/>
  <c r="EB272" i="63" s="1"/>
  <c r="EB273" i="63" s="1"/>
  <c r="EB274" i="63" s="1"/>
  <c r="EB275" i="63" s="1"/>
  <c r="EB276" i="63" s="1"/>
  <c r="EB277" i="63" s="1"/>
  <c r="EB278" i="63" s="1"/>
  <c r="EB279" i="63" s="1"/>
  <c r="EB280" i="63" s="1"/>
  <c r="EB281" i="63" s="1"/>
  <c r="EB282" i="63" s="1"/>
  <c r="EB283" i="63" s="1"/>
  <c r="EB284" i="63" s="1"/>
  <c r="EB285" i="63" s="1"/>
  <c r="EB286" i="63" s="1"/>
  <c r="EB287" i="63" s="1"/>
  <c r="EB288" i="63" s="1"/>
  <c r="EB289" i="63" s="1"/>
  <c r="EB290" i="63" s="1"/>
  <c r="EB291" i="63" s="1"/>
  <c r="EB292" i="63" s="1"/>
  <c r="EB293" i="63" s="1"/>
  <c r="EB294" i="63" s="1"/>
  <c r="EB295" i="63" s="1"/>
  <c r="EB296" i="63" s="1"/>
  <c r="EB297" i="63" s="1"/>
  <c r="EB298" i="63" s="1"/>
  <c r="EB299" i="63" s="1"/>
  <c r="EB300" i="63" s="1"/>
  <c r="EB301" i="63" s="1"/>
  <c r="EB302" i="63" s="1"/>
  <c r="EB303" i="63" s="1"/>
  <c r="EB304" i="63" s="1"/>
  <c r="EB305" i="63" s="1"/>
  <c r="EB306" i="63" s="1"/>
  <c r="EB307" i="63" s="1"/>
  <c r="EB308" i="63" s="1"/>
  <c r="DY9" i="63"/>
  <c r="DY10" i="63" s="1"/>
  <c r="DY11" i="63" s="1"/>
  <c r="DY12" i="63" s="1"/>
  <c r="DY13" i="63" s="1"/>
  <c r="DY14" i="63" s="1"/>
  <c r="DY15" i="63" s="1"/>
  <c r="DY16" i="63" s="1"/>
  <c r="DY17" i="63" s="1"/>
  <c r="DY18" i="63" s="1"/>
  <c r="DY19" i="63" s="1"/>
  <c r="DY20" i="63" s="1"/>
  <c r="DY21" i="63" s="1"/>
  <c r="DY22" i="63" s="1"/>
  <c r="DY23" i="63" s="1"/>
  <c r="DY24" i="63" s="1"/>
  <c r="DY25" i="63" s="1"/>
  <c r="DY26" i="63" s="1"/>
  <c r="DY27" i="63" s="1"/>
  <c r="DY28" i="63" s="1"/>
  <c r="DY29" i="63" s="1"/>
  <c r="DY30" i="63" s="1"/>
  <c r="DY31" i="63" s="1"/>
  <c r="DY32" i="63" s="1"/>
  <c r="DY33" i="63" s="1"/>
  <c r="DY34" i="63" s="1"/>
  <c r="DY35" i="63" s="1"/>
  <c r="DY36" i="63" s="1"/>
  <c r="DY37" i="63" s="1"/>
  <c r="DY38" i="63" s="1"/>
  <c r="DY39" i="63" s="1"/>
  <c r="DY40" i="63" s="1"/>
  <c r="DY41" i="63" s="1"/>
  <c r="DY42" i="63" s="1"/>
  <c r="DY43" i="63" s="1"/>
  <c r="DY44" i="63" s="1"/>
  <c r="DY45" i="63" s="1"/>
  <c r="DY46" i="63" s="1"/>
  <c r="DY47" i="63" s="1"/>
  <c r="DY48" i="63" s="1"/>
  <c r="DY49" i="63" s="1"/>
  <c r="DY50" i="63" s="1"/>
  <c r="DY51" i="63" s="1"/>
  <c r="DY52" i="63" s="1"/>
  <c r="DY53" i="63" s="1"/>
  <c r="DY54" i="63" s="1"/>
  <c r="DY55" i="63" s="1"/>
  <c r="DY56" i="63" s="1"/>
  <c r="DY57" i="63" s="1"/>
  <c r="DY58" i="63" s="1"/>
  <c r="DY59" i="63" s="1"/>
  <c r="DY60" i="63" s="1"/>
  <c r="DY61" i="63" s="1"/>
  <c r="DY62" i="63" s="1"/>
  <c r="DY63" i="63" s="1"/>
  <c r="DY64" i="63" s="1"/>
  <c r="DY65" i="63" s="1"/>
  <c r="DY66" i="63" s="1"/>
  <c r="DY67" i="63" s="1"/>
  <c r="DY68" i="63" s="1"/>
  <c r="DY69" i="63" s="1"/>
  <c r="DY70" i="63" s="1"/>
  <c r="DY71" i="63" s="1"/>
  <c r="DY72" i="63" s="1"/>
  <c r="DY73" i="63" s="1"/>
  <c r="DY74" i="63" s="1"/>
  <c r="DY75" i="63" s="1"/>
  <c r="DY76" i="63" s="1"/>
  <c r="DY77" i="63" s="1"/>
  <c r="DY78" i="63" s="1"/>
  <c r="DY79" i="63" s="1"/>
  <c r="DY80" i="63" s="1"/>
  <c r="DY81" i="63" s="1"/>
  <c r="DY82" i="63" s="1"/>
  <c r="DY83" i="63" s="1"/>
  <c r="DY84" i="63" s="1"/>
  <c r="DY85" i="63" s="1"/>
  <c r="DY86" i="63" s="1"/>
  <c r="DY87" i="63" s="1"/>
  <c r="DY88" i="63" s="1"/>
  <c r="DY89" i="63" s="1"/>
  <c r="DY90" i="63" s="1"/>
  <c r="DY91" i="63" s="1"/>
  <c r="DY92" i="63" s="1"/>
  <c r="DY93" i="63" s="1"/>
  <c r="DY94" i="63" s="1"/>
  <c r="DY95" i="63" s="1"/>
  <c r="DY96" i="63" s="1"/>
  <c r="DY97" i="63" s="1"/>
  <c r="DY98" i="63" s="1"/>
  <c r="DY99" i="63" s="1"/>
  <c r="DY100" i="63" s="1"/>
  <c r="DY101" i="63" s="1"/>
  <c r="DY102" i="63" s="1"/>
  <c r="DY103" i="63" s="1"/>
  <c r="DY104" i="63" s="1"/>
  <c r="DY105" i="63" s="1"/>
  <c r="DY106" i="63" s="1"/>
  <c r="DY107" i="63" s="1"/>
  <c r="DY108" i="63" s="1"/>
  <c r="DY109" i="63" s="1"/>
  <c r="DY110" i="63" s="1"/>
  <c r="DY111" i="63" s="1"/>
  <c r="DY112" i="63" s="1"/>
  <c r="DY113" i="63" s="1"/>
  <c r="DY114" i="63" s="1"/>
  <c r="DY115" i="63" s="1"/>
  <c r="DY116" i="63" s="1"/>
  <c r="DY117" i="63" s="1"/>
  <c r="DY118" i="63" s="1"/>
  <c r="DY119" i="63" s="1"/>
  <c r="DY120" i="63" s="1"/>
  <c r="DY121" i="63" s="1"/>
  <c r="DY122" i="63" s="1"/>
  <c r="DY123" i="63" s="1"/>
  <c r="DY124" i="63" s="1"/>
  <c r="DY125" i="63" s="1"/>
  <c r="DY126" i="63" s="1"/>
  <c r="DY127" i="63" s="1"/>
  <c r="DY128" i="63" s="1"/>
  <c r="DY129" i="63" s="1"/>
  <c r="DY130" i="63" s="1"/>
  <c r="DY131" i="63" s="1"/>
  <c r="DY132" i="63" s="1"/>
  <c r="DY133" i="63" s="1"/>
  <c r="DY134" i="63" s="1"/>
  <c r="DY135" i="63" s="1"/>
  <c r="DY136" i="63" s="1"/>
  <c r="DY137" i="63" s="1"/>
  <c r="DY138" i="63" s="1"/>
  <c r="DY139" i="63" s="1"/>
  <c r="DY140" i="63" s="1"/>
  <c r="DY141" i="63" s="1"/>
  <c r="DY142" i="63" s="1"/>
  <c r="DY143" i="63" s="1"/>
  <c r="DY144" i="63" s="1"/>
  <c r="DY145" i="63" s="1"/>
  <c r="DY146" i="63" s="1"/>
  <c r="DY147" i="63" s="1"/>
  <c r="DY148" i="63" s="1"/>
  <c r="DY149" i="63" s="1"/>
  <c r="DY150" i="63" s="1"/>
  <c r="DY151" i="63" s="1"/>
  <c r="DY152" i="63" s="1"/>
  <c r="DY153" i="63" s="1"/>
  <c r="DY154" i="63" s="1"/>
  <c r="DY155" i="63" s="1"/>
  <c r="DY156" i="63" s="1"/>
  <c r="DY157" i="63" s="1"/>
  <c r="DY158" i="63" s="1"/>
  <c r="DY159" i="63" s="1"/>
  <c r="DY160" i="63" s="1"/>
  <c r="DY161" i="63" s="1"/>
  <c r="DY162" i="63" s="1"/>
  <c r="DY163" i="63" s="1"/>
  <c r="DY164" i="63" s="1"/>
  <c r="DY165" i="63" s="1"/>
  <c r="DY166" i="63" s="1"/>
  <c r="DY167" i="63" s="1"/>
  <c r="DY168" i="63" s="1"/>
  <c r="DY169" i="63" s="1"/>
  <c r="DY170" i="63" s="1"/>
  <c r="DY171" i="63" s="1"/>
  <c r="DY172" i="63" s="1"/>
  <c r="DY173" i="63" s="1"/>
  <c r="DY174" i="63" s="1"/>
  <c r="DY175" i="63" s="1"/>
  <c r="DY176" i="63" s="1"/>
  <c r="DY177" i="63" s="1"/>
  <c r="DY178" i="63" s="1"/>
  <c r="DY179" i="63" s="1"/>
  <c r="DY180" i="63" s="1"/>
  <c r="DY181" i="63" s="1"/>
  <c r="DY182" i="63" s="1"/>
  <c r="DY183" i="63" s="1"/>
  <c r="DY184" i="63" s="1"/>
  <c r="DY185" i="63" s="1"/>
  <c r="DY186" i="63" s="1"/>
  <c r="DY187" i="63" s="1"/>
  <c r="DY188" i="63" s="1"/>
  <c r="DY189" i="63" s="1"/>
  <c r="DY190" i="63" s="1"/>
  <c r="DY191" i="63" s="1"/>
  <c r="DY192" i="63" s="1"/>
  <c r="DY193" i="63" s="1"/>
  <c r="DY194" i="63" s="1"/>
  <c r="DY195" i="63" s="1"/>
  <c r="DY196" i="63" s="1"/>
  <c r="DY197" i="63" s="1"/>
  <c r="DY198" i="63" s="1"/>
  <c r="DY199" i="63" s="1"/>
  <c r="DY200" i="63" s="1"/>
  <c r="DY201" i="63" s="1"/>
  <c r="DY202" i="63" s="1"/>
  <c r="DY203" i="63" s="1"/>
  <c r="DY204" i="63" s="1"/>
  <c r="DY205" i="63" s="1"/>
  <c r="DY206" i="63" s="1"/>
  <c r="DY207" i="63" s="1"/>
  <c r="DY208" i="63" s="1"/>
  <c r="DY209" i="63" s="1"/>
  <c r="DY210" i="63" s="1"/>
  <c r="DY211" i="63" s="1"/>
  <c r="DY212" i="63" s="1"/>
  <c r="DY213" i="63" s="1"/>
  <c r="DY214" i="63" s="1"/>
  <c r="DY215" i="63" s="1"/>
  <c r="DY216" i="63" s="1"/>
  <c r="DY217" i="63" s="1"/>
  <c r="DY218" i="63" s="1"/>
  <c r="DY219" i="63" s="1"/>
  <c r="DY220" i="63" s="1"/>
  <c r="DY221" i="63" s="1"/>
  <c r="DY222" i="63" s="1"/>
  <c r="DY223" i="63" s="1"/>
  <c r="DY224" i="63" s="1"/>
  <c r="DY225" i="63" s="1"/>
  <c r="DY226" i="63" s="1"/>
  <c r="DY227" i="63" s="1"/>
  <c r="DY228" i="63" s="1"/>
  <c r="DY229" i="63" s="1"/>
  <c r="DY230" i="63" s="1"/>
  <c r="DY231" i="63" s="1"/>
  <c r="DY232" i="63" s="1"/>
  <c r="DY233" i="63" s="1"/>
  <c r="DY234" i="63" s="1"/>
  <c r="DY235" i="63" s="1"/>
  <c r="DY236" i="63" s="1"/>
  <c r="DY237" i="63" s="1"/>
  <c r="DY238" i="63" s="1"/>
  <c r="DY239" i="63" s="1"/>
  <c r="DY240" i="63" s="1"/>
  <c r="DY241" i="63" s="1"/>
  <c r="DY242" i="63" s="1"/>
  <c r="DY243" i="63" s="1"/>
  <c r="DY244" i="63" s="1"/>
  <c r="DY245" i="63" s="1"/>
  <c r="DY246" i="63" s="1"/>
  <c r="DY247" i="63" s="1"/>
  <c r="DY248" i="63" s="1"/>
  <c r="DY249" i="63" s="1"/>
  <c r="DY250" i="63" s="1"/>
  <c r="DY251" i="63" s="1"/>
  <c r="DY252" i="63" s="1"/>
  <c r="DY253" i="63" s="1"/>
  <c r="DY254" i="63" s="1"/>
  <c r="DY255" i="63" s="1"/>
  <c r="DY256" i="63" s="1"/>
  <c r="DY257" i="63" s="1"/>
  <c r="DY258" i="63" s="1"/>
  <c r="DY259" i="63" s="1"/>
  <c r="DY260" i="63" s="1"/>
  <c r="DY261" i="63" s="1"/>
  <c r="DY262" i="63" s="1"/>
  <c r="DY263" i="63" s="1"/>
  <c r="DY264" i="63" s="1"/>
  <c r="DY265" i="63" s="1"/>
  <c r="DY266" i="63" s="1"/>
  <c r="DY267" i="63" s="1"/>
  <c r="DY268" i="63" s="1"/>
  <c r="DY269" i="63" s="1"/>
  <c r="DY270" i="63" s="1"/>
  <c r="DY271" i="63" s="1"/>
  <c r="DY272" i="63" s="1"/>
  <c r="DY273" i="63" s="1"/>
  <c r="DY274" i="63" s="1"/>
  <c r="DY275" i="63" s="1"/>
  <c r="DY276" i="63" s="1"/>
  <c r="DY277" i="63" s="1"/>
  <c r="DY278" i="63" s="1"/>
  <c r="DY279" i="63" s="1"/>
  <c r="DY280" i="63" s="1"/>
  <c r="DY281" i="63" s="1"/>
  <c r="DY282" i="63" s="1"/>
  <c r="DY283" i="63" s="1"/>
  <c r="DY284" i="63" s="1"/>
  <c r="DY285" i="63" s="1"/>
  <c r="DY286" i="63" s="1"/>
  <c r="DY287" i="63" s="1"/>
  <c r="DY288" i="63" s="1"/>
  <c r="DY289" i="63" s="1"/>
  <c r="DY290" i="63" s="1"/>
  <c r="DY291" i="63" s="1"/>
  <c r="DY292" i="63" s="1"/>
  <c r="DY293" i="63" s="1"/>
  <c r="DY294" i="63" s="1"/>
  <c r="DY295" i="63" s="1"/>
  <c r="DY296" i="63" s="1"/>
  <c r="DY297" i="63" s="1"/>
  <c r="DY298" i="63" s="1"/>
  <c r="DY299" i="63" s="1"/>
  <c r="DY300" i="63" s="1"/>
  <c r="DY301" i="63" s="1"/>
  <c r="DY302" i="63" s="1"/>
  <c r="DY303" i="63" s="1"/>
  <c r="DY304" i="63" s="1"/>
  <c r="DY305" i="63" s="1"/>
  <c r="DY306" i="63" s="1"/>
  <c r="DY307" i="63" s="1"/>
  <c r="DY308" i="63" s="1"/>
  <c r="DW9" i="63"/>
  <c r="DW10" i="63" s="1"/>
  <c r="DW11" i="63" s="1"/>
  <c r="DW12" i="63" s="1"/>
  <c r="DW13" i="63" s="1"/>
  <c r="DW14" i="63" s="1"/>
  <c r="DW15" i="63" s="1"/>
  <c r="DW16" i="63" s="1"/>
  <c r="DW17" i="63" s="1"/>
  <c r="DW18" i="63" s="1"/>
  <c r="DW19" i="63" s="1"/>
  <c r="DW20" i="63" s="1"/>
  <c r="DW21" i="63" s="1"/>
  <c r="DW22" i="63" s="1"/>
  <c r="DW23" i="63" s="1"/>
  <c r="DW24" i="63" s="1"/>
  <c r="DW25" i="63" s="1"/>
  <c r="DW26" i="63" s="1"/>
  <c r="DW27" i="63" s="1"/>
  <c r="DW28" i="63" s="1"/>
  <c r="DW29" i="63" s="1"/>
  <c r="DW30" i="63" s="1"/>
  <c r="DW31" i="63" s="1"/>
  <c r="DW32" i="63" s="1"/>
  <c r="DW33" i="63" s="1"/>
  <c r="DW34" i="63" s="1"/>
  <c r="DW35" i="63" s="1"/>
  <c r="DW36" i="63" s="1"/>
  <c r="DW37" i="63" s="1"/>
  <c r="DW38" i="63" s="1"/>
  <c r="DW39" i="63" s="1"/>
  <c r="DW40" i="63" s="1"/>
  <c r="DW41" i="63" s="1"/>
  <c r="DW42" i="63" s="1"/>
  <c r="DW43" i="63" s="1"/>
  <c r="DW44" i="63" s="1"/>
  <c r="DW45" i="63" s="1"/>
  <c r="DW46" i="63" s="1"/>
  <c r="DW47" i="63" s="1"/>
  <c r="DW48" i="63" s="1"/>
  <c r="DW49" i="63" s="1"/>
  <c r="DW50" i="63" s="1"/>
  <c r="DW51" i="63" s="1"/>
  <c r="DW52" i="63" s="1"/>
  <c r="DW53" i="63" s="1"/>
  <c r="DW54" i="63" s="1"/>
  <c r="DW55" i="63" s="1"/>
  <c r="DW56" i="63" s="1"/>
  <c r="DW57" i="63" s="1"/>
  <c r="DW58" i="63" s="1"/>
  <c r="DW59" i="63" s="1"/>
  <c r="DW60" i="63" s="1"/>
  <c r="DW61" i="63" s="1"/>
  <c r="DW62" i="63" s="1"/>
  <c r="DW63" i="63" s="1"/>
  <c r="DW64" i="63" s="1"/>
  <c r="DW65" i="63" s="1"/>
  <c r="DW66" i="63" s="1"/>
  <c r="DW67" i="63" s="1"/>
  <c r="DW68" i="63" s="1"/>
  <c r="DW69" i="63" s="1"/>
  <c r="DW70" i="63" s="1"/>
  <c r="DW71" i="63" s="1"/>
  <c r="DW72" i="63" s="1"/>
  <c r="DW73" i="63" s="1"/>
  <c r="DW74" i="63" s="1"/>
  <c r="DW75" i="63" s="1"/>
  <c r="DW76" i="63" s="1"/>
  <c r="DW77" i="63" s="1"/>
  <c r="DW78" i="63" s="1"/>
  <c r="DW79" i="63" s="1"/>
  <c r="DW80" i="63" s="1"/>
  <c r="DW81" i="63" s="1"/>
  <c r="DW82" i="63" s="1"/>
  <c r="DW83" i="63" s="1"/>
  <c r="DW84" i="63" s="1"/>
  <c r="DW85" i="63" s="1"/>
  <c r="DW86" i="63" s="1"/>
  <c r="DW87" i="63" s="1"/>
  <c r="DW88" i="63" s="1"/>
  <c r="DW89" i="63" s="1"/>
  <c r="DW90" i="63" s="1"/>
  <c r="DW91" i="63" s="1"/>
  <c r="DW92" i="63" s="1"/>
  <c r="DW93" i="63" s="1"/>
  <c r="DW94" i="63" s="1"/>
  <c r="DW95" i="63" s="1"/>
  <c r="DW96" i="63" s="1"/>
  <c r="DW97" i="63" s="1"/>
  <c r="DW98" i="63" s="1"/>
  <c r="DW99" i="63" s="1"/>
  <c r="DW100" i="63" s="1"/>
  <c r="DW101" i="63" s="1"/>
  <c r="DW102" i="63" s="1"/>
  <c r="DW103" i="63" s="1"/>
  <c r="DW104" i="63" s="1"/>
  <c r="DW105" i="63" s="1"/>
  <c r="DW106" i="63" s="1"/>
  <c r="DW107" i="63" s="1"/>
  <c r="DW108" i="63" s="1"/>
  <c r="DW109" i="63" s="1"/>
  <c r="DW110" i="63" s="1"/>
  <c r="DW111" i="63" s="1"/>
  <c r="DW112" i="63" s="1"/>
  <c r="DW113" i="63" s="1"/>
  <c r="DW114" i="63" s="1"/>
  <c r="DW115" i="63" s="1"/>
  <c r="DW116" i="63" s="1"/>
  <c r="DW117" i="63" s="1"/>
  <c r="DW118" i="63" s="1"/>
  <c r="DW119" i="63" s="1"/>
  <c r="DW120" i="63" s="1"/>
  <c r="DW121" i="63" s="1"/>
  <c r="DW122" i="63" s="1"/>
  <c r="DW123" i="63" s="1"/>
  <c r="DW124" i="63" s="1"/>
  <c r="DW125" i="63" s="1"/>
  <c r="DW126" i="63" s="1"/>
  <c r="DW127" i="63" s="1"/>
  <c r="DW128" i="63" s="1"/>
  <c r="DW129" i="63" s="1"/>
  <c r="DW130" i="63" s="1"/>
  <c r="DW131" i="63" s="1"/>
  <c r="DW132" i="63" s="1"/>
  <c r="DW133" i="63" s="1"/>
  <c r="DW134" i="63" s="1"/>
  <c r="DW135" i="63" s="1"/>
  <c r="DW136" i="63" s="1"/>
  <c r="DW137" i="63" s="1"/>
  <c r="DW138" i="63" s="1"/>
  <c r="DW139" i="63" s="1"/>
  <c r="DW140" i="63" s="1"/>
  <c r="DW141" i="63" s="1"/>
  <c r="DW142" i="63" s="1"/>
  <c r="DW143" i="63" s="1"/>
  <c r="DW144" i="63" s="1"/>
  <c r="DW145" i="63" s="1"/>
  <c r="DW146" i="63" s="1"/>
  <c r="DW147" i="63" s="1"/>
  <c r="DW148" i="63" s="1"/>
  <c r="DW149" i="63" s="1"/>
  <c r="DW150" i="63" s="1"/>
  <c r="DW151" i="63" s="1"/>
  <c r="DW152" i="63" s="1"/>
  <c r="DW153" i="63" s="1"/>
  <c r="DW154" i="63" s="1"/>
  <c r="DW155" i="63" s="1"/>
  <c r="DW156" i="63" s="1"/>
  <c r="DW157" i="63" s="1"/>
  <c r="DW158" i="63" s="1"/>
  <c r="DW159" i="63" s="1"/>
  <c r="DW160" i="63" s="1"/>
  <c r="DW161" i="63" s="1"/>
  <c r="DW162" i="63" s="1"/>
  <c r="DW163" i="63" s="1"/>
  <c r="DW164" i="63" s="1"/>
  <c r="DW165" i="63" s="1"/>
  <c r="DW166" i="63" s="1"/>
  <c r="DW167" i="63" s="1"/>
  <c r="DW168" i="63" s="1"/>
  <c r="DW169" i="63" s="1"/>
  <c r="DW170" i="63" s="1"/>
  <c r="DW171" i="63" s="1"/>
  <c r="DW172" i="63" s="1"/>
  <c r="DW173" i="63" s="1"/>
  <c r="DW174" i="63" s="1"/>
  <c r="DW175" i="63" s="1"/>
  <c r="DW176" i="63" s="1"/>
  <c r="DW177" i="63" s="1"/>
  <c r="DW178" i="63" s="1"/>
  <c r="DW179" i="63" s="1"/>
  <c r="DW180" i="63" s="1"/>
  <c r="DW181" i="63" s="1"/>
  <c r="DW182" i="63" s="1"/>
  <c r="DW183" i="63" s="1"/>
  <c r="DW184" i="63" s="1"/>
  <c r="DW185" i="63" s="1"/>
  <c r="DW186" i="63" s="1"/>
  <c r="DW187" i="63" s="1"/>
  <c r="DW188" i="63" s="1"/>
  <c r="DW189" i="63" s="1"/>
  <c r="DW190" i="63" s="1"/>
  <c r="DW191" i="63" s="1"/>
  <c r="DW192" i="63" s="1"/>
  <c r="DW193" i="63" s="1"/>
  <c r="DW194" i="63" s="1"/>
  <c r="DW195" i="63" s="1"/>
  <c r="DW196" i="63" s="1"/>
  <c r="DW197" i="63" s="1"/>
  <c r="DW198" i="63" s="1"/>
  <c r="DW199" i="63" s="1"/>
  <c r="DW200" i="63" s="1"/>
  <c r="DW201" i="63" s="1"/>
  <c r="DW202" i="63" s="1"/>
  <c r="DW203" i="63" s="1"/>
  <c r="DW204" i="63" s="1"/>
  <c r="DW205" i="63" s="1"/>
  <c r="DW206" i="63" s="1"/>
  <c r="DW207" i="63" s="1"/>
  <c r="DW208" i="63" s="1"/>
  <c r="DW209" i="63" s="1"/>
  <c r="DW210" i="63" s="1"/>
  <c r="DW211" i="63" s="1"/>
  <c r="DW212" i="63" s="1"/>
  <c r="DW213" i="63" s="1"/>
  <c r="DW214" i="63" s="1"/>
  <c r="DW215" i="63" s="1"/>
  <c r="DW216" i="63" s="1"/>
  <c r="DW217" i="63" s="1"/>
  <c r="DW218" i="63" s="1"/>
  <c r="DW219" i="63" s="1"/>
  <c r="DW220" i="63" s="1"/>
  <c r="DW221" i="63" s="1"/>
  <c r="DW222" i="63" s="1"/>
  <c r="DW223" i="63" s="1"/>
  <c r="DW224" i="63" s="1"/>
  <c r="DW225" i="63" s="1"/>
  <c r="DW226" i="63" s="1"/>
  <c r="DW227" i="63" s="1"/>
  <c r="DW228" i="63" s="1"/>
  <c r="DW229" i="63" s="1"/>
  <c r="DW230" i="63" s="1"/>
  <c r="DW231" i="63" s="1"/>
  <c r="DW232" i="63" s="1"/>
  <c r="DW233" i="63" s="1"/>
  <c r="DW234" i="63" s="1"/>
  <c r="DW235" i="63" s="1"/>
  <c r="DW236" i="63" s="1"/>
  <c r="DW237" i="63" s="1"/>
  <c r="DW238" i="63" s="1"/>
  <c r="DW239" i="63" s="1"/>
  <c r="DW240" i="63" s="1"/>
  <c r="DW241" i="63" s="1"/>
  <c r="DW242" i="63" s="1"/>
  <c r="DW243" i="63" s="1"/>
  <c r="DW244" i="63" s="1"/>
  <c r="DW245" i="63" s="1"/>
  <c r="DW246" i="63" s="1"/>
  <c r="DW247" i="63" s="1"/>
  <c r="DW248" i="63" s="1"/>
  <c r="DW249" i="63" s="1"/>
  <c r="DW250" i="63" s="1"/>
  <c r="DW251" i="63" s="1"/>
  <c r="DW252" i="63" s="1"/>
  <c r="DW253" i="63" s="1"/>
  <c r="DW254" i="63" s="1"/>
  <c r="DW255" i="63" s="1"/>
  <c r="DW256" i="63" s="1"/>
  <c r="DW257" i="63" s="1"/>
  <c r="DW258" i="63" s="1"/>
  <c r="DW259" i="63" s="1"/>
  <c r="DW260" i="63" s="1"/>
  <c r="DW261" i="63" s="1"/>
  <c r="DW262" i="63" s="1"/>
  <c r="DW263" i="63" s="1"/>
  <c r="DW264" i="63" s="1"/>
  <c r="DW265" i="63" s="1"/>
  <c r="DW266" i="63" s="1"/>
  <c r="DW267" i="63" s="1"/>
  <c r="DW268" i="63" s="1"/>
  <c r="DW269" i="63" s="1"/>
  <c r="DW270" i="63" s="1"/>
  <c r="DW271" i="63" s="1"/>
  <c r="DW272" i="63" s="1"/>
  <c r="DW273" i="63" s="1"/>
  <c r="DW274" i="63" s="1"/>
  <c r="DW275" i="63" s="1"/>
  <c r="DW276" i="63" s="1"/>
  <c r="DW277" i="63" s="1"/>
  <c r="DW278" i="63" s="1"/>
  <c r="DW279" i="63" s="1"/>
  <c r="DW280" i="63" s="1"/>
  <c r="DW281" i="63" s="1"/>
  <c r="DW282" i="63" s="1"/>
  <c r="DW283" i="63" s="1"/>
  <c r="DW284" i="63" s="1"/>
  <c r="DW285" i="63" s="1"/>
  <c r="DW286" i="63" s="1"/>
  <c r="DW287" i="63" s="1"/>
  <c r="DW288" i="63" s="1"/>
  <c r="DW289" i="63" s="1"/>
  <c r="DW290" i="63" s="1"/>
  <c r="DW291" i="63" s="1"/>
  <c r="DW292" i="63" s="1"/>
  <c r="DW293" i="63" s="1"/>
  <c r="DW294" i="63" s="1"/>
  <c r="DW295" i="63" s="1"/>
  <c r="DW296" i="63" s="1"/>
  <c r="DW297" i="63" s="1"/>
  <c r="DW298" i="63" s="1"/>
  <c r="DW299" i="63" s="1"/>
  <c r="DW300" i="63" s="1"/>
  <c r="DW301" i="63" s="1"/>
  <c r="DW302" i="63" s="1"/>
  <c r="DW303" i="63" s="1"/>
  <c r="DW304" i="63" s="1"/>
  <c r="DW305" i="63" s="1"/>
  <c r="DW306" i="63" s="1"/>
  <c r="DW307" i="63" s="1"/>
  <c r="DW308" i="63" s="1"/>
  <c r="DV9" i="63"/>
  <c r="DV10" i="63" s="1"/>
  <c r="DV11" i="63" s="1"/>
  <c r="DV12" i="63" s="1"/>
  <c r="DV13" i="63" s="1"/>
  <c r="DV14" i="63" s="1"/>
  <c r="DV15" i="63" s="1"/>
  <c r="DV16" i="63" s="1"/>
  <c r="DV17" i="63" s="1"/>
  <c r="DV18" i="63" s="1"/>
  <c r="DV19" i="63" s="1"/>
  <c r="DV20" i="63" s="1"/>
  <c r="DV21" i="63" s="1"/>
  <c r="DV22" i="63" s="1"/>
  <c r="DV23" i="63" s="1"/>
  <c r="DV24" i="63" s="1"/>
  <c r="DV25" i="63" s="1"/>
  <c r="DV26" i="63" s="1"/>
  <c r="DV27" i="63" s="1"/>
  <c r="DV28" i="63" s="1"/>
  <c r="DV29" i="63" s="1"/>
  <c r="DV30" i="63" s="1"/>
  <c r="DV31" i="63" s="1"/>
  <c r="DV32" i="63" s="1"/>
  <c r="DV33" i="63" s="1"/>
  <c r="DV34" i="63" s="1"/>
  <c r="DV35" i="63" s="1"/>
  <c r="DV36" i="63" s="1"/>
  <c r="DV37" i="63" s="1"/>
  <c r="DV38" i="63" s="1"/>
  <c r="DV39" i="63" s="1"/>
  <c r="DV40" i="63" s="1"/>
  <c r="DV41" i="63" s="1"/>
  <c r="DV42" i="63" s="1"/>
  <c r="DV43" i="63" s="1"/>
  <c r="DV44" i="63" s="1"/>
  <c r="DV45" i="63" s="1"/>
  <c r="DV46" i="63" s="1"/>
  <c r="DV47" i="63" s="1"/>
  <c r="DV48" i="63" s="1"/>
  <c r="DV49" i="63" s="1"/>
  <c r="DV50" i="63" s="1"/>
  <c r="DV51" i="63" s="1"/>
  <c r="DV52" i="63" s="1"/>
  <c r="DV53" i="63" s="1"/>
  <c r="DV54" i="63" s="1"/>
  <c r="DV55" i="63" s="1"/>
  <c r="DV56" i="63" s="1"/>
  <c r="DV57" i="63" s="1"/>
  <c r="DV58" i="63" s="1"/>
  <c r="DV59" i="63" s="1"/>
  <c r="DV60" i="63" s="1"/>
  <c r="DV61" i="63" s="1"/>
  <c r="DV62" i="63" s="1"/>
  <c r="DV63" i="63" s="1"/>
  <c r="DV64" i="63" s="1"/>
  <c r="DV65" i="63" s="1"/>
  <c r="DV66" i="63" s="1"/>
  <c r="DV67" i="63" s="1"/>
  <c r="DV68" i="63" s="1"/>
  <c r="DV69" i="63" s="1"/>
  <c r="DV70" i="63" s="1"/>
  <c r="DV71" i="63" s="1"/>
  <c r="DV72" i="63" s="1"/>
  <c r="DV73" i="63" s="1"/>
  <c r="DV74" i="63" s="1"/>
  <c r="DV75" i="63" s="1"/>
  <c r="DV76" i="63" s="1"/>
  <c r="DV77" i="63" s="1"/>
  <c r="DV78" i="63" s="1"/>
  <c r="DV79" i="63" s="1"/>
  <c r="DV80" i="63" s="1"/>
  <c r="DV81" i="63" s="1"/>
  <c r="DV82" i="63" s="1"/>
  <c r="DV83" i="63" s="1"/>
  <c r="DV84" i="63" s="1"/>
  <c r="DV85" i="63" s="1"/>
  <c r="DV86" i="63" s="1"/>
  <c r="DV87" i="63" s="1"/>
  <c r="DV88" i="63" s="1"/>
  <c r="DV89" i="63" s="1"/>
  <c r="DV90" i="63" s="1"/>
  <c r="DV91" i="63" s="1"/>
  <c r="DV92" i="63" s="1"/>
  <c r="DV93" i="63" s="1"/>
  <c r="DV94" i="63" s="1"/>
  <c r="DV95" i="63" s="1"/>
  <c r="DV96" i="63" s="1"/>
  <c r="DV97" i="63" s="1"/>
  <c r="DV98" i="63" s="1"/>
  <c r="DV99" i="63" s="1"/>
  <c r="DV100" i="63" s="1"/>
  <c r="DV101" i="63" s="1"/>
  <c r="DV102" i="63" s="1"/>
  <c r="DV103" i="63" s="1"/>
  <c r="DV104" i="63" s="1"/>
  <c r="DV105" i="63" s="1"/>
  <c r="DV106" i="63" s="1"/>
  <c r="DV107" i="63" s="1"/>
  <c r="DV108" i="63" s="1"/>
  <c r="DV109" i="63" s="1"/>
  <c r="DV110" i="63" s="1"/>
  <c r="DV111" i="63" s="1"/>
  <c r="DV112" i="63" s="1"/>
  <c r="DV113" i="63" s="1"/>
  <c r="DV114" i="63" s="1"/>
  <c r="DV115" i="63" s="1"/>
  <c r="DV116" i="63" s="1"/>
  <c r="DV117" i="63" s="1"/>
  <c r="DV118" i="63" s="1"/>
  <c r="DV119" i="63" s="1"/>
  <c r="DV120" i="63" s="1"/>
  <c r="DV121" i="63" s="1"/>
  <c r="DV122" i="63" s="1"/>
  <c r="DV123" i="63" s="1"/>
  <c r="DV124" i="63" s="1"/>
  <c r="DV125" i="63" s="1"/>
  <c r="DV126" i="63" s="1"/>
  <c r="DV127" i="63" s="1"/>
  <c r="DV128" i="63" s="1"/>
  <c r="DV129" i="63" s="1"/>
  <c r="DV130" i="63" s="1"/>
  <c r="DV131" i="63" s="1"/>
  <c r="DV132" i="63" s="1"/>
  <c r="DV133" i="63" s="1"/>
  <c r="DV134" i="63" s="1"/>
  <c r="DV135" i="63" s="1"/>
  <c r="DV136" i="63" s="1"/>
  <c r="DV137" i="63" s="1"/>
  <c r="DV138" i="63" s="1"/>
  <c r="DV139" i="63" s="1"/>
  <c r="DV140" i="63" s="1"/>
  <c r="DV141" i="63" s="1"/>
  <c r="DV142" i="63" s="1"/>
  <c r="DV143" i="63" s="1"/>
  <c r="DV144" i="63" s="1"/>
  <c r="DV145" i="63" s="1"/>
  <c r="DV146" i="63" s="1"/>
  <c r="DV147" i="63" s="1"/>
  <c r="DV148" i="63" s="1"/>
  <c r="DV149" i="63" s="1"/>
  <c r="DV150" i="63" s="1"/>
  <c r="DV151" i="63" s="1"/>
  <c r="DV152" i="63" s="1"/>
  <c r="DV153" i="63" s="1"/>
  <c r="DV154" i="63" s="1"/>
  <c r="DV155" i="63" s="1"/>
  <c r="DV156" i="63" s="1"/>
  <c r="DV157" i="63" s="1"/>
  <c r="DV158" i="63" s="1"/>
  <c r="DV159" i="63" s="1"/>
  <c r="DV160" i="63" s="1"/>
  <c r="DV161" i="63" s="1"/>
  <c r="DV162" i="63" s="1"/>
  <c r="DV163" i="63" s="1"/>
  <c r="DV164" i="63" s="1"/>
  <c r="DV165" i="63" s="1"/>
  <c r="DV166" i="63" s="1"/>
  <c r="DV167" i="63" s="1"/>
  <c r="DV168" i="63" s="1"/>
  <c r="DV169" i="63" s="1"/>
  <c r="DV170" i="63" s="1"/>
  <c r="DV171" i="63" s="1"/>
  <c r="DV172" i="63" s="1"/>
  <c r="DV173" i="63" s="1"/>
  <c r="DV174" i="63" s="1"/>
  <c r="DV175" i="63" s="1"/>
  <c r="DV176" i="63" s="1"/>
  <c r="DV177" i="63" s="1"/>
  <c r="DV178" i="63" s="1"/>
  <c r="DV179" i="63" s="1"/>
  <c r="DV180" i="63" s="1"/>
  <c r="DV181" i="63" s="1"/>
  <c r="DV182" i="63" s="1"/>
  <c r="DV183" i="63" s="1"/>
  <c r="DV184" i="63" s="1"/>
  <c r="DV185" i="63" s="1"/>
  <c r="DV186" i="63" s="1"/>
  <c r="DV187" i="63" s="1"/>
  <c r="DV188" i="63" s="1"/>
  <c r="DV189" i="63" s="1"/>
  <c r="DV190" i="63" s="1"/>
  <c r="DV191" i="63" s="1"/>
  <c r="DV192" i="63" s="1"/>
  <c r="DV193" i="63" s="1"/>
  <c r="DV194" i="63" s="1"/>
  <c r="DV195" i="63" s="1"/>
  <c r="DV196" i="63" s="1"/>
  <c r="DV197" i="63" s="1"/>
  <c r="DV198" i="63" s="1"/>
  <c r="DV199" i="63" s="1"/>
  <c r="DV200" i="63" s="1"/>
  <c r="DV201" i="63" s="1"/>
  <c r="DV202" i="63" s="1"/>
  <c r="DV203" i="63" s="1"/>
  <c r="DV204" i="63" s="1"/>
  <c r="DV205" i="63" s="1"/>
  <c r="DV206" i="63" s="1"/>
  <c r="DV207" i="63" s="1"/>
  <c r="DV208" i="63" s="1"/>
  <c r="DV209" i="63" s="1"/>
  <c r="DV210" i="63" s="1"/>
  <c r="DV211" i="63" s="1"/>
  <c r="DV212" i="63" s="1"/>
  <c r="DV213" i="63" s="1"/>
  <c r="DV214" i="63" s="1"/>
  <c r="DV215" i="63" s="1"/>
  <c r="DV216" i="63" s="1"/>
  <c r="DV217" i="63" s="1"/>
  <c r="DV218" i="63" s="1"/>
  <c r="DV219" i="63" s="1"/>
  <c r="DV220" i="63" s="1"/>
  <c r="DV221" i="63" s="1"/>
  <c r="DV222" i="63" s="1"/>
  <c r="DV223" i="63" s="1"/>
  <c r="DV224" i="63" s="1"/>
  <c r="DV225" i="63" s="1"/>
  <c r="DV226" i="63" s="1"/>
  <c r="DV227" i="63" s="1"/>
  <c r="DV228" i="63" s="1"/>
  <c r="DV229" i="63" s="1"/>
  <c r="DV230" i="63" s="1"/>
  <c r="DV231" i="63" s="1"/>
  <c r="DV232" i="63" s="1"/>
  <c r="DV233" i="63" s="1"/>
  <c r="DV234" i="63" s="1"/>
  <c r="DV235" i="63" s="1"/>
  <c r="DV236" i="63" s="1"/>
  <c r="DV237" i="63" s="1"/>
  <c r="DV238" i="63" s="1"/>
  <c r="DV239" i="63" s="1"/>
  <c r="DV240" i="63" s="1"/>
  <c r="DV241" i="63" s="1"/>
  <c r="DV242" i="63" s="1"/>
  <c r="DV243" i="63" s="1"/>
  <c r="DV244" i="63" s="1"/>
  <c r="DV245" i="63" s="1"/>
  <c r="DV246" i="63" s="1"/>
  <c r="DV247" i="63" s="1"/>
  <c r="DV248" i="63" s="1"/>
  <c r="DV249" i="63" s="1"/>
  <c r="DV250" i="63" s="1"/>
  <c r="DV251" i="63" s="1"/>
  <c r="DV252" i="63" s="1"/>
  <c r="DV253" i="63" s="1"/>
  <c r="DV254" i="63" s="1"/>
  <c r="DV255" i="63" s="1"/>
  <c r="DV256" i="63" s="1"/>
  <c r="DV257" i="63" s="1"/>
  <c r="DV258" i="63" s="1"/>
  <c r="DV259" i="63" s="1"/>
  <c r="DV260" i="63" s="1"/>
  <c r="DV261" i="63" s="1"/>
  <c r="DV262" i="63" s="1"/>
  <c r="DV263" i="63" s="1"/>
  <c r="DV264" i="63" s="1"/>
  <c r="DV265" i="63" s="1"/>
  <c r="DV266" i="63" s="1"/>
  <c r="DV267" i="63" s="1"/>
  <c r="DV268" i="63" s="1"/>
  <c r="DV269" i="63" s="1"/>
  <c r="DV270" i="63" s="1"/>
  <c r="DV271" i="63" s="1"/>
  <c r="DV272" i="63" s="1"/>
  <c r="DV273" i="63" s="1"/>
  <c r="DV274" i="63" s="1"/>
  <c r="DV275" i="63" s="1"/>
  <c r="DV276" i="63" s="1"/>
  <c r="DV277" i="63" s="1"/>
  <c r="DV278" i="63" s="1"/>
  <c r="DV279" i="63" s="1"/>
  <c r="DV280" i="63" s="1"/>
  <c r="DV281" i="63" s="1"/>
  <c r="DV282" i="63" s="1"/>
  <c r="DV283" i="63" s="1"/>
  <c r="DV284" i="63" s="1"/>
  <c r="DV285" i="63" s="1"/>
  <c r="DV286" i="63" s="1"/>
  <c r="DV287" i="63" s="1"/>
  <c r="DV288" i="63" s="1"/>
  <c r="DV289" i="63" s="1"/>
  <c r="DV290" i="63" s="1"/>
  <c r="DV291" i="63" s="1"/>
  <c r="DV292" i="63" s="1"/>
  <c r="DV293" i="63" s="1"/>
  <c r="DV294" i="63" s="1"/>
  <c r="DV295" i="63" s="1"/>
  <c r="DV296" i="63" s="1"/>
  <c r="DV297" i="63" s="1"/>
  <c r="DV298" i="63" s="1"/>
  <c r="DV299" i="63" s="1"/>
  <c r="DV300" i="63" s="1"/>
  <c r="DV301" i="63" s="1"/>
  <c r="DV302" i="63" s="1"/>
  <c r="DV303" i="63" s="1"/>
  <c r="DV304" i="63" s="1"/>
  <c r="DV305" i="63" s="1"/>
  <c r="DV306" i="63" s="1"/>
  <c r="DV307" i="63" s="1"/>
  <c r="DV308" i="63" s="1"/>
  <c r="DU9" i="63"/>
  <c r="DU10" i="63" s="1"/>
  <c r="DU11" i="63" s="1"/>
  <c r="DU12" i="63" s="1"/>
  <c r="DU13" i="63" s="1"/>
  <c r="DU14" i="63" s="1"/>
  <c r="DU15" i="63" s="1"/>
  <c r="DU16" i="63" s="1"/>
  <c r="DU17" i="63" s="1"/>
  <c r="DU18" i="63" s="1"/>
  <c r="DU19" i="63" s="1"/>
  <c r="DU20" i="63" s="1"/>
  <c r="DU21" i="63" s="1"/>
  <c r="DU22" i="63" s="1"/>
  <c r="DU23" i="63" s="1"/>
  <c r="DU24" i="63" s="1"/>
  <c r="DU25" i="63" s="1"/>
  <c r="DU26" i="63" s="1"/>
  <c r="DU27" i="63" s="1"/>
  <c r="DU28" i="63" s="1"/>
  <c r="DU29" i="63" s="1"/>
  <c r="DU30" i="63" s="1"/>
  <c r="DU31" i="63" s="1"/>
  <c r="DU32" i="63" s="1"/>
  <c r="DU33" i="63" s="1"/>
  <c r="DU34" i="63" s="1"/>
  <c r="DU35" i="63" s="1"/>
  <c r="DU36" i="63" s="1"/>
  <c r="DU37" i="63" s="1"/>
  <c r="DU38" i="63" s="1"/>
  <c r="DU39" i="63" s="1"/>
  <c r="DU40" i="63" s="1"/>
  <c r="DU41" i="63" s="1"/>
  <c r="DU42" i="63" s="1"/>
  <c r="DU43" i="63" s="1"/>
  <c r="DU44" i="63" s="1"/>
  <c r="DU45" i="63" s="1"/>
  <c r="DU46" i="63" s="1"/>
  <c r="DU47" i="63" s="1"/>
  <c r="DU48" i="63" s="1"/>
  <c r="DU49" i="63" s="1"/>
  <c r="DU50" i="63" s="1"/>
  <c r="DU51" i="63" s="1"/>
  <c r="DU52" i="63" s="1"/>
  <c r="DU53" i="63" s="1"/>
  <c r="DU54" i="63" s="1"/>
  <c r="DU55" i="63" s="1"/>
  <c r="DU56" i="63" s="1"/>
  <c r="DU57" i="63" s="1"/>
  <c r="DU58" i="63" s="1"/>
  <c r="DU59" i="63" s="1"/>
  <c r="DU60" i="63" s="1"/>
  <c r="DU61" i="63" s="1"/>
  <c r="DU62" i="63" s="1"/>
  <c r="DU63" i="63" s="1"/>
  <c r="DU64" i="63" s="1"/>
  <c r="DU65" i="63" s="1"/>
  <c r="DU66" i="63" s="1"/>
  <c r="DU67" i="63" s="1"/>
  <c r="DU68" i="63" s="1"/>
  <c r="DU69" i="63" s="1"/>
  <c r="DU70" i="63" s="1"/>
  <c r="DU71" i="63" s="1"/>
  <c r="DU72" i="63" s="1"/>
  <c r="DU73" i="63" s="1"/>
  <c r="DU74" i="63" s="1"/>
  <c r="DU75" i="63" s="1"/>
  <c r="DU76" i="63" s="1"/>
  <c r="DU77" i="63" s="1"/>
  <c r="DU78" i="63" s="1"/>
  <c r="DU79" i="63" s="1"/>
  <c r="DU80" i="63" s="1"/>
  <c r="DU81" i="63" s="1"/>
  <c r="DU82" i="63" s="1"/>
  <c r="DU83" i="63" s="1"/>
  <c r="DU84" i="63" s="1"/>
  <c r="DU85" i="63" s="1"/>
  <c r="DU86" i="63" s="1"/>
  <c r="DU87" i="63" s="1"/>
  <c r="DU88" i="63" s="1"/>
  <c r="DU89" i="63" s="1"/>
  <c r="DU90" i="63" s="1"/>
  <c r="DU91" i="63" s="1"/>
  <c r="DU92" i="63" s="1"/>
  <c r="DU93" i="63" s="1"/>
  <c r="DU94" i="63" s="1"/>
  <c r="DU95" i="63" s="1"/>
  <c r="DU96" i="63" s="1"/>
  <c r="DU97" i="63" s="1"/>
  <c r="DU98" i="63" s="1"/>
  <c r="DU99" i="63" s="1"/>
  <c r="DU100" i="63" s="1"/>
  <c r="DU101" i="63" s="1"/>
  <c r="DU102" i="63" s="1"/>
  <c r="DU103" i="63" s="1"/>
  <c r="DU104" i="63" s="1"/>
  <c r="DU105" i="63" s="1"/>
  <c r="DU106" i="63" s="1"/>
  <c r="DU107" i="63" s="1"/>
  <c r="DU108" i="63" s="1"/>
  <c r="DU109" i="63" s="1"/>
  <c r="DU110" i="63" s="1"/>
  <c r="DU111" i="63" s="1"/>
  <c r="DU112" i="63" s="1"/>
  <c r="DU113" i="63" s="1"/>
  <c r="DU114" i="63" s="1"/>
  <c r="DU115" i="63" s="1"/>
  <c r="DU116" i="63" s="1"/>
  <c r="DU117" i="63" s="1"/>
  <c r="DU118" i="63" s="1"/>
  <c r="DU119" i="63" s="1"/>
  <c r="DU120" i="63" s="1"/>
  <c r="DU121" i="63" s="1"/>
  <c r="DU122" i="63" s="1"/>
  <c r="DU123" i="63" s="1"/>
  <c r="DU124" i="63" s="1"/>
  <c r="DU125" i="63" s="1"/>
  <c r="DU126" i="63" s="1"/>
  <c r="DU127" i="63" s="1"/>
  <c r="DU128" i="63" s="1"/>
  <c r="DU129" i="63" s="1"/>
  <c r="DU130" i="63" s="1"/>
  <c r="DU131" i="63" s="1"/>
  <c r="DU132" i="63" s="1"/>
  <c r="DU133" i="63" s="1"/>
  <c r="DU134" i="63" s="1"/>
  <c r="DU135" i="63" s="1"/>
  <c r="DU136" i="63" s="1"/>
  <c r="DU137" i="63" s="1"/>
  <c r="DU138" i="63" s="1"/>
  <c r="DU139" i="63" s="1"/>
  <c r="DU140" i="63" s="1"/>
  <c r="DU141" i="63" s="1"/>
  <c r="DU142" i="63" s="1"/>
  <c r="DU143" i="63" s="1"/>
  <c r="DU144" i="63" s="1"/>
  <c r="DU145" i="63" s="1"/>
  <c r="DU146" i="63" s="1"/>
  <c r="DU147" i="63" s="1"/>
  <c r="DU148" i="63" s="1"/>
  <c r="DU149" i="63" s="1"/>
  <c r="DU150" i="63" s="1"/>
  <c r="DU151" i="63" s="1"/>
  <c r="DU152" i="63" s="1"/>
  <c r="DU153" i="63" s="1"/>
  <c r="DU154" i="63" s="1"/>
  <c r="DU155" i="63" s="1"/>
  <c r="DU156" i="63" s="1"/>
  <c r="DU157" i="63" s="1"/>
  <c r="DU158" i="63" s="1"/>
  <c r="DU159" i="63" s="1"/>
  <c r="DU160" i="63" s="1"/>
  <c r="DU161" i="63" s="1"/>
  <c r="DU162" i="63" s="1"/>
  <c r="DU163" i="63" s="1"/>
  <c r="DU164" i="63" s="1"/>
  <c r="DU165" i="63" s="1"/>
  <c r="DU166" i="63" s="1"/>
  <c r="DU167" i="63" s="1"/>
  <c r="DU168" i="63" s="1"/>
  <c r="DU169" i="63" s="1"/>
  <c r="DU170" i="63" s="1"/>
  <c r="DU171" i="63" s="1"/>
  <c r="DU172" i="63" s="1"/>
  <c r="DU173" i="63" s="1"/>
  <c r="DU174" i="63" s="1"/>
  <c r="DU175" i="63" s="1"/>
  <c r="DU176" i="63" s="1"/>
  <c r="DU177" i="63" s="1"/>
  <c r="DU178" i="63" s="1"/>
  <c r="DU179" i="63" s="1"/>
  <c r="DU180" i="63" s="1"/>
  <c r="DU181" i="63" s="1"/>
  <c r="DU182" i="63" s="1"/>
  <c r="DU183" i="63" s="1"/>
  <c r="DU184" i="63" s="1"/>
  <c r="DU185" i="63" s="1"/>
  <c r="DU186" i="63" s="1"/>
  <c r="DU187" i="63" s="1"/>
  <c r="DU188" i="63" s="1"/>
  <c r="DU189" i="63" s="1"/>
  <c r="DU190" i="63" s="1"/>
  <c r="DU191" i="63" s="1"/>
  <c r="DU192" i="63" s="1"/>
  <c r="DU193" i="63" s="1"/>
  <c r="DU194" i="63" s="1"/>
  <c r="DU195" i="63" s="1"/>
  <c r="DU196" i="63" s="1"/>
  <c r="DU197" i="63" s="1"/>
  <c r="DU198" i="63" s="1"/>
  <c r="DU199" i="63" s="1"/>
  <c r="DU200" i="63" s="1"/>
  <c r="DU201" i="63" s="1"/>
  <c r="DU202" i="63" s="1"/>
  <c r="DU203" i="63" s="1"/>
  <c r="DU204" i="63" s="1"/>
  <c r="DU205" i="63" s="1"/>
  <c r="DU206" i="63" s="1"/>
  <c r="DU207" i="63" s="1"/>
  <c r="DU208" i="63" s="1"/>
  <c r="DU209" i="63" s="1"/>
  <c r="DU210" i="63" s="1"/>
  <c r="DU211" i="63" s="1"/>
  <c r="DU212" i="63" s="1"/>
  <c r="DU213" i="63" s="1"/>
  <c r="DU214" i="63" s="1"/>
  <c r="DU215" i="63" s="1"/>
  <c r="DU216" i="63" s="1"/>
  <c r="DU217" i="63" s="1"/>
  <c r="DU218" i="63" s="1"/>
  <c r="DU219" i="63" s="1"/>
  <c r="DU220" i="63" s="1"/>
  <c r="DU221" i="63" s="1"/>
  <c r="DU222" i="63" s="1"/>
  <c r="DU223" i="63" s="1"/>
  <c r="DU224" i="63" s="1"/>
  <c r="DU225" i="63" s="1"/>
  <c r="DU226" i="63" s="1"/>
  <c r="DU227" i="63" s="1"/>
  <c r="DU228" i="63" s="1"/>
  <c r="DU229" i="63" s="1"/>
  <c r="DU230" i="63" s="1"/>
  <c r="DU231" i="63" s="1"/>
  <c r="DU232" i="63" s="1"/>
  <c r="DU233" i="63" s="1"/>
  <c r="DU234" i="63" s="1"/>
  <c r="DU235" i="63" s="1"/>
  <c r="DU236" i="63" s="1"/>
  <c r="DU237" i="63" s="1"/>
  <c r="DU238" i="63" s="1"/>
  <c r="DU239" i="63" s="1"/>
  <c r="DU240" i="63" s="1"/>
  <c r="DU241" i="63" s="1"/>
  <c r="DU242" i="63" s="1"/>
  <c r="DU243" i="63" s="1"/>
  <c r="DU244" i="63" s="1"/>
  <c r="DU245" i="63" s="1"/>
  <c r="DU246" i="63" s="1"/>
  <c r="DU247" i="63" s="1"/>
  <c r="DU248" i="63" s="1"/>
  <c r="DU249" i="63" s="1"/>
  <c r="DU250" i="63" s="1"/>
  <c r="DU251" i="63" s="1"/>
  <c r="DU252" i="63" s="1"/>
  <c r="DU253" i="63" s="1"/>
  <c r="DU254" i="63" s="1"/>
  <c r="DU255" i="63" s="1"/>
  <c r="DU256" i="63" s="1"/>
  <c r="DU257" i="63" s="1"/>
  <c r="DU258" i="63" s="1"/>
  <c r="DU259" i="63" s="1"/>
  <c r="DU260" i="63" s="1"/>
  <c r="DU261" i="63" s="1"/>
  <c r="DU262" i="63" s="1"/>
  <c r="DU263" i="63" s="1"/>
  <c r="DU264" i="63" s="1"/>
  <c r="DU265" i="63" s="1"/>
  <c r="DU266" i="63" s="1"/>
  <c r="DU267" i="63" s="1"/>
  <c r="DU268" i="63" s="1"/>
  <c r="DU269" i="63" s="1"/>
  <c r="DU270" i="63" s="1"/>
  <c r="DU271" i="63" s="1"/>
  <c r="DU272" i="63" s="1"/>
  <c r="DU273" i="63" s="1"/>
  <c r="DU274" i="63" s="1"/>
  <c r="DU275" i="63" s="1"/>
  <c r="DU276" i="63" s="1"/>
  <c r="DU277" i="63" s="1"/>
  <c r="DU278" i="63" s="1"/>
  <c r="DU279" i="63" s="1"/>
  <c r="DU280" i="63" s="1"/>
  <c r="DU281" i="63" s="1"/>
  <c r="DU282" i="63" s="1"/>
  <c r="DU283" i="63" s="1"/>
  <c r="DU284" i="63" s="1"/>
  <c r="DU285" i="63" s="1"/>
  <c r="DU286" i="63" s="1"/>
  <c r="DU287" i="63" s="1"/>
  <c r="DU288" i="63" s="1"/>
  <c r="DU289" i="63" s="1"/>
  <c r="DU290" i="63" s="1"/>
  <c r="DU291" i="63" s="1"/>
  <c r="DU292" i="63" s="1"/>
  <c r="DU293" i="63" s="1"/>
  <c r="DU294" i="63" s="1"/>
  <c r="DU295" i="63" s="1"/>
  <c r="DU296" i="63" s="1"/>
  <c r="DU297" i="63" s="1"/>
  <c r="DU298" i="63" s="1"/>
  <c r="DU299" i="63" s="1"/>
  <c r="DU300" i="63" s="1"/>
  <c r="DU301" i="63" s="1"/>
  <c r="DU302" i="63" s="1"/>
  <c r="DU303" i="63" s="1"/>
  <c r="DU304" i="63" s="1"/>
  <c r="DU305" i="63" s="1"/>
  <c r="DU306" i="63" s="1"/>
  <c r="DU307" i="63" s="1"/>
  <c r="DU308" i="63" s="1"/>
  <c r="DR9" i="63"/>
  <c r="DR10" i="63" s="1"/>
  <c r="DR11" i="63" s="1"/>
  <c r="DR12" i="63" s="1"/>
  <c r="DR13" i="63" s="1"/>
  <c r="DR14" i="63" s="1"/>
  <c r="DR15" i="63" s="1"/>
  <c r="DR16" i="63" s="1"/>
  <c r="DR17" i="63" s="1"/>
  <c r="DR18" i="63" s="1"/>
  <c r="DR19" i="63" s="1"/>
  <c r="DR20" i="63" s="1"/>
  <c r="DR21" i="63" s="1"/>
  <c r="DR22" i="63" s="1"/>
  <c r="DR23" i="63" s="1"/>
  <c r="DR24" i="63" s="1"/>
  <c r="DR25" i="63" s="1"/>
  <c r="DR26" i="63" s="1"/>
  <c r="DR27" i="63" s="1"/>
  <c r="DR28" i="63" s="1"/>
  <c r="DR29" i="63" s="1"/>
  <c r="DR30" i="63" s="1"/>
  <c r="DR31" i="63" s="1"/>
  <c r="DR32" i="63" s="1"/>
  <c r="DR33" i="63" s="1"/>
  <c r="DR34" i="63" s="1"/>
  <c r="DR35" i="63" s="1"/>
  <c r="DR36" i="63" s="1"/>
  <c r="DR37" i="63" s="1"/>
  <c r="DR38" i="63" s="1"/>
  <c r="DR39" i="63" s="1"/>
  <c r="DR40" i="63" s="1"/>
  <c r="DR41" i="63" s="1"/>
  <c r="DR42" i="63" s="1"/>
  <c r="DR43" i="63" s="1"/>
  <c r="DR44" i="63" s="1"/>
  <c r="DR45" i="63" s="1"/>
  <c r="DR46" i="63" s="1"/>
  <c r="DR47" i="63" s="1"/>
  <c r="DR48" i="63" s="1"/>
  <c r="DR49" i="63" s="1"/>
  <c r="DR50" i="63" s="1"/>
  <c r="DR51" i="63" s="1"/>
  <c r="DR52" i="63" s="1"/>
  <c r="DR53" i="63" s="1"/>
  <c r="DR54" i="63" s="1"/>
  <c r="DR55" i="63" s="1"/>
  <c r="DR56" i="63" s="1"/>
  <c r="DR57" i="63" s="1"/>
  <c r="DR58" i="63" s="1"/>
  <c r="DR59" i="63" s="1"/>
  <c r="DR60" i="63" s="1"/>
  <c r="DR61" i="63" s="1"/>
  <c r="DR62" i="63" s="1"/>
  <c r="DR63" i="63" s="1"/>
  <c r="DR64" i="63" s="1"/>
  <c r="DR65" i="63" s="1"/>
  <c r="DR66" i="63" s="1"/>
  <c r="DR67" i="63" s="1"/>
  <c r="DR68" i="63" s="1"/>
  <c r="DR69" i="63" s="1"/>
  <c r="DR70" i="63" s="1"/>
  <c r="DR71" i="63" s="1"/>
  <c r="DR72" i="63" s="1"/>
  <c r="DR73" i="63" s="1"/>
  <c r="DR74" i="63" s="1"/>
  <c r="DR75" i="63" s="1"/>
  <c r="DR76" i="63" s="1"/>
  <c r="DR77" i="63" s="1"/>
  <c r="DR78" i="63" s="1"/>
  <c r="DR79" i="63" s="1"/>
  <c r="DR80" i="63" s="1"/>
  <c r="DR81" i="63" s="1"/>
  <c r="DR82" i="63" s="1"/>
  <c r="DR83" i="63" s="1"/>
  <c r="DR84" i="63" s="1"/>
  <c r="DR85" i="63" s="1"/>
  <c r="DR86" i="63" s="1"/>
  <c r="DR87" i="63" s="1"/>
  <c r="DR88" i="63" s="1"/>
  <c r="DR89" i="63" s="1"/>
  <c r="DR90" i="63" s="1"/>
  <c r="DR91" i="63" s="1"/>
  <c r="DR92" i="63" s="1"/>
  <c r="DR93" i="63" s="1"/>
  <c r="DR94" i="63" s="1"/>
  <c r="DR95" i="63" s="1"/>
  <c r="DR96" i="63" s="1"/>
  <c r="DR97" i="63" s="1"/>
  <c r="DR98" i="63" s="1"/>
  <c r="DR99" i="63" s="1"/>
  <c r="DR100" i="63" s="1"/>
  <c r="DR101" i="63" s="1"/>
  <c r="DR102" i="63" s="1"/>
  <c r="DR103" i="63" s="1"/>
  <c r="DR104" i="63" s="1"/>
  <c r="DR105" i="63" s="1"/>
  <c r="DR106" i="63" s="1"/>
  <c r="DR107" i="63" s="1"/>
  <c r="DR108" i="63" s="1"/>
  <c r="DR109" i="63" s="1"/>
  <c r="DR110" i="63" s="1"/>
  <c r="DR111" i="63" s="1"/>
  <c r="DR112" i="63" s="1"/>
  <c r="DR113" i="63" s="1"/>
  <c r="DR114" i="63" s="1"/>
  <c r="DR115" i="63" s="1"/>
  <c r="DR116" i="63" s="1"/>
  <c r="DR117" i="63" s="1"/>
  <c r="DR118" i="63" s="1"/>
  <c r="DR119" i="63" s="1"/>
  <c r="DR120" i="63" s="1"/>
  <c r="DR121" i="63" s="1"/>
  <c r="DR122" i="63" s="1"/>
  <c r="DR123" i="63" s="1"/>
  <c r="DR124" i="63" s="1"/>
  <c r="DR125" i="63" s="1"/>
  <c r="DR126" i="63" s="1"/>
  <c r="DR127" i="63" s="1"/>
  <c r="DR128" i="63" s="1"/>
  <c r="DR129" i="63" s="1"/>
  <c r="DR130" i="63" s="1"/>
  <c r="DR131" i="63" s="1"/>
  <c r="DR132" i="63" s="1"/>
  <c r="DR133" i="63" s="1"/>
  <c r="DR134" i="63" s="1"/>
  <c r="DR135" i="63" s="1"/>
  <c r="DR136" i="63" s="1"/>
  <c r="DR137" i="63" s="1"/>
  <c r="DR138" i="63" s="1"/>
  <c r="DR139" i="63" s="1"/>
  <c r="DR140" i="63" s="1"/>
  <c r="DR141" i="63" s="1"/>
  <c r="DR142" i="63" s="1"/>
  <c r="DR143" i="63" s="1"/>
  <c r="DR144" i="63" s="1"/>
  <c r="DR145" i="63" s="1"/>
  <c r="DR146" i="63" s="1"/>
  <c r="DR147" i="63" s="1"/>
  <c r="DR148" i="63" s="1"/>
  <c r="DR149" i="63" s="1"/>
  <c r="DR150" i="63" s="1"/>
  <c r="DR151" i="63" s="1"/>
  <c r="DR152" i="63" s="1"/>
  <c r="DR153" i="63" s="1"/>
  <c r="DR154" i="63" s="1"/>
  <c r="DR155" i="63" s="1"/>
  <c r="DR156" i="63" s="1"/>
  <c r="DR157" i="63" s="1"/>
  <c r="DR158" i="63" s="1"/>
  <c r="DR159" i="63" s="1"/>
  <c r="DR160" i="63" s="1"/>
  <c r="DR161" i="63" s="1"/>
  <c r="DR162" i="63" s="1"/>
  <c r="DR163" i="63" s="1"/>
  <c r="DR164" i="63" s="1"/>
  <c r="DR165" i="63" s="1"/>
  <c r="DR166" i="63" s="1"/>
  <c r="DR167" i="63" s="1"/>
  <c r="DR168" i="63" s="1"/>
  <c r="DR169" i="63" s="1"/>
  <c r="DR170" i="63" s="1"/>
  <c r="DR171" i="63" s="1"/>
  <c r="DR172" i="63" s="1"/>
  <c r="DR173" i="63" s="1"/>
  <c r="DR174" i="63" s="1"/>
  <c r="DR175" i="63" s="1"/>
  <c r="DR176" i="63" s="1"/>
  <c r="DR177" i="63" s="1"/>
  <c r="DR178" i="63" s="1"/>
  <c r="DR179" i="63" s="1"/>
  <c r="DR180" i="63" s="1"/>
  <c r="DR181" i="63" s="1"/>
  <c r="DR182" i="63" s="1"/>
  <c r="DR183" i="63" s="1"/>
  <c r="DR184" i="63" s="1"/>
  <c r="DR185" i="63" s="1"/>
  <c r="DR186" i="63" s="1"/>
  <c r="DR187" i="63" s="1"/>
  <c r="DR188" i="63" s="1"/>
  <c r="DR189" i="63" s="1"/>
  <c r="DR190" i="63" s="1"/>
  <c r="DR191" i="63" s="1"/>
  <c r="DR192" i="63" s="1"/>
  <c r="DR193" i="63" s="1"/>
  <c r="DR194" i="63" s="1"/>
  <c r="DR195" i="63" s="1"/>
  <c r="DR196" i="63" s="1"/>
  <c r="DR197" i="63" s="1"/>
  <c r="DR198" i="63" s="1"/>
  <c r="DR199" i="63" s="1"/>
  <c r="DR200" i="63" s="1"/>
  <c r="DR201" i="63" s="1"/>
  <c r="DR202" i="63" s="1"/>
  <c r="DR203" i="63" s="1"/>
  <c r="DR204" i="63" s="1"/>
  <c r="DR205" i="63" s="1"/>
  <c r="DR206" i="63" s="1"/>
  <c r="DR207" i="63" s="1"/>
  <c r="DR208" i="63" s="1"/>
  <c r="DR209" i="63" s="1"/>
  <c r="DR210" i="63" s="1"/>
  <c r="DR211" i="63" s="1"/>
  <c r="DR212" i="63" s="1"/>
  <c r="DR213" i="63" s="1"/>
  <c r="DR214" i="63" s="1"/>
  <c r="DR215" i="63" s="1"/>
  <c r="DR216" i="63" s="1"/>
  <c r="DR217" i="63" s="1"/>
  <c r="DR218" i="63" s="1"/>
  <c r="DR219" i="63" s="1"/>
  <c r="DR220" i="63" s="1"/>
  <c r="DR221" i="63" s="1"/>
  <c r="DR222" i="63" s="1"/>
  <c r="DR223" i="63" s="1"/>
  <c r="DR224" i="63" s="1"/>
  <c r="DR225" i="63" s="1"/>
  <c r="DR226" i="63" s="1"/>
  <c r="DR227" i="63" s="1"/>
  <c r="DR228" i="63" s="1"/>
  <c r="DR229" i="63" s="1"/>
  <c r="DR230" i="63" s="1"/>
  <c r="DR231" i="63" s="1"/>
  <c r="DR232" i="63" s="1"/>
  <c r="DR233" i="63" s="1"/>
  <c r="DR234" i="63" s="1"/>
  <c r="DR235" i="63" s="1"/>
  <c r="DR236" i="63" s="1"/>
  <c r="DR237" i="63" s="1"/>
  <c r="DR238" i="63" s="1"/>
  <c r="DR239" i="63" s="1"/>
  <c r="DR240" i="63" s="1"/>
  <c r="DR241" i="63" s="1"/>
  <c r="DR242" i="63" s="1"/>
  <c r="DR243" i="63" s="1"/>
  <c r="DR244" i="63" s="1"/>
  <c r="DR245" i="63" s="1"/>
  <c r="DR246" i="63" s="1"/>
  <c r="DR247" i="63" s="1"/>
  <c r="DR248" i="63" s="1"/>
  <c r="DR249" i="63" s="1"/>
  <c r="DR250" i="63" s="1"/>
  <c r="DR251" i="63" s="1"/>
  <c r="DR252" i="63" s="1"/>
  <c r="DR253" i="63" s="1"/>
  <c r="DR254" i="63" s="1"/>
  <c r="DR255" i="63" s="1"/>
  <c r="DR256" i="63" s="1"/>
  <c r="DR257" i="63" s="1"/>
  <c r="DR258" i="63" s="1"/>
  <c r="DR259" i="63" s="1"/>
  <c r="DR260" i="63" s="1"/>
  <c r="DR261" i="63" s="1"/>
  <c r="DR262" i="63" s="1"/>
  <c r="DR263" i="63" s="1"/>
  <c r="DR264" i="63" s="1"/>
  <c r="DR265" i="63" s="1"/>
  <c r="DR266" i="63" s="1"/>
  <c r="DR267" i="63" s="1"/>
  <c r="DR268" i="63" s="1"/>
  <c r="DR269" i="63" s="1"/>
  <c r="DR270" i="63" s="1"/>
  <c r="DR271" i="63" s="1"/>
  <c r="DR272" i="63" s="1"/>
  <c r="DR273" i="63" s="1"/>
  <c r="DR274" i="63" s="1"/>
  <c r="DR275" i="63" s="1"/>
  <c r="DR276" i="63" s="1"/>
  <c r="DR277" i="63" s="1"/>
  <c r="DR278" i="63" s="1"/>
  <c r="DR279" i="63" s="1"/>
  <c r="DR280" i="63" s="1"/>
  <c r="DR281" i="63" s="1"/>
  <c r="DR282" i="63" s="1"/>
  <c r="DR283" i="63" s="1"/>
  <c r="DR284" i="63" s="1"/>
  <c r="DR285" i="63" s="1"/>
  <c r="DR286" i="63" s="1"/>
  <c r="DR287" i="63" s="1"/>
  <c r="DR288" i="63" s="1"/>
  <c r="DR289" i="63" s="1"/>
  <c r="DR290" i="63" s="1"/>
  <c r="DR291" i="63" s="1"/>
  <c r="DR292" i="63" s="1"/>
  <c r="DR293" i="63" s="1"/>
  <c r="DR294" i="63" s="1"/>
  <c r="DR295" i="63" s="1"/>
  <c r="DR296" i="63" s="1"/>
  <c r="DR297" i="63" s="1"/>
  <c r="DR298" i="63" s="1"/>
  <c r="DR299" i="63" s="1"/>
  <c r="DR300" i="63" s="1"/>
  <c r="DR301" i="63" s="1"/>
  <c r="DR302" i="63" s="1"/>
  <c r="DR303" i="63" s="1"/>
  <c r="DR304" i="63" s="1"/>
  <c r="DR305" i="63" s="1"/>
  <c r="DR306" i="63" s="1"/>
  <c r="DR307" i="63" s="1"/>
  <c r="DR308" i="63" s="1"/>
  <c r="DQ9" i="63"/>
  <c r="DQ10" i="63" s="1"/>
  <c r="DQ11" i="63" s="1"/>
  <c r="DQ12" i="63" s="1"/>
  <c r="DQ13" i="63" s="1"/>
  <c r="DQ14" i="63" s="1"/>
  <c r="DQ15" i="63" s="1"/>
  <c r="DQ16" i="63" s="1"/>
  <c r="DQ17" i="63" s="1"/>
  <c r="DQ18" i="63" s="1"/>
  <c r="DQ19" i="63" s="1"/>
  <c r="DQ20" i="63" s="1"/>
  <c r="DQ21" i="63" s="1"/>
  <c r="DQ22" i="63" s="1"/>
  <c r="DQ23" i="63" s="1"/>
  <c r="DQ24" i="63" s="1"/>
  <c r="DQ25" i="63" s="1"/>
  <c r="DQ26" i="63" s="1"/>
  <c r="DQ27" i="63" s="1"/>
  <c r="DQ28" i="63" s="1"/>
  <c r="DQ29" i="63" s="1"/>
  <c r="DQ30" i="63" s="1"/>
  <c r="DQ31" i="63" s="1"/>
  <c r="DQ32" i="63" s="1"/>
  <c r="DQ33" i="63" s="1"/>
  <c r="DQ34" i="63" s="1"/>
  <c r="DQ35" i="63" s="1"/>
  <c r="DQ36" i="63" s="1"/>
  <c r="DQ37" i="63" s="1"/>
  <c r="DQ38" i="63" s="1"/>
  <c r="DQ39" i="63" s="1"/>
  <c r="DQ40" i="63" s="1"/>
  <c r="DQ41" i="63" s="1"/>
  <c r="DQ42" i="63" s="1"/>
  <c r="DQ43" i="63" s="1"/>
  <c r="DQ44" i="63" s="1"/>
  <c r="DQ45" i="63" s="1"/>
  <c r="DQ46" i="63" s="1"/>
  <c r="DQ47" i="63" s="1"/>
  <c r="DQ48" i="63" s="1"/>
  <c r="DQ49" i="63" s="1"/>
  <c r="DQ50" i="63" s="1"/>
  <c r="DQ51" i="63" s="1"/>
  <c r="DQ52" i="63" s="1"/>
  <c r="DQ53" i="63" s="1"/>
  <c r="DQ54" i="63" s="1"/>
  <c r="DQ55" i="63" s="1"/>
  <c r="DQ56" i="63" s="1"/>
  <c r="DQ57" i="63" s="1"/>
  <c r="DQ58" i="63" s="1"/>
  <c r="DQ59" i="63" s="1"/>
  <c r="DQ60" i="63" s="1"/>
  <c r="DQ61" i="63" s="1"/>
  <c r="DQ62" i="63" s="1"/>
  <c r="DQ63" i="63" s="1"/>
  <c r="DQ64" i="63" s="1"/>
  <c r="DQ65" i="63" s="1"/>
  <c r="DQ66" i="63" s="1"/>
  <c r="DQ67" i="63" s="1"/>
  <c r="DQ68" i="63" s="1"/>
  <c r="DQ69" i="63" s="1"/>
  <c r="DQ70" i="63" s="1"/>
  <c r="DQ71" i="63" s="1"/>
  <c r="DQ72" i="63" s="1"/>
  <c r="DQ73" i="63" s="1"/>
  <c r="DQ74" i="63" s="1"/>
  <c r="DQ75" i="63" s="1"/>
  <c r="DQ76" i="63" s="1"/>
  <c r="DQ77" i="63" s="1"/>
  <c r="DQ78" i="63" s="1"/>
  <c r="DQ79" i="63" s="1"/>
  <c r="DQ80" i="63" s="1"/>
  <c r="DQ81" i="63" s="1"/>
  <c r="DQ82" i="63" s="1"/>
  <c r="DQ83" i="63" s="1"/>
  <c r="DQ84" i="63" s="1"/>
  <c r="DQ85" i="63" s="1"/>
  <c r="DQ86" i="63" s="1"/>
  <c r="DQ87" i="63" s="1"/>
  <c r="DQ88" i="63" s="1"/>
  <c r="DQ89" i="63" s="1"/>
  <c r="DQ90" i="63" s="1"/>
  <c r="DQ91" i="63" s="1"/>
  <c r="DQ92" i="63" s="1"/>
  <c r="DQ93" i="63" s="1"/>
  <c r="DQ94" i="63" s="1"/>
  <c r="DQ95" i="63" s="1"/>
  <c r="DQ96" i="63" s="1"/>
  <c r="DQ97" i="63" s="1"/>
  <c r="DQ98" i="63" s="1"/>
  <c r="DQ99" i="63" s="1"/>
  <c r="DQ100" i="63" s="1"/>
  <c r="DQ101" i="63" s="1"/>
  <c r="DQ102" i="63" s="1"/>
  <c r="DQ103" i="63" s="1"/>
  <c r="DQ104" i="63" s="1"/>
  <c r="DQ105" i="63" s="1"/>
  <c r="DQ106" i="63" s="1"/>
  <c r="DQ107" i="63" s="1"/>
  <c r="DQ108" i="63" s="1"/>
  <c r="DQ109" i="63" s="1"/>
  <c r="DQ110" i="63" s="1"/>
  <c r="DQ111" i="63" s="1"/>
  <c r="DQ112" i="63" s="1"/>
  <c r="DQ113" i="63" s="1"/>
  <c r="DQ114" i="63" s="1"/>
  <c r="DQ115" i="63" s="1"/>
  <c r="DQ116" i="63" s="1"/>
  <c r="DQ117" i="63" s="1"/>
  <c r="DQ118" i="63" s="1"/>
  <c r="DQ119" i="63" s="1"/>
  <c r="DQ120" i="63" s="1"/>
  <c r="DQ121" i="63" s="1"/>
  <c r="DQ122" i="63" s="1"/>
  <c r="DQ123" i="63" s="1"/>
  <c r="DQ124" i="63" s="1"/>
  <c r="DQ125" i="63" s="1"/>
  <c r="DQ126" i="63" s="1"/>
  <c r="DQ127" i="63" s="1"/>
  <c r="DQ128" i="63" s="1"/>
  <c r="DQ129" i="63" s="1"/>
  <c r="DQ130" i="63" s="1"/>
  <c r="DQ131" i="63" s="1"/>
  <c r="DQ132" i="63" s="1"/>
  <c r="DQ133" i="63" s="1"/>
  <c r="DQ134" i="63" s="1"/>
  <c r="DQ135" i="63" s="1"/>
  <c r="DQ136" i="63" s="1"/>
  <c r="DQ137" i="63" s="1"/>
  <c r="DQ138" i="63" s="1"/>
  <c r="DQ139" i="63" s="1"/>
  <c r="DQ140" i="63" s="1"/>
  <c r="DQ141" i="63" s="1"/>
  <c r="DQ142" i="63" s="1"/>
  <c r="DQ143" i="63" s="1"/>
  <c r="DQ144" i="63" s="1"/>
  <c r="DQ145" i="63" s="1"/>
  <c r="DQ146" i="63" s="1"/>
  <c r="DQ147" i="63" s="1"/>
  <c r="DQ148" i="63" s="1"/>
  <c r="DQ149" i="63" s="1"/>
  <c r="DQ150" i="63" s="1"/>
  <c r="DQ151" i="63" s="1"/>
  <c r="DQ152" i="63" s="1"/>
  <c r="DQ153" i="63" s="1"/>
  <c r="DQ154" i="63" s="1"/>
  <c r="DQ155" i="63" s="1"/>
  <c r="DQ156" i="63" s="1"/>
  <c r="DQ157" i="63" s="1"/>
  <c r="DQ158" i="63" s="1"/>
  <c r="DQ159" i="63" s="1"/>
  <c r="DQ160" i="63" s="1"/>
  <c r="DQ161" i="63" s="1"/>
  <c r="DQ162" i="63" s="1"/>
  <c r="DQ163" i="63" s="1"/>
  <c r="DQ164" i="63" s="1"/>
  <c r="DQ165" i="63" s="1"/>
  <c r="DQ166" i="63" s="1"/>
  <c r="DQ167" i="63" s="1"/>
  <c r="DQ168" i="63" s="1"/>
  <c r="DQ169" i="63" s="1"/>
  <c r="DQ170" i="63" s="1"/>
  <c r="DQ171" i="63" s="1"/>
  <c r="DQ172" i="63" s="1"/>
  <c r="DQ173" i="63" s="1"/>
  <c r="DQ174" i="63" s="1"/>
  <c r="DQ175" i="63" s="1"/>
  <c r="DQ176" i="63" s="1"/>
  <c r="DQ177" i="63" s="1"/>
  <c r="DQ178" i="63" s="1"/>
  <c r="DQ179" i="63" s="1"/>
  <c r="DQ180" i="63" s="1"/>
  <c r="DQ181" i="63" s="1"/>
  <c r="DQ182" i="63" s="1"/>
  <c r="DQ183" i="63" s="1"/>
  <c r="DQ184" i="63" s="1"/>
  <c r="DQ185" i="63" s="1"/>
  <c r="DQ186" i="63" s="1"/>
  <c r="DQ187" i="63" s="1"/>
  <c r="DQ188" i="63" s="1"/>
  <c r="DQ189" i="63" s="1"/>
  <c r="DQ190" i="63" s="1"/>
  <c r="DQ191" i="63" s="1"/>
  <c r="DQ192" i="63" s="1"/>
  <c r="DQ193" i="63" s="1"/>
  <c r="DQ194" i="63" s="1"/>
  <c r="DQ195" i="63" s="1"/>
  <c r="DQ196" i="63" s="1"/>
  <c r="DQ197" i="63" s="1"/>
  <c r="DQ198" i="63" s="1"/>
  <c r="DQ199" i="63" s="1"/>
  <c r="DQ200" i="63" s="1"/>
  <c r="DQ201" i="63" s="1"/>
  <c r="DQ202" i="63" s="1"/>
  <c r="DQ203" i="63" s="1"/>
  <c r="DQ204" i="63" s="1"/>
  <c r="DQ205" i="63" s="1"/>
  <c r="DQ206" i="63" s="1"/>
  <c r="DQ207" i="63" s="1"/>
  <c r="DQ208" i="63" s="1"/>
  <c r="DQ209" i="63" s="1"/>
  <c r="DQ210" i="63" s="1"/>
  <c r="DQ211" i="63" s="1"/>
  <c r="DQ212" i="63" s="1"/>
  <c r="DQ213" i="63" s="1"/>
  <c r="DQ214" i="63" s="1"/>
  <c r="DQ215" i="63" s="1"/>
  <c r="DQ216" i="63" s="1"/>
  <c r="DQ217" i="63" s="1"/>
  <c r="DQ218" i="63" s="1"/>
  <c r="DQ219" i="63" s="1"/>
  <c r="DQ220" i="63" s="1"/>
  <c r="DQ221" i="63" s="1"/>
  <c r="DQ222" i="63" s="1"/>
  <c r="DQ223" i="63" s="1"/>
  <c r="DQ224" i="63" s="1"/>
  <c r="DQ225" i="63" s="1"/>
  <c r="DQ226" i="63" s="1"/>
  <c r="DQ227" i="63" s="1"/>
  <c r="DQ228" i="63" s="1"/>
  <c r="DQ229" i="63" s="1"/>
  <c r="DQ230" i="63" s="1"/>
  <c r="DQ231" i="63" s="1"/>
  <c r="DQ232" i="63" s="1"/>
  <c r="DQ233" i="63" s="1"/>
  <c r="DQ234" i="63" s="1"/>
  <c r="DQ235" i="63" s="1"/>
  <c r="DQ236" i="63" s="1"/>
  <c r="DQ237" i="63" s="1"/>
  <c r="DQ238" i="63" s="1"/>
  <c r="DQ239" i="63" s="1"/>
  <c r="DQ240" i="63" s="1"/>
  <c r="DQ241" i="63" s="1"/>
  <c r="DQ242" i="63" s="1"/>
  <c r="DQ243" i="63" s="1"/>
  <c r="DQ244" i="63" s="1"/>
  <c r="DQ245" i="63" s="1"/>
  <c r="DQ246" i="63" s="1"/>
  <c r="DQ247" i="63" s="1"/>
  <c r="DQ248" i="63" s="1"/>
  <c r="DQ249" i="63" s="1"/>
  <c r="DQ250" i="63" s="1"/>
  <c r="DQ251" i="63" s="1"/>
  <c r="DQ252" i="63" s="1"/>
  <c r="DQ253" i="63" s="1"/>
  <c r="DQ254" i="63" s="1"/>
  <c r="DQ255" i="63" s="1"/>
  <c r="DQ256" i="63" s="1"/>
  <c r="DQ257" i="63" s="1"/>
  <c r="DQ258" i="63" s="1"/>
  <c r="DQ259" i="63" s="1"/>
  <c r="DQ260" i="63" s="1"/>
  <c r="DQ261" i="63" s="1"/>
  <c r="DQ262" i="63" s="1"/>
  <c r="DQ263" i="63" s="1"/>
  <c r="DQ264" i="63" s="1"/>
  <c r="DQ265" i="63" s="1"/>
  <c r="DQ266" i="63" s="1"/>
  <c r="DQ267" i="63" s="1"/>
  <c r="DQ268" i="63" s="1"/>
  <c r="DQ269" i="63" s="1"/>
  <c r="DQ270" i="63" s="1"/>
  <c r="DQ271" i="63" s="1"/>
  <c r="DQ272" i="63" s="1"/>
  <c r="DQ273" i="63" s="1"/>
  <c r="DQ274" i="63" s="1"/>
  <c r="DQ275" i="63" s="1"/>
  <c r="DQ276" i="63" s="1"/>
  <c r="DQ277" i="63" s="1"/>
  <c r="DQ278" i="63" s="1"/>
  <c r="DQ279" i="63" s="1"/>
  <c r="DQ280" i="63" s="1"/>
  <c r="DQ281" i="63" s="1"/>
  <c r="DQ282" i="63" s="1"/>
  <c r="DQ283" i="63" s="1"/>
  <c r="DQ284" i="63" s="1"/>
  <c r="DQ285" i="63" s="1"/>
  <c r="DQ286" i="63" s="1"/>
  <c r="DQ287" i="63" s="1"/>
  <c r="DQ288" i="63" s="1"/>
  <c r="DQ289" i="63" s="1"/>
  <c r="DQ290" i="63" s="1"/>
  <c r="DQ291" i="63" s="1"/>
  <c r="DQ292" i="63" s="1"/>
  <c r="DQ293" i="63" s="1"/>
  <c r="DQ294" i="63" s="1"/>
  <c r="DQ295" i="63" s="1"/>
  <c r="DQ296" i="63" s="1"/>
  <c r="DQ297" i="63" s="1"/>
  <c r="DQ298" i="63" s="1"/>
  <c r="DQ299" i="63" s="1"/>
  <c r="DQ300" i="63" s="1"/>
  <c r="DQ301" i="63" s="1"/>
  <c r="DQ302" i="63" s="1"/>
  <c r="DQ303" i="63" s="1"/>
  <c r="DQ304" i="63" s="1"/>
  <c r="DQ305" i="63" s="1"/>
  <c r="DQ306" i="63" s="1"/>
  <c r="DQ307" i="63" s="1"/>
  <c r="DQ308" i="63" s="1"/>
  <c r="DP9" i="63"/>
  <c r="DP10" i="63" s="1"/>
  <c r="DP11" i="63" s="1"/>
  <c r="DP12" i="63" s="1"/>
  <c r="DP13" i="63" s="1"/>
  <c r="DP14" i="63" s="1"/>
  <c r="DP15" i="63" s="1"/>
  <c r="DP16" i="63" s="1"/>
  <c r="DP17" i="63" s="1"/>
  <c r="DP18" i="63" s="1"/>
  <c r="DP19" i="63" s="1"/>
  <c r="DP20" i="63" s="1"/>
  <c r="DP21" i="63" s="1"/>
  <c r="DP22" i="63" s="1"/>
  <c r="DP23" i="63" s="1"/>
  <c r="DP24" i="63" s="1"/>
  <c r="DP25" i="63" s="1"/>
  <c r="DP26" i="63" s="1"/>
  <c r="DP27" i="63" s="1"/>
  <c r="DP28" i="63" s="1"/>
  <c r="DP29" i="63" s="1"/>
  <c r="DP30" i="63" s="1"/>
  <c r="DP31" i="63" s="1"/>
  <c r="DP32" i="63" s="1"/>
  <c r="DP33" i="63" s="1"/>
  <c r="DP34" i="63" s="1"/>
  <c r="DP35" i="63" s="1"/>
  <c r="DP36" i="63" s="1"/>
  <c r="DP37" i="63" s="1"/>
  <c r="DP38" i="63" s="1"/>
  <c r="DP39" i="63" s="1"/>
  <c r="DP40" i="63" s="1"/>
  <c r="DP41" i="63" s="1"/>
  <c r="DP42" i="63" s="1"/>
  <c r="DP43" i="63" s="1"/>
  <c r="DP44" i="63" s="1"/>
  <c r="DP45" i="63" s="1"/>
  <c r="DP46" i="63" s="1"/>
  <c r="DP47" i="63" s="1"/>
  <c r="DP48" i="63" s="1"/>
  <c r="DP49" i="63" s="1"/>
  <c r="DP50" i="63" s="1"/>
  <c r="DP51" i="63" s="1"/>
  <c r="DP52" i="63" s="1"/>
  <c r="DP53" i="63" s="1"/>
  <c r="DP54" i="63" s="1"/>
  <c r="DP55" i="63" s="1"/>
  <c r="DP56" i="63" s="1"/>
  <c r="DP57" i="63" s="1"/>
  <c r="DP58" i="63" s="1"/>
  <c r="DP59" i="63" s="1"/>
  <c r="DP60" i="63" s="1"/>
  <c r="DP61" i="63" s="1"/>
  <c r="DP62" i="63" s="1"/>
  <c r="DP63" i="63" s="1"/>
  <c r="DP64" i="63" s="1"/>
  <c r="DP65" i="63" s="1"/>
  <c r="DP66" i="63" s="1"/>
  <c r="DP67" i="63" s="1"/>
  <c r="DP68" i="63" s="1"/>
  <c r="DP69" i="63" s="1"/>
  <c r="DP70" i="63" s="1"/>
  <c r="DP71" i="63" s="1"/>
  <c r="DP72" i="63" s="1"/>
  <c r="DP73" i="63" s="1"/>
  <c r="DP74" i="63" s="1"/>
  <c r="DP75" i="63" s="1"/>
  <c r="DP76" i="63" s="1"/>
  <c r="DP77" i="63" s="1"/>
  <c r="DP78" i="63" s="1"/>
  <c r="DP79" i="63" s="1"/>
  <c r="DP80" i="63" s="1"/>
  <c r="DP81" i="63" s="1"/>
  <c r="DP82" i="63" s="1"/>
  <c r="DP83" i="63" s="1"/>
  <c r="DP84" i="63" s="1"/>
  <c r="DP85" i="63" s="1"/>
  <c r="DP86" i="63" s="1"/>
  <c r="DP87" i="63" s="1"/>
  <c r="DP88" i="63" s="1"/>
  <c r="DP89" i="63" s="1"/>
  <c r="DP90" i="63" s="1"/>
  <c r="DP91" i="63" s="1"/>
  <c r="DP92" i="63" s="1"/>
  <c r="DP93" i="63" s="1"/>
  <c r="DP94" i="63" s="1"/>
  <c r="DP95" i="63" s="1"/>
  <c r="DP96" i="63" s="1"/>
  <c r="DP97" i="63" s="1"/>
  <c r="DP98" i="63" s="1"/>
  <c r="DP99" i="63" s="1"/>
  <c r="DP100" i="63" s="1"/>
  <c r="DP101" i="63" s="1"/>
  <c r="DP102" i="63" s="1"/>
  <c r="DP103" i="63" s="1"/>
  <c r="DP104" i="63" s="1"/>
  <c r="DP105" i="63" s="1"/>
  <c r="DP106" i="63" s="1"/>
  <c r="DP107" i="63" s="1"/>
  <c r="DP108" i="63" s="1"/>
  <c r="DP109" i="63" s="1"/>
  <c r="DP110" i="63" s="1"/>
  <c r="DP111" i="63" s="1"/>
  <c r="DP112" i="63" s="1"/>
  <c r="DP113" i="63" s="1"/>
  <c r="DP114" i="63" s="1"/>
  <c r="DP115" i="63" s="1"/>
  <c r="DP116" i="63" s="1"/>
  <c r="DP117" i="63" s="1"/>
  <c r="DP118" i="63" s="1"/>
  <c r="DP119" i="63" s="1"/>
  <c r="DP120" i="63" s="1"/>
  <c r="DP121" i="63" s="1"/>
  <c r="DP122" i="63" s="1"/>
  <c r="DP123" i="63" s="1"/>
  <c r="DP124" i="63" s="1"/>
  <c r="DP125" i="63" s="1"/>
  <c r="DP126" i="63" s="1"/>
  <c r="DP127" i="63" s="1"/>
  <c r="DP128" i="63" s="1"/>
  <c r="DP129" i="63" s="1"/>
  <c r="DP130" i="63" s="1"/>
  <c r="DP131" i="63" s="1"/>
  <c r="DP132" i="63" s="1"/>
  <c r="DP133" i="63" s="1"/>
  <c r="DP134" i="63" s="1"/>
  <c r="DP135" i="63" s="1"/>
  <c r="DP136" i="63" s="1"/>
  <c r="DP137" i="63" s="1"/>
  <c r="DP138" i="63" s="1"/>
  <c r="DP139" i="63" s="1"/>
  <c r="DP140" i="63" s="1"/>
  <c r="DP141" i="63" s="1"/>
  <c r="DP142" i="63" s="1"/>
  <c r="DP143" i="63" s="1"/>
  <c r="DP144" i="63" s="1"/>
  <c r="DP145" i="63" s="1"/>
  <c r="DP146" i="63" s="1"/>
  <c r="DP147" i="63" s="1"/>
  <c r="DP148" i="63" s="1"/>
  <c r="DP149" i="63" s="1"/>
  <c r="DP150" i="63" s="1"/>
  <c r="DP151" i="63" s="1"/>
  <c r="DP152" i="63" s="1"/>
  <c r="DP153" i="63" s="1"/>
  <c r="DP154" i="63" s="1"/>
  <c r="DP155" i="63" s="1"/>
  <c r="DP156" i="63" s="1"/>
  <c r="DP157" i="63" s="1"/>
  <c r="DP158" i="63" s="1"/>
  <c r="DP159" i="63" s="1"/>
  <c r="DP160" i="63" s="1"/>
  <c r="DP161" i="63" s="1"/>
  <c r="DP162" i="63" s="1"/>
  <c r="DP163" i="63" s="1"/>
  <c r="DP164" i="63" s="1"/>
  <c r="DP165" i="63" s="1"/>
  <c r="DP166" i="63" s="1"/>
  <c r="DP167" i="63" s="1"/>
  <c r="DP168" i="63" s="1"/>
  <c r="DP169" i="63" s="1"/>
  <c r="DP170" i="63" s="1"/>
  <c r="DP171" i="63" s="1"/>
  <c r="DP172" i="63" s="1"/>
  <c r="DP173" i="63" s="1"/>
  <c r="DP174" i="63" s="1"/>
  <c r="DP175" i="63" s="1"/>
  <c r="DP176" i="63" s="1"/>
  <c r="DP177" i="63" s="1"/>
  <c r="DP178" i="63" s="1"/>
  <c r="DP179" i="63" s="1"/>
  <c r="DP180" i="63" s="1"/>
  <c r="DP181" i="63" s="1"/>
  <c r="DP182" i="63" s="1"/>
  <c r="DP183" i="63" s="1"/>
  <c r="DP184" i="63" s="1"/>
  <c r="DP185" i="63" s="1"/>
  <c r="DP186" i="63" s="1"/>
  <c r="DP187" i="63" s="1"/>
  <c r="DP188" i="63" s="1"/>
  <c r="DP189" i="63" s="1"/>
  <c r="DP190" i="63" s="1"/>
  <c r="DP191" i="63" s="1"/>
  <c r="DP192" i="63" s="1"/>
  <c r="DP193" i="63" s="1"/>
  <c r="DP194" i="63" s="1"/>
  <c r="DP195" i="63" s="1"/>
  <c r="DP196" i="63" s="1"/>
  <c r="DP197" i="63" s="1"/>
  <c r="DP198" i="63" s="1"/>
  <c r="DP199" i="63" s="1"/>
  <c r="DP200" i="63" s="1"/>
  <c r="DP201" i="63" s="1"/>
  <c r="DP202" i="63" s="1"/>
  <c r="DP203" i="63" s="1"/>
  <c r="DP204" i="63" s="1"/>
  <c r="DP205" i="63" s="1"/>
  <c r="DP206" i="63" s="1"/>
  <c r="DP207" i="63" s="1"/>
  <c r="DP208" i="63" s="1"/>
  <c r="DP209" i="63" s="1"/>
  <c r="DP210" i="63" s="1"/>
  <c r="DP211" i="63" s="1"/>
  <c r="DP212" i="63" s="1"/>
  <c r="DP213" i="63" s="1"/>
  <c r="DP214" i="63" s="1"/>
  <c r="DP215" i="63" s="1"/>
  <c r="DP216" i="63" s="1"/>
  <c r="DP217" i="63" s="1"/>
  <c r="DP218" i="63" s="1"/>
  <c r="DP219" i="63" s="1"/>
  <c r="DP220" i="63" s="1"/>
  <c r="DP221" i="63" s="1"/>
  <c r="DP222" i="63" s="1"/>
  <c r="DP223" i="63" s="1"/>
  <c r="DP224" i="63" s="1"/>
  <c r="DP225" i="63" s="1"/>
  <c r="DP226" i="63" s="1"/>
  <c r="DP227" i="63" s="1"/>
  <c r="DP228" i="63" s="1"/>
  <c r="DP229" i="63" s="1"/>
  <c r="DP230" i="63" s="1"/>
  <c r="DP231" i="63" s="1"/>
  <c r="DP232" i="63" s="1"/>
  <c r="DP233" i="63" s="1"/>
  <c r="DP234" i="63" s="1"/>
  <c r="DP235" i="63" s="1"/>
  <c r="DP236" i="63" s="1"/>
  <c r="DP237" i="63" s="1"/>
  <c r="DP238" i="63" s="1"/>
  <c r="DP239" i="63" s="1"/>
  <c r="DP240" i="63" s="1"/>
  <c r="DP241" i="63" s="1"/>
  <c r="DP242" i="63" s="1"/>
  <c r="DP243" i="63" s="1"/>
  <c r="DP244" i="63" s="1"/>
  <c r="DP245" i="63" s="1"/>
  <c r="DP246" i="63" s="1"/>
  <c r="DP247" i="63" s="1"/>
  <c r="DP248" i="63" s="1"/>
  <c r="DP249" i="63" s="1"/>
  <c r="DP250" i="63" s="1"/>
  <c r="DP251" i="63" s="1"/>
  <c r="DP252" i="63" s="1"/>
  <c r="DP253" i="63" s="1"/>
  <c r="DP254" i="63" s="1"/>
  <c r="DP255" i="63" s="1"/>
  <c r="DP256" i="63" s="1"/>
  <c r="DP257" i="63" s="1"/>
  <c r="DP258" i="63" s="1"/>
  <c r="DP259" i="63" s="1"/>
  <c r="DP260" i="63" s="1"/>
  <c r="DP261" i="63" s="1"/>
  <c r="DP262" i="63" s="1"/>
  <c r="DP263" i="63" s="1"/>
  <c r="DP264" i="63" s="1"/>
  <c r="DP265" i="63" s="1"/>
  <c r="DP266" i="63" s="1"/>
  <c r="DP267" i="63" s="1"/>
  <c r="DP268" i="63" s="1"/>
  <c r="DP269" i="63" s="1"/>
  <c r="DP270" i="63" s="1"/>
  <c r="DP271" i="63" s="1"/>
  <c r="DP272" i="63" s="1"/>
  <c r="DP273" i="63" s="1"/>
  <c r="DP274" i="63" s="1"/>
  <c r="DP275" i="63" s="1"/>
  <c r="DP276" i="63" s="1"/>
  <c r="DP277" i="63" s="1"/>
  <c r="DP278" i="63" s="1"/>
  <c r="DP279" i="63" s="1"/>
  <c r="DP280" i="63" s="1"/>
  <c r="DP281" i="63" s="1"/>
  <c r="DP282" i="63" s="1"/>
  <c r="DP283" i="63" s="1"/>
  <c r="DP284" i="63" s="1"/>
  <c r="DP285" i="63" s="1"/>
  <c r="DP286" i="63" s="1"/>
  <c r="DP287" i="63" s="1"/>
  <c r="DP288" i="63" s="1"/>
  <c r="DP289" i="63" s="1"/>
  <c r="DP290" i="63" s="1"/>
  <c r="DP291" i="63" s="1"/>
  <c r="DP292" i="63" s="1"/>
  <c r="DP293" i="63" s="1"/>
  <c r="DP294" i="63" s="1"/>
  <c r="DP295" i="63" s="1"/>
  <c r="DP296" i="63" s="1"/>
  <c r="DP297" i="63" s="1"/>
  <c r="DP298" i="63" s="1"/>
  <c r="DP299" i="63" s="1"/>
  <c r="DP300" i="63" s="1"/>
  <c r="DP301" i="63" s="1"/>
  <c r="DP302" i="63" s="1"/>
  <c r="DP303" i="63" s="1"/>
  <c r="DP304" i="63" s="1"/>
  <c r="DP305" i="63" s="1"/>
  <c r="DP306" i="63" s="1"/>
  <c r="DP307" i="63" s="1"/>
  <c r="DP308" i="63" s="1"/>
  <c r="DO9" i="63"/>
  <c r="DO10" i="63" s="1"/>
  <c r="DO11" i="63" s="1"/>
  <c r="DO12" i="63" s="1"/>
  <c r="DO13" i="63" s="1"/>
  <c r="DO14" i="63" s="1"/>
  <c r="DO15" i="63" s="1"/>
  <c r="DO16" i="63" s="1"/>
  <c r="DO17" i="63" s="1"/>
  <c r="DO18" i="63" s="1"/>
  <c r="DO19" i="63" s="1"/>
  <c r="DO20" i="63" s="1"/>
  <c r="DO21" i="63" s="1"/>
  <c r="DO22" i="63" s="1"/>
  <c r="DO23" i="63" s="1"/>
  <c r="DO24" i="63" s="1"/>
  <c r="DO25" i="63" s="1"/>
  <c r="DO26" i="63" s="1"/>
  <c r="DO27" i="63" s="1"/>
  <c r="DO28" i="63" s="1"/>
  <c r="DO29" i="63" s="1"/>
  <c r="DO30" i="63" s="1"/>
  <c r="DO31" i="63" s="1"/>
  <c r="DO32" i="63" s="1"/>
  <c r="DO33" i="63" s="1"/>
  <c r="DO34" i="63" s="1"/>
  <c r="DO35" i="63" s="1"/>
  <c r="DO36" i="63" s="1"/>
  <c r="DO37" i="63" s="1"/>
  <c r="DO38" i="63" s="1"/>
  <c r="DO39" i="63" s="1"/>
  <c r="DO40" i="63" s="1"/>
  <c r="DO41" i="63" s="1"/>
  <c r="DO42" i="63" s="1"/>
  <c r="DO43" i="63" s="1"/>
  <c r="DO44" i="63" s="1"/>
  <c r="DO45" i="63" s="1"/>
  <c r="DO46" i="63" s="1"/>
  <c r="DO47" i="63" s="1"/>
  <c r="DO48" i="63" s="1"/>
  <c r="DO49" i="63" s="1"/>
  <c r="DO50" i="63" s="1"/>
  <c r="DO51" i="63" s="1"/>
  <c r="DO52" i="63" s="1"/>
  <c r="DO53" i="63" s="1"/>
  <c r="DO54" i="63" s="1"/>
  <c r="DO55" i="63" s="1"/>
  <c r="DO56" i="63" s="1"/>
  <c r="DO57" i="63" s="1"/>
  <c r="DO58" i="63" s="1"/>
  <c r="DO59" i="63" s="1"/>
  <c r="DO60" i="63" s="1"/>
  <c r="DO61" i="63" s="1"/>
  <c r="DO62" i="63" s="1"/>
  <c r="DO63" i="63" s="1"/>
  <c r="DO64" i="63" s="1"/>
  <c r="DO65" i="63" s="1"/>
  <c r="DO66" i="63" s="1"/>
  <c r="DO67" i="63" s="1"/>
  <c r="DO68" i="63" s="1"/>
  <c r="DO69" i="63" s="1"/>
  <c r="DO70" i="63" s="1"/>
  <c r="DO71" i="63" s="1"/>
  <c r="DO72" i="63" s="1"/>
  <c r="DO73" i="63" s="1"/>
  <c r="DO74" i="63" s="1"/>
  <c r="DO75" i="63" s="1"/>
  <c r="DO76" i="63" s="1"/>
  <c r="DO77" i="63" s="1"/>
  <c r="DO78" i="63" s="1"/>
  <c r="DO79" i="63" s="1"/>
  <c r="DO80" i="63" s="1"/>
  <c r="DO81" i="63" s="1"/>
  <c r="DO82" i="63" s="1"/>
  <c r="DO83" i="63" s="1"/>
  <c r="DO84" i="63" s="1"/>
  <c r="DO85" i="63" s="1"/>
  <c r="DO86" i="63" s="1"/>
  <c r="DO87" i="63" s="1"/>
  <c r="DO88" i="63" s="1"/>
  <c r="DO89" i="63" s="1"/>
  <c r="DO90" i="63" s="1"/>
  <c r="DO91" i="63" s="1"/>
  <c r="DO92" i="63" s="1"/>
  <c r="DO93" i="63" s="1"/>
  <c r="DO94" i="63" s="1"/>
  <c r="DO95" i="63" s="1"/>
  <c r="DO96" i="63" s="1"/>
  <c r="DO97" i="63" s="1"/>
  <c r="DO98" i="63" s="1"/>
  <c r="DO99" i="63" s="1"/>
  <c r="DO100" i="63" s="1"/>
  <c r="DO101" i="63" s="1"/>
  <c r="DO102" i="63" s="1"/>
  <c r="DO103" i="63" s="1"/>
  <c r="DO104" i="63" s="1"/>
  <c r="DO105" i="63" s="1"/>
  <c r="DO106" i="63" s="1"/>
  <c r="DO107" i="63" s="1"/>
  <c r="DO108" i="63" s="1"/>
  <c r="DO109" i="63" s="1"/>
  <c r="DO110" i="63" s="1"/>
  <c r="DO111" i="63" s="1"/>
  <c r="DO112" i="63" s="1"/>
  <c r="DO113" i="63" s="1"/>
  <c r="DO114" i="63" s="1"/>
  <c r="DO115" i="63" s="1"/>
  <c r="DO116" i="63" s="1"/>
  <c r="DO117" i="63" s="1"/>
  <c r="DO118" i="63" s="1"/>
  <c r="DO119" i="63" s="1"/>
  <c r="DO120" i="63" s="1"/>
  <c r="DO121" i="63" s="1"/>
  <c r="DO122" i="63" s="1"/>
  <c r="DO123" i="63" s="1"/>
  <c r="DO124" i="63" s="1"/>
  <c r="DO125" i="63" s="1"/>
  <c r="DO126" i="63" s="1"/>
  <c r="DO127" i="63" s="1"/>
  <c r="DO128" i="63" s="1"/>
  <c r="DO129" i="63" s="1"/>
  <c r="DO130" i="63" s="1"/>
  <c r="DO131" i="63" s="1"/>
  <c r="DO132" i="63" s="1"/>
  <c r="DO133" i="63" s="1"/>
  <c r="DO134" i="63" s="1"/>
  <c r="DO135" i="63" s="1"/>
  <c r="DO136" i="63" s="1"/>
  <c r="DO137" i="63" s="1"/>
  <c r="DO138" i="63" s="1"/>
  <c r="DO139" i="63" s="1"/>
  <c r="DO140" i="63" s="1"/>
  <c r="DO141" i="63" s="1"/>
  <c r="DO142" i="63" s="1"/>
  <c r="DO143" i="63" s="1"/>
  <c r="DO144" i="63" s="1"/>
  <c r="DO145" i="63" s="1"/>
  <c r="DO146" i="63" s="1"/>
  <c r="DO147" i="63" s="1"/>
  <c r="DO148" i="63" s="1"/>
  <c r="DO149" i="63" s="1"/>
  <c r="DO150" i="63" s="1"/>
  <c r="DO151" i="63" s="1"/>
  <c r="DO152" i="63" s="1"/>
  <c r="DO153" i="63" s="1"/>
  <c r="DO154" i="63" s="1"/>
  <c r="DO155" i="63" s="1"/>
  <c r="DO156" i="63" s="1"/>
  <c r="DO157" i="63" s="1"/>
  <c r="DO158" i="63" s="1"/>
  <c r="DO159" i="63" s="1"/>
  <c r="DO160" i="63" s="1"/>
  <c r="DO161" i="63" s="1"/>
  <c r="DO162" i="63" s="1"/>
  <c r="DO163" i="63" s="1"/>
  <c r="DO164" i="63" s="1"/>
  <c r="DO165" i="63" s="1"/>
  <c r="DO166" i="63" s="1"/>
  <c r="DO167" i="63" s="1"/>
  <c r="DO168" i="63" s="1"/>
  <c r="DO169" i="63" s="1"/>
  <c r="DO170" i="63" s="1"/>
  <c r="DO171" i="63" s="1"/>
  <c r="DO172" i="63" s="1"/>
  <c r="DO173" i="63" s="1"/>
  <c r="DO174" i="63" s="1"/>
  <c r="DO175" i="63" s="1"/>
  <c r="DO176" i="63" s="1"/>
  <c r="DO177" i="63" s="1"/>
  <c r="DO178" i="63" s="1"/>
  <c r="DO179" i="63" s="1"/>
  <c r="DO180" i="63" s="1"/>
  <c r="DO181" i="63" s="1"/>
  <c r="DO182" i="63" s="1"/>
  <c r="DO183" i="63" s="1"/>
  <c r="DO184" i="63" s="1"/>
  <c r="DO185" i="63" s="1"/>
  <c r="DO186" i="63" s="1"/>
  <c r="DO187" i="63" s="1"/>
  <c r="DO188" i="63" s="1"/>
  <c r="DO189" i="63" s="1"/>
  <c r="DO190" i="63" s="1"/>
  <c r="DO191" i="63" s="1"/>
  <c r="DO192" i="63" s="1"/>
  <c r="DO193" i="63" s="1"/>
  <c r="DO194" i="63" s="1"/>
  <c r="DO195" i="63" s="1"/>
  <c r="DO196" i="63" s="1"/>
  <c r="DO197" i="63" s="1"/>
  <c r="DO198" i="63" s="1"/>
  <c r="DO199" i="63" s="1"/>
  <c r="DO200" i="63" s="1"/>
  <c r="DO201" i="63" s="1"/>
  <c r="DO202" i="63" s="1"/>
  <c r="DO203" i="63" s="1"/>
  <c r="DO204" i="63" s="1"/>
  <c r="DO205" i="63" s="1"/>
  <c r="DO206" i="63" s="1"/>
  <c r="DO207" i="63" s="1"/>
  <c r="DO208" i="63" s="1"/>
  <c r="DO209" i="63" s="1"/>
  <c r="DO210" i="63" s="1"/>
  <c r="DO211" i="63" s="1"/>
  <c r="DO212" i="63" s="1"/>
  <c r="DO213" i="63" s="1"/>
  <c r="DO214" i="63" s="1"/>
  <c r="DO215" i="63" s="1"/>
  <c r="DO216" i="63" s="1"/>
  <c r="DO217" i="63" s="1"/>
  <c r="DO218" i="63" s="1"/>
  <c r="DO219" i="63" s="1"/>
  <c r="DO220" i="63" s="1"/>
  <c r="DO221" i="63" s="1"/>
  <c r="DO222" i="63" s="1"/>
  <c r="DO223" i="63" s="1"/>
  <c r="DO224" i="63" s="1"/>
  <c r="DO225" i="63" s="1"/>
  <c r="DO226" i="63" s="1"/>
  <c r="DO227" i="63" s="1"/>
  <c r="DO228" i="63" s="1"/>
  <c r="DO229" i="63" s="1"/>
  <c r="DO230" i="63" s="1"/>
  <c r="DO231" i="63" s="1"/>
  <c r="DO232" i="63" s="1"/>
  <c r="DO233" i="63" s="1"/>
  <c r="DO234" i="63" s="1"/>
  <c r="DO235" i="63" s="1"/>
  <c r="DO236" i="63" s="1"/>
  <c r="DO237" i="63" s="1"/>
  <c r="DO238" i="63" s="1"/>
  <c r="DO239" i="63" s="1"/>
  <c r="DO240" i="63" s="1"/>
  <c r="DO241" i="63" s="1"/>
  <c r="DO242" i="63" s="1"/>
  <c r="DO243" i="63" s="1"/>
  <c r="DO244" i="63" s="1"/>
  <c r="DO245" i="63" s="1"/>
  <c r="DO246" i="63" s="1"/>
  <c r="DO247" i="63" s="1"/>
  <c r="DO248" i="63" s="1"/>
  <c r="DO249" i="63" s="1"/>
  <c r="DO250" i="63" s="1"/>
  <c r="DO251" i="63" s="1"/>
  <c r="DO252" i="63" s="1"/>
  <c r="DO253" i="63" s="1"/>
  <c r="DO254" i="63" s="1"/>
  <c r="DO255" i="63" s="1"/>
  <c r="DO256" i="63" s="1"/>
  <c r="DO257" i="63" s="1"/>
  <c r="DO258" i="63" s="1"/>
  <c r="DO259" i="63" s="1"/>
  <c r="DO260" i="63" s="1"/>
  <c r="DO261" i="63" s="1"/>
  <c r="DO262" i="63" s="1"/>
  <c r="DO263" i="63" s="1"/>
  <c r="DO264" i="63" s="1"/>
  <c r="DO265" i="63" s="1"/>
  <c r="DO266" i="63" s="1"/>
  <c r="DO267" i="63" s="1"/>
  <c r="DO268" i="63" s="1"/>
  <c r="DO269" i="63" s="1"/>
  <c r="DO270" i="63" s="1"/>
  <c r="DO271" i="63" s="1"/>
  <c r="DO272" i="63" s="1"/>
  <c r="DO273" i="63" s="1"/>
  <c r="DO274" i="63" s="1"/>
  <c r="DO275" i="63" s="1"/>
  <c r="DO276" i="63" s="1"/>
  <c r="DO277" i="63" s="1"/>
  <c r="DO278" i="63" s="1"/>
  <c r="DO279" i="63" s="1"/>
  <c r="DO280" i="63" s="1"/>
  <c r="DO281" i="63" s="1"/>
  <c r="DO282" i="63" s="1"/>
  <c r="DO283" i="63" s="1"/>
  <c r="DO284" i="63" s="1"/>
  <c r="DO285" i="63" s="1"/>
  <c r="DO286" i="63" s="1"/>
  <c r="DO287" i="63" s="1"/>
  <c r="DO288" i="63" s="1"/>
  <c r="DO289" i="63" s="1"/>
  <c r="DO290" i="63" s="1"/>
  <c r="DO291" i="63" s="1"/>
  <c r="DO292" i="63" s="1"/>
  <c r="DO293" i="63" s="1"/>
  <c r="DO294" i="63" s="1"/>
  <c r="DO295" i="63" s="1"/>
  <c r="DO296" i="63" s="1"/>
  <c r="DO297" i="63" s="1"/>
  <c r="DO298" i="63" s="1"/>
  <c r="DO299" i="63" s="1"/>
  <c r="DO300" i="63" s="1"/>
  <c r="DO301" i="63" s="1"/>
  <c r="DO302" i="63" s="1"/>
  <c r="DO303" i="63" s="1"/>
  <c r="DO304" i="63" s="1"/>
  <c r="DO305" i="63" s="1"/>
  <c r="DO306" i="63" s="1"/>
  <c r="DO307" i="63" s="1"/>
  <c r="DO308" i="63" s="1"/>
  <c r="DH9" i="63"/>
  <c r="DH10" i="63" s="1"/>
  <c r="DH11" i="63" s="1"/>
  <c r="DH12" i="63" s="1"/>
  <c r="DH13" i="63" s="1"/>
  <c r="DH14" i="63" s="1"/>
  <c r="DH15" i="63" s="1"/>
  <c r="DH16" i="63" s="1"/>
  <c r="DH17" i="63" s="1"/>
  <c r="DH18" i="63" s="1"/>
  <c r="DH19" i="63" s="1"/>
  <c r="DH20" i="63" s="1"/>
  <c r="DH21" i="63" s="1"/>
  <c r="DH22" i="63" s="1"/>
  <c r="DH23" i="63" s="1"/>
  <c r="DH24" i="63" s="1"/>
  <c r="DH25" i="63" s="1"/>
  <c r="DH26" i="63" s="1"/>
  <c r="DH27" i="63" s="1"/>
  <c r="DH28" i="63" s="1"/>
  <c r="DH29" i="63" s="1"/>
  <c r="DH30" i="63" s="1"/>
  <c r="DH31" i="63" s="1"/>
  <c r="DH32" i="63" s="1"/>
  <c r="DH33" i="63" s="1"/>
  <c r="DH34" i="63" s="1"/>
  <c r="DH35" i="63" s="1"/>
  <c r="DH36" i="63" s="1"/>
  <c r="DH37" i="63" s="1"/>
  <c r="DH38" i="63" s="1"/>
  <c r="DH39" i="63" s="1"/>
  <c r="DH40" i="63" s="1"/>
  <c r="DH41" i="63" s="1"/>
  <c r="DH42" i="63" s="1"/>
  <c r="DH43" i="63" s="1"/>
  <c r="DH44" i="63" s="1"/>
  <c r="DH45" i="63" s="1"/>
  <c r="DH46" i="63" s="1"/>
  <c r="DH47" i="63" s="1"/>
  <c r="DH48" i="63" s="1"/>
  <c r="DH49" i="63" s="1"/>
  <c r="DH50" i="63" s="1"/>
  <c r="DH51" i="63" s="1"/>
  <c r="DH52" i="63" s="1"/>
  <c r="DH53" i="63" s="1"/>
  <c r="DH54" i="63" s="1"/>
  <c r="DH55" i="63" s="1"/>
  <c r="DH56" i="63" s="1"/>
  <c r="DH57" i="63" s="1"/>
  <c r="DH58" i="63" s="1"/>
  <c r="DH59" i="63" s="1"/>
  <c r="DH60" i="63" s="1"/>
  <c r="DH61" i="63" s="1"/>
  <c r="DH62" i="63" s="1"/>
  <c r="DH63" i="63" s="1"/>
  <c r="DH64" i="63" s="1"/>
  <c r="DH65" i="63" s="1"/>
  <c r="DH66" i="63" s="1"/>
  <c r="DH67" i="63" s="1"/>
  <c r="DH68" i="63" s="1"/>
  <c r="DH69" i="63" s="1"/>
  <c r="DH70" i="63" s="1"/>
  <c r="DH71" i="63" s="1"/>
  <c r="DH72" i="63" s="1"/>
  <c r="DH73" i="63" s="1"/>
  <c r="DH74" i="63" s="1"/>
  <c r="DH75" i="63" s="1"/>
  <c r="DH76" i="63" s="1"/>
  <c r="DH77" i="63" s="1"/>
  <c r="DH78" i="63" s="1"/>
  <c r="DH79" i="63" s="1"/>
  <c r="DH80" i="63" s="1"/>
  <c r="DH81" i="63" s="1"/>
  <c r="DH82" i="63" s="1"/>
  <c r="DH83" i="63" s="1"/>
  <c r="DH84" i="63" s="1"/>
  <c r="DH85" i="63" s="1"/>
  <c r="DH86" i="63" s="1"/>
  <c r="DH87" i="63" s="1"/>
  <c r="DH88" i="63" s="1"/>
  <c r="DH89" i="63" s="1"/>
  <c r="DH90" i="63" s="1"/>
  <c r="DH91" i="63" s="1"/>
  <c r="DH92" i="63" s="1"/>
  <c r="DH93" i="63" s="1"/>
  <c r="DH94" i="63" s="1"/>
  <c r="DH95" i="63" s="1"/>
  <c r="DH96" i="63" s="1"/>
  <c r="DH97" i="63" s="1"/>
  <c r="DH98" i="63" s="1"/>
  <c r="DH99" i="63" s="1"/>
  <c r="DH100" i="63" s="1"/>
  <c r="DH101" i="63" s="1"/>
  <c r="DH102" i="63" s="1"/>
  <c r="DH103" i="63" s="1"/>
  <c r="DH104" i="63" s="1"/>
  <c r="DH105" i="63" s="1"/>
  <c r="DH106" i="63" s="1"/>
  <c r="DH107" i="63" s="1"/>
  <c r="DH108" i="63" s="1"/>
  <c r="DH109" i="63" s="1"/>
  <c r="DH110" i="63" s="1"/>
  <c r="DH111" i="63" s="1"/>
  <c r="DH112" i="63" s="1"/>
  <c r="DH113" i="63" s="1"/>
  <c r="DH114" i="63" s="1"/>
  <c r="DH115" i="63" s="1"/>
  <c r="DH116" i="63" s="1"/>
  <c r="DH117" i="63" s="1"/>
  <c r="DH118" i="63" s="1"/>
  <c r="DH119" i="63" s="1"/>
  <c r="DH120" i="63" s="1"/>
  <c r="DH121" i="63" s="1"/>
  <c r="DH122" i="63" s="1"/>
  <c r="DH123" i="63" s="1"/>
  <c r="DH124" i="63" s="1"/>
  <c r="DH125" i="63" s="1"/>
  <c r="DH126" i="63" s="1"/>
  <c r="DH127" i="63" s="1"/>
  <c r="DH128" i="63" s="1"/>
  <c r="DH129" i="63" s="1"/>
  <c r="DH130" i="63" s="1"/>
  <c r="DH131" i="63" s="1"/>
  <c r="DH132" i="63" s="1"/>
  <c r="DH133" i="63" s="1"/>
  <c r="DH134" i="63" s="1"/>
  <c r="DH135" i="63" s="1"/>
  <c r="DH136" i="63" s="1"/>
  <c r="DH137" i="63" s="1"/>
  <c r="DH138" i="63" s="1"/>
  <c r="DH139" i="63" s="1"/>
  <c r="DH140" i="63" s="1"/>
  <c r="DH141" i="63" s="1"/>
  <c r="DH142" i="63" s="1"/>
  <c r="DH143" i="63" s="1"/>
  <c r="DH144" i="63" s="1"/>
  <c r="DH145" i="63" s="1"/>
  <c r="DH146" i="63" s="1"/>
  <c r="DH147" i="63" s="1"/>
  <c r="DH148" i="63" s="1"/>
  <c r="DH149" i="63" s="1"/>
  <c r="DH150" i="63" s="1"/>
  <c r="DH151" i="63" s="1"/>
  <c r="DH152" i="63" s="1"/>
  <c r="DH153" i="63" s="1"/>
  <c r="DH154" i="63" s="1"/>
  <c r="DH155" i="63" s="1"/>
  <c r="DH156" i="63" s="1"/>
  <c r="DH157" i="63" s="1"/>
  <c r="DH158" i="63" s="1"/>
  <c r="DH159" i="63" s="1"/>
  <c r="DH160" i="63" s="1"/>
  <c r="DH161" i="63" s="1"/>
  <c r="DH162" i="63" s="1"/>
  <c r="DH163" i="63" s="1"/>
  <c r="DH164" i="63" s="1"/>
  <c r="DH165" i="63" s="1"/>
  <c r="DH166" i="63" s="1"/>
  <c r="DH167" i="63" s="1"/>
  <c r="DH168" i="63" s="1"/>
  <c r="DH169" i="63" s="1"/>
  <c r="DH170" i="63" s="1"/>
  <c r="DH171" i="63" s="1"/>
  <c r="DH172" i="63" s="1"/>
  <c r="DH173" i="63" s="1"/>
  <c r="DH174" i="63" s="1"/>
  <c r="DH175" i="63" s="1"/>
  <c r="DH176" i="63" s="1"/>
  <c r="DH177" i="63" s="1"/>
  <c r="DH178" i="63" s="1"/>
  <c r="DH179" i="63" s="1"/>
  <c r="DH180" i="63" s="1"/>
  <c r="DH181" i="63" s="1"/>
  <c r="DH182" i="63" s="1"/>
  <c r="DH183" i="63" s="1"/>
  <c r="DH184" i="63" s="1"/>
  <c r="DH185" i="63" s="1"/>
  <c r="DH186" i="63" s="1"/>
  <c r="DH187" i="63" s="1"/>
  <c r="DH188" i="63" s="1"/>
  <c r="DH189" i="63" s="1"/>
  <c r="DH190" i="63" s="1"/>
  <c r="DH191" i="63" s="1"/>
  <c r="DH192" i="63" s="1"/>
  <c r="DH193" i="63" s="1"/>
  <c r="DH194" i="63" s="1"/>
  <c r="DH195" i="63" s="1"/>
  <c r="DH196" i="63" s="1"/>
  <c r="DH197" i="63" s="1"/>
  <c r="DH198" i="63" s="1"/>
  <c r="DH199" i="63" s="1"/>
  <c r="DH200" i="63" s="1"/>
  <c r="DH201" i="63" s="1"/>
  <c r="DH202" i="63" s="1"/>
  <c r="DH203" i="63" s="1"/>
  <c r="DH204" i="63" s="1"/>
  <c r="DH205" i="63" s="1"/>
  <c r="DH206" i="63" s="1"/>
  <c r="DH207" i="63" s="1"/>
  <c r="DH208" i="63" s="1"/>
  <c r="DH209" i="63" s="1"/>
  <c r="DH210" i="63" s="1"/>
  <c r="DH211" i="63" s="1"/>
  <c r="DH212" i="63" s="1"/>
  <c r="DH213" i="63" s="1"/>
  <c r="DH214" i="63" s="1"/>
  <c r="DH215" i="63" s="1"/>
  <c r="DH216" i="63" s="1"/>
  <c r="DH217" i="63" s="1"/>
  <c r="DH218" i="63" s="1"/>
  <c r="DH219" i="63" s="1"/>
  <c r="DH220" i="63" s="1"/>
  <c r="DH221" i="63" s="1"/>
  <c r="DH222" i="63" s="1"/>
  <c r="DH223" i="63" s="1"/>
  <c r="DH224" i="63" s="1"/>
  <c r="DH225" i="63" s="1"/>
  <c r="DH226" i="63" s="1"/>
  <c r="DH227" i="63" s="1"/>
  <c r="DH228" i="63" s="1"/>
  <c r="DH229" i="63" s="1"/>
  <c r="DH230" i="63" s="1"/>
  <c r="DH231" i="63" s="1"/>
  <c r="DH232" i="63" s="1"/>
  <c r="DH233" i="63" s="1"/>
  <c r="DH234" i="63" s="1"/>
  <c r="DH235" i="63" s="1"/>
  <c r="DH236" i="63" s="1"/>
  <c r="DH237" i="63" s="1"/>
  <c r="DH238" i="63" s="1"/>
  <c r="DH239" i="63" s="1"/>
  <c r="DH240" i="63" s="1"/>
  <c r="DH241" i="63" s="1"/>
  <c r="DH242" i="63" s="1"/>
  <c r="DH243" i="63" s="1"/>
  <c r="DH244" i="63" s="1"/>
  <c r="DH245" i="63" s="1"/>
  <c r="DH246" i="63" s="1"/>
  <c r="DH247" i="63" s="1"/>
  <c r="DH248" i="63" s="1"/>
  <c r="DH249" i="63" s="1"/>
  <c r="DH250" i="63" s="1"/>
  <c r="DH251" i="63" s="1"/>
  <c r="DH252" i="63" s="1"/>
  <c r="DH253" i="63" s="1"/>
  <c r="DH254" i="63" s="1"/>
  <c r="DH255" i="63" s="1"/>
  <c r="DH256" i="63" s="1"/>
  <c r="DH257" i="63" s="1"/>
  <c r="DH258" i="63" s="1"/>
  <c r="DH259" i="63" s="1"/>
  <c r="DH260" i="63" s="1"/>
  <c r="DH261" i="63" s="1"/>
  <c r="DH262" i="63" s="1"/>
  <c r="DH263" i="63" s="1"/>
  <c r="DH264" i="63" s="1"/>
  <c r="DH265" i="63" s="1"/>
  <c r="DH266" i="63" s="1"/>
  <c r="DH267" i="63" s="1"/>
  <c r="DH268" i="63" s="1"/>
  <c r="DH269" i="63" s="1"/>
  <c r="DH270" i="63" s="1"/>
  <c r="DH271" i="63" s="1"/>
  <c r="DH272" i="63" s="1"/>
  <c r="DH273" i="63" s="1"/>
  <c r="DH274" i="63" s="1"/>
  <c r="DH275" i="63" s="1"/>
  <c r="DH276" i="63" s="1"/>
  <c r="DH277" i="63" s="1"/>
  <c r="DH278" i="63" s="1"/>
  <c r="DH279" i="63" s="1"/>
  <c r="DH280" i="63" s="1"/>
  <c r="DH281" i="63" s="1"/>
  <c r="DH282" i="63" s="1"/>
  <c r="DH283" i="63" s="1"/>
  <c r="DH284" i="63" s="1"/>
  <c r="DH285" i="63" s="1"/>
  <c r="DH286" i="63" s="1"/>
  <c r="DH287" i="63" s="1"/>
  <c r="DH288" i="63" s="1"/>
  <c r="DH289" i="63" s="1"/>
  <c r="DH290" i="63" s="1"/>
  <c r="DH291" i="63" s="1"/>
  <c r="DH292" i="63" s="1"/>
  <c r="DH293" i="63" s="1"/>
  <c r="DH294" i="63" s="1"/>
  <c r="DH295" i="63" s="1"/>
  <c r="DH296" i="63" s="1"/>
  <c r="DH297" i="63" s="1"/>
  <c r="DH298" i="63" s="1"/>
  <c r="DH299" i="63" s="1"/>
  <c r="DH300" i="63" s="1"/>
  <c r="DH301" i="63" s="1"/>
  <c r="DH302" i="63" s="1"/>
  <c r="DH303" i="63" s="1"/>
  <c r="DH304" i="63" s="1"/>
  <c r="DH305" i="63" s="1"/>
  <c r="DH306" i="63" s="1"/>
  <c r="DH307" i="63" s="1"/>
  <c r="DH308" i="63" s="1"/>
  <c r="DG9" i="63"/>
  <c r="DG10" i="63" s="1"/>
  <c r="DG11" i="63" s="1"/>
  <c r="DG12" i="63" s="1"/>
  <c r="DG13" i="63" s="1"/>
  <c r="DG14" i="63" s="1"/>
  <c r="DG15" i="63" s="1"/>
  <c r="DG16" i="63" s="1"/>
  <c r="DG17" i="63" s="1"/>
  <c r="DG18" i="63" s="1"/>
  <c r="DG19" i="63" s="1"/>
  <c r="DG20" i="63" s="1"/>
  <c r="DG21" i="63" s="1"/>
  <c r="DG22" i="63" s="1"/>
  <c r="DG23" i="63" s="1"/>
  <c r="DG24" i="63" s="1"/>
  <c r="DG25" i="63" s="1"/>
  <c r="DG26" i="63" s="1"/>
  <c r="DG27" i="63" s="1"/>
  <c r="DG28" i="63" s="1"/>
  <c r="DG29" i="63" s="1"/>
  <c r="DG30" i="63" s="1"/>
  <c r="DG31" i="63" s="1"/>
  <c r="DG32" i="63" s="1"/>
  <c r="DG33" i="63" s="1"/>
  <c r="DG34" i="63" s="1"/>
  <c r="DG35" i="63" s="1"/>
  <c r="DG36" i="63" s="1"/>
  <c r="DG37" i="63" s="1"/>
  <c r="DG38" i="63" s="1"/>
  <c r="DG39" i="63" s="1"/>
  <c r="DG40" i="63" s="1"/>
  <c r="DG41" i="63" s="1"/>
  <c r="DG42" i="63" s="1"/>
  <c r="DG43" i="63" s="1"/>
  <c r="DG44" i="63" s="1"/>
  <c r="DG45" i="63" s="1"/>
  <c r="DG46" i="63" s="1"/>
  <c r="DG47" i="63" s="1"/>
  <c r="DG48" i="63" s="1"/>
  <c r="DG49" i="63" s="1"/>
  <c r="DG50" i="63" s="1"/>
  <c r="DG51" i="63" s="1"/>
  <c r="DG52" i="63" s="1"/>
  <c r="DG53" i="63" s="1"/>
  <c r="DG54" i="63" s="1"/>
  <c r="DG55" i="63" s="1"/>
  <c r="DG56" i="63" s="1"/>
  <c r="DG57" i="63" s="1"/>
  <c r="DG58" i="63" s="1"/>
  <c r="DG59" i="63" s="1"/>
  <c r="DG60" i="63" s="1"/>
  <c r="DG61" i="63" s="1"/>
  <c r="DG62" i="63" s="1"/>
  <c r="DG63" i="63" s="1"/>
  <c r="DG64" i="63" s="1"/>
  <c r="DG65" i="63" s="1"/>
  <c r="DG66" i="63" s="1"/>
  <c r="DG67" i="63" s="1"/>
  <c r="DG68" i="63" s="1"/>
  <c r="DG69" i="63" s="1"/>
  <c r="DG70" i="63" s="1"/>
  <c r="DG71" i="63" s="1"/>
  <c r="DG72" i="63" s="1"/>
  <c r="DG73" i="63" s="1"/>
  <c r="DG74" i="63" s="1"/>
  <c r="DG75" i="63" s="1"/>
  <c r="DG76" i="63" s="1"/>
  <c r="DG77" i="63" s="1"/>
  <c r="DG78" i="63" s="1"/>
  <c r="DG79" i="63" s="1"/>
  <c r="DG80" i="63" s="1"/>
  <c r="DG81" i="63" s="1"/>
  <c r="DG82" i="63" s="1"/>
  <c r="DG83" i="63" s="1"/>
  <c r="DG84" i="63" s="1"/>
  <c r="DG85" i="63" s="1"/>
  <c r="DG86" i="63" s="1"/>
  <c r="DG87" i="63" s="1"/>
  <c r="DG88" i="63" s="1"/>
  <c r="DG89" i="63" s="1"/>
  <c r="DG90" i="63" s="1"/>
  <c r="DG91" i="63" s="1"/>
  <c r="DG92" i="63" s="1"/>
  <c r="DG93" i="63" s="1"/>
  <c r="DG94" i="63" s="1"/>
  <c r="DG95" i="63" s="1"/>
  <c r="DG96" i="63" s="1"/>
  <c r="DG97" i="63" s="1"/>
  <c r="DG98" i="63" s="1"/>
  <c r="DG99" i="63" s="1"/>
  <c r="DG100" i="63" s="1"/>
  <c r="DG101" i="63" s="1"/>
  <c r="DG102" i="63" s="1"/>
  <c r="DG103" i="63" s="1"/>
  <c r="DG104" i="63" s="1"/>
  <c r="DG105" i="63" s="1"/>
  <c r="DG106" i="63" s="1"/>
  <c r="DG107" i="63" s="1"/>
  <c r="DG108" i="63" s="1"/>
  <c r="DG109" i="63" s="1"/>
  <c r="DG110" i="63" s="1"/>
  <c r="DG111" i="63" s="1"/>
  <c r="DG112" i="63" s="1"/>
  <c r="DG113" i="63" s="1"/>
  <c r="DG114" i="63" s="1"/>
  <c r="DG115" i="63" s="1"/>
  <c r="DG116" i="63" s="1"/>
  <c r="DG117" i="63" s="1"/>
  <c r="DG118" i="63" s="1"/>
  <c r="DG119" i="63" s="1"/>
  <c r="DG120" i="63" s="1"/>
  <c r="DG121" i="63" s="1"/>
  <c r="DG122" i="63" s="1"/>
  <c r="DG123" i="63" s="1"/>
  <c r="DG124" i="63" s="1"/>
  <c r="DG125" i="63" s="1"/>
  <c r="DG126" i="63" s="1"/>
  <c r="DG127" i="63" s="1"/>
  <c r="DG128" i="63" s="1"/>
  <c r="DG129" i="63" s="1"/>
  <c r="DG130" i="63" s="1"/>
  <c r="DG131" i="63" s="1"/>
  <c r="DG132" i="63" s="1"/>
  <c r="DG133" i="63" s="1"/>
  <c r="DG134" i="63" s="1"/>
  <c r="DG135" i="63" s="1"/>
  <c r="DG136" i="63" s="1"/>
  <c r="DG137" i="63" s="1"/>
  <c r="DG138" i="63" s="1"/>
  <c r="DG139" i="63" s="1"/>
  <c r="DG140" i="63" s="1"/>
  <c r="DG141" i="63" s="1"/>
  <c r="DG142" i="63" s="1"/>
  <c r="DG143" i="63" s="1"/>
  <c r="DG144" i="63" s="1"/>
  <c r="DG145" i="63" s="1"/>
  <c r="DG146" i="63" s="1"/>
  <c r="DG147" i="63" s="1"/>
  <c r="DG148" i="63" s="1"/>
  <c r="DG149" i="63" s="1"/>
  <c r="DG150" i="63" s="1"/>
  <c r="DG151" i="63" s="1"/>
  <c r="DG152" i="63" s="1"/>
  <c r="DG153" i="63" s="1"/>
  <c r="DG154" i="63" s="1"/>
  <c r="DG155" i="63" s="1"/>
  <c r="DG156" i="63" s="1"/>
  <c r="DG157" i="63" s="1"/>
  <c r="DG158" i="63" s="1"/>
  <c r="DG159" i="63" s="1"/>
  <c r="DG160" i="63" s="1"/>
  <c r="DG161" i="63" s="1"/>
  <c r="DG162" i="63" s="1"/>
  <c r="DG163" i="63" s="1"/>
  <c r="DG164" i="63" s="1"/>
  <c r="DG165" i="63" s="1"/>
  <c r="DG166" i="63" s="1"/>
  <c r="DG167" i="63" s="1"/>
  <c r="DG168" i="63" s="1"/>
  <c r="DG169" i="63" s="1"/>
  <c r="DG170" i="63" s="1"/>
  <c r="DG171" i="63" s="1"/>
  <c r="DG172" i="63" s="1"/>
  <c r="DG173" i="63" s="1"/>
  <c r="DG174" i="63" s="1"/>
  <c r="DG175" i="63" s="1"/>
  <c r="DG176" i="63" s="1"/>
  <c r="DG177" i="63" s="1"/>
  <c r="DG178" i="63" s="1"/>
  <c r="DG179" i="63" s="1"/>
  <c r="DG180" i="63" s="1"/>
  <c r="DG181" i="63" s="1"/>
  <c r="DG182" i="63" s="1"/>
  <c r="DG183" i="63" s="1"/>
  <c r="DG184" i="63" s="1"/>
  <c r="DG185" i="63" s="1"/>
  <c r="DG186" i="63" s="1"/>
  <c r="DG187" i="63" s="1"/>
  <c r="DG188" i="63" s="1"/>
  <c r="DG189" i="63" s="1"/>
  <c r="DG190" i="63" s="1"/>
  <c r="DG191" i="63" s="1"/>
  <c r="DG192" i="63" s="1"/>
  <c r="DG193" i="63" s="1"/>
  <c r="DG194" i="63" s="1"/>
  <c r="DG195" i="63" s="1"/>
  <c r="DG196" i="63" s="1"/>
  <c r="DG197" i="63" s="1"/>
  <c r="DG198" i="63" s="1"/>
  <c r="DG199" i="63" s="1"/>
  <c r="DG200" i="63" s="1"/>
  <c r="DG201" i="63" s="1"/>
  <c r="DG202" i="63" s="1"/>
  <c r="DG203" i="63" s="1"/>
  <c r="DG204" i="63" s="1"/>
  <c r="DG205" i="63" s="1"/>
  <c r="DG206" i="63" s="1"/>
  <c r="DG207" i="63" s="1"/>
  <c r="DG208" i="63" s="1"/>
  <c r="DG209" i="63" s="1"/>
  <c r="DG210" i="63" s="1"/>
  <c r="DG211" i="63" s="1"/>
  <c r="DG212" i="63" s="1"/>
  <c r="DG213" i="63" s="1"/>
  <c r="DG214" i="63" s="1"/>
  <c r="DG215" i="63" s="1"/>
  <c r="DG216" i="63" s="1"/>
  <c r="DG217" i="63" s="1"/>
  <c r="DG218" i="63" s="1"/>
  <c r="DG219" i="63" s="1"/>
  <c r="DG220" i="63" s="1"/>
  <c r="DG221" i="63" s="1"/>
  <c r="DG222" i="63" s="1"/>
  <c r="DG223" i="63" s="1"/>
  <c r="DG224" i="63" s="1"/>
  <c r="DG225" i="63" s="1"/>
  <c r="DG226" i="63" s="1"/>
  <c r="DG227" i="63" s="1"/>
  <c r="DG228" i="63" s="1"/>
  <c r="DG229" i="63" s="1"/>
  <c r="DG230" i="63" s="1"/>
  <c r="DG231" i="63" s="1"/>
  <c r="DG232" i="63" s="1"/>
  <c r="DG233" i="63" s="1"/>
  <c r="DG234" i="63" s="1"/>
  <c r="DG235" i="63" s="1"/>
  <c r="DG236" i="63" s="1"/>
  <c r="DG237" i="63" s="1"/>
  <c r="DG238" i="63" s="1"/>
  <c r="DG239" i="63" s="1"/>
  <c r="DG240" i="63" s="1"/>
  <c r="DG241" i="63" s="1"/>
  <c r="DG242" i="63" s="1"/>
  <c r="DG243" i="63" s="1"/>
  <c r="DG244" i="63" s="1"/>
  <c r="DG245" i="63" s="1"/>
  <c r="DG246" i="63" s="1"/>
  <c r="DG247" i="63" s="1"/>
  <c r="DG248" i="63" s="1"/>
  <c r="DG249" i="63" s="1"/>
  <c r="DG250" i="63" s="1"/>
  <c r="DG251" i="63" s="1"/>
  <c r="DG252" i="63" s="1"/>
  <c r="DG253" i="63" s="1"/>
  <c r="DG254" i="63" s="1"/>
  <c r="DG255" i="63" s="1"/>
  <c r="DG256" i="63" s="1"/>
  <c r="DG257" i="63" s="1"/>
  <c r="DG258" i="63" s="1"/>
  <c r="DG259" i="63" s="1"/>
  <c r="DG260" i="63" s="1"/>
  <c r="DG261" i="63" s="1"/>
  <c r="DG262" i="63" s="1"/>
  <c r="DG263" i="63" s="1"/>
  <c r="DG264" i="63" s="1"/>
  <c r="DG265" i="63" s="1"/>
  <c r="DG266" i="63" s="1"/>
  <c r="DG267" i="63" s="1"/>
  <c r="DG268" i="63" s="1"/>
  <c r="DG269" i="63" s="1"/>
  <c r="DG270" i="63" s="1"/>
  <c r="DG271" i="63" s="1"/>
  <c r="DG272" i="63" s="1"/>
  <c r="DG273" i="63" s="1"/>
  <c r="DG274" i="63" s="1"/>
  <c r="DG275" i="63" s="1"/>
  <c r="DG276" i="63" s="1"/>
  <c r="DG277" i="63" s="1"/>
  <c r="DG278" i="63" s="1"/>
  <c r="DG279" i="63" s="1"/>
  <c r="DG280" i="63" s="1"/>
  <c r="DG281" i="63" s="1"/>
  <c r="DG282" i="63" s="1"/>
  <c r="DG283" i="63" s="1"/>
  <c r="DG284" i="63" s="1"/>
  <c r="DG285" i="63" s="1"/>
  <c r="DG286" i="63" s="1"/>
  <c r="DG287" i="63" s="1"/>
  <c r="DG288" i="63" s="1"/>
  <c r="DG289" i="63" s="1"/>
  <c r="DG290" i="63" s="1"/>
  <c r="DG291" i="63" s="1"/>
  <c r="DG292" i="63" s="1"/>
  <c r="DG293" i="63" s="1"/>
  <c r="DG294" i="63" s="1"/>
  <c r="DG295" i="63" s="1"/>
  <c r="DG296" i="63" s="1"/>
  <c r="DG297" i="63" s="1"/>
  <c r="DG298" i="63" s="1"/>
  <c r="DG299" i="63" s="1"/>
  <c r="DG300" i="63" s="1"/>
  <c r="DG301" i="63" s="1"/>
  <c r="DG302" i="63" s="1"/>
  <c r="DG303" i="63" s="1"/>
  <c r="DG304" i="63" s="1"/>
  <c r="DG305" i="63" s="1"/>
  <c r="DG306" i="63" s="1"/>
  <c r="DG307" i="63" s="1"/>
  <c r="DG308" i="63" s="1"/>
  <c r="DE9" i="63"/>
  <c r="DE10" i="63" s="1"/>
  <c r="DE11" i="63" s="1"/>
  <c r="DE12" i="63" s="1"/>
  <c r="DE13" i="63" s="1"/>
  <c r="DE14" i="63" s="1"/>
  <c r="DE15" i="63" s="1"/>
  <c r="DE16" i="63" s="1"/>
  <c r="DE17" i="63" s="1"/>
  <c r="DE18" i="63" s="1"/>
  <c r="DE19" i="63" s="1"/>
  <c r="DE20" i="63" s="1"/>
  <c r="DE21" i="63" s="1"/>
  <c r="DE22" i="63" s="1"/>
  <c r="DE23" i="63" s="1"/>
  <c r="DE24" i="63" s="1"/>
  <c r="DE25" i="63" s="1"/>
  <c r="DE26" i="63" s="1"/>
  <c r="DE27" i="63" s="1"/>
  <c r="DE28" i="63" s="1"/>
  <c r="DE29" i="63" s="1"/>
  <c r="DE30" i="63" s="1"/>
  <c r="DE31" i="63" s="1"/>
  <c r="DE32" i="63" s="1"/>
  <c r="DE33" i="63" s="1"/>
  <c r="DE34" i="63" s="1"/>
  <c r="DE35" i="63" s="1"/>
  <c r="DE36" i="63" s="1"/>
  <c r="DE37" i="63" s="1"/>
  <c r="DE38" i="63" s="1"/>
  <c r="DE39" i="63" s="1"/>
  <c r="DE40" i="63" s="1"/>
  <c r="DE41" i="63" s="1"/>
  <c r="DE42" i="63" s="1"/>
  <c r="DE43" i="63" s="1"/>
  <c r="DE44" i="63" s="1"/>
  <c r="DE45" i="63" s="1"/>
  <c r="DE46" i="63" s="1"/>
  <c r="DE47" i="63" s="1"/>
  <c r="DE48" i="63" s="1"/>
  <c r="DE49" i="63" s="1"/>
  <c r="DE50" i="63" s="1"/>
  <c r="DE51" i="63" s="1"/>
  <c r="DE52" i="63" s="1"/>
  <c r="DE53" i="63" s="1"/>
  <c r="DE54" i="63" s="1"/>
  <c r="DE55" i="63" s="1"/>
  <c r="DE56" i="63" s="1"/>
  <c r="DE57" i="63" s="1"/>
  <c r="DE58" i="63" s="1"/>
  <c r="DE59" i="63" s="1"/>
  <c r="DE60" i="63" s="1"/>
  <c r="DE61" i="63" s="1"/>
  <c r="DE62" i="63" s="1"/>
  <c r="DE63" i="63" s="1"/>
  <c r="DE64" i="63" s="1"/>
  <c r="DE65" i="63" s="1"/>
  <c r="DE66" i="63" s="1"/>
  <c r="DE67" i="63" s="1"/>
  <c r="DE68" i="63" s="1"/>
  <c r="DE69" i="63" s="1"/>
  <c r="DE70" i="63" s="1"/>
  <c r="DE71" i="63" s="1"/>
  <c r="DE72" i="63" s="1"/>
  <c r="DE73" i="63" s="1"/>
  <c r="DE74" i="63" s="1"/>
  <c r="DE75" i="63" s="1"/>
  <c r="DE76" i="63" s="1"/>
  <c r="DE77" i="63" s="1"/>
  <c r="DE78" i="63" s="1"/>
  <c r="DE79" i="63" s="1"/>
  <c r="DE80" i="63" s="1"/>
  <c r="DE81" i="63" s="1"/>
  <c r="DE82" i="63" s="1"/>
  <c r="DE83" i="63" s="1"/>
  <c r="DE84" i="63" s="1"/>
  <c r="DE85" i="63" s="1"/>
  <c r="DE86" i="63" s="1"/>
  <c r="DE87" i="63" s="1"/>
  <c r="DE88" i="63" s="1"/>
  <c r="DE89" i="63" s="1"/>
  <c r="DE90" i="63" s="1"/>
  <c r="DE91" i="63" s="1"/>
  <c r="DE92" i="63" s="1"/>
  <c r="DE93" i="63" s="1"/>
  <c r="DE94" i="63" s="1"/>
  <c r="DE95" i="63" s="1"/>
  <c r="DE96" i="63" s="1"/>
  <c r="DE97" i="63" s="1"/>
  <c r="DE98" i="63" s="1"/>
  <c r="DE99" i="63" s="1"/>
  <c r="DE100" i="63" s="1"/>
  <c r="DE101" i="63" s="1"/>
  <c r="DE102" i="63" s="1"/>
  <c r="DE103" i="63" s="1"/>
  <c r="DE104" i="63" s="1"/>
  <c r="DE105" i="63" s="1"/>
  <c r="DE106" i="63" s="1"/>
  <c r="DE107" i="63" s="1"/>
  <c r="DE108" i="63" s="1"/>
  <c r="DE109" i="63" s="1"/>
  <c r="DE110" i="63" s="1"/>
  <c r="DE111" i="63" s="1"/>
  <c r="DE112" i="63" s="1"/>
  <c r="DE113" i="63" s="1"/>
  <c r="DE114" i="63" s="1"/>
  <c r="DE115" i="63" s="1"/>
  <c r="DE116" i="63" s="1"/>
  <c r="DE117" i="63" s="1"/>
  <c r="DE118" i="63" s="1"/>
  <c r="DE119" i="63" s="1"/>
  <c r="DE120" i="63" s="1"/>
  <c r="DE121" i="63" s="1"/>
  <c r="DE122" i="63" s="1"/>
  <c r="DE123" i="63" s="1"/>
  <c r="DE124" i="63" s="1"/>
  <c r="DE125" i="63" s="1"/>
  <c r="DE126" i="63" s="1"/>
  <c r="DE127" i="63" s="1"/>
  <c r="DE128" i="63" s="1"/>
  <c r="DE129" i="63" s="1"/>
  <c r="DE130" i="63" s="1"/>
  <c r="DE131" i="63" s="1"/>
  <c r="DE132" i="63" s="1"/>
  <c r="DE133" i="63" s="1"/>
  <c r="DE134" i="63" s="1"/>
  <c r="DE135" i="63" s="1"/>
  <c r="DE136" i="63" s="1"/>
  <c r="DE137" i="63" s="1"/>
  <c r="DE138" i="63" s="1"/>
  <c r="DE139" i="63" s="1"/>
  <c r="DE140" i="63" s="1"/>
  <c r="DE141" i="63" s="1"/>
  <c r="DE142" i="63" s="1"/>
  <c r="DE143" i="63" s="1"/>
  <c r="DE144" i="63" s="1"/>
  <c r="DE145" i="63" s="1"/>
  <c r="DE146" i="63" s="1"/>
  <c r="DE147" i="63" s="1"/>
  <c r="DE148" i="63" s="1"/>
  <c r="DE149" i="63" s="1"/>
  <c r="DE150" i="63" s="1"/>
  <c r="DE151" i="63" s="1"/>
  <c r="DE152" i="63" s="1"/>
  <c r="DE153" i="63" s="1"/>
  <c r="DE154" i="63" s="1"/>
  <c r="DE155" i="63" s="1"/>
  <c r="DE156" i="63" s="1"/>
  <c r="DE157" i="63" s="1"/>
  <c r="DE158" i="63" s="1"/>
  <c r="DE159" i="63" s="1"/>
  <c r="DE160" i="63" s="1"/>
  <c r="DE161" i="63" s="1"/>
  <c r="DE162" i="63" s="1"/>
  <c r="DE163" i="63" s="1"/>
  <c r="DE164" i="63" s="1"/>
  <c r="DE165" i="63" s="1"/>
  <c r="DE166" i="63" s="1"/>
  <c r="DE167" i="63" s="1"/>
  <c r="DE168" i="63" s="1"/>
  <c r="DE169" i="63" s="1"/>
  <c r="DE170" i="63" s="1"/>
  <c r="DE171" i="63" s="1"/>
  <c r="DE172" i="63" s="1"/>
  <c r="DE173" i="63" s="1"/>
  <c r="DE174" i="63" s="1"/>
  <c r="DE175" i="63" s="1"/>
  <c r="DE176" i="63" s="1"/>
  <c r="DE177" i="63" s="1"/>
  <c r="DE178" i="63" s="1"/>
  <c r="DE179" i="63" s="1"/>
  <c r="DE180" i="63" s="1"/>
  <c r="DE181" i="63" s="1"/>
  <c r="DE182" i="63" s="1"/>
  <c r="DE183" i="63" s="1"/>
  <c r="DE184" i="63" s="1"/>
  <c r="DE185" i="63" s="1"/>
  <c r="DE186" i="63" s="1"/>
  <c r="DE187" i="63" s="1"/>
  <c r="DE188" i="63" s="1"/>
  <c r="DE189" i="63" s="1"/>
  <c r="DE190" i="63" s="1"/>
  <c r="DE191" i="63" s="1"/>
  <c r="DE192" i="63" s="1"/>
  <c r="DE193" i="63" s="1"/>
  <c r="DE194" i="63" s="1"/>
  <c r="DE195" i="63" s="1"/>
  <c r="DE196" i="63" s="1"/>
  <c r="DE197" i="63" s="1"/>
  <c r="DE198" i="63" s="1"/>
  <c r="DE199" i="63" s="1"/>
  <c r="DE200" i="63" s="1"/>
  <c r="DE201" i="63" s="1"/>
  <c r="DE202" i="63" s="1"/>
  <c r="DE203" i="63" s="1"/>
  <c r="DE204" i="63" s="1"/>
  <c r="DE205" i="63" s="1"/>
  <c r="DE206" i="63" s="1"/>
  <c r="DE207" i="63" s="1"/>
  <c r="DE208" i="63" s="1"/>
  <c r="DE209" i="63" s="1"/>
  <c r="DE210" i="63" s="1"/>
  <c r="DE211" i="63" s="1"/>
  <c r="DE212" i="63" s="1"/>
  <c r="DE213" i="63" s="1"/>
  <c r="DE214" i="63" s="1"/>
  <c r="DE215" i="63" s="1"/>
  <c r="DE216" i="63" s="1"/>
  <c r="DE217" i="63" s="1"/>
  <c r="DE218" i="63" s="1"/>
  <c r="DE219" i="63" s="1"/>
  <c r="DE220" i="63" s="1"/>
  <c r="DE221" i="63" s="1"/>
  <c r="DE222" i="63" s="1"/>
  <c r="DE223" i="63" s="1"/>
  <c r="DE224" i="63" s="1"/>
  <c r="DE225" i="63" s="1"/>
  <c r="DE226" i="63" s="1"/>
  <c r="DE227" i="63" s="1"/>
  <c r="DE228" i="63" s="1"/>
  <c r="DE229" i="63" s="1"/>
  <c r="DE230" i="63" s="1"/>
  <c r="DE231" i="63" s="1"/>
  <c r="DE232" i="63" s="1"/>
  <c r="DE233" i="63" s="1"/>
  <c r="DE234" i="63" s="1"/>
  <c r="DE235" i="63" s="1"/>
  <c r="DE236" i="63" s="1"/>
  <c r="DE237" i="63" s="1"/>
  <c r="DE238" i="63" s="1"/>
  <c r="DE239" i="63" s="1"/>
  <c r="DE240" i="63" s="1"/>
  <c r="DE241" i="63" s="1"/>
  <c r="DE242" i="63" s="1"/>
  <c r="DE243" i="63" s="1"/>
  <c r="DE244" i="63" s="1"/>
  <c r="DE245" i="63" s="1"/>
  <c r="DE246" i="63" s="1"/>
  <c r="DE247" i="63" s="1"/>
  <c r="DE248" i="63" s="1"/>
  <c r="DE249" i="63" s="1"/>
  <c r="DE250" i="63" s="1"/>
  <c r="DE251" i="63" s="1"/>
  <c r="DE252" i="63" s="1"/>
  <c r="DE253" i="63" s="1"/>
  <c r="DE254" i="63" s="1"/>
  <c r="DE255" i="63" s="1"/>
  <c r="DE256" i="63" s="1"/>
  <c r="DE257" i="63" s="1"/>
  <c r="DE258" i="63" s="1"/>
  <c r="DE259" i="63" s="1"/>
  <c r="DE260" i="63" s="1"/>
  <c r="DE261" i="63" s="1"/>
  <c r="DE262" i="63" s="1"/>
  <c r="DE263" i="63" s="1"/>
  <c r="DE264" i="63" s="1"/>
  <c r="DE265" i="63" s="1"/>
  <c r="DE266" i="63" s="1"/>
  <c r="DE267" i="63" s="1"/>
  <c r="DE268" i="63" s="1"/>
  <c r="DE269" i="63" s="1"/>
  <c r="DE270" i="63" s="1"/>
  <c r="DE271" i="63" s="1"/>
  <c r="DE272" i="63" s="1"/>
  <c r="DE273" i="63" s="1"/>
  <c r="DE274" i="63" s="1"/>
  <c r="DE275" i="63" s="1"/>
  <c r="DE276" i="63" s="1"/>
  <c r="DE277" i="63" s="1"/>
  <c r="DE278" i="63" s="1"/>
  <c r="DE279" i="63" s="1"/>
  <c r="DE280" i="63" s="1"/>
  <c r="DE281" i="63" s="1"/>
  <c r="DE282" i="63" s="1"/>
  <c r="DE283" i="63" s="1"/>
  <c r="DE284" i="63" s="1"/>
  <c r="DE285" i="63" s="1"/>
  <c r="DE286" i="63" s="1"/>
  <c r="DE287" i="63" s="1"/>
  <c r="DE288" i="63" s="1"/>
  <c r="DE289" i="63" s="1"/>
  <c r="DE290" i="63" s="1"/>
  <c r="DE291" i="63" s="1"/>
  <c r="DE292" i="63" s="1"/>
  <c r="DE293" i="63" s="1"/>
  <c r="DE294" i="63" s="1"/>
  <c r="DE295" i="63" s="1"/>
  <c r="DE296" i="63" s="1"/>
  <c r="DE297" i="63" s="1"/>
  <c r="DE298" i="63" s="1"/>
  <c r="DE299" i="63" s="1"/>
  <c r="DE300" i="63" s="1"/>
  <c r="DE301" i="63" s="1"/>
  <c r="DE302" i="63" s="1"/>
  <c r="DE303" i="63" s="1"/>
  <c r="DE304" i="63" s="1"/>
  <c r="DE305" i="63" s="1"/>
  <c r="DE306" i="63" s="1"/>
  <c r="DE307" i="63" s="1"/>
  <c r="DE308" i="63" s="1"/>
  <c r="DB9" i="63"/>
  <c r="DB10" i="63" s="1"/>
  <c r="DB11" i="63" s="1"/>
  <c r="DB12" i="63" s="1"/>
  <c r="DB13" i="63" s="1"/>
  <c r="DB14" i="63" s="1"/>
  <c r="DB15" i="63" s="1"/>
  <c r="DB16" i="63" s="1"/>
  <c r="DB17" i="63" s="1"/>
  <c r="DB18" i="63" s="1"/>
  <c r="DB19" i="63" s="1"/>
  <c r="DB20" i="63" s="1"/>
  <c r="DB21" i="63" s="1"/>
  <c r="DB22" i="63" s="1"/>
  <c r="DB23" i="63" s="1"/>
  <c r="DB24" i="63" s="1"/>
  <c r="DB25" i="63" s="1"/>
  <c r="DB26" i="63" s="1"/>
  <c r="DB27" i="63" s="1"/>
  <c r="DB28" i="63" s="1"/>
  <c r="DB29" i="63" s="1"/>
  <c r="DB30" i="63" s="1"/>
  <c r="DB31" i="63" s="1"/>
  <c r="DB32" i="63" s="1"/>
  <c r="DB33" i="63" s="1"/>
  <c r="DB34" i="63" s="1"/>
  <c r="DB35" i="63" s="1"/>
  <c r="DB36" i="63" s="1"/>
  <c r="DB37" i="63" s="1"/>
  <c r="DB38" i="63" s="1"/>
  <c r="DB39" i="63" s="1"/>
  <c r="DB40" i="63" s="1"/>
  <c r="DB41" i="63" s="1"/>
  <c r="DB42" i="63" s="1"/>
  <c r="DB43" i="63" s="1"/>
  <c r="DB44" i="63" s="1"/>
  <c r="DB45" i="63" s="1"/>
  <c r="DB46" i="63" s="1"/>
  <c r="DB47" i="63" s="1"/>
  <c r="DB48" i="63" s="1"/>
  <c r="DB49" i="63" s="1"/>
  <c r="DB50" i="63" s="1"/>
  <c r="DB51" i="63" s="1"/>
  <c r="DB52" i="63" s="1"/>
  <c r="DB53" i="63" s="1"/>
  <c r="DB54" i="63" s="1"/>
  <c r="DB55" i="63" s="1"/>
  <c r="DB56" i="63" s="1"/>
  <c r="DB57" i="63" s="1"/>
  <c r="DB58" i="63" s="1"/>
  <c r="DB59" i="63" s="1"/>
  <c r="DB60" i="63" s="1"/>
  <c r="DB61" i="63" s="1"/>
  <c r="DB62" i="63" s="1"/>
  <c r="DB63" i="63" s="1"/>
  <c r="DB64" i="63" s="1"/>
  <c r="DB65" i="63" s="1"/>
  <c r="DB66" i="63" s="1"/>
  <c r="DB67" i="63" s="1"/>
  <c r="DB68" i="63" s="1"/>
  <c r="DB69" i="63" s="1"/>
  <c r="DB70" i="63" s="1"/>
  <c r="DB71" i="63" s="1"/>
  <c r="DB72" i="63" s="1"/>
  <c r="DB73" i="63" s="1"/>
  <c r="DB74" i="63" s="1"/>
  <c r="DB75" i="63" s="1"/>
  <c r="DB76" i="63" s="1"/>
  <c r="DB77" i="63" s="1"/>
  <c r="DB78" i="63" s="1"/>
  <c r="DB79" i="63" s="1"/>
  <c r="DB80" i="63" s="1"/>
  <c r="DB81" i="63" s="1"/>
  <c r="DB82" i="63" s="1"/>
  <c r="DB83" i="63" s="1"/>
  <c r="DB84" i="63" s="1"/>
  <c r="DB85" i="63" s="1"/>
  <c r="DB86" i="63" s="1"/>
  <c r="DB87" i="63" s="1"/>
  <c r="DB88" i="63" s="1"/>
  <c r="DB89" i="63" s="1"/>
  <c r="DB90" i="63" s="1"/>
  <c r="DB91" i="63" s="1"/>
  <c r="DB92" i="63" s="1"/>
  <c r="DB93" i="63" s="1"/>
  <c r="DB94" i="63" s="1"/>
  <c r="DB95" i="63" s="1"/>
  <c r="DB96" i="63" s="1"/>
  <c r="DB97" i="63" s="1"/>
  <c r="DB98" i="63" s="1"/>
  <c r="DB99" i="63" s="1"/>
  <c r="DB100" i="63" s="1"/>
  <c r="DB101" i="63" s="1"/>
  <c r="DB102" i="63" s="1"/>
  <c r="DB103" i="63" s="1"/>
  <c r="DB104" i="63" s="1"/>
  <c r="DB105" i="63" s="1"/>
  <c r="DB106" i="63" s="1"/>
  <c r="DB107" i="63" s="1"/>
  <c r="DB108" i="63" s="1"/>
  <c r="DB109" i="63" s="1"/>
  <c r="DB110" i="63" s="1"/>
  <c r="DB111" i="63" s="1"/>
  <c r="DB112" i="63" s="1"/>
  <c r="DB113" i="63" s="1"/>
  <c r="DB114" i="63" s="1"/>
  <c r="DB115" i="63" s="1"/>
  <c r="DB116" i="63" s="1"/>
  <c r="DB117" i="63" s="1"/>
  <c r="DB118" i="63" s="1"/>
  <c r="DB119" i="63" s="1"/>
  <c r="DB120" i="63" s="1"/>
  <c r="DB121" i="63" s="1"/>
  <c r="DB122" i="63" s="1"/>
  <c r="DB123" i="63" s="1"/>
  <c r="DB124" i="63" s="1"/>
  <c r="DB125" i="63" s="1"/>
  <c r="DB126" i="63" s="1"/>
  <c r="DB127" i="63" s="1"/>
  <c r="DB128" i="63" s="1"/>
  <c r="DB129" i="63" s="1"/>
  <c r="DB130" i="63" s="1"/>
  <c r="DB131" i="63" s="1"/>
  <c r="DB132" i="63" s="1"/>
  <c r="DB133" i="63" s="1"/>
  <c r="DB134" i="63" s="1"/>
  <c r="DB135" i="63" s="1"/>
  <c r="DB136" i="63" s="1"/>
  <c r="DB137" i="63" s="1"/>
  <c r="DB138" i="63" s="1"/>
  <c r="DB139" i="63" s="1"/>
  <c r="DB140" i="63" s="1"/>
  <c r="DB141" i="63" s="1"/>
  <c r="DB142" i="63" s="1"/>
  <c r="DB143" i="63" s="1"/>
  <c r="DB144" i="63" s="1"/>
  <c r="DB145" i="63" s="1"/>
  <c r="DB146" i="63" s="1"/>
  <c r="DB147" i="63" s="1"/>
  <c r="DB148" i="63" s="1"/>
  <c r="DB149" i="63" s="1"/>
  <c r="DB150" i="63" s="1"/>
  <c r="DB151" i="63" s="1"/>
  <c r="DB152" i="63" s="1"/>
  <c r="DB153" i="63" s="1"/>
  <c r="DB154" i="63" s="1"/>
  <c r="DB155" i="63" s="1"/>
  <c r="DB156" i="63" s="1"/>
  <c r="DB157" i="63" s="1"/>
  <c r="DB158" i="63" s="1"/>
  <c r="DB159" i="63" s="1"/>
  <c r="DB160" i="63" s="1"/>
  <c r="DB161" i="63" s="1"/>
  <c r="DB162" i="63" s="1"/>
  <c r="DB163" i="63" s="1"/>
  <c r="DB164" i="63" s="1"/>
  <c r="DB165" i="63" s="1"/>
  <c r="DB166" i="63" s="1"/>
  <c r="DB167" i="63" s="1"/>
  <c r="DB168" i="63" s="1"/>
  <c r="DB169" i="63" s="1"/>
  <c r="DB170" i="63" s="1"/>
  <c r="DB171" i="63" s="1"/>
  <c r="DB172" i="63" s="1"/>
  <c r="DB173" i="63" s="1"/>
  <c r="DB174" i="63" s="1"/>
  <c r="DB175" i="63" s="1"/>
  <c r="DB176" i="63" s="1"/>
  <c r="DB177" i="63" s="1"/>
  <c r="DB178" i="63" s="1"/>
  <c r="DB179" i="63" s="1"/>
  <c r="DB180" i="63" s="1"/>
  <c r="DB181" i="63" s="1"/>
  <c r="DB182" i="63" s="1"/>
  <c r="DB183" i="63" s="1"/>
  <c r="DB184" i="63" s="1"/>
  <c r="DB185" i="63" s="1"/>
  <c r="DB186" i="63" s="1"/>
  <c r="DB187" i="63" s="1"/>
  <c r="DB188" i="63" s="1"/>
  <c r="DB189" i="63" s="1"/>
  <c r="DB190" i="63" s="1"/>
  <c r="DB191" i="63" s="1"/>
  <c r="DB192" i="63" s="1"/>
  <c r="DB193" i="63" s="1"/>
  <c r="DB194" i="63" s="1"/>
  <c r="DB195" i="63" s="1"/>
  <c r="DB196" i="63" s="1"/>
  <c r="DB197" i="63" s="1"/>
  <c r="DB198" i="63" s="1"/>
  <c r="DB199" i="63" s="1"/>
  <c r="DB200" i="63" s="1"/>
  <c r="DB201" i="63" s="1"/>
  <c r="DB202" i="63" s="1"/>
  <c r="DB203" i="63" s="1"/>
  <c r="DB204" i="63" s="1"/>
  <c r="DB205" i="63" s="1"/>
  <c r="DB206" i="63" s="1"/>
  <c r="DB207" i="63" s="1"/>
  <c r="DB208" i="63" s="1"/>
  <c r="DB209" i="63" s="1"/>
  <c r="DB210" i="63" s="1"/>
  <c r="DB211" i="63" s="1"/>
  <c r="DB212" i="63" s="1"/>
  <c r="DB213" i="63" s="1"/>
  <c r="DB214" i="63" s="1"/>
  <c r="DB215" i="63" s="1"/>
  <c r="DB216" i="63" s="1"/>
  <c r="DB217" i="63" s="1"/>
  <c r="DB218" i="63" s="1"/>
  <c r="DB219" i="63" s="1"/>
  <c r="DB220" i="63" s="1"/>
  <c r="DB221" i="63" s="1"/>
  <c r="DB222" i="63" s="1"/>
  <c r="DB223" i="63" s="1"/>
  <c r="DB224" i="63" s="1"/>
  <c r="DB225" i="63" s="1"/>
  <c r="DB226" i="63" s="1"/>
  <c r="DB227" i="63" s="1"/>
  <c r="DB228" i="63" s="1"/>
  <c r="DB229" i="63" s="1"/>
  <c r="DB230" i="63" s="1"/>
  <c r="DB231" i="63" s="1"/>
  <c r="DB232" i="63" s="1"/>
  <c r="DB233" i="63" s="1"/>
  <c r="DB234" i="63" s="1"/>
  <c r="DB235" i="63" s="1"/>
  <c r="DB236" i="63" s="1"/>
  <c r="DB237" i="63" s="1"/>
  <c r="DB238" i="63" s="1"/>
  <c r="DB239" i="63" s="1"/>
  <c r="DB240" i="63" s="1"/>
  <c r="DB241" i="63" s="1"/>
  <c r="DB242" i="63" s="1"/>
  <c r="DB243" i="63" s="1"/>
  <c r="DB244" i="63" s="1"/>
  <c r="DB245" i="63" s="1"/>
  <c r="DB246" i="63" s="1"/>
  <c r="DB247" i="63" s="1"/>
  <c r="DB248" i="63" s="1"/>
  <c r="DB249" i="63" s="1"/>
  <c r="DB250" i="63" s="1"/>
  <c r="DB251" i="63" s="1"/>
  <c r="DB252" i="63" s="1"/>
  <c r="DB253" i="63" s="1"/>
  <c r="DB254" i="63" s="1"/>
  <c r="DB255" i="63" s="1"/>
  <c r="DB256" i="63" s="1"/>
  <c r="DB257" i="63" s="1"/>
  <c r="DB258" i="63" s="1"/>
  <c r="DB259" i="63" s="1"/>
  <c r="DB260" i="63" s="1"/>
  <c r="DB261" i="63" s="1"/>
  <c r="DB262" i="63" s="1"/>
  <c r="DB263" i="63" s="1"/>
  <c r="DB264" i="63" s="1"/>
  <c r="DB265" i="63" s="1"/>
  <c r="DB266" i="63" s="1"/>
  <c r="DB267" i="63" s="1"/>
  <c r="DB268" i="63" s="1"/>
  <c r="DB269" i="63" s="1"/>
  <c r="DB270" i="63" s="1"/>
  <c r="DB271" i="63" s="1"/>
  <c r="DB272" i="63" s="1"/>
  <c r="DB273" i="63" s="1"/>
  <c r="DB274" i="63" s="1"/>
  <c r="DB275" i="63" s="1"/>
  <c r="DB276" i="63" s="1"/>
  <c r="DB277" i="63" s="1"/>
  <c r="DB278" i="63" s="1"/>
  <c r="DB279" i="63" s="1"/>
  <c r="DB280" i="63" s="1"/>
  <c r="DB281" i="63" s="1"/>
  <c r="DB282" i="63" s="1"/>
  <c r="DB283" i="63" s="1"/>
  <c r="DB284" i="63" s="1"/>
  <c r="DB285" i="63" s="1"/>
  <c r="DB286" i="63" s="1"/>
  <c r="DB287" i="63" s="1"/>
  <c r="DB288" i="63" s="1"/>
  <c r="DB289" i="63" s="1"/>
  <c r="DB290" i="63" s="1"/>
  <c r="DB291" i="63" s="1"/>
  <c r="DB292" i="63" s="1"/>
  <c r="DB293" i="63" s="1"/>
  <c r="DB294" i="63" s="1"/>
  <c r="DB295" i="63" s="1"/>
  <c r="DB296" i="63" s="1"/>
  <c r="DB297" i="63" s="1"/>
  <c r="DB298" i="63" s="1"/>
  <c r="DB299" i="63" s="1"/>
  <c r="DB300" i="63" s="1"/>
  <c r="DB301" i="63" s="1"/>
  <c r="DB302" i="63" s="1"/>
  <c r="DB303" i="63" s="1"/>
  <c r="DB304" i="63" s="1"/>
  <c r="DB305" i="63" s="1"/>
  <c r="DB306" i="63" s="1"/>
  <c r="DB307" i="63" s="1"/>
  <c r="DB308" i="63" s="1"/>
  <c r="CY9" i="63"/>
  <c r="CY10" i="63" s="1"/>
  <c r="CY11" i="63" s="1"/>
  <c r="CY12" i="63" s="1"/>
  <c r="CY13" i="63" s="1"/>
  <c r="CY14" i="63" s="1"/>
  <c r="CY15" i="63" s="1"/>
  <c r="CY16" i="63" s="1"/>
  <c r="CY17" i="63" s="1"/>
  <c r="CY18" i="63" s="1"/>
  <c r="CY19" i="63" s="1"/>
  <c r="CY20" i="63" s="1"/>
  <c r="CY21" i="63" s="1"/>
  <c r="CY22" i="63" s="1"/>
  <c r="CY23" i="63" s="1"/>
  <c r="CY24" i="63" s="1"/>
  <c r="CY25" i="63" s="1"/>
  <c r="CY26" i="63" s="1"/>
  <c r="CY27" i="63" s="1"/>
  <c r="CY28" i="63" s="1"/>
  <c r="CY29" i="63" s="1"/>
  <c r="CY30" i="63" s="1"/>
  <c r="CY31" i="63" s="1"/>
  <c r="CY32" i="63" s="1"/>
  <c r="CY33" i="63" s="1"/>
  <c r="CY34" i="63" s="1"/>
  <c r="CY35" i="63" s="1"/>
  <c r="CY36" i="63" s="1"/>
  <c r="CY37" i="63" s="1"/>
  <c r="CY38" i="63" s="1"/>
  <c r="CY39" i="63" s="1"/>
  <c r="CY40" i="63" s="1"/>
  <c r="CY41" i="63" s="1"/>
  <c r="CY42" i="63" s="1"/>
  <c r="CY43" i="63" s="1"/>
  <c r="CY44" i="63" s="1"/>
  <c r="CY45" i="63" s="1"/>
  <c r="CY46" i="63" s="1"/>
  <c r="CY47" i="63" s="1"/>
  <c r="CY48" i="63" s="1"/>
  <c r="CY49" i="63" s="1"/>
  <c r="CY50" i="63" s="1"/>
  <c r="CY51" i="63" s="1"/>
  <c r="CY52" i="63" s="1"/>
  <c r="CY53" i="63" s="1"/>
  <c r="CY54" i="63" s="1"/>
  <c r="CY55" i="63" s="1"/>
  <c r="CY56" i="63" s="1"/>
  <c r="CY57" i="63" s="1"/>
  <c r="CY58" i="63" s="1"/>
  <c r="CY59" i="63" s="1"/>
  <c r="CY60" i="63" s="1"/>
  <c r="CY61" i="63" s="1"/>
  <c r="CY62" i="63" s="1"/>
  <c r="CY63" i="63" s="1"/>
  <c r="CY64" i="63" s="1"/>
  <c r="CY65" i="63" s="1"/>
  <c r="CY66" i="63" s="1"/>
  <c r="CY67" i="63" s="1"/>
  <c r="CY68" i="63" s="1"/>
  <c r="CY69" i="63" s="1"/>
  <c r="CY70" i="63" s="1"/>
  <c r="CY71" i="63" s="1"/>
  <c r="CY72" i="63" s="1"/>
  <c r="CY73" i="63" s="1"/>
  <c r="CY74" i="63" s="1"/>
  <c r="CY75" i="63" s="1"/>
  <c r="CY76" i="63" s="1"/>
  <c r="CY77" i="63" s="1"/>
  <c r="CY78" i="63" s="1"/>
  <c r="CY79" i="63" s="1"/>
  <c r="CY80" i="63" s="1"/>
  <c r="CY81" i="63" s="1"/>
  <c r="CY82" i="63" s="1"/>
  <c r="CY83" i="63" s="1"/>
  <c r="CY84" i="63" s="1"/>
  <c r="CY85" i="63" s="1"/>
  <c r="CY86" i="63" s="1"/>
  <c r="CY87" i="63" s="1"/>
  <c r="CY88" i="63" s="1"/>
  <c r="CY89" i="63" s="1"/>
  <c r="CY90" i="63" s="1"/>
  <c r="CY91" i="63" s="1"/>
  <c r="CY92" i="63" s="1"/>
  <c r="CY93" i="63" s="1"/>
  <c r="CY94" i="63" s="1"/>
  <c r="CY95" i="63" s="1"/>
  <c r="CY96" i="63" s="1"/>
  <c r="CY97" i="63" s="1"/>
  <c r="CY98" i="63" s="1"/>
  <c r="CY99" i="63" s="1"/>
  <c r="CY100" i="63" s="1"/>
  <c r="CY101" i="63" s="1"/>
  <c r="CY102" i="63" s="1"/>
  <c r="CY103" i="63" s="1"/>
  <c r="CY104" i="63" s="1"/>
  <c r="CY105" i="63" s="1"/>
  <c r="CY106" i="63" s="1"/>
  <c r="CY107" i="63" s="1"/>
  <c r="CY108" i="63" s="1"/>
  <c r="CY109" i="63" s="1"/>
  <c r="CY110" i="63" s="1"/>
  <c r="CY111" i="63" s="1"/>
  <c r="CY112" i="63" s="1"/>
  <c r="CY113" i="63" s="1"/>
  <c r="CY114" i="63" s="1"/>
  <c r="CY115" i="63" s="1"/>
  <c r="CY116" i="63" s="1"/>
  <c r="CY117" i="63" s="1"/>
  <c r="CY118" i="63" s="1"/>
  <c r="CY119" i="63" s="1"/>
  <c r="CY120" i="63" s="1"/>
  <c r="CY121" i="63" s="1"/>
  <c r="CY122" i="63" s="1"/>
  <c r="CY123" i="63" s="1"/>
  <c r="CY124" i="63" s="1"/>
  <c r="CY125" i="63" s="1"/>
  <c r="CY126" i="63" s="1"/>
  <c r="CY127" i="63" s="1"/>
  <c r="CY128" i="63" s="1"/>
  <c r="CY129" i="63" s="1"/>
  <c r="CY130" i="63" s="1"/>
  <c r="CY131" i="63" s="1"/>
  <c r="CY132" i="63" s="1"/>
  <c r="CY133" i="63" s="1"/>
  <c r="CY134" i="63" s="1"/>
  <c r="CY135" i="63" s="1"/>
  <c r="CY136" i="63" s="1"/>
  <c r="CY137" i="63" s="1"/>
  <c r="CY138" i="63" s="1"/>
  <c r="CY139" i="63" s="1"/>
  <c r="CY140" i="63" s="1"/>
  <c r="CY141" i="63" s="1"/>
  <c r="CY142" i="63" s="1"/>
  <c r="CY143" i="63" s="1"/>
  <c r="CY144" i="63" s="1"/>
  <c r="CY145" i="63" s="1"/>
  <c r="CY146" i="63" s="1"/>
  <c r="CY147" i="63" s="1"/>
  <c r="CY148" i="63" s="1"/>
  <c r="CY149" i="63" s="1"/>
  <c r="CY150" i="63" s="1"/>
  <c r="CY151" i="63" s="1"/>
  <c r="CY152" i="63" s="1"/>
  <c r="CY153" i="63" s="1"/>
  <c r="CY154" i="63" s="1"/>
  <c r="CY155" i="63" s="1"/>
  <c r="CY156" i="63" s="1"/>
  <c r="CY157" i="63" s="1"/>
  <c r="CY158" i="63" s="1"/>
  <c r="CY159" i="63" s="1"/>
  <c r="CY160" i="63" s="1"/>
  <c r="CY161" i="63" s="1"/>
  <c r="CY162" i="63" s="1"/>
  <c r="CY163" i="63" s="1"/>
  <c r="CY164" i="63" s="1"/>
  <c r="CY165" i="63" s="1"/>
  <c r="CY166" i="63" s="1"/>
  <c r="CY167" i="63" s="1"/>
  <c r="CY168" i="63" s="1"/>
  <c r="CY169" i="63" s="1"/>
  <c r="CY170" i="63" s="1"/>
  <c r="CY171" i="63" s="1"/>
  <c r="CY172" i="63" s="1"/>
  <c r="CY173" i="63" s="1"/>
  <c r="CY174" i="63" s="1"/>
  <c r="CY175" i="63" s="1"/>
  <c r="CY176" i="63" s="1"/>
  <c r="CY177" i="63" s="1"/>
  <c r="CY178" i="63" s="1"/>
  <c r="CY179" i="63" s="1"/>
  <c r="CY180" i="63" s="1"/>
  <c r="CY181" i="63" s="1"/>
  <c r="CY182" i="63" s="1"/>
  <c r="CY183" i="63" s="1"/>
  <c r="CY184" i="63" s="1"/>
  <c r="CY185" i="63" s="1"/>
  <c r="CY186" i="63" s="1"/>
  <c r="CY187" i="63" s="1"/>
  <c r="CY188" i="63" s="1"/>
  <c r="CY189" i="63" s="1"/>
  <c r="CY190" i="63" s="1"/>
  <c r="CY191" i="63" s="1"/>
  <c r="CY192" i="63" s="1"/>
  <c r="CY193" i="63" s="1"/>
  <c r="CY194" i="63" s="1"/>
  <c r="CY195" i="63" s="1"/>
  <c r="CY196" i="63" s="1"/>
  <c r="CY197" i="63" s="1"/>
  <c r="CY198" i="63" s="1"/>
  <c r="CY199" i="63" s="1"/>
  <c r="CY200" i="63" s="1"/>
  <c r="CY201" i="63" s="1"/>
  <c r="CY202" i="63" s="1"/>
  <c r="CY203" i="63" s="1"/>
  <c r="CY204" i="63" s="1"/>
  <c r="CY205" i="63" s="1"/>
  <c r="CY206" i="63" s="1"/>
  <c r="CY207" i="63" s="1"/>
  <c r="CY208" i="63" s="1"/>
  <c r="CY209" i="63" s="1"/>
  <c r="CY210" i="63" s="1"/>
  <c r="CY211" i="63" s="1"/>
  <c r="CY212" i="63" s="1"/>
  <c r="CY213" i="63" s="1"/>
  <c r="CY214" i="63" s="1"/>
  <c r="CY215" i="63" s="1"/>
  <c r="CY216" i="63" s="1"/>
  <c r="CY217" i="63" s="1"/>
  <c r="CY218" i="63" s="1"/>
  <c r="CY219" i="63" s="1"/>
  <c r="CY220" i="63" s="1"/>
  <c r="CY221" i="63" s="1"/>
  <c r="CY222" i="63" s="1"/>
  <c r="CY223" i="63" s="1"/>
  <c r="CY224" i="63" s="1"/>
  <c r="CY225" i="63" s="1"/>
  <c r="CY226" i="63" s="1"/>
  <c r="CY227" i="63" s="1"/>
  <c r="CY228" i="63" s="1"/>
  <c r="CY229" i="63" s="1"/>
  <c r="CY230" i="63" s="1"/>
  <c r="CY231" i="63" s="1"/>
  <c r="CY232" i="63" s="1"/>
  <c r="CY233" i="63" s="1"/>
  <c r="CY234" i="63" s="1"/>
  <c r="CY235" i="63" s="1"/>
  <c r="CY236" i="63" s="1"/>
  <c r="CY237" i="63" s="1"/>
  <c r="CY238" i="63" s="1"/>
  <c r="CY239" i="63" s="1"/>
  <c r="CY240" i="63" s="1"/>
  <c r="CY241" i="63" s="1"/>
  <c r="CY242" i="63" s="1"/>
  <c r="CY243" i="63" s="1"/>
  <c r="CY244" i="63" s="1"/>
  <c r="CY245" i="63" s="1"/>
  <c r="CY246" i="63" s="1"/>
  <c r="CY247" i="63" s="1"/>
  <c r="CY248" i="63" s="1"/>
  <c r="CY249" i="63" s="1"/>
  <c r="CY250" i="63" s="1"/>
  <c r="CY251" i="63" s="1"/>
  <c r="CY252" i="63" s="1"/>
  <c r="CY253" i="63" s="1"/>
  <c r="CY254" i="63" s="1"/>
  <c r="CY255" i="63" s="1"/>
  <c r="CY256" i="63" s="1"/>
  <c r="CY257" i="63" s="1"/>
  <c r="CY258" i="63" s="1"/>
  <c r="CY259" i="63" s="1"/>
  <c r="CY260" i="63" s="1"/>
  <c r="CY261" i="63" s="1"/>
  <c r="CY262" i="63" s="1"/>
  <c r="CY263" i="63" s="1"/>
  <c r="CY264" i="63" s="1"/>
  <c r="CY265" i="63" s="1"/>
  <c r="CY266" i="63" s="1"/>
  <c r="CY267" i="63" s="1"/>
  <c r="CY268" i="63" s="1"/>
  <c r="CY269" i="63" s="1"/>
  <c r="CY270" i="63" s="1"/>
  <c r="CY271" i="63" s="1"/>
  <c r="CY272" i="63" s="1"/>
  <c r="CY273" i="63" s="1"/>
  <c r="CY274" i="63" s="1"/>
  <c r="CY275" i="63" s="1"/>
  <c r="CY276" i="63" s="1"/>
  <c r="CY277" i="63" s="1"/>
  <c r="CY278" i="63" s="1"/>
  <c r="CY279" i="63" s="1"/>
  <c r="CY280" i="63" s="1"/>
  <c r="CY281" i="63" s="1"/>
  <c r="CY282" i="63" s="1"/>
  <c r="CY283" i="63" s="1"/>
  <c r="CY284" i="63" s="1"/>
  <c r="CY285" i="63" s="1"/>
  <c r="CY286" i="63" s="1"/>
  <c r="CY287" i="63" s="1"/>
  <c r="CY288" i="63" s="1"/>
  <c r="CY289" i="63" s="1"/>
  <c r="CY290" i="63" s="1"/>
  <c r="CY291" i="63" s="1"/>
  <c r="CY292" i="63" s="1"/>
  <c r="CY293" i="63" s="1"/>
  <c r="CY294" i="63" s="1"/>
  <c r="CY295" i="63" s="1"/>
  <c r="CY296" i="63" s="1"/>
  <c r="CY297" i="63" s="1"/>
  <c r="CY298" i="63" s="1"/>
  <c r="CY299" i="63" s="1"/>
  <c r="CY300" i="63" s="1"/>
  <c r="CY301" i="63" s="1"/>
  <c r="CY302" i="63" s="1"/>
  <c r="CY303" i="63" s="1"/>
  <c r="CY304" i="63" s="1"/>
  <c r="CY305" i="63" s="1"/>
  <c r="CY306" i="63" s="1"/>
  <c r="CY307" i="63" s="1"/>
  <c r="CY308" i="63" s="1"/>
  <c r="CV9" i="63"/>
  <c r="CV10" i="63" s="1"/>
  <c r="CV11" i="63" s="1"/>
  <c r="CV12" i="63" s="1"/>
  <c r="CV13" i="63" s="1"/>
  <c r="CV14" i="63" s="1"/>
  <c r="CV15" i="63" s="1"/>
  <c r="CV16" i="63" s="1"/>
  <c r="CV17" i="63" s="1"/>
  <c r="CV18" i="63" s="1"/>
  <c r="CV19" i="63" s="1"/>
  <c r="CV20" i="63" s="1"/>
  <c r="CV21" i="63" s="1"/>
  <c r="CV22" i="63" s="1"/>
  <c r="CV23" i="63" s="1"/>
  <c r="CV24" i="63" s="1"/>
  <c r="CV25" i="63" s="1"/>
  <c r="CV26" i="63" s="1"/>
  <c r="CV27" i="63" s="1"/>
  <c r="CV28" i="63" s="1"/>
  <c r="CV29" i="63" s="1"/>
  <c r="CV30" i="63" s="1"/>
  <c r="CV31" i="63" s="1"/>
  <c r="CV32" i="63" s="1"/>
  <c r="CV33" i="63" s="1"/>
  <c r="CV34" i="63" s="1"/>
  <c r="CV35" i="63" s="1"/>
  <c r="CV36" i="63" s="1"/>
  <c r="CV37" i="63" s="1"/>
  <c r="CV38" i="63" s="1"/>
  <c r="CV39" i="63" s="1"/>
  <c r="CV40" i="63" s="1"/>
  <c r="CV41" i="63" s="1"/>
  <c r="CV42" i="63" s="1"/>
  <c r="CV43" i="63" s="1"/>
  <c r="CV44" i="63" s="1"/>
  <c r="CV45" i="63" s="1"/>
  <c r="CV46" i="63" s="1"/>
  <c r="CV47" i="63" s="1"/>
  <c r="CV48" i="63" s="1"/>
  <c r="CV49" i="63" s="1"/>
  <c r="CV50" i="63" s="1"/>
  <c r="CV51" i="63" s="1"/>
  <c r="CV52" i="63" s="1"/>
  <c r="CV53" i="63" s="1"/>
  <c r="CV54" i="63" s="1"/>
  <c r="CV55" i="63" s="1"/>
  <c r="CV56" i="63" s="1"/>
  <c r="CV57" i="63" s="1"/>
  <c r="CV58" i="63" s="1"/>
  <c r="CV59" i="63" s="1"/>
  <c r="CV60" i="63" s="1"/>
  <c r="CV61" i="63" s="1"/>
  <c r="CV62" i="63" s="1"/>
  <c r="CV63" i="63" s="1"/>
  <c r="CV64" i="63" s="1"/>
  <c r="CV65" i="63" s="1"/>
  <c r="CV66" i="63" s="1"/>
  <c r="CV67" i="63" s="1"/>
  <c r="CV68" i="63" s="1"/>
  <c r="CV69" i="63" s="1"/>
  <c r="CV70" i="63" s="1"/>
  <c r="CV71" i="63" s="1"/>
  <c r="CV72" i="63" s="1"/>
  <c r="CV73" i="63" s="1"/>
  <c r="CV74" i="63" s="1"/>
  <c r="CV75" i="63" s="1"/>
  <c r="CV76" i="63" s="1"/>
  <c r="CV77" i="63" s="1"/>
  <c r="CV78" i="63" s="1"/>
  <c r="CV79" i="63" s="1"/>
  <c r="CV80" i="63" s="1"/>
  <c r="CV81" i="63" s="1"/>
  <c r="CV82" i="63" s="1"/>
  <c r="CV83" i="63" s="1"/>
  <c r="CV84" i="63" s="1"/>
  <c r="CV85" i="63" s="1"/>
  <c r="CV86" i="63" s="1"/>
  <c r="CV87" i="63" s="1"/>
  <c r="CV88" i="63" s="1"/>
  <c r="CV89" i="63" s="1"/>
  <c r="CV90" i="63" s="1"/>
  <c r="CV91" i="63" s="1"/>
  <c r="CV92" i="63" s="1"/>
  <c r="CV93" i="63" s="1"/>
  <c r="CV94" i="63" s="1"/>
  <c r="CV95" i="63" s="1"/>
  <c r="CV96" i="63" s="1"/>
  <c r="CV97" i="63" s="1"/>
  <c r="CV98" i="63" s="1"/>
  <c r="CV99" i="63" s="1"/>
  <c r="CV100" i="63" s="1"/>
  <c r="CV101" i="63" s="1"/>
  <c r="CV102" i="63" s="1"/>
  <c r="CV103" i="63" s="1"/>
  <c r="CV104" i="63" s="1"/>
  <c r="CV105" i="63" s="1"/>
  <c r="CV106" i="63" s="1"/>
  <c r="CV107" i="63" s="1"/>
  <c r="CV108" i="63" s="1"/>
  <c r="CV109" i="63" s="1"/>
  <c r="CV110" i="63" s="1"/>
  <c r="CV111" i="63" s="1"/>
  <c r="CV112" i="63" s="1"/>
  <c r="CV113" i="63" s="1"/>
  <c r="CV114" i="63" s="1"/>
  <c r="CV115" i="63" s="1"/>
  <c r="CV116" i="63" s="1"/>
  <c r="CV117" i="63" s="1"/>
  <c r="CV118" i="63" s="1"/>
  <c r="CV119" i="63" s="1"/>
  <c r="CV120" i="63" s="1"/>
  <c r="CV121" i="63" s="1"/>
  <c r="CV122" i="63" s="1"/>
  <c r="CV123" i="63" s="1"/>
  <c r="CV124" i="63" s="1"/>
  <c r="CV125" i="63" s="1"/>
  <c r="CV126" i="63" s="1"/>
  <c r="CV127" i="63" s="1"/>
  <c r="CV128" i="63" s="1"/>
  <c r="CV129" i="63" s="1"/>
  <c r="CV130" i="63" s="1"/>
  <c r="CV131" i="63" s="1"/>
  <c r="CV132" i="63" s="1"/>
  <c r="CV133" i="63" s="1"/>
  <c r="CV134" i="63" s="1"/>
  <c r="CV135" i="63" s="1"/>
  <c r="CV136" i="63" s="1"/>
  <c r="CV137" i="63" s="1"/>
  <c r="CV138" i="63" s="1"/>
  <c r="CV139" i="63" s="1"/>
  <c r="CV140" i="63" s="1"/>
  <c r="CV141" i="63" s="1"/>
  <c r="CV142" i="63" s="1"/>
  <c r="CV143" i="63" s="1"/>
  <c r="CV144" i="63" s="1"/>
  <c r="CV145" i="63" s="1"/>
  <c r="CV146" i="63" s="1"/>
  <c r="CV147" i="63" s="1"/>
  <c r="CV148" i="63" s="1"/>
  <c r="CV149" i="63" s="1"/>
  <c r="CV150" i="63" s="1"/>
  <c r="CV151" i="63" s="1"/>
  <c r="CV152" i="63" s="1"/>
  <c r="CV153" i="63" s="1"/>
  <c r="CV154" i="63" s="1"/>
  <c r="CV155" i="63" s="1"/>
  <c r="CV156" i="63" s="1"/>
  <c r="CV157" i="63" s="1"/>
  <c r="CV158" i="63" s="1"/>
  <c r="CV159" i="63" s="1"/>
  <c r="CV160" i="63" s="1"/>
  <c r="CV161" i="63" s="1"/>
  <c r="CV162" i="63" s="1"/>
  <c r="CV163" i="63" s="1"/>
  <c r="CV164" i="63" s="1"/>
  <c r="CV165" i="63" s="1"/>
  <c r="CV166" i="63" s="1"/>
  <c r="CV167" i="63" s="1"/>
  <c r="CV168" i="63" s="1"/>
  <c r="CV169" i="63" s="1"/>
  <c r="CV170" i="63" s="1"/>
  <c r="CV171" i="63" s="1"/>
  <c r="CV172" i="63" s="1"/>
  <c r="CV173" i="63" s="1"/>
  <c r="CV174" i="63" s="1"/>
  <c r="CV175" i="63" s="1"/>
  <c r="CV176" i="63" s="1"/>
  <c r="CV177" i="63" s="1"/>
  <c r="CV178" i="63" s="1"/>
  <c r="CV179" i="63" s="1"/>
  <c r="CV180" i="63" s="1"/>
  <c r="CV181" i="63" s="1"/>
  <c r="CV182" i="63" s="1"/>
  <c r="CV183" i="63" s="1"/>
  <c r="CV184" i="63" s="1"/>
  <c r="CV185" i="63" s="1"/>
  <c r="CV186" i="63" s="1"/>
  <c r="CV187" i="63" s="1"/>
  <c r="CV188" i="63" s="1"/>
  <c r="CV189" i="63" s="1"/>
  <c r="CV190" i="63" s="1"/>
  <c r="CV191" i="63" s="1"/>
  <c r="CV192" i="63" s="1"/>
  <c r="CV193" i="63" s="1"/>
  <c r="CV194" i="63" s="1"/>
  <c r="CV195" i="63" s="1"/>
  <c r="CV196" i="63" s="1"/>
  <c r="CV197" i="63" s="1"/>
  <c r="CV198" i="63" s="1"/>
  <c r="CV199" i="63" s="1"/>
  <c r="CV200" i="63" s="1"/>
  <c r="CV201" i="63" s="1"/>
  <c r="CV202" i="63" s="1"/>
  <c r="CV203" i="63" s="1"/>
  <c r="CV204" i="63" s="1"/>
  <c r="CV205" i="63" s="1"/>
  <c r="CV206" i="63" s="1"/>
  <c r="CV207" i="63" s="1"/>
  <c r="CV208" i="63" s="1"/>
  <c r="CV209" i="63" s="1"/>
  <c r="CV210" i="63" s="1"/>
  <c r="CV211" i="63" s="1"/>
  <c r="CV212" i="63" s="1"/>
  <c r="CV213" i="63" s="1"/>
  <c r="CV214" i="63" s="1"/>
  <c r="CV215" i="63" s="1"/>
  <c r="CV216" i="63" s="1"/>
  <c r="CV217" i="63" s="1"/>
  <c r="CV218" i="63" s="1"/>
  <c r="CV219" i="63" s="1"/>
  <c r="CV220" i="63" s="1"/>
  <c r="CV221" i="63" s="1"/>
  <c r="CV222" i="63" s="1"/>
  <c r="CV223" i="63" s="1"/>
  <c r="CV224" i="63" s="1"/>
  <c r="CV225" i="63" s="1"/>
  <c r="CV226" i="63" s="1"/>
  <c r="CV227" i="63" s="1"/>
  <c r="CV228" i="63" s="1"/>
  <c r="CV229" i="63" s="1"/>
  <c r="CV230" i="63" s="1"/>
  <c r="CV231" i="63" s="1"/>
  <c r="CV232" i="63" s="1"/>
  <c r="CV233" i="63" s="1"/>
  <c r="CV234" i="63" s="1"/>
  <c r="CV235" i="63" s="1"/>
  <c r="CV236" i="63" s="1"/>
  <c r="CV237" i="63" s="1"/>
  <c r="CV238" i="63" s="1"/>
  <c r="CV239" i="63" s="1"/>
  <c r="CV240" i="63" s="1"/>
  <c r="CV241" i="63" s="1"/>
  <c r="CV242" i="63" s="1"/>
  <c r="CV243" i="63" s="1"/>
  <c r="CV244" i="63" s="1"/>
  <c r="CV245" i="63" s="1"/>
  <c r="CV246" i="63" s="1"/>
  <c r="CV247" i="63" s="1"/>
  <c r="CV248" i="63" s="1"/>
  <c r="CV249" i="63" s="1"/>
  <c r="CV250" i="63" s="1"/>
  <c r="CV251" i="63" s="1"/>
  <c r="CV252" i="63" s="1"/>
  <c r="CV253" i="63" s="1"/>
  <c r="CV254" i="63" s="1"/>
  <c r="CV255" i="63" s="1"/>
  <c r="CV256" i="63" s="1"/>
  <c r="CV257" i="63" s="1"/>
  <c r="CV258" i="63" s="1"/>
  <c r="CV259" i="63" s="1"/>
  <c r="CV260" i="63" s="1"/>
  <c r="CV261" i="63" s="1"/>
  <c r="CV262" i="63" s="1"/>
  <c r="CV263" i="63" s="1"/>
  <c r="CV264" i="63" s="1"/>
  <c r="CV265" i="63" s="1"/>
  <c r="CV266" i="63" s="1"/>
  <c r="CV267" i="63" s="1"/>
  <c r="CV268" i="63" s="1"/>
  <c r="CV269" i="63" s="1"/>
  <c r="CV270" i="63" s="1"/>
  <c r="CV271" i="63" s="1"/>
  <c r="CV272" i="63" s="1"/>
  <c r="CV273" i="63" s="1"/>
  <c r="CV274" i="63" s="1"/>
  <c r="CV275" i="63" s="1"/>
  <c r="CV276" i="63" s="1"/>
  <c r="CV277" i="63" s="1"/>
  <c r="CV278" i="63" s="1"/>
  <c r="CV279" i="63" s="1"/>
  <c r="CV280" i="63" s="1"/>
  <c r="CV281" i="63" s="1"/>
  <c r="CV282" i="63" s="1"/>
  <c r="CV283" i="63" s="1"/>
  <c r="CV284" i="63" s="1"/>
  <c r="CV285" i="63" s="1"/>
  <c r="CV286" i="63" s="1"/>
  <c r="CV287" i="63" s="1"/>
  <c r="CV288" i="63" s="1"/>
  <c r="CV289" i="63" s="1"/>
  <c r="CV290" i="63" s="1"/>
  <c r="CV291" i="63" s="1"/>
  <c r="CV292" i="63" s="1"/>
  <c r="CV293" i="63" s="1"/>
  <c r="CV294" i="63" s="1"/>
  <c r="CV295" i="63" s="1"/>
  <c r="CV296" i="63" s="1"/>
  <c r="CV297" i="63" s="1"/>
  <c r="CV298" i="63" s="1"/>
  <c r="CV299" i="63" s="1"/>
  <c r="CV300" i="63" s="1"/>
  <c r="CV301" i="63" s="1"/>
  <c r="CV302" i="63" s="1"/>
  <c r="CV303" i="63" s="1"/>
  <c r="CV304" i="63" s="1"/>
  <c r="CV305" i="63" s="1"/>
  <c r="CV306" i="63" s="1"/>
  <c r="CV307" i="63" s="1"/>
  <c r="CV308" i="63" s="1"/>
  <c r="CU9" i="63"/>
  <c r="CU10" i="63" s="1"/>
  <c r="CU11" i="63" s="1"/>
  <c r="CU12" i="63" s="1"/>
  <c r="CU13" i="63" s="1"/>
  <c r="CU14" i="63" s="1"/>
  <c r="CU15" i="63" s="1"/>
  <c r="CU16" i="63" s="1"/>
  <c r="CU17" i="63" s="1"/>
  <c r="CU18" i="63" s="1"/>
  <c r="CU19" i="63" s="1"/>
  <c r="CU20" i="63" s="1"/>
  <c r="CU21" i="63" s="1"/>
  <c r="CU22" i="63" s="1"/>
  <c r="CU23" i="63" s="1"/>
  <c r="CU24" i="63" s="1"/>
  <c r="CU25" i="63" s="1"/>
  <c r="CU26" i="63" s="1"/>
  <c r="CU27" i="63" s="1"/>
  <c r="CU28" i="63" s="1"/>
  <c r="CU29" i="63" s="1"/>
  <c r="CU30" i="63" s="1"/>
  <c r="CU31" i="63" s="1"/>
  <c r="CU32" i="63" s="1"/>
  <c r="CU33" i="63" s="1"/>
  <c r="CU34" i="63" s="1"/>
  <c r="CU35" i="63" s="1"/>
  <c r="CU36" i="63" s="1"/>
  <c r="CU37" i="63" s="1"/>
  <c r="CU38" i="63" s="1"/>
  <c r="CU39" i="63" s="1"/>
  <c r="CU40" i="63" s="1"/>
  <c r="CU41" i="63" s="1"/>
  <c r="CU42" i="63" s="1"/>
  <c r="CU43" i="63" s="1"/>
  <c r="CU44" i="63" s="1"/>
  <c r="CU45" i="63" s="1"/>
  <c r="CU46" i="63" s="1"/>
  <c r="CU47" i="63" s="1"/>
  <c r="CU48" i="63" s="1"/>
  <c r="CU49" i="63" s="1"/>
  <c r="CU50" i="63" s="1"/>
  <c r="CU51" i="63" s="1"/>
  <c r="CU52" i="63" s="1"/>
  <c r="CU53" i="63" s="1"/>
  <c r="CU54" i="63" s="1"/>
  <c r="CU55" i="63" s="1"/>
  <c r="CU56" i="63" s="1"/>
  <c r="CU57" i="63" s="1"/>
  <c r="CU58" i="63" s="1"/>
  <c r="CU59" i="63" s="1"/>
  <c r="CU60" i="63" s="1"/>
  <c r="CU61" i="63" s="1"/>
  <c r="CU62" i="63" s="1"/>
  <c r="CU63" i="63" s="1"/>
  <c r="CU64" i="63" s="1"/>
  <c r="CU65" i="63" s="1"/>
  <c r="CU66" i="63" s="1"/>
  <c r="CU67" i="63" s="1"/>
  <c r="CU68" i="63" s="1"/>
  <c r="CU69" i="63" s="1"/>
  <c r="CU70" i="63" s="1"/>
  <c r="CU71" i="63" s="1"/>
  <c r="CU72" i="63" s="1"/>
  <c r="CU73" i="63" s="1"/>
  <c r="CU74" i="63" s="1"/>
  <c r="CU75" i="63" s="1"/>
  <c r="CU76" i="63" s="1"/>
  <c r="CU77" i="63" s="1"/>
  <c r="CU78" i="63" s="1"/>
  <c r="CU79" i="63" s="1"/>
  <c r="CU80" i="63" s="1"/>
  <c r="CU81" i="63" s="1"/>
  <c r="CU82" i="63" s="1"/>
  <c r="CU83" i="63" s="1"/>
  <c r="CU84" i="63" s="1"/>
  <c r="CU85" i="63" s="1"/>
  <c r="CU86" i="63" s="1"/>
  <c r="CU87" i="63" s="1"/>
  <c r="CU88" i="63" s="1"/>
  <c r="CU89" i="63" s="1"/>
  <c r="CU90" i="63" s="1"/>
  <c r="CU91" i="63" s="1"/>
  <c r="CU92" i="63" s="1"/>
  <c r="CU93" i="63" s="1"/>
  <c r="CU94" i="63" s="1"/>
  <c r="CU95" i="63" s="1"/>
  <c r="CU96" i="63" s="1"/>
  <c r="CU97" i="63" s="1"/>
  <c r="CU98" i="63" s="1"/>
  <c r="CU99" i="63" s="1"/>
  <c r="CU100" i="63" s="1"/>
  <c r="CU101" i="63" s="1"/>
  <c r="CU102" i="63" s="1"/>
  <c r="CU103" i="63" s="1"/>
  <c r="CU104" i="63" s="1"/>
  <c r="CU105" i="63" s="1"/>
  <c r="CU106" i="63" s="1"/>
  <c r="CU107" i="63" s="1"/>
  <c r="CU108" i="63" s="1"/>
  <c r="CU109" i="63" s="1"/>
  <c r="CU110" i="63" s="1"/>
  <c r="CU111" i="63" s="1"/>
  <c r="CU112" i="63" s="1"/>
  <c r="CU113" i="63" s="1"/>
  <c r="CU114" i="63" s="1"/>
  <c r="CU115" i="63" s="1"/>
  <c r="CU116" i="63" s="1"/>
  <c r="CU117" i="63" s="1"/>
  <c r="CU118" i="63" s="1"/>
  <c r="CU119" i="63" s="1"/>
  <c r="CU120" i="63" s="1"/>
  <c r="CU121" i="63" s="1"/>
  <c r="CU122" i="63" s="1"/>
  <c r="CU123" i="63" s="1"/>
  <c r="CU124" i="63" s="1"/>
  <c r="CU125" i="63" s="1"/>
  <c r="CU126" i="63" s="1"/>
  <c r="CU127" i="63" s="1"/>
  <c r="CU128" i="63" s="1"/>
  <c r="CU129" i="63" s="1"/>
  <c r="CU130" i="63" s="1"/>
  <c r="CU131" i="63" s="1"/>
  <c r="CU132" i="63" s="1"/>
  <c r="CU133" i="63" s="1"/>
  <c r="CU134" i="63" s="1"/>
  <c r="CU135" i="63" s="1"/>
  <c r="CU136" i="63" s="1"/>
  <c r="CU137" i="63" s="1"/>
  <c r="CU138" i="63" s="1"/>
  <c r="CU139" i="63" s="1"/>
  <c r="CU140" i="63" s="1"/>
  <c r="CU141" i="63" s="1"/>
  <c r="CU142" i="63" s="1"/>
  <c r="CU143" i="63" s="1"/>
  <c r="CU144" i="63" s="1"/>
  <c r="CU145" i="63" s="1"/>
  <c r="CU146" i="63" s="1"/>
  <c r="CU147" i="63" s="1"/>
  <c r="CU148" i="63" s="1"/>
  <c r="CU149" i="63" s="1"/>
  <c r="CU150" i="63" s="1"/>
  <c r="CU151" i="63" s="1"/>
  <c r="CU152" i="63" s="1"/>
  <c r="CU153" i="63" s="1"/>
  <c r="CU154" i="63" s="1"/>
  <c r="CU155" i="63" s="1"/>
  <c r="CU156" i="63" s="1"/>
  <c r="CU157" i="63" s="1"/>
  <c r="CU158" i="63" s="1"/>
  <c r="CU159" i="63" s="1"/>
  <c r="CU160" i="63" s="1"/>
  <c r="CU161" i="63" s="1"/>
  <c r="CU162" i="63" s="1"/>
  <c r="CU163" i="63" s="1"/>
  <c r="CU164" i="63" s="1"/>
  <c r="CU165" i="63" s="1"/>
  <c r="CU166" i="63" s="1"/>
  <c r="CU167" i="63" s="1"/>
  <c r="CU168" i="63" s="1"/>
  <c r="CU169" i="63" s="1"/>
  <c r="CU170" i="63" s="1"/>
  <c r="CU171" i="63" s="1"/>
  <c r="CU172" i="63" s="1"/>
  <c r="CU173" i="63" s="1"/>
  <c r="CU174" i="63" s="1"/>
  <c r="CU175" i="63" s="1"/>
  <c r="CU176" i="63" s="1"/>
  <c r="CU177" i="63" s="1"/>
  <c r="CU178" i="63" s="1"/>
  <c r="CU179" i="63" s="1"/>
  <c r="CU180" i="63" s="1"/>
  <c r="CU181" i="63" s="1"/>
  <c r="CU182" i="63" s="1"/>
  <c r="CU183" i="63" s="1"/>
  <c r="CU184" i="63" s="1"/>
  <c r="CU185" i="63" s="1"/>
  <c r="CU186" i="63" s="1"/>
  <c r="CU187" i="63" s="1"/>
  <c r="CU188" i="63" s="1"/>
  <c r="CU189" i="63" s="1"/>
  <c r="CU190" i="63" s="1"/>
  <c r="CU191" i="63" s="1"/>
  <c r="CU192" i="63" s="1"/>
  <c r="CU193" i="63" s="1"/>
  <c r="CU194" i="63" s="1"/>
  <c r="CU195" i="63" s="1"/>
  <c r="CU196" i="63" s="1"/>
  <c r="CU197" i="63" s="1"/>
  <c r="CU198" i="63" s="1"/>
  <c r="CU199" i="63" s="1"/>
  <c r="CU200" i="63" s="1"/>
  <c r="CU201" i="63" s="1"/>
  <c r="CU202" i="63" s="1"/>
  <c r="CU203" i="63" s="1"/>
  <c r="CU204" i="63" s="1"/>
  <c r="CU205" i="63" s="1"/>
  <c r="CU206" i="63" s="1"/>
  <c r="CU207" i="63" s="1"/>
  <c r="CU208" i="63" s="1"/>
  <c r="CU209" i="63" s="1"/>
  <c r="CU210" i="63" s="1"/>
  <c r="CU211" i="63" s="1"/>
  <c r="CU212" i="63" s="1"/>
  <c r="CU213" i="63" s="1"/>
  <c r="CU214" i="63" s="1"/>
  <c r="CU215" i="63" s="1"/>
  <c r="CU216" i="63" s="1"/>
  <c r="CU217" i="63" s="1"/>
  <c r="CU218" i="63" s="1"/>
  <c r="CU219" i="63" s="1"/>
  <c r="CU220" i="63" s="1"/>
  <c r="CU221" i="63" s="1"/>
  <c r="CU222" i="63" s="1"/>
  <c r="CU223" i="63" s="1"/>
  <c r="CU224" i="63" s="1"/>
  <c r="CU225" i="63" s="1"/>
  <c r="CU226" i="63" s="1"/>
  <c r="CU227" i="63" s="1"/>
  <c r="CU228" i="63" s="1"/>
  <c r="CU229" i="63" s="1"/>
  <c r="CU230" i="63" s="1"/>
  <c r="CU231" i="63" s="1"/>
  <c r="CU232" i="63" s="1"/>
  <c r="CU233" i="63" s="1"/>
  <c r="CU234" i="63" s="1"/>
  <c r="CU235" i="63" s="1"/>
  <c r="CU236" i="63" s="1"/>
  <c r="CU237" i="63" s="1"/>
  <c r="CU238" i="63" s="1"/>
  <c r="CU239" i="63" s="1"/>
  <c r="CU240" i="63" s="1"/>
  <c r="CU241" i="63" s="1"/>
  <c r="CU242" i="63" s="1"/>
  <c r="CU243" i="63" s="1"/>
  <c r="CU244" i="63" s="1"/>
  <c r="CU245" i="63" s="1"/>
  <c r="CU246" i="63" s="1"/>
  <c r="CU247" i="63" s="1"/>
  <c r="CU248" i="63" s="1"/>
  <c r="CU249" i="63" s="1"/>
  <c r="CU250" i="63" s="1"/>
  <c r="CU251" i="63" s="1"/>
  <c r="CU252" i="63" s="1"/>
  <c r="CU253" i="63" s="1"/>
  <c r="CU254" i="63" s="1"/>
  <c r="CU255" i="63" s="1"/>
  <c r="CU256" i="63" s="1"/>
  <c r="CU257" i="63" s="1"/>
  <c r="CU258" i="63" s="1"/>
  <c r="CU259" i="63" s="1"/>
  <c r="CU260" i="63" s="1"/>
  <c r="CU261" i="63" s="1"/>
  <c r="CU262" i="63" s="1"/>
  <c r="CU263" i="63" s="1"/>
  <c r="CU264" i="63" s="1"/>
  <c r="CU265" i="63" s="1"/>
  <c r="CU266" i="63" s="1"/>
  <c r="CU267" i="63" s="1"/>
  <c r="CU268" i="63" s="1"/>
  <c r="CU269" i="63" s="1"/>
  <c r="CU270" i="63" s="1"/>
  <c r="CU271" i="63" s="1"/>
  <c r="CU272" i="63" s="1"/>
  <c r="CU273" i="63" s="1"/>
  <c r="CU274" i="63" s="1"/>
  <c r="CU275" i="63" s="1"/>
  <c r="CU276" i="63" s="1"/>
  <c r="CU277" i="63" s="1"/>
  <c r="CU278" i="63" s="1"/>
  <c r="CU279" i="63" s="1"/>
  <c r="CU280" i="63" s="1"/>
  <c r="CU281" i="63" s="1"/>
  <c r="CU282" i="63" s="1"/>
  <c r="CU283" i="63" s="1"/>
  <c r="CU284" i="63" s="1"/>
  <c r="CU285" i="63" s="1"/>
  <c r="CU286" i="63" s="1"/>
  <c r="CU287" i="63" s="1"/>
  <c r="CU288" i="63" s="1"/>
  <c r="CU289" i="63" s="1"/>
  <c r="CU290" i="63" s="1"/>
  <c r="CU291" i="63" s="1"/>
  <c r="CU292" i="63" s="1"/>
  <c r="CU293" i="63" s="1"/>
  <c r="CU294" i="63" s="1"/>
  <c r="CU295" i="63" s="1"/>
  <c r="CU296" i="63" s="1"/>
  <c r="CU297" i="63" s="1"/>
  <c r="CU298" i="63" s="1"/>
  <c r="CU299" i="63" s="1"/>
  <c r="CU300" i="63" s="1"/>
  <c r="CU301" i="63" s="1"/>
  <c r="CU302" i="63" s="1"/>
  <c r="CU303" i="63" s="1"/>
  <c r="CU304" i="63" s="1"/>
  <c r="CU305" i="63" s="1"/>
  <c r="CU306" i="63" s="1"/>
  <c r="CU307" i="63" s="1"/>
  <c r="CU308" i="63" s="1"/>
  <c r="CP9" i="63"/>
  <c r="CP10" i="63" s="1"/>
  <c r="CP11" i="63" s="1"/>
  <c r="CP12" i="63" s="1"/>
  <c r="CP13" i="63" s="1"/>
  <c r="CP14" i="63" s="1"/>
  <c r="CP15" i="63" s="1"/>
  <c r="CP16" i="63" s="1"/>
  <c r="CP17" i="63" s="1"/>
  <c r="CP18" i="63" s="1"/>
  <c r="CP19" i="63" s="1"/>
  <c r="CP20" i="63" s="1"/>
  <c r="CP21" i="63" s="1"/>
  <c r="CP22" i="63" s="1"/>
  <c r="CP23" i="63" s="1"/>
  <c r="CP24" i="63" s="1"/>
  <c r="CP25" i="63" s="1"/>
  <c r="CP26" i="63" s="1"/>
  <c r="CP27" i="63" s="1"/>
  <c r="CP28" i="63" s="1"/>
  <c r="CP29" i="63" s="1"/>
  <c r="CP30" i="63" s="1"/>
  <c r="CP31" i="63" s="1"/>
  <c r="CP32" i="63" s="1"/>
  <c r="CP33" i="63" s="1"/>
  <c r="CP34" i="63" s="1"/>
  <c r="CP35" i="63" s="1"/>
  <c r="CP36" i="63" s="1"/>
  <c r="CP37" i="63" s="1"/>
  <c r="CP38" i="63" s="1"/>
  <c r="CP39" i="63" s="1"/>
  <c r="CP40" i="63" s="1"/>
  <c r="CP41" i="63" s="1"/>
  <c r="CP42" i="63" s="1"/>
  <c r="CP43" i="63" s="1"/>
  <c r="CP44" i="63" s="1"/>
  <c r="CP45" i="63" s="1"/>
  <c r="CP46" i="63" s="1"/>
  <c r="CP47" i="63" s="1"/>
  <c r="CP48" i="63" s="1"/>
  <c r="CP49" i="63" s="1"/>
  <c r="CP50" i="63" s="1"/>
  <c r="CP51" i="63" s="1"/>
  <c r="CP52" i="63" s="1"/>
  <c r="CP53" i="63" s="1"/>
  <c r="CP54" i="63" s="1"/>
  <c r="CP55" i="63" s="1"/>
  <c r="CP56" i="63" s="1"/>
  <c r="CP57" i="63" s="1"/>
  <c r="CP58" i="63" s="1"/>
  <c r="CP59" i="63" s="1"/>
  <c r="CP60" i="63" s="1"/>
  <c r="CP61" i="63" s="1"/>
  <c r="CP62" i="63" s="1"/>
  <c r="CP63" i="63" s="1"/>
  <c r="CP64" i="63" s="1"/>
  <c r="CP65" i="63" s="1"/>
  <c r="CP66" i="63" s="1"/>
  <c r="CP67" i="63" s="1"/>
  <c r="CP68" i="63" s="1"/>
  <c r="CP69" i="63" s="1"/>
  <c r="CP70" i="63" s="1"/>
  <c r="CP71" i="63" s="1"/>
  <c r="CP72" i="63" s="1"/>
  <c r="CP73" i="63" s="1"/>
  <c r="CP74" i="63" s="1"/>
  <c r="CP75" i="63" s="1"/>
  <c r="CP76" i="63" s="1"/>
  <c r="CP77" i="63" s="1"/>
  <c r="CP78" i="63" s="1"/>
  <c r="CP79" i="63" s="1"/>
  <c r="CP80" i="63" s="1"/>
  <c r="CP81" i="63" s="1"/>
  <c r="CP82" i="63" s="1"/>
  <c r="CP83" i="63" s="1"/>
  <c r="CP84" i="63" s="1"/>
  <c r="CP85" i="63" s="1"/>
  <c r="CP86" i="63" s="1"/>
  <c r="CP87" i="63" s="1"/>
  <c r="CP88" i="63" s="1"/>
  <c r="CP89" i="63" s="1"/>
  <c r="CP90" i="63" s="1"/>
  <c r="CP91" i="63" s="1"/>
  <c r="CP92" i="63" s="1"/>
  <c r="CP93" i="63" s="1"/>
  <c r="CP94" i="63" s="1"/>
  <c r="CP95" i="63" s="1"/>
  <c r="CP96" i="63" s="1"/>
  <c r="CP97" i="63" s="1"/>
  <c r="CP98" i="63" s="1"/>
  <c r="CP99" i="63" s="1"/>
  <c r="CP100" i="63" s="1"/>
  <c r="CP101" i="63" s="1"/>
  <c r="CP102" i="63" s="1"/>
  <c r="CP103" i="63" s="1"/>
  <c r="CP104" i="63" s="1"/>
  <c r="CP105" i="63" s="1"/>
  <c r="CP106" i="63" s="1"/>
  <c r="CP107" i="63" s="1"/>
  <c r="CP108" i="63" s="1"/>
  <c r="CP109" i="63" s="1"/>
  <c r="CP110" i="63" s="1"/>
  <c r="CP111" i="63" s="1"/>
  <c r="CP112" i="63" s="1"/>
  <c r="CP113" i="63" s="1"/>
  <c r="CP114" i="63" s="1"/>
  <c r="CP115" i="63" s="1"/>
  <c r="CP116" i="63" s="1"/>
  <c r="CP117" i="63" s="1"/>
  <c r="CP118" i="63" s="1"/>
  <c r="CP119" i="63" s="1"/>
  <c r="CP120" i="63" s="1"/>
  <c r="CP121" i="63" s="1"/>
  <c r="CP122" i="63" s="1"/>
  <c r="CP123" i="63" s="1"/>
  <c r="CP124" i="63" s="1"/>
  <c r="CP125" i="63" s="1"/>
  <c r="CP126" i="63" s="1"/>
  <c r="CP127" i="63" s="1"/>
  <c r="CP128" i="63" s="1"/>
  <c r="CP129" i="63" s="1"/>
  <c r="CP130" i="63" s="1"/>
  <c r="CP131" i="63" s="1"/>
  <c r="CP132" i="63" s="1"/>
  <c r="CP133" i="63" s="1"/>
  <c r="CP134" i="63" s="1"/>
  <c r="CP135" i="63" s="1"/>
  <c r="CP136" i="63" s="1"/>
  <c r="CP137" i="63" s="1"/>
  <c r="CP138" i="63" s="1"/>
  <c r="CP139" i="63" s="1"/>
  <c r="CP140" i="63" s="1"/>
  <c r="CP141" i="63" s="1"/>
  <c r="CP142" i="63" s="1"/>
  <c r="CP143" i="63" s="1"/>
  <c r="CP144" i="63" s="1"/>
  <c r="CP145" i="63" s="1"/>
  <c r="CP146" i="63" s="1"/>
  <c r="CP147" i="63" s="1"/>
  <c r="CP148" i="63" s="1"/>
  <c r="CP149" i="63" s="1"/>
  <c r="CP150" i="63" s="1"/>
  <c r="CP151" i="63" s="1"/>
  <c r="CP152" i="63" s="1"/>
  <c r="CP153" i="63" s="1"/>
  <c r="CP154" i="63" s="1"/>
  <c r="CP155" i="63" s="1"/>
  <c r="CP156" i="63" s="1"/>
  <c r="CP157" i="63" s="1"/>
  <c r="CP158" i="63" s="1"/>
  <c r="CP159" i="63" s="1"/>
  <c r="CP160" i="63" s="1"/>
  <c r="CP161" i="63" s="1"/>
  <c r="CP162" i="63" s="1"/>
  <c r="CP163" i="63" s="1"/>
  <c r="CP164" i="63" s="1"/>
  <c r="CP165" i="63" s="1"/>
  <c r="CP166" i="63" s="1"/>
  <c r="CP167" i="63" s="1"/>
  <c r="CP168" i="63" s="1"/>
  <c r="CP169" i="63" s="1"/>
  <c r="CP170" i="63" s="1"/>
  <c r="CP171" i="63" s="1"/>
  <c r="CP172" i="63" s="1"/>
  <c r="CP173" i="63" s="1"/>
  <c r="CP174" i="63" s="1"/>
  <c r="CP175" i="63" s="1"/>
  <c r="CP176" i="63" s="1"/>
  <c r="CP177" i="63" s="1"/>
  <c r="CP178" i="63" s="1"/>
  <c r="CP179" i="63" s="1"/>
  <c r="CP180" i="63" s="1"/>
  <c r="CP181" i="63" s="1"/>
  <c r="CP182" i="63" s="1"/>
  <c r="CP183" i="63" s="1"/>
  <c r="CP184" i="63" s="1"/>
  <c r="CP185" i="63" s="1"/>
  <c r="CP186" i="63" s="1"/>
  <c r="CP187" i="63" s="1"/>
  <c r="CP188" i="63" s="1"/>
  <c r="CP189" i="63" s="1"/>
  <c r="CP190" i="63" s="1"/>
  <c r="CP191" i="63" s="1"/>
  <c r="CP192" i="63" s="1"/>
  <c r="CP193" i="63" s="1"/>
  <c r="CP194" i="63" s="1"/>
  <c r="CP195" i="63" s="1"/>
  <c r="CP196" i="63" s="1"/>
  <c r="CP197" i="63" s="1"/>
  <c r="CP198" i="63" s="1"/>
  <c r="CP199" i="63" s="1"/>
  <c r="CP200" i="63" s="1"/>
  <c r="CP201" i="63" s="1"/>
  <c r="CP202" i="63" s="1"/>
  <c r="CP203" i="63" s="1"/>
  <c r="CP204" i="63" s="1"/>
  <c r="CP205" i="63" s="1"/>
  <c r="CP206" i="63" s="1"/>
  <c r="CP207" i="63" s="1"/>
  <c r="CP208" i="63" s="1"/>
  <c r="CP209" i="63" s="1"/>
  <c r="CP210" i="63" s="1"/>
  <c r="CP211" i="63" s="1"/>
  <c r="CP212" i="63" s="1"/>
  <c r="CP213" i="63" s="1"/>
  <c r="CP214" i="63" s="1"/>
  <c r="CP215" i="63" s="1"/>
  <c r="CP216" i="63" s="1"/>
  <c r="CP217" i="63" s="1"/>
  <c r="CP218" i="63" s="1"/>
  <c r="CP219" i="63" s="1"/>
  <c r="CP220" i="63" s="1"/>
  <c r="CP221" i="63" s="1"/>
  <c r="CP222" i="63" s="1"/>
  <c r="CP223" i="63" s="1"/>
  <c r="CP224" i="63" s="1"/>
  <c r="CP225" i="63" s="1"/>
  <c r="CP226" i="63" s="1"/>
  <c r="CP227" i="63" s="1"/>
  <c r="CP228" i="63" s="1"/>
  <c r="CP229" i="63" s="1"/>
  <c r="CP230" i="63" s="1"/>
  <c r="CP231" i="63" s="1"/>
  <c r="CP232" i="63" s="1"/>
  <c r="CP233" i="63" s="1"/>
  <c r="CP234" i="63" s="1"/>
  <c r="CP235" i="63" s="1"/>
  <c r="CP236" i="63" s="1"/>
  <c r="CP237" i="63" s="1"/>
  <c r="CP238" i="63" s="1"/>
  <c r="CP239" i="63" s="1"/>
  <c r="CP240" i="63" s="1"/>
  <c r="CP241" i="63" s="1"/>
  <c r="CP242" i="63" s="1"/>
  <c r="CP243" i="63" s="1"/>
  <c r="CP244" i="63" s="1"/>
  <c r="CP245" i="63" s="1"/>
  <c r="CP246" i="63" s="1"/>
  <c r="CP247" i="63" s="1"/>
  <c r="CP248" i="63" s="1"/>
  <c r="CP249" i="63" s="1"/>
  <c r="CP250" i="63" s="1"/>
  <c r="CP251" i="63" s="1"/>
  <c r="CP252" i="63" s="1"/>
  <c r="CP253" i="63" s="1"/>
  <c r="CP254" i="63" s="1"/>
  <c r="CP255" i="63" s="1"/>
  <c r="CP256" i="63" s="1"/>
  <c r="CP257" i="63" s="1"/>
  <c r="CP258" i="63" s="1"/>
  <c r="CP259" i="63" s="1"/>
  <c r="CP260" i="63" s="1"/>
  <c r="CP261" i="63" s="1"/>
  <c r="CP262" i="63" s="1"/>
  <c r="CP263" i="63" s="1"/>
  <c r="CP264" i="63" s="1"/>
  <c r="CP265" i="63" s="1"/>
  <c r="CP266" i="63" s="1"/>
  <c r="CP267" i="63" s="1"/>
  <c r="CP268" i="63" s="1"/>
  <c r="CP269" i="63" s="1"/>
  <c r="CP270" i="63" s="1"/>
  <c r="CP271" i="63" s="1"/>
  <c r="CP272" i="63" s="1"/>
  <c r="CP273" i="63" s="1"/>
  <c r="CP274" i="63" s="1"/>
  <c r="CP275" i="63" s="1"/>
  <c r="CP276" i="63" s="1"/>
  <c r="CP277" i="63" s="1"/>
  <c r="CP278" i="63" s="1"/>
  <c r="CP279" i="63" s="1"/>
  <c r="CP280" i="63" s="1"/>
  <c r="CP281" i="63" s="1"/>
  <c r="CP282" i="63" s="1"/>
  <c r="CP283" i="63" s="1"/>
  <c r="CP284" i="63" s="1"/>
  <c r="CP285" i="63" s="1"/>
  <c r="CP286" i="63" s="1"/>
  <c r="CP287" i="63" s="1"/>
  <c r="CP288" i="63" s="1"/>
  <c r="CP289" i="63" s="1"/>
  <c r="CP290" i="63" s="1"/>
  <c r="CP291" i="63" s="1"/>
  <c r="CP292" i="63" s="1"/>
  <c r="CP293" i="63" s="1"/>
  <c r="CP294" i="63" s="1"/>
  <c r="CP295" i="63" s="1"/>
  <c r="CP296" i="63" s="1"/>
  <c r="CP297" i="63" s="1"/>
  <c r="CP298" i="63" s="1"/>
  <c r="CP299" i="63" s="1"/>
  <c r="CP300" i="63" s="1"/>
  <c r="CP301" i="63" s="1"/>
  <c r="CP302" i="63" s="1"/>
  <c r="CP303" i="63" s="1"/>
  <c r="CP304" i="63" s="1"/>
  <c r="CP305" i="63" s="1"/>
  <c r="CP306" i="63" s="1"/>
  <c r="CP307" i="63" s="1"/>
  <c r="CP308" i="63" s="1"/>
  <c r="CO9" i="63"/>
  <c r="CO10" i="63" s="1"/>
  <c r="CO11" i="63" s="1"/>
  <c r="CO12" i="63" s="1"/>
  <c r="CO13" i="63" s="1"/>
  <c r="CO14" i="63" s="1"/>
  <c r="CO15" i="63" s="1"/>
  <c r="CO16" i="63" s="1"/>
  <c r="CO17" i="63" s="1"/>
  <c r="CO18" i="63" s="1"/>
  <c r="CO19" i="63" s="1"/>
  <c r="CO20" i="63" s="1"/>
  <c r="CO21" i="63" s="1"/>
  <c r="CO22" i="63" s="1"/>
  <c r="CO23" i="63" s="1"/>
  <c r="CO24" i="63" s="1"/>
  <c r="CO25" i="63" s="1"/>
  <c r="CO26" i="63" s="1"/>
  <c r="CO27" i="63" s="1"/>
  <c r="CO28" i="63" s="1"/>
  <c r="CO29" i="63" s="1"/>
  <c r="CO30" i="63" s="1"/>
  <c r="CO31" i="63" s="1"/>
  <c r="CO32" i="63" s="1"/>
  <c r="CO33" i="63" s="1"/>
  <c r="CO34" i="63" s="1"/>
  <c r="CO35" i="63" s="1"/>
  <c r="CO36" i="63" s="1"/>
  <c r="CO37" i="63" s="1"/>
  <c r="CO38" i="63" s="1"/>
  <c r="CO39" i="63" s="1"/>
  <c r="CO40" i="63" s="1"/>
  <c r="CO41" i="63" s="1"/>
  <c r="CO42" i="63" s="1"/>
  <c r="CO43" i="63" s="1"/>
  <c r="CO44" i="63" s="1"/>
  <c r="CO45" i="63" s="1"/>
  <c r="CO46" i="63" s="1"/>
  <c r="CO47" i="63" s="1"/>
  <c r="CO48" i="63" s="1"/>
  <c r="CO49" i="63" s="1"/>
  <c r="CO50" i="63" s="1"/>
  <c r="CO51" i="63" s="1"/>
  <c r="CO52" i="63" s="1"/>
  <c r="CO53" i="63" s="1"/>
  <c r="CO54" i="63" s="1"/>
  <c r="CO55" i="63" s="1"/>
  <c r="CO56" i="63" s="1"/>
  <c r="CO57" i="63" s="1"/>
  <c r="CO58" i="63" s="1"/>
  <c r="CO59" i="63" s="1"/>
  <c r="CO60" i="63" s="1"/>
  <c r="CO61" i="63" s="1"/>
  <c r="CO62" i="63" s="1"/>
  <c r="CO63" i="63" s="1"/>
  <c r="CO64" i="63" s="1"/>
  <c r="CO65" i="63" s="1"/>
  <c r="CO66" i="63" s="1"/>
  <c r="CO67" i="63" s="1"/>
  <c r="CO68" i="63" s="1"/>
  <c r="CO69" i="63" s="1"/>
  <c r="CO70" i="63" s="1"/>
  <c r="CO71" i="63" s="1"/>
  <c r="CO72" i="63" s="1"/>
  <c r="CO73" i="63" s="1"/>
  <c r="CO74" i="63" s="1"/>
  <c r="CO75" i="63" s="1"/>
  <c r="CO76" i="63" s="1"/>
  <c r="CO77" i="63" s="1"/>
  <c r="CO78" i="63" s="1"/>
  <c r="CO79" i="63" s="1"/>
  <c r="CO80" i="63" s="1"/>
  <c r="CO81" i="63" s="1"/>
  <c r="CO82" i="63" s="1"/>
  <c r="CO83" i="63" s="1"/>
  <c r="CO84" i="63" s="1"/>
  <c r="CO85" i="63" s="1"/>
  <c r="CO86" i="63" s="1"/>
  <c r="CO87" i="63" s="1"/>
  <c r="CO88" i="63" s="1"/>
  <c r="CO89" i="63" s="1"/>
  <c r="CO90" i="63" s="1"/>
  <c r="CO91" i="63" s="1"/>
  <c r="CO92" i="63" s="1"/>
  <c r="CO93" i="63" s="1"/>
  <c r="CO94" i="63" s="1"/>
  <c r="CO95" i="63" s="1"/>
  <c r="CO96" i="63" s="1"/>
  <c r="CO97" i="63" s="1"/>
  <c r="CO98" i="63" s="1"/>
  <c r="CO99" i="63" s="1"/>
  <c r="CO100" i="63" s="1"/>
  <c r="CO101" i="63" s="1"/>
  <c r="CO102" i="63" s="1"/>
  <c r="CO103" i="63" s="1"/>
  <c r="CO104" i="63" s="1"/>
  <c r="CO105" i="63" s="1"/>
  <c r="CO106" i="63" s="1"/>
  <c r="CO107" i="63" s="1"/>
  <c r="CO108" i="63" s="1"/>
  <c r="CO109" i="63" s="1"/>
  <c r="CO110" i="63" s="1"/>
  <c r="CO111" i="63" s="1"/>
  <c r="CO112" i="63" s="1"/>
  <c r="CO113" i="63" s="1"/>
  <c r="CO114" i="63" s="1"/>
  <c r="CO115" i="63" s="1"/>
  <c r="CO116" i="63" s="1"/>
  <c r="CO117" i="63" s="1"/>
  <c r="CO118" i="63" s="1"/>
  <c r="CO119" i="63" s="1"/>
  <c r="CO120" i="63" s="1"/>
  <c r="CO121" i="63" s="1"/>
  <c r="CO122" i="63" s="1"/>
  <c r="CO123" i="63" s="1"/>
  <c r="CO124" i="63" s="1"/>
  <c r="CO125" i="63" s="1"/>
  <c r="CO126" i="63" s="1"/>
  <c r="CO127" i="63" s="1"/>
  <c r="CO128" i="63" s="1"/>
  <c r="CO129" i="63" s="1"/>
  <c r="CO130" i="63" s="1"/>
  <c r="CO131" i="63" s="1"/>
  <c r="CO132" i="63" s="1"/>
  <c r="CO133" i="63" s="1"/>
  <c r="CO134" i="63" s="1"/>
  <c r="CO135" i="63" s="1"/>
  <c r="CO136" i="63" s="1"/>
  <c r="CO137" i="63" s="1"/>
  <c r="CO138" i="63" s="1"/>
  <c r="CO139" i="63" s="1"/>
  <c r="CO140" i="63" s="1"/>
  <c r="CO141" i="63" s="1"/>
  <c r="CO142" i="63" s="1"/>
  <c r="CO143" i="63" s="1"/>
  <c r="CO144" i="63" s="1"/>
  <c r="CO145" i="63" s="1"/>
  <c r="CO146" i="63" s="1"/>
  <c r="CO147" i="63" s="1"/>
  <c r="CO148" i="63" s="1"/>
  <c r="CO149" i="63" s="1"/>
  <c r="CO150" i="63" s="1"/>
  <c r="CO151" i="63" s="1"/>
  <c r="CO152" i="63" s="1"/>
  <c r="CO153" i="63" s="1"/>
  <c r="CO154" i="63" s="1"/>
  <c r="CO155" i="63" s="1"/>
  <c r="CO156" i="63" s="1"/>
  <c r="CO157" i="63" s="1"/>
  <c r="CO158" i="63" s="1"/>
  <c r="CO159" i="63" s="1"/>
  <c r="CO160" i="63" s="1"/>
  <c r="CO161" i="63" s="1"/>
  <c r="CO162" i="63" s="1"/>
  <c r="CO163" i="63" s="1"/>
  <c r="CO164" i="63" s="1"/>
  <c r="CO165" i="63" s="1"/>
  <c r="CO166" i="63" s="1"/>
  <c r="CO167" i="63" s="1"/>
  <c r="CO168" i="63" s="1"/>
  <c r="CO169" i="63" s="1"/>
  <c r="CO170" i="63" s="1"/>
  <c r="CO171" i="63" s="1"/>
  <c r="CO172" i="63" s="1"/>
  <c r="CO173" i="63" s="1"/>
  <c r="CO174" i="63" s="1"/>
  <c r="CO175" i="63" s="1"/>
  <c r="CO176" i="63" s="1"/>
  <c r="CO177" i="63" s="1"/>
  <c r="CO178" i="63" s="1"/>
  <c r="CO179" i="63" s="1"/>
  <c r="CO180" i="63" s="1"/>
  <c r="CO181" i="63" s="1"/>
  <c r="CO182" i="63" s="1"/>
  <c r="CO183" i="63" s="1"/>
  <c r="CO184" i="63" s="1"/>
  <c r="CO185" i="63" s="1"/>
  <c r="CO186" i="63" s="1"/>
  <c r="CO187" i="63" s="1"/>
  <c r="CO188" i="63" s="1"/>
  <c r="CO189" i="63" s="1"/>
  <c r="CO190" i="63" s="1"/>
  <c r="CO191" i="63" s="1"/>
  <c r="CO192" i="63" s="1"/>
  <c r="CO193" i="63" s="1"/>
  <c r="CO194" i="63" s="1"/>
  <c r="CO195" i="63" s="1"/>
  <c r="CO196" i="63" s="1"/>
  <c r="CO197" i="63" s="1"/>
  <c r="CO198" i="63" s="1"/>
  <c r="CO199" i="63" s="1"/>
  <c r="CO200" i="63" s="1"/>
  <c r="CO201" i="63" s="1"/>
  <c r="CO202" i="63" s="1"/>
  <c r="CO203" i="63" s="1"/>
  <c r="CO204" i="63" s="1"/>
  <c r="CO205" i="63" s="1"/>
  <c r="CO206" i="63" s="1"/>
  <c r="CO207" i="63" s="1"/>
  <c r="CO208" i="63" s="1"/>
  <c r="CO209" i="63" s="1"/>
  <c r="CO210" i="63" s="1"/>
  <c r="CO211" i="63" s="1"/>
  <c r="CO212" i="63" s="1"/>
  <c r="CO213" i="63" s="1"/>
  <c r="CO214" i="63" s="1"/>
  <c r="CO215" i="63" s="1"/>
  <c r="CO216" i="63" s="1"/>
  <c r="CO217" i="63" s="1"/>
  <c r="CO218" i="63" s="1"/>
  <c r="CO219" i="63" s="1"/>
  <c r="CO220" i="63" s="1"/>
  <c r="CO221" i="63" s="1"/>
  <c r="CO222" i="63" s="1"/>
  <c r="CO223" i="63" s="1"/>
  <c r="CO224" i="63" s="1"/>
  <c r="CO225" i="63" s="1"/>
  <c r="CO226" i="63" s="1"/>
  <c r="CO227" i="63" s="1"/>
  <c r="CO228" i="63" s="1"/>
  <c r="CO229" i="63" s="1"/>
  <c r="CO230" i="63" s="1"/>
  <c r="CO231" i="63" s="1"/>
  <c r="CO232" i="63" s="1"/>
  <c r="CO233" i="63" s="1"/>
  <c r="CO234" i="63" s="1"/>
  <c r="CO235" i="63" s="1"/>
  <c r="CO236" i="63" s="1"/>
  <c r="CO237" i="63" s="1"/>
  <c r="CO238" i="63" s="1"/>
  <c r="CO239" i="63" s="1"/>
  <c r="CO240" i="63" s="1"/>
  <c r="CO241" i="63" s="1"/>
  <c r="CO242" i="63" s="1"/>
  <c r="CO243" i="63" s="1"/>
  <c r="CO244" i="63" s="1"/>
  <c r="CO245" i="63" s="1"/>
  <c r="CO246" i="63" s="1"/>
  <c r="CO247" i="63" s="1"/>
  <c r="CO248" i="63" s="1"/>
  <c r="CO249" i="63" s="1"/>
  <c r="CO250" i="63" s="1"/>
  <c r="CO251" i="63" s="1"/>
  <c r="CO252" i="63" s="1"/>
  <c r="CO253" i="63" s="1"/>
  <c r="CO254" i="63" s="1"/>
  <c r="CO255" i="63" s="1"/>
  <c r="CO256" i="63" s="1"/>
  <c r="CO257" i="63" s="1"/>
  <c r="CO258" i="63" s="1"/>
  <c r="CO259" i="63" s="1"/>
  <c r="CO260" i="63" s="1"/>
  <c r="CO261" i="63" s="1"/>
  <c r="CO262" i="63" s="1"/>
  <c r="CO263" i="63" s="1"/>
  <c r="CO264" i="63" s="1"/>
  <c r="CO265" i="63" s="1"/>
  <c r="CO266" i="63" s="1"/>
  <c r="CO267" i="63" s="1"/>
  <c r="CO268" i="63" s="1"/>
  <c r="CO269" i="63" s="1"/>
  <c r="CO270" i="63" s="1"/>
  <c r="CO271" i="63" s="1"/>
  <c r="CO272" i="63" s="1"/>
  <c r="CO273" i="63" s="1"/>
  <c r="CO274" i="63" s="1"/>
  <c r="CO275" i="63" s="1"/>
  <c r="CO276" i="63" s="1"/>
  <c r="CO277" i="63" s="1"/>
  <c r="CO278" i="63" s="1"/>
  <c r="CO279" i="63" s="1"/>
  <c r="CO280" i="63" s="1"/>
  <c r="CO281" i="63" s="1"/>
  <c r="CO282" i="63" s="1"/>
  <c r="CO283" i="63" s="1"/>
  <c r="CO284" i="63" s="1"/>
  <c r="CO285" i="63" s="1"/>
  <c r="CO286" i="63" s="1"/>
  <c r="CO287" i="63" s="1"/>
  <c r="CO288" i="63" s="1"/>
  <c r="CO289" i="63" s="1"/>
  <c r="CO290" i="63" s="1"/>
  <c r="CO291" i="63" s="1"/>
  <c r="CO292" i="63" s="1"/>
  <c r="CO293" i="63" s="1"/>
  <c r="CO294" i="63" s="1"/>
  <c r="CO295" i="63" s="1"/>
  <c r="CO296" i="63" s="1"/>
  <c r="CO297" i="63" s="1"/>
  <c r="CO298" i="63" s="1"/>
  <c r="CO299" i="63" s="1"/>
  <c r="CO300" i="63" s="1"/>
  <c r="CO301" i="63" s="1"/>
  <c r="CO302" i="63" s="1"/>
  <c r="CO303" i="63" s="1"/>
  <c r="CO304" i="63" s="1"/>
  <c r="CO305" i="63" s="1"/>
  <c r="CO306" i="63" s="1"/>
  <c r="CO307" i="63" s="1"/>
  <c r="CO308" i="63" s="1"/>
  <c r="CL9" i="63"/>
  <c r="CL10" i="63" s="1"/>
  <c r="CL11" i="63" s="1"/>
  <c r="CL12" i="63" s="1"/>
  <c r="CL13" i="63" s="1"/>
  <c r="CL14" i="63" s="1"/>
  <c r="CL15" i="63" s="1"/>
  <c r="CL16" i="63" s="1"/>
  <c r="CL17" i="63" s="1"/>
  <c r="CL18" i="63" s="1"/>
  <c r="CL19" i="63" s="1"/>
  <c r="CL20" i="63" s="1"/>
  <c r="CL21" i="63" s="1"/>
  <c r="CL22" i="63" s="1"/>
  <c r="CL23" i="63" s="1"/>
  <c r="CL24" i="63" s="1"/>
  <c r="CL25" i="63" s="1"/>
  <c r="CL26" i="63" s="1"/>
  <c r="CL27" i="63" s="1"/>
  <c r="CL28" i="63" s="1"/>
  <c r="CL29" i="63" s="1"/>
  <c r="CL30" i="63" s="1"/>
  <c r="CL31" i="63" s="1"/>
  <c r="CL32" i="63" s="1"/>
  <c r="CL33" i="63" s="1"/>
  <c r="CL34" i="63" s="1"/>
  <c r="CL35" i="63" s="1"/>
  <c r="CL36" i="63" s="1"/>
  <c r="CL37" i="63" s="1"/>
  <c r="CL38" i="63" s="1"/>
  <c r="CL39" i="63" s="1"/>
  <c r="CL40" i="63" s="1"/>
  <c r="CL41" i="63" s="1"/>
  <c r="CL42" i="63" s="1"/>
  <c r="CL43" i="63" s="1"/>
  <c r="CL44" i="63" s="1"/>
  <c r="CL45" i="63" s="1"/>
  <c r="CL46" i="63" s="1"/>
  <c r="CL47" i="63" s="1"/>
  <c r="CL48" i="63" s="1"/>
  <c r="CL49" i="63" s="1"/>
  <c r="CL50" i="63" s="1"/>
  <c r="CL51" i="63" s="1"/>
  <c r="CL52" i="63" s="1"/>
  <c r="CL53" i="63" s="1"/>
  <c r="CL54" i="63" s="1"/>
  <c r="CL55" i="63" s="1"/>
  <c r="CL56" i="63" s="1"/>
  <c r="CL57" i="63" s="1"/>
  <c r="CL58" i="63" s="1"/>
  <c r="CL59" i="63" s="1"/>
  <c r="CL60" i="63" s="1"/>
  <c r="CL61" i="63" s="1"/>
  <c r="CL62" i="63" s="1"/>
  <c r="CL63" i="63" s="1"/>
  <c r="CL64" i="63" s="1"/>
  <c r="CL65" i="63" s="1"/>
  <c r="CL66" i="63" s="1"/>
  <c r="CL67" i="63" s="1"/>
  <c r="CL68" i="63" s="1"/>
  <c r="CL69" i="63" s="1"/>
  <c r="CL70" i="63" s="1"/>
  <c r="CL71" i="63" s="1"/>
  <c r="CL72" i="63" s="1"/>
  <c r="CL73" i="63" s="1"/>
  <c r="CL74" i="63" s="1"/>
  <c r="CL75" i="63" s="1"/>
  <c r="CL76" i="63" s="1"/>
  <c r="CL77" i="63" s="1"/>
  <c r="CL78" i="63" s="1"/>
  <c r="CL79" i="63" s="1"/>
  <c r="CL80" i="63" s="1"/>
  <c r="CL81" i="63" s="1"/>
  <c r="CL82" i="63" s="1"/>
  <c r="CL83" i="63" s="1"/>
  <c r="CL84" i="63" s="1"/>
  <c r="CL85" i="63" s="1"/>
  <c r="CL86" i="63" s="1"/>
  <c r="CL87" i="63" s="1"/>
  <c r="CL88" i="63" s="1"/>
  <c r="CL89" i="63" s="1"/>
  <c r="CL90" i="63" s="1"/>
  <c r="CL91" i="63" s="1"/>
  <c r="CL92" i="63" s="1"/>
  <c r="CL93" i="63" s="1"/>
  <c r="CL94" i="63" s="1"/>
  <c r="CL95" i="63" s="1"/>
  <c r="CL96" i="63" s="1"/>
  <c r="CL97" i="63" s="1"/>
  <c r="CL98" i="63" s="1"/>
  <c r="CL99" i="63" s="1"/>
  <c r="CL100" i="63" s="1"/>
  <c r="CL101" i="63" s="1"/>
  <c r="CL102" i="63" s="1"/>
  <c r="CL103" i="63" s="1"/>
  <c r="CL104" i="63" s="1"/>
  <c r="CL105" i="63" s="1"/>
  <c r="CL106" i="63" s="1"/>
  <c r="CL107" i="63" s="1"/>
  <c r="CL108" i="63" s="1"/>
  <c r="CL109" i="63" s="1"/>
  <c r="CL110" i="63" s="1"/>
  <c r="CL111" i="63" s="1"/>
  <c r="CL112" i="63" s="1"/>
  <c r="CL113" i="63" s="1"/>
  <c r="CL114" i="63" s="1"/>
  <c r="CL115" i="63" s="1"/>
  <c r="CL116" i="63" s="1"/>
  <c r="CL117" i="63" s="1"/>
  <c r="CL118" i="63" s="1"/>
  <c r="CL119" i="63" s="1"/>
  <c r="CL120" i="63" s="1"/>
  <c r="CL121" i="63" s="1"/>
  <c r="CL122" i="63" s="1"/>
  <c r="CL123" i="63" s="1"/>
  <c r="CL124" i="63" s="1"/>
  <c r="CL125" i="63" s="1"/>
  <c r="CL126" i="63" s="1"/>
  <c r="CL127" i="63" s="1"/>
  <c r="CL128" i="63" s="1"/>
  <c r="CL129" i="63" s="1"/>
  <c r="CL130" i="63" s="1"/>
  <c r="CL131" i="63" s="1"/>
  <c r="CL132" i="63" s="1"/>
  <c r="CL133" i="63" s="1"/>
  <c r="CL134" i="63" s="1"/>
  <c r="CL135" i="63" s="1"/>
  <c r="CL136" i="63" s="1"/>
  <c r="CL137" i="63" s="1"/>
  <c r="CL138" i="63" s="1"/>
  <c r="CL139" i="63" s="1"/>
  <c r="CL140" i="63" s="1"/>
  <c r="CL141" i="63" s="1"/>
  <c r="CL142" i="63" s="1"/>
  <c r="CL143" i="63" s="1"/>
  <c r="CL144" i="63" s="1"/>
  <c r="CL145" i="63" s="1"/>
  <c r="CL146" i="63" s="1"/>
  <c r="CL147" i="63" s="1"/>
  <c r="CL148" i="63" s="1"/>
  <c r="CL149" i="63" s="1"/>
  <c r="CL150" i="63" s="1"/>
  <c r="CL151" i="63" s="1"/>
  <c r="CL152" i="63" s="1"/>
  <c r="CL153" i="63" s="1"/>
  <c r="CL154" i="63" s="1"/>
  <c r="CL155" i="63" s="1"/>
  <c r="CL156" i="63" s="1"/>
  <c r="CL157" i="63" s="1"/>
  <c r="CL158" i="63" s="1"/>
  <c r="CL159" i="63" s="1"/>
  <c r="CL160" i="63" s="1"/>
  <c r="CL161" i="63" s="1"/>
  <c r="CL162" i="63" s="1"/>
  <c r="CL163" i="63" s="1"/>
  <c r="CL164" i="63" s="1"/>
  <c r="CL165" i="63" s="1"/>
  <c r="CL166" i="63" s="1"/>
  <c r="CL167" i="63" s="1"/>
  <c r="CL168" i="63" s="1"/>
  <c r="CL169" i="63" s="1"/>
  <c r="CL170" i="63" s="1"/>
  <c r="CL171" i="63" s="1"/>
  <c r="CL172" i="63" s="1"/>
  <c r="CL173" i="63" s="1"/>
  <c r="CL174" i="63" s="1"/>
  <c r="CL175" i="63" s="1"/>
  <c r="CL176" i="63" s="1"/>
  <c r="CL177" i="63" s="1"/>
  <c r="CL178" i="63" s="1"/>
  <c r="CL179" i="63" s="1"/>
  <c r="CL180" i="63" s="1"/>
  <c r="CL181" i="63" s="1"/>
  <c r="CL182" i="63" s="1"/>
  <c r="CL183" i="63" s="1"/>
  <c r="CL184" i="63" s="1"/>
  <c r="CL185" i="63" s="1"/>
  <c r="CL186" i="63" s="1"/>
  <c r="CL187" i="63" s="1"/>
  <c r="CL188" i="63" s="1"/>
  <c r="CL189" i="63" s="1"/>
  <c r="CL190" i="63" s="1"/>
  <c r="CL191" i="63" s="1"/>
  <c r="CL192" i="63" s="1"/>
  <c r="CL193" i="63" s="1"/>
  <c r="CL194" i="63" s="1"/>
  <c r="CL195" i="63" s="1"/>
  <c r="CL196" i="63" s="1"/>
  <c r="CL197" i="63" s="1"/>
  <c r="CL198" i="63" s="1"/>
  <c r="CL199" i="63" s="1"/>
  <c r="CL200" i="63" s="1"/>
  <c r="CL201" i="63" s="1"/>
  <c r="CL202" i="63" s="1"/>
  <c r="CL203" i="63" s="1"/>
  <c r="CL204" i="63" s="1"/>
  <c r="CL205" i="63" s="1"/>
  <c r="CL206" i="63" s="1"/>
  <c r="CL207" i="63" s="1"/>
  <c r="CL208" i="63" s="1"/>
  <c r="CL209" i="63" s="1"/>
  <c r="CL210" i="63" s="1"/>
  <c r="CL211" i="63" s="1"/>
  <c r="CL212" i="63" s="1"/>
  <c r="CL213" i="63" s="1"/>
  <c r="CL214" i="63" s="1"/>
  <c r="CL215" i="63" s="1"/>
  <c r="CL216" i="63" s="1"/>
  <c r="CL217" i="63" s="1"/>
  <c r="CL218" i="63" s="1"/>
  <c r="CL219" i="63" s="1"/>
  <c r="CL220" i="63" s="1"/>
  <c r="CL221" i="63" s="1"/>
  <c r="CL222" i="63" s="1"/>
  <c r="CL223" i="63" s="1"/>
  <c r="CL224" i="63" s="1"/>
  <c r="CL225" i="63" s="1"/>
  <c r="CL226" i="63" s="1"/>
  <c r="CL227" i="63" s="1"/>
  <c r="CL228" i="63" s="1"/>
  <c r="CL229" i="63" s="1"/>
  <c r="CL230" i="63" s="1"/>
  <c r="CL231" i="63" s="1"/>
  <c r="CL232" i="63" s="1"/>
  <c r="CL233" i="63" s="1"/>
  <c r="CL234" i="63" s="1"/>
  <c r="CL235" i="63" s="1"/>
  <c r="CL236" i="63" s="1"/>
  <c r="CL237" i="63" s="1"/>
  <c r="CL238" i="63" s="1"/>
  <c r="CL239" i="63" s="1"/>
  <c r="CL240" i="63" s="1"/>
  <c r="CL241" i="63" s="1"/>
  <c r="CL242" i="63" s="1"/>
  <c r="CL243" i="63" s="1"/>
  <c r="CL244" i="63" s="1"/>
  <c r="CL245" i="63" s="1"/>
  <c r="CL246" i="63" s="1"/>
  <c r="CL247" i="63" s="1"/>
  <c r="CL248" i="63" s="1"/>
  <c r="CL249" i="63" s="1"/>
  <c r="CL250" i="63" s="1"/>
  <c r="CL251" i="63" s="1"/>
  <c r="CL252" i="63" s="1"/>
  <c r="CL253" i="63" s="1"/>
  <c r="CL254" i="63" s="1"/>
  <c r="CL255" i="63" s="1"/>
  <c r="CL256" i="63" s="1"/>
  <c r="CL257" i="63" s="1"/>
  <c r="CL258" i="63" s="1"/>
  <c r="CL259" i="63" s="1"/>
  <c r="CL260" i="63" s="1"/>
  <c r="CL261" i="63" s="1"/>
  <c r="CL262" i="63" s="1"/>
  <c r="CL263" i="63" s="1"/>
  <c r="CL264" i="63" s="1"/>
  <c r="CL265" i="63" s="1"/>
  <c r="CL266" i="63" s="1"/>
  <c r="CL267" i="63" s="1"/>
  <c r="CL268" i="63" s="1"/>
  <c r="CL269" i="63" s="1"/>
  <c r="CL270" i="63" s="1"/>
  <c r="CL271" i="63" s="1"/>
  <c r="CL272" i="63" s="1"/>
  <c r="CL273" i="63" s="1"/>
  <c r="CL274" i="63" s="1"/>
  <c r="CL275" i="63" s="1"/>
  <c r="CL276" i="63" s="1"/>
  <c r="CL277" i="63" s="1"/>
  <c r="CL278" i="63" s="1"/>
  <c r="CL279" i="63" s="1"/>
  <c r="CL280" i="63" s="1"/>
  <c r="CL281" i="63" s="1"/>
  <c r="CL282" i="63" s="1"/>
  <c r="CL283" i="63" s="1"/>
  <c r="CL284" i="63" s="1"/>
  <c r="CL285" i="63" s="1"/>
  <c r="CL286" i="63" s="1"/>
  <c r="CL287" i="63" s="1"/>
  <c r="CL288" i="63" s="1"/>
  <c r="CL289" i="63" s="1"/>
  <c r="CL290" i="63" s="1"/>
  <c r="CL291" i="63" s="1"/>
  <c r="CL292" i="63" s="1"/>
  <c r="CL293" i="63" s="1"/>
  <c r="CL294" i="63" s="1"/>
  <c r="CL295" i="63" s="1"/>
  <c r="CL296" i="63" s="1"/>
  <c r="CL297" i="63" s="1"/>
  <c r="CL298" i="63" s="1"/>
  <c r="CL299" i="63" s="1"/>
  <c r="CL300" i="63" s="1"/>
  <c r="CL301" i="63" s="1"/>
  <c r="CL302" i="63" s="1"/>
  <c r="CL303" i="63" s="1"/>
  <c r="CL304" i="63" s="1"/>
  <c r="CL305" i="63" s="1"/>
  <c r="CL306" i="63" s="1"/>
  <c r="CL307" i="63" s="1"/>
  <c r="CL308" i="63" s="1"/>
  <c r="CH9" i="63"/>
  <c r="CH10" i="63" s="1"/>
  <c r="CH11" i="63" s="1"/>
  <c r="CH12" i="63" s="1"/>
  <c r="CH13" i="63" s="1"/>
  <c r="CH14" i="63" s="1"/>
  <c r="CH15" i="63" s="1"/>
  <c r="CH16" i="63" s="1"/>
  <c r="CH17" i="63" s="1"/>
  <c r="CH18" i="63" s="1"/>
  <c r="CH19" i="63" s="1"/>
  <c r="CH20" i="63" s="1"/>
  <c r="CH21" i="63" s="1"/>
  <c r="CH22" i="63" s="1"/>
  <c r="CH23" i="63" s="1"/>
  <c r="CH24" i="63" s="1"/>
  <c r="CH25" i="63" s="1"/>
  <c r="CH26" i="63" s="1"/>
  <c r="CH27" i="63" s="1"/>
  <c r="CH28" i="63" s="1"/>
  <c r="CH29" i="63" s="1"/>
  <c r="CH30" i="63" s="1"/>
  <c r="CH31" i="63" s="1"/>
  <c r="CH32" i="63" s="1"/>
  <c r="CH33" i="63" s="1"/>
  <c r="CH34" i="63" s="1"/>
  <c r="CH35" i="63" s="1"/>
  <c r="CH36" i="63" s="1"/>
  <c r="CH37" i="63" s="1"/>
  <c r="CH38" i="63" s="1"/>
  <c r="CH39" i="63" s="1"/>
  <c r="CH40" i="63" s="1"/>
  <c r="CH41" i="63" s="1"/>
  <c r="CH42" i="63" s="1"/>
  <c r="CH43" i="63" s="1"/>
  <c r="CH44" i="63" s="1"/>
  <c r="CH45" i="63" s="1"/>
  <c r="CH46" i="63" s="1"/>
  <c r="CH47" i="63" s="1"/>
  <c r="CH48" i="63" s="1"/>
  <c r="CH49" i="63" s="1"/>
  <c r="CH50" i="63" s="1"/>
  <c r="CH51" i="63" s="1"/>
  <c r="CH52" i="63" s="1"/>
  <c r="CH53" i="63" s="1"/>
  <c r="CH54" i="63" s="1"/>
  <c r="CH55" i="63" s="1"/>
  <c r="CH56" i="63" s="1"/>
  <c r="CH57" i="63" s="1"/>
  <c r="CH58" i="63" s="1"/>
  <c r="CH59" i="63" s="1"/>
  <c r="CH60" i="63" s="1"/>
  <c r="CH61" i="63" s="1"/>
  <c r="CH62" i="63" s="1"/>
  <c r="CH63" i="63" s="1"/>
  <c r="CH64" i="63" s="1"/>
  <c r="CH65" i="63" s="1"/>
  <c r="CH66" i="63" s="1"/>
  <c r="CH67" i="63" s="1"/>
  <c r="CH68" i="63" s="1"/>
  <c r="CH69" i="63" s="1"/>
  <c r="CH70" i="63" s="1"/>
  <c r="CH71" i="63" s="1"/>
  <c r="CH72" i="63" s="1"/>
  <c r="CH73" i="63" s="1"/>
  <c r="CH74" i="63" s="1"/>
  <c r="CH75" i="63" s="1"/>
  <c r="CH76" i="63" s="1"/>
  <c r="CH77" i="63" s="1"/>
  <c r="CH78" i="63" s="1"/>
  <c r="CH79" i="63" s="1"/>
  <c r="CH80" i="63" s="1"/>
  <c r="CH81" i="63" s="1"/>
  <c r="CH82" i="63" s="1"/>
  <c r="CH83" i="63" s="1"/>
  <c r="CH84" i="63" s="1"/>
  <c r="CH85" i="63" s="1"/>
  <c r="CH86" i="63" s="1"/>
  <c r="CH87" i="63" s="1"/>
  <c r="CH88" i="63" s="1"/>
  <c r="CH89" i="63" s="1"/>
  <c r="CH90" i="63" s="1"/>
  <c r="CH91" i="63" s="1"/>
  <c r="CH92" i="63" s="1"/>
  <c r="CH93" i="63" s="1"/>
  <c r="CH94" i="63" s="1"/>
  <c r="CH95" i="63" s="1"/>
  <c r="CH96" i="63" s="1"/>
  <c r="CH97" i="63" s="1"/>
  <c r="CH98" i="63" s="1"/>
  <c r="CH99" i="63" s="1"/>
  <c r="CH100" i="63" s="1"/>
  <c r="CH101" i="63" s="1"/>
  <c r="CH102" i="63" s="1"/>
  <c r="CH103" i="63" s="1"/>
  <c r="CH104" i="63" s="1"/>
  <c r="CH105" i="63" s="1"/>
  <c r="CH106" i="63" s="1"/>
  <c r="CH107" i="63" s="1"/>
  <c r="CH108" i="63" s="1"/>
  <c r="CH109" i="63" s="1"/>
  <c r="CH110" i="63" s="1"/>
  <c r="CH111" i="63" s="1"/>
  <c r="CH112" i="63" s="1"/>
  <c r="CH113" i="63" s="1"/>
  <c r="CH114" i="63" s="1"/>
  <c r="CH115" i="63" s="1"/>
  <c r="CH116" i="63" s="1"/>
  <c r="CH117" i="63" s="1"/>
  <c r="CH118" i="63" s="1"/>
  <c r="CH119" i="63" s="1"/>
  <c r="CH120" i="63" s="1"/>
  <c r="CH121" i="63" s="1"/>
  <c r="CH122" i="63" s="1"/>
  <c r="CH123" i="63" s="1"/>
  <c r="CH124" i="63" s="1"/>
  <c r="CH125" i="63" s="1"/>
  <c r="CH126" i="63" s="1"/>
  <c r="CH127" i="63" s="1"/>
  <c r="CH128" i="63" s="1"/>
  <c r="CH129" i="63" s="1"/>
  <c r="CH130" i="63" s="1"/>
  <c r="CH131" i="63" s="1"/>
  <c r="CH132" i="63" s="1"/>
  <c r="CH133" i="63" s="1"/>
  <c r="CH134" i="63" s="1"/>
  <c r="CH135" i="63" s="1"/>
  <c r="CH136" i="63" s="1"/>
  <c r="CH137" i="63" s="1"/>
  <c r="CH138" i="63" s="1"/>
  <c r="CH139" i="63" s="1"/>
  <c r="CH140" i="63" s="1"/>
  <c r="CH141" i="63" s="1"/>
  <c r="CH142" i="63" s="1"/>
  <c r="CH143" i="63" s="1"/>
  <c r="CH144" i="63" s="1"/>
  <c r="CH145" i="63" s="1"/>
  <c r="CH146" i="63" s="1"/>
  <c r="CH147" i="63" s="1"/>
  <c r="CH148" i="63" s="1"/>
  <c r="CH149" i="63" s="1"/>
  <c r="CH150" i="63" s="1"/>
  <c r="CH151" i="63" s="1"/>
  <c r="CH152" i="63" s="1"/>
  <c r="CH153" i="63" s="1"/>
  <c r="CH154" i="63" s="1"/>
  <c r="CH155" i="63" s="1"/>
  <c r="CH156" i="63" s="1"/>
  <c r="CH157" i="63" s="1"/>
  <c r="CH158" i="63" s="1"/>
  <c r="CH159" i="63" s="1"/>
  <c r="CH160" i="63" s="1"/>
  <c r="CH161" i="63" s="1"/>
  <c r="CH162" i="63" s="1"/>
  <c r="CH163" i="63" s="1"/>
  <c r="CH164" i="63" s="1"/>
  <c r="CH165" i="63" s="1"/>
  <c r="CH166" i="63" s="1"/>
  <c r="CH167" i="63" s="1"/>
  <c r="CH168" i="63" s="1"/>
  <c r="CH169" i="63" s="1"/>
  <c r="CH170" i="63" s="1"/>
  <c r="CH171" i="63" s="1"/>
  <c r="CH172" i="63" s="1"/>
  <c r="CH173" i="63" s="1"/>
  <c r="CH174" i="63" s="1"/>
  <c r="CH175" i="63" s="1"/>
  <c r="CH176" i="63" s="1"/>
  <c r="CH177" i="63" s="1"/>
  <c r="CH178" i="63" s="1"/>
  <c r="CH179" i="63" s="1"/>
  <c r="CH180" i="63" s="1"/>
  <c r="CH181" i="63" s="1"/>
  <c r="CH182" i="63" s="1"/>
  <c r="CH183" i="63" s="1"/>
  <c r="CH184" i="63" s="1"/>
  <c r="CH185" i="63" s="1"/>
  <c r="CH186" i="63" s="1"/>
  <c r="CH187" i="63" s="1"/>
  <c r="CH188" i="63" s="1"/>
  <c r="CH189" i="63" s="1"/>
  <c r="CH190" i="63" s="1"/>
  <c r="CH191" i="63" s="1"/>
  <c r="CH192" i="63" s="1"/>
  <c r="CH193" i="63" s="1"/>
  <c r="CH194" i="63" s="1"/>
  <c r="CH195" i="63" s="1"/>
  <c r="CH196" i="63" s="1"/>
  <c r="CH197" i="63" s="1"/>
  <c r="CH198" i="63" s="1"/>
  <c r="CH199" i="63" s="1"/>
  <c r="CH200" i="63" s="1"/>
  <c r="CH201" i="63" s="1"/>
  <c r="CH202" i="63" s="1"/>
  <c r="CH203" i="63" s="1"/>
  <c r="CH204" i="63" s="1"/>
  <c r="CH205" i="63" s="1"/>
  <c r="CH206" i="63" s="1"/>
  <c r="CH207" i="63" s="1"/>
  <c r="CH208" i="63" s="1"/>
  <c r="CH209" i="63" s="1"/>
  <c r="CH210" i="63" s="1"/>
  <c r="CH211" i="63" s="1"/>
  <c r="CH212" i="63" s="1"/>
  <c r="CH213" i="63" s="1"/>
  <c r="CH214" i="63" s="1"/>
  <c r="CH215" i="63" s="1"/>
  <c r="CH216" i="63" s="1"/>
  <c r="CH217" i="63" s="1"/>
  <c r="CH218" i="63" s="1"/>
  <c r="CH219" i="63" s="1"/>
  <c r="CH220" i="63" s="1"/>
  <c r="CH221" i="63" s="1"/>
  <c r="CH222" i="63" s="1"/>
  <c r="CH223" i="63" s="1"/>
  <c r="CH224" i="63" s="1"/>
  <c r="CH225" i="63" s="1"/>
  <c r="CH226" i="63" s="1"/>
  <c r="CH227" i="63" s="1"/>
  <c r="CH228" i="63" s="1"/>
  <c r="CH229" i="63" s="1"/>
  <c r="CH230" i="63" s="1"/>
  <c r="CH231" i="63" s="1"/>
  <c r="CH232" i="63" s="1"/>
  <c r="CH233" i="63" s="1"/>
  <c r="CH234" i="63" s="1"/>
  <c r="CH235" i="63" s="1"/>
  <c r="CH236" i="63" s="1"/>
  <c r="CH237" i="63" s="1"/>
  <c r="CH238" i="63" s="1"/>
  <c r="CH239" i="63" s="1"/>
  <c r="CH240" i="63" s="1"/>
  <c r="CH241" i="63" s="1"/>
  <c r="CH242" i="63" s="1"/>
  <c r="CH243" i="63" s="1"/>
  <c r="CH244" i="63" s="1"/>
  <c r="CH245" i="63" s="1"/>
  <c r="CH246" i="63" s="1"/>
  <c r="CH247" i="63" s="1"/>
  <c r="CH248" i="63" s="1"/>
  <c r="CH249" i="63" s="1"/>
  <c r="CH250" i="63" s="1"/>
  <c r="CH251" i="63" s="1"/>
  <c r="CH252" i="63" s="1"/>
  <c r="CH253" i="63" s="1"/>
  <c r="CH254" i="63" s="1"/>
  <c r="CH255" i="63" s="1"/>
  <c r="CH256" i="63" s="1"/>
  <c r="CH257" i="63" s="1"/>
  <c r="CH258" i="63" s="1"/>
  <c r="CH259" i="63" s="1"/>
  <c r="CH260" i="63" s="1"/>
  <c r="CH261" i="63" s="1"/>
  <c r="CH262" i="63" s="1"/>
  <c r="CH263" i="63" s="1"/>
  <c r="CH264" i="63" s="1"/>
  <c r="CH265" i="63" s="1"/>
  <c r="CH266" i="63" s="1"/>
  <c r="CH267" i="63" s="1"/>
  <c r="CH268" i="63" s="1"/>
  <c r="CH269" i="63" s="1"/>
  <c r="CH270" i="63" s="1"/>
  <c r="CH271" i="63" s="1"/>
  <c r="CH272" i="63" s="1"/>
  <c r="CH273" i="63" s="1"/>
  <c r="CH274" i="63" s="1"/>
  <c r="CH275" i="63" s="1"/>
  <c r="CH276" i="63" s="1"/>
  <c r="CH277" i="63" s="1"/>
  <c r="CH278" i="63" s="1"/>
  <c r="CH279" i="63" s="1"/>
  <c r="CH280" i="63" s="1"/>
  <c r="CH281" i="63" s="1"/>
  <c r="CH282" i="63" s="1"/>
  <c r="CH283" i="63" s="1"/>
  <c r="CH284" i="63" s="1"/>
  <c r="CH285" i="63" s="1"/>
  <c r="CH286" i="63" s="1"/>
  <c r="CH287" i="63" s="1"/>
  <c r="CH288" i="63" s="1"/>
  <c r="CH289" i="63" s="1"/>
  <c r="CH290" i="63" s="1"/>
  <c r="CH291" i="63" s="1"/>
  <c r="CH292" i="63" s="1"/>
  <c r="CH293" i="63" s="1"/>
  <c r="CH294" i="63" s="1"/>
  <c r="CH295" i="63" s="1"/>
  <c r="CH296" i="63" s="1"/>
  <c r="CH297" i="63" s="1"/>
  <c r="CH298" i="63" s="1"/>
  <c r="CH299" i="63" s="1"/>
  <c r="CH300" i="63" s="1"/>
  <c r="CH301" i="63" s="1"/>
  <c r="CH302" i="63" s="1"/>
  <c r="CH303" i="63" s="1"/>
  <c r="CH304" i="63" s="1"/>
  <c r="CH305" i="63" s="1"/>
  <c r="CH306" i="63" s="1"/>
  <c r="CH307" i="63" s="1"/>
  <c r="CH308" i="63" s="1"/>
  <c r="CG9" i="63"/>
  <c r="CG10" i="63" s="1"/>
  <c r="CG11" i="63" s="1"/>
  <c r="CG12" i="63" s="1"/>
  <c r="CG13" i="63" s="1"/>
  <c r="CG14" i="63" s="1"/>
  <c r="CG15" i="63" s="1"/>
  <c r="CG16" i="63" s="1"/>
  <c r="CG17" i="63" s="1"/>
  <c r="CG18" i="63" s="1"/>
  <c r="CG19" i="63" s="1"/>
  <c r="CG20" i="63" s="1"/>
  <c r="CG21" i="63" s="1"/>
  <c r="CG22" i="63" s="1"/>
  <c r="CG23" i="63" s="1"/>
  <c r="CG24" i="63" s="1"/>
  <c r="CG25" i="63" s="1"/>
  <c r="CG26" i="63" s="1"/>
  <c r="CG27" i="63" s="1"/>
  <c r="CG28" i="63" s="1"/>
  <c r="CG29" i="63" s="1"/>
  <c r="CG30" i="63" s="1"/>
  <c r="CG31" i="63" s="1"/>
  <c r="CG32" i="63" s="1"/>
  <c r="CG33" i="63" s="1"/>
  <c r="CG34" i="63" s="1"/>
  <c r="CG35" i="63" s="1"/>
  <c r="CG36" i="63" s="1"/>
  <c r="CG37" i="63" s="1"/>
  <c r="CG38" i="63" s="1"/>
  <c r="CG39" i="63" s="1"/>
  <c r="CG40" i="63" s="1"/>
  <c r="CG41" i="63" s="1"/>
  <c r="CG42" i="63" s="1"/>
  <c r="CG43" i="63" s="1"/>
  <c r="CG44" i="63" s="1"/>
  <c r="CG45" i="63" s="1"/>
  <c r="CG46" i="63" s="1"/>
  <c r="CG47" i="63" s="1"/>
  <c r="CG48" i="63" s="1"/>
  <c r="CG49" i="63" s="1"/>
  <c r="CG50" i="63" s="1"/>
  <c r="CG51" i="63" s="1"/>
  <c r="CG52" i="63" s="1"/>
  <c r="CG53" i="63" s="1"/>
  <c r="CG54" i="63" s="1"/>
  <c r="CG55" i="63" s="1"/>
  <c r="CG56" i="63" s="1"/>
  <c r="CG57" i="63" s="1"/>
  <c r="CG58" i="63" s="1"/>
  <c r="CG59" i="63" s="1"/>
  <c r="CG60" i="63" s="1"/>
  <c r="CG61" i="63" s="1"/>
  <c r="CG62" i="63" s="1"/>
  <c r="CG63" i="63" s="1"/>
  <c r="CG64" i="63" s="1"/>
  <c r="CG65" i="63" s="1"/>
  <c r="CG66" i="63" s="1"/>
  <c r="CG67" i="63" s="1"/>
  <c r="CG68" i="63" s="1"/>
  <c r="CG69" i="63" s="1"/>
  <c r="CG70" i="63" s="1"/>
  <c r="CG71" i="63" s="1"/>
  <c r="CG72" i="63" s="1"/>
  <c r="CG73" i="63" s="1"/>
  <c r="CG74" i="63" s="1"/>
  <c r="CG75" i="63" s="1"/>
  <c r="CG76" i="63" s="1"/>
  <c r="CG77" i="63" s="1"/>
  <c r="CG78" i="63" s="1"/>
  <c r="CG79" i="63" s="1"/>
  <c r="CG80" i="63" s="1"/>
  <c r="CG81" i="63" s="1"/>
  <c r="CG82" i="63" s="1"/>
  <c r="CG83" i="63" s="1"/>
  <c r="CG84" i="63" s="1"/>
  <c r="CG85" i="63" s="1"/>
  <c r="CG86" i="63" s="1"/>
  <c r="CG87" i="63" s="1"/>
  <c r="CG88" i="63" s="1"/>
  <c r="CG89" i="63" s="1"/>
  <c r="CG90" i="63" s="1"/>
  <c r="CG91" i="63" s="1"/>
  <c r="CG92" i="63" s="1"/>
  <c r="CG93" i="63" s="1"/>
  <c r="CG94" i="63" s="1"/>
  <c r="CG95" i="63" s="1"/>
  <c r="CG96" i="63" s="1"/>
  <c r="CG97" i="63" s="1"/>
  <c r="CG98" i="63" s="1"/>
  <c r="CG99" i="63" s="1"/>
  <c r="CG100" i="63" s="1"/>
  <c r="CG101" i="63" s="1"/>
  <c r="CG102" i="63" s="1"/>
  <c r="CG103" i="63" s="1"/>
  <c r="CG104" i="63" s="1"/>
  <c r="CG105" i="63" s="1"/>
  <c r="CG106" i="63" s="1"/>
  <c r="CG107" i="63" s="1"/>
  <c r="CG108" i="63" s="1"/>
  <c r="CG109" i="63" s="1"/>
  <c r="CG110" i="63" s="1"/>
  <c r="CG111" i="63" s="1"/>
  <c r="CG112" i="63" s="1"/>
  <c r="CG113" i="63" s="1"/>
  <c r="CG114" i="63" s="1"/>
  <c r="CG115" i="63" s="1"/>
  <c r="CG116" i="63" s="1"/>
  <c r="CG117" i="63" s="1"/>
  <c r="CG118" i="63" s="1"/>
  <c r="CG119" i="63" s="1"/>
  <c r="CG120" i="63" s="1"/>
  <c r="CG121" i="63" s="1"/>
  <c r="CG122" i="63" s="1"/>
  <c r="CG123" i="63" s="1"/>
  <c r="CG124" i="63" s="1"/>
  <c r="CG125" i="63" s="1"/>
  <c r="CG126" i="63" s="1"/>
  <c r="CG127" i="63" s="1"/>
  <c r="CG128" i="63" s="1"/>
  <c r="CG129" i="63" s="1"/>
  <c r="CG130" i="63" s="1"/>
  <c r="CG131" i="63" s="1"/>
  <c r="CG132" i="63" s="1"/>
  <c r="CG133" i="63" s="1"/>
  <c r="CG134" i="63" s="1"/>
  <c r="CG135" i="63" s="1"/>
  <c r="CG136" i="63" s="1"/>
  <c r="CG137" i="63" s="1"/>
  <c r="CG138" i="63" s="1"/>
  <c r="CG139" i="63" s="1"/>
  <c r="CG140" i="63" s="1"/>
  <c r="CG141" i="63" s="1"/>
  <c r="CG142" i="63" s="1"/>
  <c r="CG143" i="63" s="1"/>
  <c r="CG144" i="63" s="1"/>
  <c r="CG145" i="63" s="1"/>
  <c r="CG146" i="63" s="1"/>
  <c r="CG147" i="63" s="1"/>
  <c r="CG148" i="63" s="1"/>
  <c r="CG149" i="63" s="1"/>
  <c r="CG150" i="63" s="1"/>
  <c r="CG151" i="63" s="1"/>
  <c r="CG152" i="63" s="1"/>
  <c r="CG153" i="63" s="1"/>
  <c r="CG154" i="63" s="1"/>
  <c r="CG155" i="63" s="1"/>
  <c r="CG156" i="63" s="1"/>
  <c r="CG157" i="63" s="1"/>
  <c r="CG158" i="63" s="1"/>
  <c r="CG159" i="63" s="1"/>
  <c r="CG160" i="63" s="1"/>
  <c r="CG161" i="63" s="1"/>
  <c r="CG162" i="63" s="1"/>
  <c r="CG163" i="63" s="1"/>
  <c r="CG164" i="63" s="1"/>
  <c r="CG165" i="63" s="1"/>
  <c r="CG166" i="63" s="1"/>
  <c r="CG167" i="63" s="1"/>
  <c r="CG168" i="63" s="1"/>
  <c r="CG169" i="63" s="1"/>
  <c r="CG170" i="63" s="1"/>
  <c r="CG171" i="63" s="1"/>
  <c r="CG172" i="63" s="1"/>
  <c r="CG173" i="63" s="1"/>
  <c r="CG174" i="63" s="1"/>
  <c r="CG175" i="63" s="1"/>
  <c r="CG176" i="63" s="1"/>
  <c r="CG177" i="63" s="1"/>
  <c r="CG178" i="63" s="1"/>
  <c r="CG179" i="63" s="1"/>
  <c r="CG180" i="63" s="1"/>
  <c r="CG181" i="63" s="1"/>
  <c r="CG182" i="63" s="1"/>
  <c r="CG183" i="63" s="1"/>
  <c r="CG184" i="63" s="1"/>
  <c r="CG185" i="63" s="1"/>
  <c r="CG186" i="63" s="1"/>
  <c r="CG187" i="63" s="1"/>
  <c r="CG188" i="63" s="1"/>
  <c r="CG189" i="63" s="1"/>
  <c r="CG190" i="63" s="1"/>
  <c r="CG191" i="63" s="1"/>
  <c r="CG192" i="63" s="1"/>
  <c r="CG193" i="63" s="1"/>
  <c r="CG194" i="63" s="1"/>
  <c r="CG195" i="63" s="1"/>
  <c r="CG196" i="63" s="1"/>
  <c r="CG197" i="63" s="1"/>
  <c r="CG198" i="63" s="1"/>
  <c r="CG199" i="63" s="1"/>
  <c r="CG200" i="63" s="1"/>
  <c r="CG201" i="63" s="1"/>
  <c r="CG202" i="63" s="1"/>
  <c r="CG203" i="63" s="1"/>
  <c r="CG204" i="63" s="1"/>
  <c r="CG205" i="63" s="1"/>
  <c r="CG206" i="63" s="1"/>
  <c r="CG207" i="63" s="1"/>
  <c r="CG208" i="63" s="1"/>
  <c r="CG209" i="63" s="1"/>
  <c r="CG210" i="63" s="1"/>
  <c r="CG211" i="63" s="1"/>
  <c r="CG212" i="63" s="1"/>
  <c r="CG213" i="63" s="1"/>
  <c r="CG214" i="63" s="1"/>
  <c r="CG215" i="63" s="1"/>
  <c r="CG216" i="63" s="1"/>
  <c r="CG217" i="63" s="1"/>
  <c r="CG218" i="63" s="1"/>
  <c r="CG219" i="63" s="1"/>
  <c r="CG220" i="63" s="1"/>
  <c r="CG221" i="63" s="1"/>
  <c r="CG222" i="63" s="1"/>
  <c r="CG223" i="63" s="1"/>
  <c r="CG224" i="63" s="1"/>
  <c r="CG225" i="63" s="1"/>
  <c r="CG226" i="63" s="1"/>
  <c r="CG227" i="63" s="1"/>
  <c r="CG228" i="63" s="1"/>
  <c r="CG229" i="63" s="1"/>
  <c r="CG230" i="63" s="1"/>
  <c r="CG231" i="63" s="1"/>
  <c r="CG232" i="63" s="1"/>
  <c r="CG233" i="63" s="1"/>
  <c r="CG234" i="63" s="1"/>
  <c r="CG235" i="63" s="1"/>
  <c r="CG236" i="63" s="1"/>
  <c r="CG237" i="63" s="1"/>
  <c r="CG238" i="63" s="1"/>
  <c r="CG239" i="63" s="1"/>
  <c r="CG240" i="63" s="1"/>
  <c r="CG241" i="63" s="1"/>
  <c r="CG242" i="63" s="1"/>
  <c r="CG243" i="63" s="1"/>
  <c r="CG244" i="63" s="1"/>
  <c r="CG245" i="63" s="1"/>
  <c r="CG246" i="63" s="1"/>
  <c r="CG247" i="63" s="1"/>
  <c r="CG248" i="63" s="1"/>
  <c r="CG249" i="63" s="1"/>
  <c r="CG250" i="63" s="1"/>
  <c r="CG251" i="63" s="1"/>
  <c r="CG252" i="63" s="1"/>
  <c r="CG253" i="63" s="1"/>
  <c r="CG254" i="63" s="1"/>
  <c r="CG255" i="63" s="1"/>
  <c r="CG256" i="63" s="1"/>
  <c r="CG257" i="63" s="1"/>
  <c r="CG258" i="63" s="1"/>
  <c r="CG259" i="63" s="1"/>
  <c r="CG260" i="63" s="1"/>
  <c r="CG261" i="63" s="1"/>
  <c r="CG262" i="63" s="1"/>
  <c r="CG263" i="63" s="1"/>
  <c r="CG264" i="63" s="1"/>
  <c r="CG265" i="63" s="1"/>
  <c r="CG266" i="63" s="1"/>
  <c r="CG267" i="63" s="1"/>
  <c r="CG268" i="63" s="1"/>
  <c r="CG269" i="63" s="1"/>
  <c r="CG270" i="63" s="1"/>
  <c r="CG271" i="63" s="1"/>
  <c r="CG272" i="63" s="1"/>
  <c r="CG273" i="63" s="1"/>
  <c r="CG274" i="63" s="1"/>
  <c r="CG275" i="63" s="1"/>
  <c r="CG276" i="63" s="1"/>
  <c r="CG277" i="63" s="1"/>
  <c r="CG278" i="63" s="1"/>
  <c r="CG279" i="63" s="1"/>
  <c r="CG280" i="63" s="1"/>
  <c r="CG281" i="63" s="1"/>
  <c r="CG282" i="63" s="1"/>
  <c r="CG283" i="63" s="1"/>
  <c r="CG284" i="63" s="1"/>
  <c r="CG285" i="63" s="1"/>
  <c r="CG286" i="63" s="1"/>
  <c r="CG287" i="63" s="1"/>
  <c r="CG288" i="63" s="1"/>
  <c r="CG289" i="63" s="1"/>
  <c r="CG290" i="63" s="1"/>
  <c r="CG291" i="63" s="1"/>
  <c r="CG292" i="63" s="1"/>
  <c r="CG293" i="63" s="1"/>
  <c r="CG294" i="63" s="1"/>
  <c r="CG295" i="63" s="1"/>
  <c r="CG296" i="63" s="1"/>
  <c r="CG297" i="63" s="1"/>
  <c r="CG298" i="63" s="1"/>
  <c r="CG299" i="63" s="1"/>
  <c r="CG300" i="63" s="1"/>
  <c r="CG301" i="63" s="1"/>
  <c r="CG302" i="63" s="1"/>
  <c r="CG303" i="63" s="1"/>
  <c r="CG304" i="63" s="1"/>
  <c r="CG305" i="63" s="1"/>
  <c r="CG306" i="63" s="1"/>
  <c r="CG307" i="63" s="1"/>
  <c r="CG308" i="63" s="1"/>
  <c r="CF9" i="63"/>
  <c r="CF10" i="63" s="1"/>
  <c r="CF11" i="63" s="1"/>
  <c r="CF12" i="63" s="1"/>
  <c r="CF13" i="63" s="1"/>
  <c r="CF14" i="63" s="1"/>
  <c r="CF15" i="63" s="1"/>
  <c r="CF16" i="63" s="1"/>
  <c r="CF17" i="63" s="1"/>
  <c r="CF18" i="63" s="1"/>
  <c r="CF19" i="63" s="1"/>
  <c r="CF20" i="63" s="1"/>
  <c r="CF21" i="63" s="1"/>
  <c r="CF22" i="63" s="1"/>
  <c r="CF23" i="63" s="1"/>
  <c r="CF24" i="63" s="1"/>
  <c r="CF25" i="63" s="1"/>
  <c r="CF26" i="63" s="1"/>
  <c r="CF27" i="63" s="1"/>
  <c r="CF28" i="63" s="1"/>
  <c r="CF29" i="63" s="1"/>
  <c r="CF30" i="63" s="1"/>
  <c r="CF31" i="63" s="1"/>
  <c r="CF32" i="63" s="1"/>
  <c r="CF33" i="63" s="1"/>
  <c r="CF34" i="63" s="1"/>
  <c r="CF35" i="63" s="1"/>
  <c r="CF36" i="63" s="1"/>
  <c r="CF37" i="63" s="1"/>
  <c r="CF38" i="63" s="1"/>
  <c r="CF39" i="63" s="1"/>
  <c r="CF40" i="63" s="1"/>
  <c r="CF41" i="63" s="1"/>
  <c r="CF42" i="63" s="1"/>
  <c r="CF43" i="63" s="1"/>
  <c r="CF44" i="63" s="1"/>
  <c r="CF45" i="63" s="1"/>
  <c r="CF46" i="63" s="1"/>
  <c r="CF47" i="63" s="1"/>
  <c r="CF48" i="63" s="1"/>
  <c r="CF49" i="63" s="1"/>
  <c r="CF50" i="63" s="1"/>
  <c r="CF51" i="63" s="1"/>
  <c r="CF52" i="63" s="1"/>
  <c r="CF53" i="63" s="1"/>
  <c r="CF54" i="63" s="1"/>
  <c r="CF55" i="63" s="1"/>
  <c r="CF56" i="63" s="1"/>
  <c r="CF57" i="63" s="1"/>
  <c r="CF58" i="63" s="1"/>
  <c r="CF59" i="63" s="1"/>
  <c r="CF60" i="63" s="1"/>
  <c r="CF61" i="63" s="1"/>
  <c r="CF62" i="63" s="1"/>
  <c r="CF63" i="63" s="1"/>
  <c r="CF64" i="63" s="1"/>
  <c r="CF65" i="63" s="1"/>
  <c r="CF66" i="63" s="1"/>
  <c r="CF67" i="63" s="1"/>
  <c r="CF68" i="63" s="1"/>
  <c r="CF69" i="63" s="1"/>
  <c r="CF70" i="63" s="1"/>
  <c r="CF71" i="63" s="1"/>
  <c r="CF72" i="63" s="1"/>
  <c r="CF73" i="63" s="1"/>
  <c r="CF74" i="63" s="1"/>
  <c r="CF75" i="63" s="1"/>
  <c r="CF76" i="63" s="1"/>
  <c r="CF77" i="63" s="1"/>
  <c r="CF78" i="63" s="1"/>
  <c r="CF79" i="63" s="1"/>
  <c r="CF80" i="63" s="1"/>
  <c r="CF81" i="63" s="1"/>
  <c r="CF82" i="63" s="1"/>
  <c r="CF83" i="63" s="1"/>
  <c r="CF84" i="63" s="1"/>
  <c r="CF85" i="63" s="1"/>
  <c r="CF86" i="63" s="1"/>
  <c r="CF87" i="63" s="1"/>
  <c r="CF88" i="63" s="1"/>
  <c r="CF89" i="63" s="1"/>
  <c r="CF90" i="63" s="1"/>
  <c r="CF91" i="63" s="1"/>
  <c r="CF92" i="63" s="1"/>
  <c r="CF93" i="63" s="1"/>
  <c r="CF94" i="63" s="1"/>
  <c r="CF95" i="63" s="1"/>
  <c r="CF96" i="63" s="1"/>
  <c r="CF97" i="63" s="1"/>
  <c r="CF98" i="63" s="1"/>
  <c r="CF99" i="63" s="1"/>
  <c r="CF100" i="63" s="1"/>
  <c r="CF101" i="63" s="1"/>
  <c r="CF102" i="63" s="1"/>
  <c r="CF103" i="63" s="1"/>
  <c r="CF104" i="63" s="1"/>
  <c r="CF105" i="63" s="1"/>
  <c r="CF106" i="63" s="1"/>
  <c r="CF107" i="63" s="1"/>
  <c r="CF108" i="63" s="1"/>
  <c r="CF109" i="63" s="1"/>
  <c r="CF110" i="63" s="1"/>
  <c r="CF111" i="63" s="1"/>
  <c r="CF112" i="63" s="1"/>
  <c r="CF113" i="63" s="1"/>
  <c r="CF114" i="63" s="1"/>
  <c r="CF115" i="63" s="1"/>
  <c r="CF116" i="63" s="1"/>
  <c r="CF117" i="63" s="1"/>
  <c r="CF118" i="63" s="1"/>
  <c r="CF119" i="63" s="1"/>
  <c r="CF120" i="63" s="1"/>
  <c r="CF121" i="63" s="1"/>
  <c r="CF122" i="63" s="1"/>
  <c r="CF123" i="63" s="1"/>
  <c r="CF124" i="63" s="1"/>
  <c r="CF125" i="63" s="1"/>
  <c r="CF126" i="63" s="1"/>
  <c r="CF127" i="63" s="1"/>
  <c r="CF128" i="63" s="1"/>
  <c r="CF129" i="63" s="1"/>
  <c r="CF130" i="63" s="1"/>
  <c r="CF131" i="63" s="1"/>
  <c r="CF132" i="63" s="1"/>
  <c r="CF133" i="63" s="1"/>
  <c r="CF134" i="63" s="1"/>
  <c r="CF135" i="63" s="1"/>
  <c r="CF136" i="63" s="1"/>
  <c r="CF137" i="63" s="1"/>
  <c r="CF138" i="63" s="1"/>
  <c r="CF139" i="63" s="1"/>
  <c r="CF140" i="63" s="1"/>
  <c r="CF141" i="63" s="1"/>
  <c r="CF142" i="63" s="1"/>
  <c r="CF143" i="63" s="1"/>
  <c r="CF144" i="63" s="1"/>
  <c r="CF145" i="63" s="1"/>
  <c r="CF146" i="63" s="1"/>
  <c r="CF147" i="63" s="1"/>
  <c r="CF148" i="63" s="1"/>
  <c r="CF149" i="63" s="1"/>
  <c r="CF150" i="63" s="1"/>
  <c r="CF151" i="63" s="1"/>
  <c r="CF152" i="63" s="1"/>
  <c r="CF153" i="63" s="1"/>
  <c r="CF154" i="63" s="1"/>
  <c r="CF155" i="63" s="1"/>
  <c r="CF156" i="63" s="1"/>
  <c r="CF157" i="63" s="1"/>
  <c r="CF158" i="63" s="1"/>
  <c r="CF159" i="63" s="1"/>
  <c r="CF160" i="63" s="1"/>
  <c r="CF161" i="63" s="1"/>
  <c r="CF162" i="63" s="1"/>
  <c r="CF163" i="63" s="1"/>
  <c r="CF164" i="63" s="1"/>
  <c r="CF165" i="63" s="1"/>
  <c r="CF166" i="63" s="1"/>
  <c r="CF167" i="63" s="1"/>
  <c r="CF168" i="63" s="1"/>
  <c r="CF169" i="63" s="1"/>
  <c r="CF170" i="63" s="1"/>
  <c r="CF171" i="63" s="1"/>
  <c r="CF172" i="63" s="1"/>
  <c r="CF173" i="63" s="1"/>
  <c r="CF174" i="63" s="1"/>
  <c r="CF175" i="63" s="1"/>
  <c r="CF176" i="63" s="1"/>
  <c r="CF177" i="63" s="1"/>
  <c r="CF178" i="63" s="1"/>
  <c r="CF179" i="63" s="1"/>
  <c r="CF180" i="63" s="1"/>
  <c r="CF181" i="63" s="1"/>
  <c r="CF182" i="63" s="1"/>
  <c r="CF183" i="63" s="1"/>
  <c r="CF184" i="63" s="1"/>
  <c r="CF185" i="63" s="1"/>
  <c r="CF186" i="63" s="1"/>
  <c r="CF187" i="63" s="1"/>
  <c r="CF188" i="63" s="1"/>
  <c r="CF189" i="63" s="1"/>
  <c r="CF190" i="63" s="1"/>
  <c r="CF191" i="63" s="1"/>
  <c r="CF192" i="63" s="1"/>
  <c r="CF193" i="63" s="1"/>
  <c r="CF194" i="63" s="1"/>
  <c r="CF195" i="63" s="1"/>
  <c r="CF196" i="63" s="1"/>
  <c r="CF197" i="63" s="1"/>
  <c r="CF198" i="63" s="1"/>
  <c r="CF199" i="63" s="1"/>
  <c r="CF200" i="63" s="1"/>
  <c r="CF201" i="63" s="1"/>
  <c r="CF202" i="63" s="1"/>
  <c r="CF203" i="63" s="1"/>
  <c r="CF204" i="63" s="1"/>
  <c r="CF205" i="63" s="1"/>
  <c r="CF206" i="63" s="1"/>
  <c r="CF207" i="63" s="1"/>
  <c r="CF208" i="63" s="1"/>
  <c r="CF209" i="63" s="1"/>
  <c r="CF210" i="63" s="1"/>
  <c r="CF211" i="63" s="1"/>
  <c r="CF212" i="63" s="1"/>
  <c r="CF213" i="63" s="1"/>
  <c r="CF214" i="63" s="1"/>
  <c r="CF215" i="63" s="1"/>
  <c r="CF216" i="63" s="1"/>
  <c r="CF217" i="63" s="1"/>
  <c r="CF218" i="63" s="1"/>
  <c r="CF219" i="63" s="1"/>
  <c r="CF220" i="63" s="1"/>
  <c r="CF221" i="63" s="1"/>
  <c r="CF222" i="63" s="1"/>
  <c r="CF223" i="63" s="1"/>
  <c r="CF224" i="63" s="1"/>
  <c r="CF225" i="63" s="1"/>
  <c r="CF226" i="63" s="1"/>
  <c r="CF227" i="63" s="1"/>
  <c r="CF228" i="63" s="1"/>
  <c r="CF229" i="63" s="1"/>
  <c r="CF230" i="63" s="1"/>
  <c r="CF231" i="63" s="1"/>
  <c r="CF232" i="63" s="1"/>
  <c r="CF233" i="63" s="1"/>
  <c r="CF234" i="63" s="1"/>
  <c r="CF235" i="63" s="1"/>
  <c r="CF236" i="63" s="1"/>
  <c r="CF237" i="63" s="1"/>
  <c r="CF238" i="63" s="1"/>
  <c r="CF239" i="63" s="1"/>
  <c r="CF240" i="63" s="1"/>
  <c r="CF241" i="63" s="1"/>
  <c r="CF242" i="63" s="1"/>
  <c r="CF243" i="63" s="1"/>
  <c r="CF244" i="63" s="1"/>
  <c r="CF245" i="63" s="1"/>
  <c r="CF246" i="63" s="1"/>
  <c r="CF247" i="63" s="1"/>
  <c r="CF248" i="63" s="1"/>
  <c r="CF249" i="63" s="1"/>
  <c r="CF250" i="63" s="1"/>
  <c r="CF251" i="63" s="1"/>
  <c r="CF252" i="63" s="1"/>
  <c r="CF253" i="63" s="1"/>
  <c r="CF254" i="63" s="1"/>
  <c r="CF255" i="63" s="1"/>
  <c r="CF256" i="63" s="1"/>
  <c r="CF257" i="63" s="1"/>
  <c r="CF258" i="63" s="1"/>
  <c r="CF259" i="63" s="1"/>
  <c r="CF260" i="63" s="1"/>
  <c r="CF261" i="63" s="1"/>
  <c r="CF262" i="63" s="1"/>
  <c r="CF263" i="63" s="1"/>
  <c r="CF264" i="63" s="1"/>
  <c r="CF265" i="63" s="1"/>
  <c r="CF266" i="63" s="1"/>
  <c r="CF267" i="63" s="1"/>
  <c r="CF268" i="63" s="1"/>
  <c r="CF269" i="63" s="1"/>
  <c r="CF270" i="63" s="1"/>
  <c r="CF271" i="63" s="1"/>
  <c r="CF272" i="63" s="1"/>
  <c r="CF273" i="63" s="1"/>
  <c r="CF274" i="63" s="1"/>
  <c r="CF275" i="63" s="1"/>
  <c r="CF276" i="63" s="1"/>
  <c r="CF277" i="63" s="1"/>
  <c r="CF278" i="63" s="1"/>
  <c r="CF279" i="63" s="1"/>
  <c r="CF280" i="63" s="1"/>
  <c r="CF281" i="63" s="1"/>
  <c r="CF282" i="63" s="1"/>
  <c r="CF283" i="63" s="1"/>
  <c r="CF284" i="63" s="1"/>
  <c r="CF285" i="63" s="1"/>
  <c r="CF286" i="63" s="1"/>
  <c r="CF287" i="63" s="1"/>
  <c r="CF288" i="63" s="1"/>
  <c r="CF289" i="63" s="1"/>
  <c r="CF290" i="63" s="1"/>
  <c r="CF291" i="63" s="1"/>
  <c r="CF292" i="63" s="1"/>
  <c r="CF293" i="63" s="1"/>
  <c r="CF294" i="63" s="1"/>
  <c r="CF295" i="63" s="1"/>
  <c r="CF296" i="63" s="1"/>
  <c r="CF297" i="63" s="1"/>
  <c r="CF298" i="63" s="1"/>
  <c r="CF299" i="63" s="1"/>
  <c r="CF300" i="63" s="1"/>
  <c r="CF301" i="63" s="1"/>
  <c r="CF302" i="63" s="1"/>
  <c r="CF303" i="63" s="1"/>
  <c r="CF304" i="63" s="1"/>
  <c r="CF305" i="63" s="1"/>
  <c r="CF306" i="63" s="1"/>
  <c r="CF307" i="63" s="1"/>
  <c r="CF308" i="63" s="1"/>
  <c r="CE9" i="63"/>
  <c r="CE10" i="63" s="1"/>
  <c r="CE11" i="63" s="1"/>
  <c r="CE12" i="63" s="1"/>
  <c r="CE13" i="63" s="1"/>
  <c r="CE14" i="63" s="1"/>
  <c r="CE15" i="63" s="1"/>
  <c r="CE16" i="63" s="1"/>
  <c r="CE17" i="63" s="1"/>
  <c r="CE18" i="63" s="1"/>
  <c r="CE19" i="63" s="1"/>
  <c r="CE20" i="63" s="1"/>
  <c r="CE21" i="63" s="1"/>
  <c r="CE22" i="63" s="1"/>
  <c r="CE23" i="63" s="1"/>
  <c r="CE24" i="63" s="1"/>
  <c r="CE25" i="63" s="1"/>
  <c r="CE26" i="63" s="1"/>
  <c r="CE27" i="63" s="1"/>
  <c r="CE28" i="63" s="1"/>
  <c r="CE29" i="63" s="1"/>
  <c r="CE30" i="63" s="1"/>
  <c r="CE31" i="63" s="1"/>
  <c r="CE32" i="63" s="1"/>
  <c r="CE33" i="63" s="1"/>
  <c r="CE34" i="63" s="1"/>
  <c r="CE35" i="63" s="1"/>
  <c r="CE36" i="63" s="1"/>
  <c r="CE37" i="63" s="1"/>
  <c r="CE38" i="63" s="1"/>
  <c r="CE39" i="63" s="1"/>
  <c r="CE40" i="63" s="1"/>
  <c r="CE41" i="63" s="1"/>
  <c r="CE42" i="63" s="1"/>
  <c r="CE43" i="63" s="1"/>
  <c r="CE44" i="63" s="1"/>
  <c r="CE45" i="63" s="1"/>
  <c r="CE46" i="63" s="1"/>
  <c r="CE47" i="63" s="1"/>
  <c r="CE48" i="63" s="1"/>
  <c r="CE49" i="63" s="1"/>
  <c r="CE50" i="63" s="1"/>
  <c r="CE51" i="63" s="1"/>
  <c r="CE52" i="63" s="1"/>
  <c r="CE53" i="63" s="1"/>
  <c r="CE54" i="63" s="1"/>
  <c r="CE55" i="63" s="1"/>
  <c r="CE56" i="63" s="1"/>
  <c r="CE57" i="63" s="1"/>
  <c r="CE58" i="63" s="1"/>
  <c r="CE59" i="63" s="1"/>
  <c r="CE60" i="63" s="1"/>
  <c r="CE61" i="63" s="1"/>
  <c r="CE62" i="63" s="1"/>
  <c r="CE63" i="63" s="1"/>
  <c r="CE64" i="63" s="1"/>
  <c r="CE65" i="63" s="1"/>
  <c r="CE66" i="63" s="1"/>
  <c r="CE67" i="63" s="1"/>
  <c r="CE68" i="63" s="1"/>
  <c r="CE69" i="63" s="1"/>
  <c r="CE70" i="63" s="1"/>
  <c r="CE71" i="63" s="1"/>
  <c r="CE72" i="63" s="1"/>
  <c r="CE73" i="63" s="1"/>
  <c r="CE74" i="63" s="1"/>
  <c r="CE75" i="63" s="1"/>
  <c r="CE76" i="63" s="1"/>
  <c r="CE77" i="63" s="1"/>
  <c r="CE78" i="63" s="1"/>
  <c r="CE79" i="63" s="1"/>
  <c r="CE80" i="63" s="1"/>
  <c r="CE81" i="63" s="1"/>
  <c r="CE82" i="63" s="1"/>
  <c r="CE83" i="63" s="1"/>
  <c r="CE84" i="63" s="1"/>
  <c r="CE85" i="63" s="1"/>
  <c r="CE86" i="63" s="1"/>
  <c r="CE87" i="63" s="1"/>
  <c r="CE88" i="63" s="1"/>
  <c r="CE89" i="63" s="1"/>
  <c r="CE90" i="63" s="1"/>
  <c r="CE91" i="63" s="1"/>
  <c r="CE92" i="63" s="1"/>
  <c r="CE93" i="63" s="1"/>
  <c r="CE94" i="63" s="1"/>
  <c r="CE95" i="63" s="1"/>
  <c r="CE96" i="63" s="1"/>
  <c r="CE97" i="63" s="1"/>
  <c r="CE98" i="63" s="1"/>
  <c r="CE99" i="63" s="1"/>
  <c r="CE100" i="63" s="1"/>
  <c r="CE101" i="63" s="1"/>
  <c r="CE102" i="63" s="1"/>
  <c r="CE103" i="63" s="1"/>
  <c r="CE104" i="63" s="1"/>
  <c r="CE105" i="63" s="1"/>
  <c r="CE106" i="63" s="1"/>
  <c r="CE107" i="63" s="1"/>
  <c r="CE108" i="63" s="1"/>
  <c r="CE109" i="63" s="1"/>
  <c r="CE110" i="63" s="1"/>
  <c r="CE111" i="63" s="1"/>
  <c r="CE112" i="63" s="1"/>
  <c r="CE113" i="63" s="1"/>
  <c r="CE114" i="63" s="1"/>
  <c r="CE115" i="63" s="1"/>
  <c r="CE116" i="63" s="1"/>
  <c r="CE117" i="63" s="1"/>
  <c r="CE118" i="63" s="1"/>
  <c r="CE119" i="63" s="1"/>
  <c r="CE120" i="63" s="1"/>
  <c r="CE121" i="63" s="1"/>
  <c r="CE122" i="63" s="1"/>
  <c r="CE123" i="63" s="1"/>
  <c r="CE124" i="63" s="1"/>
  <c r="CE125" i="63" s="1"/>
  <c r="CE126" i="63" s="1"/>
  <c r="CE127" i="63" s="1"/>
  <c r="CE128" i="63" s="1"/>
  <c r="CE129" i="63" s="1"/>
  <c r="CE130" i="63" s="1"/>
  <c r="CE131" i="63" s="1"/>
  <c r="CE132" i="63" s="1"/>
  <c r="CE133" i="63" s="1"/>
  <c r="CE134" i="63" s="1"/>
  <c r="CE135" i="63" s="1"/>
  <c r="CE136" i="63" s="1"/>
  <c r="CE137" i="63" s="1"/>
  <c r="CE138" i="63" s="1"/>
  <c r="CE139" i="63" s="1"/>
  <c r="CE140" i="63" s="1"/>
  <c r="CE141" i="63" s="1"/>
  <c r="CE142" i="63" s="1"/>
  <c r="CE143" i="63" s="1"/>
  <c r="CE144" i="63" s="1"/>
  <c r="CE145" i="63" s="1"/>
  <c r="CE146" i="63" s="1"/>
  <c r="CE147" i="63" s="1"/>
  <c r="CE148" i="63" s="1"/>
  <c r="CE149" i="63" s="1"/>
  <c r="CE150" i="63" s="1"/>
  <c r="CE151" i="63" s="1"/>
  <c r="CE152" i="63" s="1"/>
  <c r="CE153" i="63" s="1"/>
  <c r="CE154" i="63" s="1"/>
  <c r="CE155" i="63" s="1"/>
  <c r="CE156" i="63" s="1"/>
  <c r="CE157" i="63" s="1"/>
  <c r="CE158" i="63" s="1"/>
  <c r="CE159" i="63" s="1"/>
  <c r="CE160" i="63" s="1"/>
  <c r="CE161" i="63" s="1"/>
  <c r="CE162" i="63" s="1"/>
  <c r="CE163" i="63" s="1"/>
  <c r="CE164" i="63" s="1"/>
  <c r="CE165" i="63" s="1"/>
  <c r="CE166" i="63" s="1"/>
  <c r="CE167" i="63" s="1"/>
  <c r="CE168" i="63" s="1"/>
  <c r="CE169" i="63" s="1"/>
  <c r="CE170" i="63" s="1"/>
  <c r="CE171" i="63" s="1"/>
  <c r="CE172" i="63" s="1"/>
  <c r="CE173" i="63" s="1"/>
  <c r="CE174" i="63" s="1"/>
  <c r="CE175" i="63" s="1"/>
  <c r="CE176" i="63" s="1"/>
  <c r="CE177" i="63" s="1"/>
  <c r="CE178" i="63" s="1"/>
  <c r="CE179" i="63" s="1"/>
  <c r="CE180" i="63" s="1"/>
  <c r="CE181" i="63" s="1"/>
  <c r="CE182" i="63" s="1"/>
  <c r="CE183" i="63" s="1"/>
  <c r="CE184" i="63" s="1"/>
  <c r="CE185" i="63" s="1"/>
  <c r="CE186" i="63" s="1"/>
  <c r="CE187" i="63" s="1"/>
  <c r="CE188" i="63" s="1"/>
  <c r="CE189" i="63" s="1"/>
  <c r="CE190" i="63" s="1"/>
  <c r="CE191" i="63" s="1"/>
  <c r="CE192" i="63" s="1"/>
  <c r="CE193" i="63" s="1"/>
  <c r="CE194" i="63" s="1"/>
  <c r="CE195" i="63" s="1"/>
  <c r="CE196" i="63" s="1"/>
  <c r="CE197" i="63" s="1"/>
  <c r="CE198" i="63" s="1"/>
  <c r="CE199" i="63" s="1"/>
  <c r="CE200" i="63" s="1"/>
  <c r="CE201" i="63" s="1"/>
  <c r="CE202" i="63" s="1"/>
  <c r="CE203" i="63" s="1"/>
  <c r="CE204" i="63" s="1"/>
  <c r="CE205" i="63" s="1"/>
  <c r="CE206" i="63" s="1"/>
  <c r="CE207" i="63" s="1"/>
  <c r="CE208" i="63" s="1"/>
  <c r="CE209" i="63" s="1"/>
  <c r="CE210" i="63" s="1"/>
  <c r="CE211" i="63" s="1"/>
  <c r="CE212" i="63" s="1"/>
  <c r="CE213" i="63" s="1"/>
  <c r="CE214" i="63" s="1"/>
  <c r="CE215" i="63" s="1"/>
  <c r="CE216" i="63" s="1"/>
  <c r="CE217" i="63" s="1"/>
  <c r="CE218" i="63" s="1"/>
  <c r="CE219" i="63" s="1"/>
  <c r="CE220" i="63" s="1"/>
  <c r="CE221" i="63" s="1"/>
  <c r="CE222" i="63" s="1"/>
  <c r="CE223" i="63" s="1"/>
  <c r="CE224" i="63" s="1"/>
  <c r="CE225" i="63" s="1"/>
  <c r="CE226" i="63" s="1"/>
  <c r="CE227" i="63" s="1"/>
  <c r="CE228" i="63" s="1"/>
  <c r="CE229" i="63" s="1"/>
  <c r="CE230" i="63" s="1"/>
  <c r="CE231" i="63" s="1"/>
  <c r="CE232" i="63" s="1"/>
  <c r="CE233" i="63" s="1"/>
  <c r="CE234" i="63" s="1"/>
  <c r="CE235" i="63" s="1"/>
  <c r="CE236" i="63" s="1"/>
  <c r="CE237" i="63" s="1"/>
  <c r="CE238" i="63" s="1"/>
  <c r="CE239" i="63" s="1"/>
  <c r="CE240" i="63" s="1"/>
  <c r="CE241" i="63" s="1"/>
  <c r="CE242" i="63" s="1"/>
  <c r="CE243" i="63" s="1"/>
  <c r="CE244" i="63" s="1"/>
  <c r="CE245" i="63" s="1"/>
  <c r="CE246" i="63" s="1"/>
  <c r="CE247" i="63" s="1"/>
  <c r="CE248" i="63" s="1"/>
  <c r="CE249" i="63" s="1"/>
  <c r="CE250" i="63" s="1"/>
  <c r="CE251" i="63" s="1"/>
  <c r="CE252" i="63" s="1"/>
  <c r="CE253" i="63" s="1"/>
  <c r="CE254" i="63" s="1"/>
  <c r="CE255" i="63" s="1"/>
  <c r="CE256" i="63" s="1"/>
  <c r="CE257" i="63" s="1"/>
  <c r="CE258" i="63" s="1"/>
  <c r="CE259" i="63" s="1"/>
  <c r="CE260" i="63" s="1"/>
  <c r="CE261" i="63" s="1"/>
  <c r="CE262" i="63" s="1"/>
  <c r="CE263" i="63" s="1"/>
  <c r="CE264" i="63" s="1"/>
  <c r="CE265" i="63" s="1"/>
  <c r="CE266" i="63" s="1"/>
  <c r="CE267" i="63" s="1"/>
  <c r="CE268" i="63" s="1"/>
  <c r="CE269" i="63" s="1"/>
  <c r="CE270" i="63" s="1"/>
  <c r="CE271" i="63" s="1"/>
  <c r="CE272" i="63" s="1"/>
  <c r="CE273" i="63" s="1"/>
  <c r="CE274" i="63" s="1"/>
  <c r="CE275" i="63" s="1"/>
  <c r="CE276" i="63" s="1"/>
  <c r="CE277" i="63" s="1"/>
  <c r="CE278" i="63" s="1"/>
  <c r="CE279" i="63" s="1"/>
  <c r="CE280" i="63" s="1"/>
  <c r="CE281" i="63" s="1"/>
  <c r="CE282" i="63" s="1"/>
  <c r="CE283" i="63" s="1"/>
  <c r="CE284" i="63" s="1"/>
  <c r="CE285" i="63" s="1"/>
  <c r="CE286" i="63" s="1"/>
  <c r="CE287" i="63" s="1"/>
  <c r="CE288" i="63" s="1"/>
  <c r="CE289" i="63" s="1"/>
  <c r="CE290" i="63" s="1"/>
  <c r="CE291" i="63" s="1"/>
  <c r="CE292" i="63" s="1"/>
  <c r="CE293" i="63" s="1"/>
  <c r="CE294" i="63" s="1"/>
  <c r="CE295" i="63" s="1"/>
  <c r="CE296" i="63" s="1"/>
  <c r="CE297" i="63" s="1"/>
  <c r="CE298" i="63" s="1"/>
  <c r="CE299" i="63" s="1"/>
  <c r="CE300" i="63" s="1"/>
  <c r="CE301" i="63" s="1"/>
  <c r="CE302" i="63" s="1"/>
  <c r="CE303" i="63" s="1"/>
  <c r="CE304" i="63" s="1"/>
  <c r="CE305" i="63" s="1"/>
  <c r="CE306" i="63" s="1"/>
  <c r="CE307" i="63" s="1"/>
  <c r="CE308" i="63" s="1"/>
  <c r="CC9" i="63"/>
  <c r="CC10" i="63" s="1"/>
  <c r="CC11" i="63" s="1"/>
  <c r="CC12" i="63" s="1"/>
  <c r="CC13" i="63" s="1"/>
  <c r="CC14" i="63" s="1"/>
  <c r="CC15" i="63" s="1"/>
  <c r="CC16" i="63" s="1"/>
  <c r="CC17" i="63" s="1"/>
  <c r="CC18" i="63" s="1"/>
  <c r="CC19" i="63" s="1"/>
  <c r="CC20" i="63" s="1"/>
  <c r="CC21" i="63" s="1"/>
  <c r="CC22" i="63" s="1"/>
  <c r="CC23" i="63" s="1"/>
  <c r="CC24" i="63" s="1"/>
  <c r="CC25" i="63" s="1"/>
  <c r="CC26" i="63" s="1"/>
  <c r="CC27" i="63" s="1"/>
  <c r="CC28" i="63" s="1"/>
  <c r="CC29" i="63" s="1"/>
  <c r="CC30" i="63" s="1"/>
  <c r="CC31" i="63" s="1"/>
  <c r="CC32" i="63" s="1"/>
  <c r="CC33" i="63" s="1"/>
  <c r="CC34" i="63" s="1"/>
  <c r="CC35" i="63" s="1"/>
  <c r="CC36" i="63" s="1"/>
  <c r="CC37" i="63" s="1"/>
  <c r="CC38" i="63" s="1"/>
  <c r="CC39" i="63" s="1"/>
  <c r="CC40" i="63" s="1"/>
  <c r="CC41" i="63" s="1"/>
  <c r="CC42" i="63" s="1"/>
  <c r="CC43" i="63" s="1"/>
  <c r="CC44" i="63" s="1"/>
  <c r="CC45" i="63" s="1"/>
  <c r="CC46" i="63" s="1"/>
  <c r="CC47" i="63" s="1"/>
  <c r="CC48" i="63" s="1"/>
  <c r="CC49" i="63" s="1"/>
  <c r="CC50" i="63" s="1"/>
  <c r="CC51" i="63" s="1"/>
  <c r="CC52" i="63" s="1"/>
  <c r="CC53" i="63" s="1"/>
  <c r="CC54" i="63" s="1"/>
  <c r="CC55" i="63" s="1"/>
  <c r="CC56" i="63" s="1"/>
  <c r="CC57" i="63" s="1"/>
  <c r="CC58" i="63" s="1"/>
  <c r="CC59" i="63" s="1"/>
  <c r="CC60" i="63" s="1"/>
  <c r="CC61" i="63" s="1"/>
  <c r="CC62" i="63" s="1"/>
  <c r="CC63" i="63" s="1"/>
  <c r="CC64" i="63" s="1"/>
  <c r="CC65" i="63" s="1"/>
  <c r="CC66" i="63" s="1"/>
  <c r="CC67" i="63" s="1"/>
  <c r="CC68" i="63" s="1"/>
  <c r="CC69" i="63" s="1"/>
  <c r="CC70" i="63" s="1"/>
  <c r="CC71" i="63" s="1"/>
  <c r="CC72" i="63" s="1"/>
  <c r="CC73" i="63" s="1"/>
  <c r="CC74" i="63" s="1"/>
  <c r="CC75" i="63" s="1"/>
  <c r="CC76" i="63" s="1"/>
  <c r="CC77" i="63" s="1"/>
  <c r="CC78" i="63" s="1"/>
  <c r="CC79" i="63" s="1"/>
  <c r="CC80" i="63" s="1"/>
  <c r="CC81" i="63" s="1"/>
  <c r="CC82" i="63" s="1"/>
  <c r="CC83" i="63" s="1"/>
  <c r="CC84" i="63" s="1"/>
  <c r="CC85" i="63" s="1"/>
  <c r="CC86" i="63" s="1"/>
  <c r="CC87" i="63" s="1"/>
  <c r="CC88" i="63" s="1"/>
  <c r="CC89" i="63" s="1"/>
  <c r="CC90" i="63" s="1"/>
  <c r="CC91" i="63" s="1"/>
  <c r="CC92" i="63" s="1"/>
  <c r="CC93" i="63" s="1"/>
  <c r="CC94" i="63" s="1"/>
  <c r="CC95" i="63" s="1"/>
  <c r="CC96" i="63" s="1"/>
  <c r="CC97" i="63" s="1"/>
  <c r="CC98" i="63" s="1"/>
  <c r="CC99" i="63" s="1"/>
  <c r="CC100" i="63" s="1"/>
  <c r="CC101" i="63" s="1"/>
  <c r="CC102" i="63" s="1"/>
  <c r="CC103" i="63" s="1"/>
  <c r="CC104" i="63" s="1"/>
  <c r="CC105" i="63" s="1"/>
  <c r="CC106" i="63" s="1"/>
  <c r="CC107" i="63" s="1"/>
  <c r="CC108" i="63" s="1"/>
  <c r="CC109" i="63" s="1"/>
  <c r="CC110" i="63" s="1"/>
  <c r="CC111" i="63" s="1"/>
  <c r="CC112" i="63" s="1"/>
  <c r="CC113" i="63" s="1"/>
  <c r="CC114" i="63" s="1"/>
  <c r="CC115" i="63" s="1"/>
  <c r="CC116" i="63" s="1"/>
  <c r="CC117" i="63" s="1"/>
  <c r="CC118" i="63" s="1"/>
  <c r="CC119" i="63" s="1"/>
  <c r="CC120" i="63" s="1"/>
  <c r="CC121" i="63" s="1"/>
  <c r="CC122" i="63" s="1"/>
  <c r="CC123" i="63" s="1"/>
  <c r="CC124" i="63" s="1"/>
  <c r="CC125" i="63" s="1"/>
  <c r="CC126" i="63" s="1"/>
  <c r="CC127" i="63" s="1"/>
  <c r="CC128" i="63" s="1"/>
  <c r="CC129" i="63" s="1"/>
  <c r="CC130" i="63" s="1"/>
  <c r="CC131" i="63" s="1"/>
  <c r="CC132" i="63" s="1"/>
  <c r="CC133" i="63" s="1"/>
  <c r="CC134" i="63" s="1"/>
  <c r="CC135" i="63" s="1"/>
  <c r="CC136" i="63" s="1"/>
  <c r="CC137" i="63" s="1"/>
  <c r="CC138" i="63" s="1"/>
  <c r="CC139" i="63" s="1"/>
  <c r="CC140" i="63" s="1"/>
  <c r="CC141" i="63" s="1"/>
  <c r="CC142" i="63" s="1"/>
  <c r="CC143" i="63" s="1"/>
  <c r="CC144" i="63" s="1"/>
  <c r="CC145" i="63" s="1"/>
  <c r="CC146" i="63" s="1"/>
  <c r="CC147" i="63" s="1"/>
  <c r="CC148" i="63" s="1"/>
  <c r="CC149" i="63" s="1"/>
  <c r="CC150" i="63" s="1"/>
  <c r="CC151" i="63" s="1"/>
  <c r="CC152" i="63" s="1"/>
  <c r="CC153" i="63" s="1"/>
  <c r="CC154" i="63" s="1"/>
  <c r="CC155" i="63" s="1"/>
  <c r="CC156" i="63" s="1"/>
  <c r="CC157" i="63" s="1"/>
  <c r="CC158" i="63" s="1"/>
  <c r="CC159" i="63" s="1"/>
  <c r="CC160" i="63" s="1"/>
  <c r="CC161" i="63" s="1"/>
  <c r="CC162" i="63" s="1"/>
  <c r="CC163" i="63" s="1"/>
  <c r="CC164" i="63" s="1"/>
  <c r="CC165" i="63" s="1"/>
  <c r="CC166" i="63" s="1"/>
  <c r="CC167" i="63" s="1"/>
  <c r="CC168" i="63" s="1"/>
  <c r="CC169" i="63" s="1"/>
  <c r="CC170" i="63" s="1"/>
  <c r="CC171" i="63" s="1"/>
  <c r="CC172" i="63" s="1"/>
  <c r="CC173" i="63" s="1"/>
  <c r="CC174" i="63" s="1"/>
  <c r="CC175" i="63" s="1"/>
  <c r="CC176" i="63" s="1"/>
  <c r="CC177" i="63" s="1"/>
  <c r="CC178" i="63" s="1"/>
  <c r="CC179" i="63" s="1"/>
  <c r="CC180" i="63" s="1"/>
  <c r="CC181" i="63" s="1"/>
  <c r="CC182" i="63" s="1"/>
  <c r="CC183" i="63" s="1"/>
  <c r="CC184" i="63" s="1"/>
  <c r="CC185" i="63" s="1"/>
  <c r="CC186" i="63" s="1"/>
  <c r="CC187" i="63" s="1"/>
  <c r="CC188" i="63" s="1"/>
  <c r="CC189" i="63" s="1"/>
  <c r="CC190" i="63" s="1"/>
  <c r="CC191" i="63" s="1"/>
  <c r="CC192" i="63" s="1"/>
  <c r="CC193" i="63" s="1"/>
  <c r="CC194" i="63" s="1"/>
  <c r="CC195" i="63" s="1"/>
  <c r="CC196" i="63" s="1"/>
  <c r="CC197" i="63" s="1"/>
  <c r="CC198" i="63" s="1"/>
  <c r="CC199" i="63" s="1"/>
  <c r="CC200" i="63" s="1"/>
  <c r="CC201" i="63" s="1"/>
  <c r="CC202" i="63" s="1"/>
  <c r="CC203" i="63" s="1"/>
  <c r="CC204" i="63" s="1"/>
  <c r="CC205" i="63" s="1"/>
  <c r="CC206" i="63" s="1"/>
  <c r="CC207" i="63" s="1"/>
  <c r="CC208" i="63" s="1"/>
  <c r="CC209" i="63" s="1"/>
  <c r="CC210" i="63" s="1"/>
  <c r="CC211" i="63" s="1"/>
  <c r="CC212" i="63" s="1"/>
  <c r="CC213" i="63" s="1"/>
  <c r="CC214" i="63" s="1"/>
  <c r="CC215" i="63" s="1"/>
  <c r="CC216" i="63" s="1"/>
  <c r="CC217" i="63" s="1"/>
  <c r="CC218" i="63" s="1"/>
  <c r="CC219" i="63" s="1"/>
  <c r="CC220" i="63" s="1"/>
  <c r="CC221" i="63" s="1"/>
  <c r="CC222" i="63" s="1"/>
  <c r="CC223" i="63" s="1"/>
  <c r="CC224" i="63" s="1"/>
  <c r="CC225" i="63" s="1"/>
  <c r="CC226" i="63" s="1"/>
  <c r="CC227" i="63" s="1"/>
  <c r="CC228" i="63" s="1"/>
  <c r="CC229" i="63" s="1"/>
  <c r="CC230" i="63" s="1"/>
  <c r="CC231" i="63" s="1"/>
  <c r="CC232" i="63" s="1"/>
  <c r="CC233" i="63" s="1"/>
  <c r="CC234" i="63" s="1"/>
  <c r="CC235" i="63" s="1"/>
  <c r="CC236" i="63" s="1"/>
  <c r="CC237" i="63" s="1"/>
  <c r="CC238" i="63" s="1"/>
  <c r="CC239" i="63" s="1"/>
  <c r="CC240" i="63" s="1"/>
  <c r="CC241" i="63" s="1"/>
  <c r="CC242" i="63" s="1"/>
  <c r="CC243" i="63" s="1"/>
  <c r="CC244" i="63" s="1"/>
  <c r="CC245" i="63" s="1"/>
  <c r="CC246" i="63" s="1"/>
  <c r="CC247" i="63" s="1"/>
  <c r="CC248" i="63" s="1"/>
  <c r="CC249" i="63" s="1"/>
  <c r="CC250" i="63" s="1"/>
  <c r="CC251" i="63" s="1"/>
  <c r="CC252" i="63" s="1"/>
  <c r="CC253" i="63" s="1"/>
  <c r="CC254" i="63" s="1"/>
  <c r="CC255" i="63" s="1"/>
  <c r="CC256" i="63" s="1"/>
  <c r="CC257" i="63" s="1"/>
  <c r="CC258" i="63" s="1"/>
  <c r="CC259" i="63" s="1"/>
  <c r="CC260" i="63" s="1"/>
  <c r="CC261" i="63" s="1"/>
  <c r="CC262" i="63" s="1"/>
  <c r="CC263" i="63" s="1"/>
  <c r="CC264" i="63" s="1"/>
  <c r="CC265" i="63" s="1"/>
  <c r="CC266" i="63" s="1"/>
  <c r="CC267" i="63" s="1"/>
  <c r="CC268" i="63" s="1"/>
  <c r="CC269" i="63" s="1"/>
  <c r="CC270" i="63" s="1"/>
  <c r="CC271" i="63" s="1"/>
  <c r="CC272" i="63" s="1"/>
  <c r="CC273" i="63" s="1"/>
  <c r="CC274" i="63" s="1"/>
  <c r="CC275" i="63" s="1"/>
  <c r="CC276" i="63" s="1"/>
  <c r="CC277" i="63" s="1"/>
  <c r="CC278" i="63" s="1"/>
  <c r="CC279" i="63" s="1"/>
  <c r="CC280" i="63" s="1"/>
  <c r="CC281" i="63" s="1"/>
  <c r="CC282" i="63" s="1"/>
  <c r="CC283" i="63" s="1"/>
  <c r="CC284" i="63" s="1"/>
  <c r="CC285" i="63" s="1"/>
  <c r="CC286" i="63" s="1"/>
  <c r="CC287" i="63" s="1"/>
  <c r="CC288" i="63" s="1"/>
  <c r="CC289" i="63" s="1"/>
  <c r="CC290" i="63" s="1"/>
  <c r="CC291" i="63" s="1"/>
  <c r="CC292" i="63" s="1"/>
  <c r="CC293" i="63" s="1"/>
  <c r="CC294" i="63" s="1"/>
  <c r="CC295" i="63" s="1"/>
  <c r="CC296" i="63" s="1"/>
  <c r="CC297" i="63" s="1"/>
  <c r="CC298" i="63" s="1"/>
  <c r="CC299" i="63" s="1"/>
  <c r="CC300" i="63" s="1"/>
  <c r="CC301" i="63" s="1"/>
  <c r="CC302" i="63" s="1"/>
  <c r="CC303" i="63" s="1"/>
  <c r="CC304" i="63" s="1"/>
  <c r="CC305" i="63" s="1"/>
  <c r="CC306" i="63" s="1"/>
  <c r="CC307" i="63" s="1"/>
  <c r="CC308" i="63" s="1"/>
  <c r="CA9" i="63"/>
  <c r="CA10" i="63" s="1"/>
  <c r="CA11" i="63" s="1"/>
  <c r="CA12" i="63" s="1"/>
  <c r="CA13" i="63" s="1"/>
  <c r="CA14" i="63" s="1"/>
  <c r="CA15" i="63" s="1"/>
  <c r="CA16" i="63" s="1"/>
  <c r="CA17" i="63" s="1"/>
  <c r="CA18" i="63" s="1"/>
  <c r="CA19" i="63" s="1"/>
  <c r="CA20" i="63" s="1"/>
  <c r="CA21" i="63" s="1"/>
  <c r="CA22" i="63" s="1"/>
  <c r="CA23" i="63" s="1"/>
  <c r="CA24" i="63" s="1"/>
  <c r="CA25" i="63" s="1"/>
  <c r="CA26" i="63" s="1"/>
  <c r="CA27" i="63" s="1"/>
  <c r="CA28" i="63" s="1"/>
  <c r="CA29" i="63" s="1"/>
  <c r="CA30" i="63" s="1"/>
  <c r="CA31" i="63" s="1"/>
  <c r="CA32" i="63" s="1"/>
  <c r="CA33" i="63" s="1"/>
  <c r="CA34" i="63" s="1"/>
  <c r="CA35" i="63" s="1"/>
  <c r="CA36" i="63" s="1"/>
  <c r="CA37" i="63" s="1"/>
  <c r="CA38" i="63" s="1"/>
  <c r="CA39" i="63" s="1"/>
  <c r="CA40" i="63" s="1"/>
  <c r="CA41" i="63" s="1"/>
  <c r="CA42" i="63" s="1"/>
  <c r="CA43" i="63" s="1"/>
  <c r="CA44" i="63" s="1"/>
  <c r="CA45" i="63" s="1"/>
  <c r="CA46" i="63" s="1"/>
  <c r="CA47" i="63" s="1"/>
  <c r="CA48" i="63" s="1"/>
  <c r="CA49" i="63" s="1"/>
  <c r="CA50" i="63" s="1"/>
  <c r="CA51" i="63" s="1"/>
  <c r="CA52" i="63" s="1"/>
  <c r="CA53" i="63" s="1"/>
  <c r="CA54" i="63" s="1"/>
  <c r="CA55" i="63" s="1"/>
  <c r="CA56" i="63" s="1"/>
  <c r="CA57" i="63" s="1"/>
  <c r="CA58" i="63" s="1"/>
  <c r="CA59" i="63" s="1"/>
  <c r="CA60" i="63" s="1"/>
  <c r="CA61" i="63" s="1"/>
  <c r="CA62" i="63" s="1"/>
  <c r="CA63" i="63" s="1"/>
  <c r="CA64" i="63" s="1"/>
  <c r="CA65" i="63" s="1"/>
  <c r="CA66" i="63" s="1"/>
  <c r="CA67" i="63" s="1"/>
  <c r="CA68" i="63" s="1"/>
  <c r="CA69" i="63" s="1"/>
  <c r="CA70" i="63" s="1"/>
  <c r="CA71" i="63" s="1"/>
  <c r="CA72" i="63" s="1"/>
  <c r="CA73" i="63" s="1"/>
  <c r="CA74" i="63" s="1"/>
  <c r="CA75" i="63" s="1"/>
  <c r="CA76" i="63" s="1"/>
  <c r="CA77" i="63" s="1"/>
  <c r="CA78" i="63" s="1"/>
  <c r="CA79" i="63" s="1"/>
  <c r="CA80" i="63" s="1"/>
  <c r="CA81" i="63" s="1"/>
  <c r="CA82" i="63" s="1"/>
  <c r="CA83" i="63" s="1"/>
  <c r="CA84" i="63" s="1"/>
  <c r="CA85" i="63" s="1"/>
  <c r="CA86" i="63" s="1"/>
  <c r="CA87" i="63" s="1"/>
  <c r="CA88" i="63" s="1"/>
  <c r="CA89" i="63" s="1"/>
  <c r="CA90" i="63" s="1"/>
  <c r="CA91" i="63" s="1"/>
  <c r="CA92" i="63" s="1"/>
  <c r="CA93" i="63" s="1"/>
  <c r="CA94" i="63" s="1"/>
  <c r="CA95" i="63" s="1"/>
  <c r="CA96" i="63" s="1"/>
  <c r="CA97" i="63" s="1"/>
  <c r="CA98" i="63" s="1"/>
  <c r="CA99" i="63" s="1"/>
  <c r="CA100" i="63" s="1"/>
  <c r="CA101" i="63" s="1"/>
  <c r="CA102" i="63" s="1"/>
  <c r="CA103" i="63" s="1"/>
  <c r="CA104" i="63" s="1"/>
  <c r="CA105" i="63" s="1"/>
  <c r="CA106" i="63" s="1"/>
  <c r="CA107" i="63" s="1"/>
  <c r="CA108" i="63" s="1"/>
  <c r="CA109" i="63" s="1"/>
  <c r="CA110" i="63" s="1"/>
  <c r="CA111" i="63" s="1"/>
  <c r="CA112" i="63" s="1"/>
  <c r="CA113" i="63" s="1"/>
  <c r="CA114" i="63" s="1"/>
  <c r="CA115" i="63" s="1"/>
  <c r="CA116" i="63" s="1"/>
  <c r="CA117" i="63" s="1"/>
  <c r="CA118" i="63" s="1"/>
  <c r="CA119" i="63" s="1"/>
  <c r="CA120" i="63" s="1"/>
  <c r="CA121" i="63" s="1"/>
  <c r="CA122" i="63" s="1"/>
  <c r="CA123" i="63" s="1"/>
  <c r="CA124" i="63" s="1"/>
  <c r="CA125" i="63" s="1"/>
  <c r="CA126" i="63" s="1"/>
  <c r="CA127" i="63" s="1"/>
  <c r="CA128" i="63" s="1"/>
  <c r="CA129" i="63" s="1"/>
  <c r="CA130" i="63" s="1"/>
  <c r="CA131" i="63" s="1"/>
  <c r="CA132" i="63" s="1"/>
  <c r="CA133" i="63" s="1"/>
  <c r="CA134" i="63" s="1"/>
  <c r="CA135" i="63" s="1"/>
  <c r="CA136" i="63" s="1"/>
  <c r="CA137" i="63" s="1"/>
  <c r="CA138" i="63" s="1"/>
  <c r="CA139" i="63" s="1"/>
  <c r="CA140" i="63" s="1"/>
  <c r="CA141" i="63" s="1"/>
  <c r="CA142" i="63" s="1"/>
  <c r="CA143" i="63" s="1"/>
  <c r="CA144" i="63" s="1"/>
  <c r="CA145" i="63" s="1"/>
  <c r="CA146" i="63" s="1"/>
  <c r="CA147" i="63" s="1"/>
  <c r="CA148" i="63" s="1"/>
  <c r="CA149" i="63" s="1"/>
  <c r="CA150" i="63" s="1"/>
  <c r="CA151" i="63" s="1"/>
  <c r="CA152" i="63" s="1"/>
  <c r="CA153" i="63" s="1"/>
  <c r="CA154" i="63" s="1"/>
  <c r="CA155" i="63" s="1"/>
  <c r="CA156" i="63" s="1"/>
  <c r="CA157" i="63" s="1"/>
  <c r="CA158" i="63" s="1"/>
  <c r="CA159" i="63" s="1"/>
  <c r="CA160" i="63" s="1"/>
  <c r="CA161" i="63" s="1"/>
  <c r="CA162" i="63" s="1"/>
  <c r="CA163" i="63" s="1"/>
  <c r="CA164" i="63" s="1"/>
  <c r="CA165" i="63" s="1"/>
  <c r="CA166" i="63" s="1"/>
  <c r="CA167" i="63" s="1"/>
  <c r="CA168" i="63" s="1"/>
  <c r="CA169" i="63" s="1"/>
  <c r="CA170" i="63" s="1"/>
  <c r="CA171" i="63" s="1"/>
  <c r="CA172" i="63" s="1"/>
  <c r="CA173" i="63" s="1"/>
  <c r="CA174" i="63" s="1"/>
  <c r="CA175" i="63" s="1"/>
  <c r="CA176" i="63" s="1"/>
  <c r="CA177" i="63" s="1"/>
  <c r="CA178" i="63" s="1"/>
  <c r="CA179" i="63" s="1"/>
  <c r="CA180" i="63" s="1"/>
  <c r="CA181" i="63" s="1"/>
  <c r="CA182" i="63" s="1"/>
  <c r="CA183" i="63" s="1"/>
  <c r="CA184" i="63" s="1"/>
  <c r="CA185" i="63" s="1"/>
  <c r="CA186" i="63" s="1"/>
  <c r="CA187" i="63" s="1"/>
  <c r="CA188" i="63" s="1"/>
  <c r="CA189" i="63" s="1"/>
  <c r="CA190" i="63" s="1"/>
  <c r="CA191" i="63" s="1"/>
  <c r="CA192" i="63" s="1"/>
  <c r="CA193" i="63" s="1"/>
  <c r="CA194" i="63" s="1"/>
  <c r="CA195" i="63" s="1"/>
  <c r="CA196" i="63" s="1"/>
  <c r="CA197" i="63" s="1"/>
  <c r="CA198" i="63" s="1"/>
  <c r="CA199" i="63" s="1"/>
  <c r="CA200" i="63" s="1"/>
  <c r="CA201" i="63" s="1"/>
  <c r="CA202" i="63" s="1"/>
  <c r="CA203" i="63" s="1"/>
  <c r="CA204" i="63" s="1"/>
  <c r="CA205" i="63" s="1"/>
  <c r="CA206" i="63" s="1"/>
  <c r="CA207" i="63" s="1"/>
  <c r="CA208" i="63" s="1"/>
  <c r="CA209" i="63" s="1"/>
  <c r="CA210" i="63" s="1"/>
  <c r="CA211" i="63" s="1"/>
  <c r="CA212" i="63" s="1"/>
  <c r="CA213" i="63" s="1"/>
  <c r="CA214" i="63" s="1"/>
  <c r="CA215" i="63" s="1"/>
  <c r="CA216" i="63" s="1"/>
  <c r="CA217" i="63" s="1"/>
  <c r="CA218" i="63" s="1"/>
  <c r="CA219" i="63" s="1"/>
  <c r="CA220" i="63" s="1"/>
  <c r="CA221" i="63" s="1"/>
  <c r="CA222" i="63" s="1"/>
  <c r="CA223" i="63" s="1"/>
  <c r="CA224" i="63" s="1"/>
  <c r="CA225" i="63" s="1"/>
  <c r="CA226" i="63" s="1"/>
  <c r="CA227" i="63" s="1"/>
  <c r="CA228" i="63" s="1"/>
  <c r="CA229" i="63" s="1"/>
  <c r="CA230" i="63" s="1"/>
  <c r="CA231" i="63" s="1"/>
  <c r="CA232" i="63" s="1"/>
  <c r="CA233" i="63" s="1"/>
  <c r="CA234" i="63" s="1"/>
  <c r="CA235" i="63" s="1"/>
  <c r="CA236" i="63" s="1"/>
  <c r="CA237" i="63" s="1"/>
  <c r="CA238" i="63" s="1"/>
  <c r="CA239" i="63" s="1"/>
  <c r="CA240" i="63" s="1"/>
  <c r="CA241" i="63" s="1"/>
  <c r="CA242" i="63" s="1"/>
  <c r="CA243" i="63" s="1"/>
  <c r="CA244" i="63" s="1"/>
  <c r="CA245" i="63" s="1"/>
  <c r="CA246" i="63" s="1"/>
  <c r="CA247" i="63" s="1"/>
  <c r="CA248" i="63" s="1"/>
  <c r="CA249" i="63" s="1"/>
  <c r="CA250" i="63" s="1"/>
  <c r="CA251" i="63" s="1"/>
  <c r="CA252" i="63" s="1"/>
  <c r="CA253" i="63" s="1"/>
  <c r="CA254" i="63" s="1"/>
  <c r="CA255" i="63" s="1"/>
  <c r="CA256" i="63" s="1"/>
  <c r="CA257" i="63" s="1"/>
  <c r="CA258" i="63" s="1"/>
  <c r="CA259" i="63" s="1"/>
  <c r="CA260" i="63" s="1"/>
  <c r="CA261" i="63" s="1"/>
  <c r="CA262" i="63" s="1"/>
  <c r="CA263" i="63" s="1"/>
  <c r="CA264" i="63" s="1"/>
  <c r="CA265" i="63" s="1"/>
  <c r="CA266" i="63" s="1"/>
  <c r="CA267" i="63" s="1"/>
  <c r="CA268" i="63" s="1"/>
  <c r="CA269" i="63" s="1"/>
  <c r="CA270" i="63" s="1"/>
  <c r="CA271" i="63" s="1"/>
  <c r="CA272" i="63" s="1"/>
  <c r="CA273" i="63" s="1"/>
  <c r="CA274" i="63" s="1"/>
  <c r="CA275" i="63" s="1"/>
  <c r="CA276" i="63" s="1"/>
  <c r="CA277" i="63" s="1"/>
  <c r="CA278" i="63" s="1"/>
  <c r="CA279" i="63" s="1"/>
  <c r="CA280" i="63" s="1"/>
  <c r="CA281" i="63" s="1"/>
  <c r="CA282" i="63" s="1"/>
  <c r="CA283" i="63" s="1"/>
  <c r="CA284" i="63" s="1"/>
  <c r="CA285" i="63" s="1"/>
  <c r="CA286" i="63" s="1"/>
  <c r="CA287" i="63" s="1"/>
  <c r="CA288" i="63" s="1"/>
  <c r="CA289" i="63" s="1"/>
  <c r="CA290" i="63" s="1"/>
  <c r="CA291" i="63" s="1"/>
  <c r="CA292" i="63" s="1"/>
  <c r="CA293" i="63" s="1"/>
  <c r="CA294" i="63" s="1"/>
  <c r="CA295" i="63" s="1"/>
  <c r="CA296" i="63" s="1"/>
  <c r="CA297" i="63" s="1"/>
  <c r="CA298" i="63" s="1"/>
  <c r="CA299" i="63" s="1"/>
  <c r="CA300" i="63" s="1"/>
  <c r="CA301" i="63" s="1"/>
  <c r="CA302" i="63" s="1"/>
  <c r="CA303" i="63" s="1"/>
  <c r="CA304" i="63" s="1"/>
  <c r="CA305" i="63" s="1"/>
  <c r="CA306" i="63" s="1"/>
  <c r="CA307" i="63" s="1"/>
  <c r="CA308" i="63" s="1"/>
  <c r="BV9" i="63"/>
  <c r="BV10" i="63" s="1"/>
  <c r="BV11" i="63" s="1"/>
  <c r="BV12" i="63" s="1"/>
  <c r="BV13" i="63" s="1"/>
  <c r="BV14" i="63" s="1"/>
  <c r="BV15" i="63" s="1"/>
  <c r="BV16" i="63" s="1"/>
  <c r="BV17" i="63" s="1"/>
  <c r="BV18" i="63" s="1"/>
  <c r="BV19" i="63" s="1"/>
  <c r="BV20" i="63" s="1"/>
  <c r="BV21" i="63" s="1"/>
  <c r="BV22" i="63" s="1"/>
  <c r="BV23" i="63" s="1"/>
  <c r="BV24" i="63" s="1"/>
  <c r="BV25" i="63" s="1"/>
  <c r="BV26" i="63" s="1"/>
  <c r="BV27" i="63" s="1"/>
  <c r="BV28" i="63" s="1"/>
  <c r="BV29" i="63" s="1"/>
  <c r="BV30" i="63" s="1"/>
  <c r="BV31" i="63" s="1"/>
  <c r="BV32" i="63" s="1"/>
  <c r="BV33" i="63" s="1"/>
  <c r="BV34" i="63" s="1"/>
  <c r="BV35" i="63" s="1"/>
  <c r="BV36" i="63" s="1"/>
  <c r="BV37" i="63" s="1"/>
  <c r="BV38" i="63" s="1"/>
  <c r="BV39" i="63" s="1"/>
  <c r="BV40" i="63" s="1"/>
  <c r="BV41" i="63" s="1"/>
  <c r="BV42" i="63" s="1"/>
  <c r="BV43" i="63" s="1"/>
  <c r="BV44" i="63" s="1"/>
  <c r="BV45" i="63" s="1"/>
  <c r="BV46" i="63" s="1"/>
  <c r="BV47" i="63" s="1"/>
  <c r="BV48" i="63" s="1"/>
  <c r="BV49" i="63" s="1"/>
  <c r="BV50" i="63" s="1"/>
  <c r="BV51" i="63" s="1"/>
  <c r="BV52" i="63" s="1"/>
  <c r="BV53" i="63" s="1"/>
  <c r="BV54" i="63" s="1"/>
  <c r="BV55" i="63" s="1"/>
  <c r="BV56" i="63" s="1"/>
  <c r="BV57" i="63" s="1"/>
  <c r="BV58" i="63" s="1"/>
  <c r="BV59" i="63" s="1"/>
  <c r="BV60" i="63" s="1"/>
  <c r="BV61" i="63" s="1"/>
  <c r="BV62" i="63" s="1"/>
  <c r="BV63" i="63" s="1"/>
  <c r="BV64" i="63" s="1"/>
  <c r="BV65" i="63" s="1"/>
  <c r="BV66" i="63" s="1"/>
  <c r="BV67" i="63" s="1"/>
  <c r="BV68" i="63" s="1"/>
  <c r="BV69" i="63" s="1"/>
  <c r="BV70" i="63" s="1"/>
  <c r="BV71" i="63" s="1"/>
  <c r="BV72" i="63" s="1"/>
  <c r="BV73" i="63" s="1"/>
  <c r="BV74" i="63" s="1"/>
  <c r="BV75" i="63" s="1"/>
  <c r="BV76" i="63" s="1"/>
  <c r="BV77" i="63" s="1"/>
  <c r="BV78" i="63" s="1"/>
  <c r="BV79" i="63" s="1"/>
  <c r="BV80" i="63" s="1"/>
  <c r="BV81" i="63" s="1"/>
  <c r="BV82" i="63" s="1"/>
  <c r="BV83" i="63" s="1"/>
  <c r="BV84" i="63" s="1"/>
  <c r="BV85" i="63" s="1"/>
  <c r="BV86" i="63" s="1"/>
  <c r="BV87" i="63" s="1"/>
  <c r="BV88" i="63" s="1"/>
  <c r="BV89" i="63" s="1"/>
  <c r="BV90" i="63" s="1"/>
  <c r="BV91" i="63" s="1"/>
  <c r="BV92" i="63" s="1"/>
  <c r="BV93" i="63" s="1"/>
  <c r="BV94" i="63" s="1"/>
  <c r="BV95" i="63" s="1"/>
  <c r="BV96" i="63" s="1"/>
  <c r="BV97" i="63" s="1"/>
  <c r="BV98" i="63" s="1"/>
  <c r="BV99" i="63" s="1"/>
  <c r="BV100" i="63" s="1"/>
  <c r="BV101" i="63" s="1"/>
  <c r="BV102" i="63" s="1"/>
  <c r="BV103" i="63" s="1"/>
  <c r="BV104" i="63" s="1"/>
  <c r="BV105" i="63" s="1"/>
  <c r="BV106" i="63" s="1"/>
  <c r="BV107" i="63" s="1"/>
  <c r="BV108" i="63" s="1"/>
  <c r="BV109" i="63" s="1"/>
  <c r="BV110" i="63" s="1"/>
  <c r="BV111" i="63" s="1"/>
  <c r="BV112" i="63" s="1"/>
  <c r="BV113" i="63" s="1"/>
  <c r="BV114" i="63" s="1"/>
  <c r="BV115" i="63" s="1"/>
  <c r="BV116" i="63" s="1"/>
  <c r="BV117" i="63" s="1"/>
  <c r="BV118" i="63" s="1"/>
  <c r="BV119" i="63" s="1"/>
  <c r="BV120" i="63" s="1"/>
  <c r="BV121" i="63" s="1"/>
  <c r="BV122" i="63" s="1"/>
  <c r="BV123" i="63" s="1"/>
  <c r="BV124" i="63" s="1"/>
  <c r="BV125" i="63" s="1"/>
  <c r="BV126" i="63" s="1"/>
  <c r="BV127" i="63" s="1"/>
  <c r="BV128" i="63" s="1"/>
  <c r="BV129" i="63" s="1"/>
  <c r="BV130" i="63" s="1"/>
  <c r="BV131" i="63" s="1"/>
  <c r="BV132" i="63" s="1"/>
  <c r="BV133" i="63" s="1"/>
  <c r="BV134" i="63" s="1"/>
  <c r="BV135" i="63" s="1"/>
  <c r="BV136" i="63" s="1"/>
  <c r="BV137" i="63" s="1"/>
  <c r="BV138" i="63" s="1"/>
  <c r="BV139" i="63" s="1"/>
  <c r="BV140" i="63" s="1"/>
  <c r="BV141" i="63" s="1"/>
  <c r="BV142" i="63" s="1"/>
  <c r="BV143" i="63" s="1"/>
  <c r="BV144" i="63" s="1"/>
  <c r="BV145" i="63" s="1"/>
  <c r="BV146" i="63" s="1"/>
  <c r="BV147" i="63" s="1"/>
  <c r="BV148" i="63" s="1"/>
  <c r="BV149" i="63" s="1"/>
  <c r="BV150" i="63" s="1"/>
  <c r="BV151" i="63" s="1"/>
  <c r="BV152" i="63" s="1"/>
  <c r="BV153" i="63" s="1"/>
  <c r="BV154" i="63" s="1"/>
  <c r="BV155" i="63" s="1"/>
  <c r="BV156" i="63" s="1"/>
  <c r="BV157" i="63" s="1"/>
  <c r="BV158" i="63" s="1"/>
  <c r="BV159" i="63" s="1"/>
  <c r="BV160" i="63" s="1"/>
  <c r="BV161" i="63" s="1"/>
  <c r="BV162" i="63" s="1"/>
  <c r="BV163" i="63" s="1"/>
  <c r="BV164" i="63" s="1"/>
  <c r="BV165" i="63" s="1"/>
  <c r="BV166" i="63" s="1"/>
  <c r="BV167" i="63" s="1"/>
  <c r="BV168" i="63" s="1"/>
  <c r="BV169" i="63" s="1"/>
  <c r="BV170" i="63" s="1"/>
  <c r="BV171" i="63" s="1"/>
  <c r="BV172" i="63" s="1"/>
  <c r="BV173" i="63" s="1"/>
  <c r="BV174" i="63" s="1"/>
  <c r="BV175" i="63" s="1"/>
  <c r="BV176" i="63" s="1"/>
  <c r="BV177" i="63" s="1"/>
  <c r="BV178" i="63" s="1"/>
  <c r="BV179" i="63" s="1"/>
  <c r="BV180" i="63" s="1"/>
  <c r="BV181" i="63" s="1"/>
  <c r="BV182" i="63" s="1"/>
  <c r="BV183" i="63" s="1"/>
  <c r="BV184" i="63" s="1"/>
  <c r="BV185" i="63" s="1"/>
  <c r="BV186" i="63" s="1"/>
  <c r="BV187" i="63" s="1"/>
  <c r="BV188" i="63" s="1"/>
  <c r="BV189" i="63" s="1"/>
  <c r="BV190" i="63" s="1"/>
  <c r="BV191" i="63" s="1"/>
  <c r="BV192" i="63" s="1"/>
  <c r="BV193" i="63" s="1"/>
  <c r="BV194" i="63" s="1"/>
  <c r="BV195" i="63" s="1"/>
  <c r="BV196" i="63" s="1"/>
  <c r="BV197" i="63" s="1"/>
  <c r="BV198" i="63" s="1"/>
  <c r="BV199" i="63" s="1"/>
  <c r="BV200" i="63" s="1"/>
  <c r="BV201" i="63" s="1"/>
  <c r="BV202" i="63" s="1"/>
  <c r="BV203" i="63" s="1"/>
  <c r="BV204" i="63" s="1"/>
  <c r="BV205" i="63" s="1"/>
  <c r="BV206" i="63" s="1"/>
  <c r="BV207" i="63" s="1"/>
  <c r="BV208" i="63" s="1"/>
  <c r="BV209" i="63" s="1"/>
  <c r="BV210" i="63" s="1"/>
  <c r="BV211" i="63" s="1"/>
  <c r="BV212" i="63" s="1"/>
  <c r="BV213" i="63" s="1"/>
  <c r="BV214" i="63" s="1"/>
  <c r="BV215" i="63" s="1"/>
  <c r="BV216" i="63" s="1"/>
  <c r="BV217" i="63" s="1"/>
  <c r="BV218" i="63" s="1"/>
  <c r="BV219" i="63" s="1"/>
  <c r="BV220" i="63" s="1"/>
  <c r="BV221" i="63" s="1"/>
  <c r="BV222" i="63" s="1"/>
  <c r="BV223" i="63" s="1"/>
  <c r="BV224" i="63" s="1"/>
  <c r="BV225" i="63" s="1"/>
  <c r="BV226" i="63" s="1"/>
  <c r="BV227" i="63" s="1"/>
  <c r="BV228" i="63" s="1"/>
  <c r="BV229" i="63" s="1"/>
  <c r="BV230" i="63" s="1"/>
  <c r="BV231" i="63" s="1"/>
  <c r="BV232" i="63" s="1"/>
  <c r="BV233" i="63" s="1"/>
  <c r="BV234" i="63" s="1"/>
  <c r="BV235" i="63" s="1"/>
  <c r="BV236" i="63" s="1"/>
  <c r="BV237" i="63" s="1"/>
  <c r="BV238" i="63" s="1"/>
  <c r="BV239" i="63" s="1"/>
  <c r="BV240" i="63" s="1"/>
  <c r="BV241" i="63" s="1"/>
  <c r="BV242" i="63" s="1"/>
  <c r="BV243" i="63" s="1"/>
  <c r="BV244" i="63" s="1"/>
  <c r="BV245" i="63" s="1"/>
  <c r="BV246" i="63" s="1"/>
  <c r="BV247" i="63" s="1"/>
  <c r="BV248" i="63" s="1"/>
  <c r="BV249" i="63" s="1"/>
  <c r="BV250" i="63" s="1"/>
  <c r="BV251" i="63" s="1"/>
  <c r="BV252" i="63" s="1"/>
  <c r="BV253" i="63" s="1"/>
  <c r="BV254" i="63" s="1"/>
  <c r="BV255" i="63" s="1"/>
  <c r="BV256" i="63" s="1"/>
  <c r="BV257" i="63" s="1"/>
  <c r="BV258" i="63" s="1"/>
  <c r="BV259" i="63" s="1"/>
  <c r="BV260" i="63" s="1"/>
  <c r="BV261" i="63" s="1"/>
  <c r="BV262" i="63" s="1"/>
  <c r="BV263" i="63" s="1"/>
  <c r="BV264" i="63" s="1"/>
  <c r="BV265" i="63" s="1"/>
  <c r="BV266" i="63" s="1"/>
  <c r="BV267" i="63" s="1"/>
  <c r="BV268" i="63" s="1"/>
  <c r="BV269" i="63" s="1"/>
  <c r="BV270" i="63" s="1"/>
  <c r="BV271" i="63" s="1"/>
  <c r="BV272" i="63" s="1"/>
  <c r="BV273" i="63" s="1"/>
  <c r="BV274" i="63" s="1"/>
  <c r="BV275" i="63" s="1"/>
  <c r="BV276" i="63" s="1"/>
  <c r="BV277" i="63" s="1"/>
  <c r="BV278" i="63" s="1"/>
  <c r="BV279" i="63" s="1"/>
  <c r="BV280" i="63" s="1"/>
  <c r="BV281" i="63" s="1"/>
  <c r="BV282" i="63" s="1"/>
  <c r="BV283" i="63" s="1"/>
  <c r="BV284" i="63" s="1"/>
  <c r="BV285" i="63" s="1"/>
  <c r="BV286" i="63" s="1"/>
  <c r="BV287" i="63" s="1"/>
  <c r="BV288" i="63" s="1"/>
  <c r="BV289" i="63" s="1"/>
  <c r="BV290" i="63" s="1"/>
  <c r="BV291" i="63" s="1"/>
  <c r="BV292" i="63" s="1"/>
  <c r="BV293" i="63" s="1"/>
  <c r="BV294" i="63" s="1"/>
  <c r="BV295" i="63" s="1"/>
  <c r="BV296" i="63" s="1"/>
  <c r="BV297" i="63" s="1"/>
  <c r="BV298" i="63" s="1"/>
  <c r="BV299" i="63" s="1"/>
  <c r="BV300" i="63" s="1"/>
  <c r="BV301" i="63" s="1"/>
  <c r="BV302" i="63" s="1"/>
  <c r="BV303" i="63" s="1"/>
  <c r="BV304" i="63" s="1"/>
  <c r="BV305" i="63" s="1"/>
  <c r="BV306" i="63" s="1"/>
  <c r="BV307" i="63" s="1"/>
  <c r="BV308" i="63" s="1"/>
  <c r="BR9" i="63"/>
  <c r="BR10" i="63" s="1"/>
  <c r="BR11" i="63" s="1"/>
  <c r="BR12" i="63" s="1"/>
  <c r="BR13" i="63" s="1"/>
  <c r="BR14" i="63" s="1"/>
  <c r="BR15" i="63" s="1"/>
  <c r="BR16" i="63" s="1"/>
  <c r="BR17" i="63" s="1"/>
  <c r="BR18" i="63" s="1"/>
  <c r="BR19" i="63" s="1"/>
  <c r="BR20" i="63" s="1"/>
  <c r="BR21" i="63" s="1"/>
  <c r="BR22" i="63" s="1"/>
  <c r="BR23" i="63" s="1"/>
  <c r="BR24" i="63" s="1"/>
  <c r="BR25" i="63" s="1"/>
  <c r="BR26" i="63" s="1"/>
  <c r="BR27" i="63" s="1"/>
  <c r="BR28" i="63" s="1"/>
  <c r="BR29" i="63" s="1"/>
  <c r="BR30" i="63" s="1"/>
  <c r="BR31" i="63" s="1"/>
  <c r="BR32" i="63" s="1"/>
  <c r="BR33" i="63" s="1"/>
  <c r="BR34" i="63" s="1"/>
  <c r="BR35" i="63" s="1"/>
  <c r="BR36" i="63" s="1"/>
  <c r="BR37" i="63" s="1"/>
  <c r="BR38" i="63" s="1"/>
  <c r="BR39" i="63" s="1"/>
  <c r="BR40" i="63" s="1"/>
  <c r="BR41" i="63" s="1"/>
  <c r="BR42" i="63" s="1"/>
  <c r="BR43" i="63" s="1"/>
  <c r="BR44" i="63" s="1"/>
  <c r="BR45" i="63" s="1"/>
  <c r="BR46" i="63" s="1"/>
  <c r="BR47" i="63" s="1"/>
  <c r="BR48" i="63" s="1"/>
  <c r="BR49" i="63" s="1"/>
  <c r="BR50" i="63" s="1"/>
  <c r="BR51" i="63" s="1"/>
  <c r="BR52" i="63" s="1"/>
  <c r="BR53" i="63" s="1"/>
  <c r="BR54" i="63" s="1"/>
  <c r="BR55" i="63" s="1"/>
  <c r="BR56" i="63" s="1"/>
  <c r="BR57" i="63" s="1"/>
  <c r="BR58" i="63" s="1"/>
  <c r="BR59" i="63" s="1"/>
  <c r="BR60" i="63" s="1"/>
  <c r="BR61" i="63" s="1"/>
  <c r="BR62" i="63" s="1"/>
  <c r="BR63" i="63" s="1"/>
  <c r="BR64" i="63" s="1"/>
  <c r="BR65" i="63" s="1"/>
  <c r="BR66" i="63" s="1"/>
  <c r="BR67" i="63" s="1"/>
  <c r="BR68" i="63" s="1"/>
  <c r="BR69" i="63" s="1"/>
  <c r="BR70" i="63" s="1"/>
  <c r="BR71" i="63" s="1"/>
  <c r="BR72" i="63" s="1"/>
  <c r="BR73" i="63" s="1"/>
  <c r="BR74" i="63" s="1"/>
  <c r="BR75" i="63" s="1"/>
  <c r="BR76" i="63" s="1"/>
  <c r="BR77" i="63" s="1"/>
  <c r="BR78" i="63" s="1"/>
  <c r="BR79" i="63" s="1"/>
  <c r="BR80" i="63" s="1"/>
  <c r="BR81" i="63" s="1"/>
  <c r="BR82" i="63" s="1"/>
  <c r="BR83" i="63" s="1"/>
  <c r="BR84" i="63" s="1"/>
  <c r="BR85" i="63" s="1"/>
  <c r="BR86" i="63" s="1"/>
  <c r="BR87" i="63" s="1"/>
  <c r="BR88" i="63" s="1"/>
  <c r="BR89" i="63" s="1"/>
  <c r="BR90" i="63" s="1"/>
  <c r="BR91" i="63" s="1"/>
  <c r="BR92" i="63" s="1"/>
  <c r="BR93" i="63" s="1"/>
  <c r="BR94" i="63" s="1"/>
  <c r="BR95" i="63" s="1"/>
  <c r="BR96" i="63" s="1"/>
  <c r="BR97" i="63" s="1"/>
  <c r="BR98" i="63" s="1"/>
  <c r="BR99" i="63" s="1"/>
  <c r="BR100" i="63" s="1"/>
  <c r="BR101" i="63" s="1"/>
  <c r="BR102" i="63" s="1"/>
  <c r="BR103" i="63" s="1"/>
  <c r="BR104" i="63" s="1"/>
  <c r="BR105" i="63" s="1"/>
  <c r="BR106" i="63" s="1"/>
  <c r="BR107" i="63" s="1"/>
  <c r="BR108" i="63" s="1"/>
  <c r="BR109" i="63" s="1"/>
  <c r="BR110" i="63" s="1"/>
  <c r="BR111" i="63" s="1"/>
  <c r="BR112" i="63" s="1"/>
  <c r="BR113" i="63" s="1"/>
  <c r="BR114" i="63" s="1"/>
  <c r="BR115" i="63" s="1"/>
  <c r="BR116" i="63" s="1"/>
  <c r="BR117" i="63" s="1"/>
  <c r="BR118" i="63" s="1"/>
  <c r="BR119" i="63" s="1"/>
  <c r="BR120" i="63" s="1"/>
  <c r="BR121" i="63" s="1"/>
  <c r="BR122" i="63" s="1"/>
  <c r="BR123" i="63" s="1"/>
  <c r="BR124" i="63" s="1"/>
  <c r="BR125" i="63" s="1"/>
  <c r="BR126" i="63" s="1"/>
  <c r="BR127" i="63" s="1"/>
  <c r="BR128" i="63" s="1"/>
  <c r="BR129" i="63" s="1"/>
  <c r="BR130" i="63" s="1"/>
  <c r="BR131" i="63" s="1"/>
  <c r="BR132" i="63" s="1"/>
  <c r="BR133" i="63" s="1"/>
  <c r="BR134" i="63" s="1"/>
  <c r="BR135" i="63" s="1"/>
  <c r="BR136" i="63" s="1"/>
  <c r="BR137" i="63" s="1"/>
  <c r="BR138" i="63" s="1"/>
  <c r="BR139" i="63" s="1"/>
  <c r="BR140" i="63" s="1"/>
  <c r="BR141" i="63" s="1"/>
  <c r="BR142" i="63" s="1"/>
  <c r="BR143" i="63" s="1"/>
  <c r="BR144" i="63" s="1"/>
  <c r="BR145" i="63" s="1"/>
  <c r="BR146" i="63" s="1"/>
  <c r="BR147" i="63" s="1"/>
  <c r="BR148" i="63" s="1"/>
  <c r="BR149" i="63" s="1"/>
  <c r="BR150" i="63" s="1"/>
  <c r="BR151" i="63" s="1"/>
  <c r="BR152" i="63" s="1"/>
  <c r="BR153" i="63" s="1"/>
  <c r="BR154" i="63" s="1"/>
  <c r="BR155" i="63" s="1"/>
  <c r="BR156" i="63" s="1"/>
  <c r="BR157" i="63" s="1"/>
  <c r="BR158" i="63" s="1"/>
  <c r="BR159" i="63" s="1"/>
  <c r="BR160" i="63" s="1"/>
  <c r="BR161" i="63" s="1"/>
  <c r="BR162" i="63" s="1"/>
  <c r="BR163" i="63" s="1"/>
  <c r="BR164" i="63" s="1"/>
  <c r="BR165" i="63" s="1"/>
  <c r="BR166" i="63" s="1"/>
  <c r="BR167" i="63" s="1"/>
  <c r="BR168" i="63" s="1"/>
  <c r="BR169" i="63" s="1"/>
  <c r="BR170" i="63" s="1"/>
  <c r="BR171" i="63" s="1"/>
  <c r="BR172" i="63" s="1"/>
  <c r="BR173" i="63" s="1"/>
  <c r="BR174" i="63" s="1"/>
  <c r="BR175" i="63" s="1"/>
  <c r="BR176" i="63" s="1"/>
  <c r="BR177" i="63" s="1"/>
  <c r="BR178" i="63" s="1"/>
  <c r="BR179" i="63" s="1"/>
  <c r="BR180" i="63" s="1"/>
  <c r="BR181" i="63" s="1"/>
  <c r="BR182" i="63" s="1"/>
  <c r="BR183" i="63" s="1"/>
  <c r="BR184" i="63" s="1"/>
  <c r="BR185" i="63" s="1"/>
  <c r="BR186" i="63" s="1"/>
  <c r="BR187" i="63" s="1"/>
  <c r="BR188" i="63" s="1"/>
  <c r="BR189" i="63" s="1"/>
  <c r="BR190" i="63" s="1"/>
  <c r="BR191" i="63" s="1"/>
  <c r="BR192" i="63" s="1"/>
  <c r="BR193" i="63" s="1"/>
  <c r="BR194" i="63" s="1"/>
  <c r="BR195" i="63" s="1"/>
  <c r="BR196" i="63" s="1"/>
  <c r="BR197" i="63" s="1"/>
  <c r="BR198" i="63" s="1"/>
  <c r="BR199" i="63" s="1"/>
  <c r="BR200" i="63" s="1"/>
  <c r="BR201" i="63" s="1"/>
  <c r="BR202" i="63" s="1"/>
  <c r="BR203" i="63" s="1"/>
  <c r="BR204" i="63" s="1"/>
  <c r="BR205" i="63" s="1"/>
  <c r="BR206" i="63" s="1"/>
  <c r="BR207" i="63" s="1"/>
  <c r="BR208" i="63" s="1"/>
  <c r="BR209" i="63" s="1"/>
  <c r="BR210" i="63" s="1"/>
  <c r="BR211" i="63" s="1"/>
  <c r="BR212" i="63" s="1"/>
  <c r="BR213" i="63" s="1"/>
  <c r="BR214" i="63" s="1"/>
  <c r="BR215" i="63" s="1"/>
  <c r="BR216" i="63" s="1"/>
  <c r="BR217" i="63" s="1"/>
  <c r="BR218" i="63" s="1"/>
  <c r="BR219" i="63" s="1"/>
  <c r="BR220" i="63" s="1"/>
  <c r="BR221" i="63" s="1"/>
  <c r="BR222" i="63" s="1"/>
  <c r="BR223" i="63" s="1"/>
  <c r="BR224" i="63" s="1"/>
  <c r="BR225" i="63" s="1"/>
  <c r="BR226" i="63" s="1"/>
  <c r="BR227" i="63" s="1"/>
  <c r="BR228" i="63" s="1"/>
  <c r="BR229" i="63" s="1"/>
  <c r="BR230" i="63" s="1"/>
  <c r="BR231" i="63" s="1"/>
  <c r="BR232" i="63" s="1"/>
  <c r="BR233" i="63" s="1"/>
  <c r="BR234" i="63" s="1"/>
  <c r="BR235" i="63" s="1"/>
  <c r="BR236" i="63" s="1"/>
  <c r="BR237" i="63" s="1"/>
  <c r="BR238" i="63" s="1"/>
  <c r="BR239" i="63" s="1"/>
  <c r="BR240" i="63" s="1"/>
  <c r="BR241" i="63" s="1"/>
  <c r="BR242" i="63" s="1"/>
  <c r="BR243" i="63" s="1"/>
  <c r="BR244" i="63" s="1"/>
  <c r="BR245" i="63" s="1"/>
  <c r="BR246" i="63" s="1"/>
  <c r="BR247" i="63" s="1"/>
  <c r="BR248" i="63" s="1"/>
  <c r="BR249" i="63" s="1"/>
  <c r="BR250" i="63" s="1"/>
  <c r="BR251" i="63" s="1"/>
  <c r="BR252" i="63" s="1"/>
  <c r="BR253" i="63" s="1"/>
  <c r="BR254" i="63" s="1"/>
  <c r="BR255" i="63" s="1"/>
  <c r="BR256" i="63" s="1"/>
  <c r="BR257" i="63" s="1"/>
  <c r="BR258" i="63" s="1"/>
  <c r="BR259" i="63" s="1"/>
  <c r="BR260" i="63" s="1"/>
  <c r="BR261" i="63" s="1"/>
  <c r="BR262" i="63" s="1"/>
  <c r="BR263" i="63" s="1"/>
  <c r="BR264" i="63" s="1"/>
  <c r="BR265" i="63" s="1"/>
  <c r="BR266" i="63" s="1"/>
  <c r="BR267" i="63" s="1"/>
  <c r="BR268" i="63" s="1"/>
  <c r="BR269" i="63" s="1"/>
  <c r="BR270" i="63" s="1"/>
  <c r="BR271" i="63" s="1"/>
  <c r="BR272" i="63" s="1"/>
  <c r="BR273" i="63" s="1"/>
  <c r="BR274" i="63" s="1"/>
  <c r="BR275" i="63" s="1"/>
  <c r="BR276" i="63" s="1"/>
  <c r="BR277" i="63" s="1"/>
  <c r="BR278" i="63" s="1"/>
  <c r="BR279" i="63" s="1"/>
  <c r="BR280" i="63" s="1"/>
  <c r="BR281" i="63" s="1"/>
  <c r="BR282" i="63" s="1"/>
  <c r="BR283" i="63" s="1"/>
  <c r="BR284" i="63" s="1"/>
  <c r="BR285" i="63" s="1"/>
  <c r="BR286" i="63" s="1"/>
  <c r="BR287" i="63" s="1"/>
  <c r="BR288" i="63" s="1"/>
  <c r="BR289" i="63" s="1"/>
  <c r="BR290" i="63" s="1"/>
  <c r="BR291" i="63" s="1"/>
  <c r="BR292" i="63" s="1"/>
  <c r="BR293" i="63" s="1"/>
  <c r="BR294" i="63" s="1"/>
  <c r="BR295" i="63" s="1"/>
  <c r="BR296" i="63" s="1"/>
  <c r="BR297" i="63" s="1"/>
  <c r="BR298" i="63" s="1"/>
  <c r="BR299" i="63" s="1"/>
  <c r="BR300" i="63" s="1"/>
  <c r="BR301" i="63" s="1"/>
  <c r="BR302" i="63" s="1"/>
  <c r="BR303" i="63" s="1"/>
  <c r="BR304" i="63" s="1"/>
  <c r="BR305" i="63" s="1"/>
  <c r="BR306" i="63" s="1"/>
  <c r="BR307" i="63" s="1"/>
  <c r="BR308" i="63" s="1"/>
  <c r="BP9" i="63"/>
  <c r="BP10" i="63" s="1"/>
  <c r="BP11" i="63" s="1"/>
  <c r="BP12" i="63" s="1"/>
  <c r="BP13" i="63" s="1"/>
  <c r="BP14" i="63" s="1"/>
  <c r="BP15" i="63" s="1"/>
  <c r="BP16" i="63" s="1"/>
  <c r="BP17" i="63" s="1"/>
  <c r="BP18" i="63" s="1"/>
  <c r="BP19" i="63" s="1"/>
  <c r="BP20" i="63" s="1"/>
  <c r="BP21" i="63" s="1"/>
  <c r="BP22" i="63" s="1"/>
  <c r="BP23" i="63" s="1"/>
  <c r="BP24" i="63" s="1"/>
  <c r="BP25" i="63" s="1"/>
  <c r="BP26" i="63" s="1"/>
  <c r="BP27" i="63" s="1"/>
  <c r="BP28" i="63" s="1"/>
  <c r="BP29" i="63" s="1"/>
  <c r="BP30" i="63" s="1"/>
  <c r="BP31" i="63" s="1"/>
  <c r="BP32" i="63" s="1"/>
  <c r="BP33" i="63" s="1"/>
  <c r="BP34" i="63" s="1"/>
  <c r="BP35" i="63" s="1"/>
  <c r="BP36" i="63" s="1"/>
  <c r="BP37" i="63" s="1"/>
  <c r="BP38" i="63" s="1"/>
  <c r="BP39" i="63" s="1"/>
  <c r="BP40" i="63" s="1"/>
  <c r="BP41" i="63" s="1"/>
  <c r="BP42" i="63" s="1"/>
  <c r="BP43" i="63" s="1"/>
  <c r="BP44" i="63" s="1"/>
  <c r="BP45" i="63" s="1"/>
  <c r="BP46" i="63" s="1"/>
  <c r="BP47" i="63" s="1"/>
  <c r="BP48" i="63" s="1"/>
  <c r="BP49" i="63" s="1"/>
  <c r="BP50" i="63" s="1"/>
  <c r="BP51" i="63" s="1"/>
  <c r="BP52" i="63" s="1"/>
  <c r="BP53" i="63" s="1"/>
  <c r="BP54" i="63" s="1"/>
  <c r="BP55" i="63" s="1"/>
  <c r="BP56" i="63" s="1"/>
  <c r="BP57" i="63" s="1"/>
  <c r="BP58" i="63" s="1"/>
  <c r="BP59" i="63" s="1"/>
  <c r="BP60" i="63" s="1"/>
  <c r="BP61" i="63" s="1"/>
  <c r="BP62" i="63" s="1"/>
  <c r="BP63" i="63" s="1"/>
  <c r="BP64" i="63" s="1"/>
  <c r="BP65" i="63" s="1"/>
  <c r="BP66" i="63" s="1"/>
  <c r="BP67" i="63" s="1"/>
  <c r="BP68" i="63" s="1"/>
  <c r="BP69" i="63" s="1"/>
  <c r="BP70" i="63" s="1"/>
  <c r="BP71" i="63" s="1"/>
  <c r="BP72" i="63" s="1"/>
  <c r="BP73" i="63" s="1"/>
  <c r="BP74" i="63" s="1"/>
  <c r="BP75" i="63" s="1"/>
  <c r="BP76" i="63" s="1"/>
  <c r="BP77" i="63" s="1"/>
  <c r="BP78" i="63" s="1"/>
  <c r="BP79" i="63" s="1"/>
  <c r="BP80" i="63" s="1"/>
  <c r="BP81" i="63" s="1"/>
  <c r="BP82" i="63" s="1"/>
  <c r="BP83" i="63" s="1"/>
  <c r="BP84" i="63" s="1"/>
  <c r="BP85" i="63" s="1"/>
  <c r="BP86" i="63" s="1"/>
  <c r="BP87" i="63" s="1"/>
  <c r="BP88" i="63" s="1"/>
  <c r="BP89" i="63" s="1"/>
  <c r="BP90" i="63" s="1"/>
  <c r="BP91" i="63" s="1"/>
  <c r="BP92" i="63" s="1"/>
  <c r="BP93" i="63" s="1"/>
  <c r="BP94" i="63" s="1"/>
  <c r="BP95" i="63" s="1"/>
  <c r="BP96" i="63" s="1"/>
  <c r="BP97" i="63" s="1"/>
  <c r="BP98" i="63" s="1"/>
  <c r="BP99" i="63" s="1"/>
  <c r="BP100" i="63" s="1"/>
  <c r="BP101" i="63" s="1"/>
  <c r="BP102" i="63" s="1"/>
  <c r="BP103" i="63" s="1"/>
  <c r="BP104" i="63" s="1"/>
  <c r="BP105" i="63" s="1"/>
  <c r="BP106" i="63" s="1"/>
  <c r="BP107" i="63" s="1"/>
  <c r="BP108" i="63" s="1"/>
  <c r="BP109" i="63" s="1"/>
  <c r="BP110" i="63" s="1"/>
  <c r="BP111" i="63" s="1"/>
  <c r="BP112" i="63" s="1"/>
  <c r="BP113" i="63" s="1"/>
  <c r="BP114" i="63" s="1"/>
  <c r="BP115" i="63" s="1"/>
  <c r="BP116" i="63" s="1"/>
  <c r="BP117" i="63" s="1"/>
  <c r="BP118" i="63" s="1"/>
  <c r="BP119" i="63" s="1"/>
  <c r="BP120" i="63" s="1"/>
  <c r="BP121" i="63" s="1"/>
  <c r="BP122" i="63" s="1"/>
  <c r="BP123" i="63" s="1"/>
  <c r="BP124" i="63" s="1"/>
  <c r="BP125" i="63" s="1"/>
  <c r="BP126" i="63" s="1"/>
  <c r="BP127" i="63" s="1"/>
  <c r="BP128" i="63" s="1"/>
  <c r="BP129" i="63" s="1"/>
  <c r="BP130" i="63" s="1"/>
  <c r="BP131" i="63" s="1"/>
  <c r="BP132" i="63" s="1"/>
  <c r="BP133" i="63" s="1"/>
  <c r="BP134" i="63" s="1"/>
  <c r="BP135" i="63" s="1"/>
  <c r="BP136" i="63" s="1"/>
  <c r="BP137" i="63" s="1"/>
  <c r="BP138" i="63" s="1"/>
  <c r="BP139" i="63" s="1"/>
  <c r="BP140" i="63" s="1"/>
  <c r="BP141" i="63" s="1"/>
  <c r="BP142" i="63" s="1"/>
  <c r="BP143" i="63" s="1"/>
  <c r="BP144" i="63" s="1"/>
  <c r="BP145" i="63" s="1"/>
  <c r="BP146" i="63" s="1"/>
  <c r="BP147" i="63" s="1"/>
  <c r="BP148" i="63" s="1"/>
  <c r="BP149" i="63" s="1"/>
  <c r="BP150" i="63" s="1"/>
  <c r="BP151" i="63" s="1"/>
  <c r="BP152" i="63" s="1"/>
  <c r="BP153" i="63" s="1"/>
  <c r="BP154" i="63" s="1"/>
  <c r="BP155" i="63" s="1"/>
  <c r="BP156" i="63" s="1"/>
  <c r="BP157" i="63" s="1"/>
  <c r="BP158" i="63" s="1"/>
  <c r="BP159" i="63" s="1"/>
  <c r="BP160" i="63" s="1"/>
  <c r="BP161" i="63" s="1"/>
  <c r="BP162" i="63" s="1"/>
  <c r="BP163" i="63" s="1"/>
  <c r="BP164" i="63" s="1"/>
  <c r="BP165" i="63" s="1"/>
  <c r="BP166" i="63" s="1"/>
  <c r="BP167" i="63" s="1"/>
  <c r="BP168" i="63" s="1"/>
  <c r="BP169" i="63" s="1"/>
  <c r="BP170" i="63" s="1"/>
  <c r="BP171" i="63" s="1"/>
  <c r="BP172" i="63" s="1"/>
  <c r="BP173" i="63" s="1"/>
  <c r="BP174" i="63" s="1"/>
  <c r="BP175" i="63" s="1"/>
  <c r="BP176" i="63" s="1"/>
  <c r="BP177" i="63" s="1"/>
  <c r="BP178" i="63" s="1"/>
  <c r="BP179" i="63" s="1"/>
  <c r="BP180" i="63" s="1"/>
  <c r="BP181" i="63" s="1"/>
  <c r="BP182" i="63" s="1"/>
  <c r="BP183" i="63" s="1"/>
  <c r="BP184" i="63" s="1"/>
  <c r="BP185" i="63" s="1"/>
  <c r="BP186" i="63" s="1"/>
  <c r="BP187" i="63" s="1"/>
  <c r="BP188" i="63" s="1"/>
  <c r="BP189" i="63" s="1"/>
  <c r="BP190" i="63" s="1"/>
  <c r="BP191" i="63" s="1"/>
  <c r="BP192" i="63" s="1"/>
  <c r="BP193" i="63" s="1"/>
  <c r="BP194" i="63" s="1"/>
  <c r="BP195" i="63" s="1"/>
  <c r="BP196" i="63" s="1"/>
  <c r="BP197" i="63" s="1"/>
  <c r="BP198" i="63" s="1"/>
  <c r="BP199" i="63" s="1"/>
  <c r="BP200" i="63" s="1"/>
  <c r="BP201" i="63" s="1"/>
  <c r="BP202" i="63" s="1"/>
  <c r="BP203" i="63" s="1"/>
  <c r="BP204" i="63" s="1"/>
  <c r="BP205" i="63" s="1"/>
  <c r="BP206" i="63" s="1"/>
  <c r="BP207" i="63" s="1"/>
  <c r="BP208" i="63" s="1"/>
  <c r="BP209" i="63" s="1"/>
  <c r="BP210" i="63" s="1"/>
  <c r="BP211" i="63" s="1"/>
  <c r="BP212" i="63" s="1"/>
  <c r="BP213" i="63" s="1"/>
  <c r="BP214" i="63" s="1"/>
  <c r="BP215" i="63" s="1"/>
  <c r="BP216" i="63" s="1"/>
  <c r="BP217" i="63" s="1"/>
  <c r="BP218" i="63" s="1"/>
  <c r="BP219" i="63" s="1"/>
  <c r="BP220" i="63" s="1"/>
  <c r="BP221" i="63" s="1"/>
  <c r="BP222" i="63" s="1"/>
  <c r="BP223" i="63" s="1"/>
  <c r="BP224" i="63" s="1"/>
  <c r="BP225" i="63" s="1"/>
  <c r="BP226" i="63" s="1"/>
  <c r="BP227" i="63" s="1"/>
  <c r="BP228" i="63" s="1"/>
  <c r="BP229" i="63" s="1"/>
  <c r="BP230" i="63" s="1"/>
  <c r="BP231" i="63" s="1"/>
  <c r="BP232" i="63" s="1"/>
  <c r="BP233" i="63" s="1"/>
  <c r="BP234" i="63" s="1"/>
  <c r="BP235" i="63" s="1"/>
  <c r="BP236" i="63" s="1"/>
  <c r="BP237" i="63" s="1"/>
  <c r="BP238" i="63" s="1"/>
  <c r="BP239" i="63" s="1"/>
  <c r="BP240" i="63" s="1"/>
  <c r="BP241" i="63" s="1"/>
  <c r="BP242" i="63" s="1"/>
  <c r="BP243" i="63" s="1"/>
  <c r="BP244" i="63" s="1"/>
  <c r="BP245" i="63" s="1"/>
  <c r="BP246" i="63" s="1"/>
  <c r="BP247" i="63" s="1"/>
  <c r="BP248" i="63" s="1"/>
  <c r="BP249" i="63" s="1"/>
  <c r="BP250" i="63" s="1"/>
  <c r="BP251" i="63" s="1"/>
  <c r="BP252" i="63" s="1"/>
  <c r="BP253" i="63" s="1"/>
  <c r="BP254" i="63" s="1"/>
  <c r="BP255" i="63" s="1"/>
  <c r="BP256" i="63" s="1"/>
  <c r="BP257" i="63" s="1"/>
  <c r="BP258" i="63" s="1"/>
  <c r="BP259" i="63" s="1"/>
  <c r="BP260" i="63" s="1"/>
  <c r="BP261" i="63" s="1"/>
  <c r="BP262" i="63" s="1"/>
  <c r="BP263" i="63" s="1"/>
  <c r="BP264" i="63" s="1"/>
  <c r="BP265" i="63" s="1"/>
  <c r="BP266" i="63" s="1"/>
  <c r="BP267" i="63" s="1"/>
  <c r="BP268" i="63" s="1"/>
  <c r="BP269" i="63" s="1"/>
  <c r="BP270" i="63" s="1"/>
  <c r="BP271" i="63" s="1"/>
  <c r="BP272" i="63" s="1"/>
  <c r="BP273" i="63" s="1"/>
  <c r="BP274" i="63" s="1"/>
  <c r="BP275" i="63" s="1"/>
  <c r="BP276" i="63" s="1"/>
  <c r="BP277" i="63" s="1"/>
  <c r="BP278" i="63" s="1"/>
  <c r="BP279" i="63" s="1"/>
  <c r="BP280" i="63" s="1"/>
  <c r="BP281" i="63" s="1"/>
  <c r="BP282" i="63" s="1"/>
  <c r="BP283" i="63" s="1"/>
  <c r="BP284" i="63" s="1"/>
  <c r="BP285" i="63" s="1"/>
  <c r="BP286" i="63" s="1"/>
  <c r="BP287" i="63" s="1"/>
  <c r="BP288" i="63" s="1"/>
  <c r="BP289" i="63" s="1"/>
  <c r="BP290" i="63" s="1"/>
  <c r="BP291" i="63" s="1"/>
  <c r="BP292" i="63" s="1"/>
  <c r="BP293" i="63" s="1"/>
  <c r="BP294" i="63" s="1"/>
  <c r="BP295" i="63" s="1"/>
  <c r="BP296" i="63" s="1"/>
  <c r="BP297" i="63" s="1"/>
  <c r="BP298" i="63" s="1"/>
  <c r="BP299" i="63" s="1"/>
  <c r="BP300" i="63" s="1"/>
  <c r="BP301" i="63" s="1"/>
  <c r="BP302" i="63" s="1"/>
  <c r="BP303" i="63" s="1"/>
  <c r="BP304" i="63" s="1"/>
  <c r="BP305" i="63" s="1"/>
  <c r="BP306" i="63" s="1"/>
  <c r="BP307" i="63" s="1"/>
  <c r="BP308" i="63" s="1"/>
  <c r="BN9" i="63"/>
  <c r="BN10" i="63" s="1"/>
  <c r="BN11" i="63" s="1"/>
  <c r="BN12" i="63" s="1"/>
  <c r="BN13" i="63" s="1"/>
  <c r="BN14" i="63" s="1"/>
  <c r="BN15" i="63" s="1"/>
  <c r="BN16" i="63" s="1"/>
  <c r="BN17" i="63" s="1"/>
  <c r="BN18" i="63" s="1"/>
  <c r="BN19" i="63" s="1"/>
  <c r="BN20" i="63" s="1"/>
  <c r="BN21" i="63" s="1"/>
  <c r="BN22" i="63" s="1"/>
  <c r="BN23" i="63" s="1"/>
  <c r="BN24" i="63" s="1"/>
  <c r="BN25" i="63" s="1"/>
  <c r="BN26" i="63" s="1"/>
  <c r="BN27" i="63" s="1"/>
  <c r="BN28" i="63" s="1"/>
  <c r="BN29" i="63" s="1"/>
  <c r="BN30" i="63" s="1"/>
  <c r="BN31" i="63" s="1"/>
  <c r="BN32" i="63" s="1"/>
  <c r="BN33" i="63" s="1"/>
  <c r="BN34" i="63" s="1"/>
  <c r="BN35" i="63" s="1"/>
  <c r="BN36" i="63" s="1"/>
  <c r="BN37" i="63" s="1"/>
  <c r="BN38" i="63" s="1"/>
  <c r="BN39" i="63" s="1"/>
  <c r="BN40" i="63" s="1"/>
  <c r="BN41" i="63" s="1"/>
  <c r="BN42" i="63" s="1"/>
  <c r="BN43" i="63" s="1"/>
  <c r="BN44" i="63" s="1"/>
  <c r="BN45" i="63" s="1"/>
  <c r="BN46" i="63" s="1"/>
  <c r="BN47" i="63" s="1"/>
  <c r="BN48" i="63" s="1"/>
  <c r="BN49" i="63" s="1"/>
  <c r="BN50" i="63" s="1"/>
  <c r="BN51" i="63" s="1"/>
  <c r="BN52" i="63" s="1"/>
  <c r="BN53" i="63" s="1"/>
  <c r="BN54" i="63" s="1"/>
  <c r="BN55" i="63" s="1"/>
  <c r="BN56" i="63" s="1"/>
  <c r="BN57" i="63" s="1"/>
  <c r="BN58" i="63" s="1"/>
  <c r="BN59" i="63" s="1"/>
  <c r="BN60" i="63" s="1"/>
  <c r="BN61" i="63" s="1"/>
  <c r="BN62" i="63" s="1"/>
  <c r="BN63" i="63" s="1"/>
  <c r="BN64" i="63" s="1"/>
  <c r="BN65" i="63" s="1"/>
  <c r="BN66" i="63" s="1"/>
  <c r="BN67" i="63" s="1"/>
  <c r="BN68" i="63" s="1"/>
  <c r="BN69" i="63" s="1"/>
  <c r="BN70" i="63" s="1"/>
  <c r="BN71" i="63" s="1"/>
  <c r="BN72" i="63" s="1"/>
  <c r="BN73" i="63" s="1"/>
  <c r="BN74" i="63" s="1"/>
  <c r="BN75" i="63" s="1"/>
  <c r="BN76" i="63" s="1"/>
  <c r="BN77" i="63" s="1"/>
  <c r="BN78" i="63" s="1"/>
  <c r="BN79" i="63" s="1"/>
  <c r="BN80" i="63" s="1"/>
  <c r="BN81" i="63" s="1"/>
  <c r="BN82" i="63" s="1"/>
  <c r="BN83" i="63" s="1"/>
  <c r="BN84" i="63" s="1"/>
  <c r="BN85" i="63" s="1"/>
  <c r="BN86" i="63" s="1"/>
  <c r="BN87" i="63" s="1"/>
  <c r="BN88" i="63" s="1"/>
  <c r="BN89" i="63" s="1"/>
  <c r="BN90" i="63" s="1"/>
  <c r="BN91" i="63" s="1"/>
  <c r="BN92" i="63" s="1"/>
  <c r="BN93" i="63" s="1"/>
  <c r="BN94" i="63" s="1"/>
  <c r="BN95" i="63" s="1"/>
  <c r="BN96" i="63" s="1"/>
  <c r="BN97" i="63" s="1"/>
  <c r="BN98" i="63" s="1"/>
  <c r="BN99" i="63" s="1"/>
  <c r="BN100" i="63" s="1"/>
  <c r="BN101" i="63" s="1"/>
  <c r="BN102" i="63" s="1"/>
  <c r="BN103" i="63" s="1"/>
  <c r="BN104" i="63" s="1"/>
  <c r="BN105" i="63" s="1"/>
  <c r="BN106" i="63" s="1"/>
  <c r="BN107" i="63" s="1"/>
  <c r="BN108" i="63" s="1"/>
  <c r="BN109" i="63" s="1"/>
  <c r="BN110" i="63" s="1"/>
  <c r="BN111" i="63" s="1"/>
  <c r="BN112" i="63" s="1"/>
  <c r="BN113" i="63" s="1"/>
  <c r="BN114" i="63" s="1"/>
  <c r="BN115" i="63" s="1"/>
  <c r="BN116" i="63" s="1"/>
  <c r="BN117" i="63" s="1"/>
  <c r="BN118" i="63" s="1"/>
  <c r="BN119" i="63" s="1"/>
  <c r="BN120" i="63" s="1"/>
  <c r="BN121" i="63" s="1"/>
  <c r="BN122" i="63" s="1"/>
  <c r="BN123" i="63" s="1"/>
  <c r="BN124" i="63" s="1"/>
  <c r="BN125" i="63" s="1"/>
  <c r="BN126" i="63" s="1"/>
  <c r="BN127" i="63" s="1"/>
  <c r="BN128" i="63" s="1"/>
  <c r="BN129" i="63" s="1"/>
  <c r="BN130" i="63" s="1"/>
  <c r="BN131" i="63" s="1"/>
  <c r="BN132" i="63" s="1"/>
  <c r="BN133" i="63" s="1"/>
  <c r="BN134" i="63" s="1"/>
  <c r="BN135" i="63" s="1"/>
  <c r="BN136" i="63" s="1"/>
  <c r="BN137" i="63" s="1"/>
  <c r="BN138" i="63" s="1"/>
  <c r="BN139" i="63" s="1"/>
  <c r="BN140" i="63" s="1"/>
  <c r="BN141" i="63" s="1"/>
  <c r="BN142" i="63" s="1"/>
  <c r="BN143" i="63" s="1"/>
  <c r="BN144" i="63" s="1"/>
  <c r="BN145" i="63" s="1"/>
  <c r="BN146" i="63" s="1"/>
  <c r="BN147" i="63" s="1"/>
  <c r="BN148" i="63" s="1"/>
  <c r="BN149" i="63" s="1"/>
  <c r="BN150" i="63" s="1"/>
  <c r="BN151" i="63" s="1"/>
  <c r="BN152" i="63" s="1"/>
  <c r="BN153" i="63" s="1"/>
  <c r="BN154" i="63" s="1"/>
  <c r="BN155" i="63" s="1"/>
  <c r="BN156" i="63" s="1"/>
  <c r="BN157" i="63" s="1"/>
  <c r="BN158" i="63" s="1"/>
  <c r="BN159" i="63" s="1"/>
  <c r="BN160" i="63" s="1"/>
  <c r="BN161" i="63" s="1"/>
  <c r="BN162" i="63" s="1"/>
  <c r="BN163" i="63" s="1"/>
  <c r="BN164" i="63" s="1"/>
  <c r="BN165" i="63" s="1"/>
  <c r="BN166" i="63" s="1"/>
  <c r="BN167" i="63" s="1"/>
  <c r="BN168" i="63" s="1"/>
  <c r="BN169" i="63" s="1"/>
  <c r="BN170" i="63" s="1"/>
  <c r="BN171" i="63" s="1"/>
  <c r="BN172" i="63" s="1"/>
  <c r="BN173" i="63" s="1"/>
  <c r="BN174" i="63" s="1"/>
  <c r="BN175" i="63" s="1"/>
  <c r="BN176" i="63" s="1"/>
  <c r="BN177" i="63" s="1"/>
  <c r="BN178" i="63" s="1"/>
  <c r="BN179" i="63" s="1"/>
  <c r="BN180" i="63" s="1"/>
  <c r="BN181" i="63" s="1"/>
  <c r="BN182" i="63" s="1"/>
  <c r="BN183" i="63" s="1"/>
  <c r="BN184" i="63" s="1"/>
  <c r="BN185" i="63" s="1"/>
  <c r="BN186" i="63" s="1"/>
  <c r="BN187" i="63" s="1"/>
  <c r="BN188" i="63" s="1"/>
  <c r="BN189" i="63" s="1"/>
  <c r="BN190" i="63" s="1"/>
  <c r="BN191" i="63" s="1"/>
  <c r="BN192" i="63" s="1"/>
  <c r="BN193" i="63" s="1"/>
  <c r="BN194" i="63" s="1"/>
  <c r="BN195" i="63" s="1"/>
  <c r="BN196" i="63" s="1"/>
  <c r="BN197" i="63" s="1"/>
  <c r="BN198" i="63" s="1"/>
  <c r="BN199" i="63" s="1"/>
  <c r="BN200" i="63" s="1"/>
  <c r="BN201" i="63" s="1"/>
  <c r="BN202" i="63" s="1"/>
  <c r="BN203" i="63" s="1"/>
  <c r="BN204" i="63" s="1"/>
  <c r="BN205" i="63" s="1"/>
  <c r="BN206" i="63" s="1"/>
  <c r="BN207" i="63" s="1"/>
  <c r="BN208" i="63" s="1"/>
  <c r="BN209" i="63" s="1"/>
  <c r="BN210" i="63" s="1"/>
  <c r="BN211" i="63" s="1"/>
  <c r="BN212" i="63" s="1"/>
  <c r="BN213" i="63" s="1"/>
  <c r="BN214" i="63" s="1"/>
  <c r="BN215" i="63" s="1"/>
  <c r="BN216" i="63" s="1"/>
  <c r="BN217" i="63" s="1"/>
  <c r="BN218" i="63" s="1"/>
  <c r="BN219" i="63" s="1"/>
  <c r="BN220" i="63" s="1"/>
  <c r="BN221" i="63" s="1"/>
  <c r="BN222" i="63" s="1"/>
  <c r="BN223" i="63" s="1"/>
  <c r="BN224" i="63" s="1"/>
  <c r="BN225" i="63" s="1"/>
  <c r="BN226" i="63" s="1"/>
  <c r="BN227" i="63" s="1"/>
  <c r="BN228" i="63" s="1"/>
  <c r="BN229" i="63" s="1"/>
  <c r="BN230" i="63" s="1"/>
  <c r="BN231" i="63" s="1"/>
  <c r="BN232" i="63" s="1"/>
  <c r="BN233" i="63" s="1"/>
  <c r="BN234" i="63" s="1"/>
  <c r="BN235" i="63" s="1"/>
  <c r="BN236" i="63" s="1"/>
  <c r="BN237" i="63" s="1"/>
  <c r="BN238" i="63" s="1"/>
  <c r="BN239" i="63" s="1"/>
  <c r="BN240" i="63" s="1"/>
  <c r="BN241" i="63" s="1"/>
  <c r="BN242" i="63" s="1"/>
  <c r="BN243" i="63" s="1"/>
  <c r="BN244" i="63" s="1"/>
  <c r="BN245" i="63" s="1"/>
  <c r="BN246" i="63" s="1"/>
  <c r="BN247" i="63" s="1"/>
  <c r="BN248" i="63" s="1"/>
  <c r="BN249" i="63" s="1"/>
  <c r="BN250" i="63" s="1"/>
  <c r="BN251" i="63" s="1"/>
  <c r="BN252" i="63" s="1"/>
  <c r="BN253" i="63" s="1"/>
  <c r="BN254" i="63" s="1"/>
  <c r="BN255" i="63" s="1"/>
  <c r="BN256" i="63" s="1"/>
  <c r="BN257" i="63" s="1"/>
  <c r="BN258" i="63" s="1"/>
  <c r="BN259" i="63" s="1"/>
  <c r="BN260" i="63" s="1"/>
  <c r="BN261" i="63" s="1"/>
  <c r="BN262" i="63" s="1"/>
  <c r="BN263" i="63" s="1"/>
  <c r="BN264" i="63" s="1"/>
  <c r="BN265" i="63" s="1"/>
  <c r="BN266" i="63" s="1"/>
  <c r="BN267" i="63" s="1"/>
  <c r="BN268" i="63" s="1"/>
  <c r="BN269" i="63" s="1"/>
  <c r="BN270" i="63" s="1"/>
  <c r="BN271" i="63" s="1"/>
  <c r="BN272" i="63" s="1"/>
  <c r="BN273" i="63" s="1"/>
  <c r="BN274" i="63" s="1"/>
  <c r="BN275" i="63" s="1"/>
  <c r="BN276" i="63" s="1"/>
  <c r="BN277" i="63" s="1"/>
  <c r="BN278" i="63" s="1"/>
  <c r="BN279" i="63" s="1"/>
  <c r="BN280" i="63" s="1"/>
  <c r="BN281" i="63" s="1"/>
  <c r="BN282" i="63" s="1"/>
  <c r="BN283" i="63" s="1"/>
  <c r="BN284" i="63" s="1"/>
  <c r="BN285" i="63" s="1"/>
  <c r="BN286" i="63" s="1"/>
  <c r="BN287" i="63" s="1"/>
  <c r="BN288" i="63" s="1"/>
  <c r="BN289" i="63" s="1"/>
  <c r="BN290" i="63" s="1"/>
  <c r="BN291" i="63" s="1"/>
  <c r="BN292" i="63" s="1"/>
  <c r="BN293" i="63" s="1"/>
  <c r="BN294" i="63" s="1"/>
  <c r="BN295" i="63" s="1"/>
  <c r="BN296" i="63" s="1"/>
  <c r="BN297" i="63" s="1"/>
  <c r="BN298" i="63" s="1"/>
  <c r="BN299" i="63" s="1"/>
  <c r="BN300" i="63" s="1"/>
  <c r="BN301" i="63" s="1"/>
  <c r="BN302" i="63" s="1"/>
  <c r="BN303" i="63" s="1"/>
  <c r="BN304" i="63" s="1"/>
  <c r="BN305" i="63" s="1"/>
  <c r="BN306" i="63" s="1"/>
  <c r="BN307" i="63" s="1"/>
  <c r="BN308" i="63" s="1"/>
  <c r="BL9" i="63"/>
  <c r="BL10" i="63" s="1"/>
  <c r="BL11" i="63" s="1"/>
  <c r="BL12" i="63" s="1"/>
  <c r="BL13" i="63" s="1"/>
  <c r="BL14" i="63" s="1"/>
  <c r="BL15" i="63" s="1"/>
  <c r="BL16" i="63" s="1"/>
  <c r="BL17" i="63" s="1"/>
  <c r="BL18" i="63" s="1"/>
  <c r="BL19" i="63" s="1"/>
  <c r="BL20" i="63" s="1"/>
  <c r="BL21" i="63" s="1"/>
  <c r="BL22" i="63" s="1"/>
  <c r="BL23" i="63" s="1"/>
  <c r="BL24" i="63" s="1"/>
  <c r="BL25" i="63" s="1"/>
  <c r="BL26" i="63" s="1"/>
  <c r="BL27" i="63" s="1"/>
  <c r="BL28" i="63" s="1"/>
  <c r="BL29" i="63" s="1"/>
  <c r="BL30" i="63" s="1"/>
  <c r="BL31" i="63" s="1"/>
  <c r="BL32" i="63" s="1"/>
  <c r="BL33" i="63" s="1"/>
  <c r="BL34" i="63" s="1"/>
  <c r="BL35" i="63" s="1"/>
  <c r="BL36" i="63" s="1"/>
  <c r="BL37" i="63" s="1"/>
  <c r="BL38" i="63" s="1"/>
  <c r="BL39" i="63" s="1"/>
  <c r="BL40" i="63" s="1"/>
  <c r="BL41" i="63" s="1"/>
  <c r="BL42" i="63" s="1"/>
  <c r="BL43" i="63" s="1"/>
  <c r="BL44" i="63" s="1"/>
  <c r="BL45" i="63" s="1"/>
  <c r="BL46" i="63" s="1"/>
  <c r="BL47" i="63" s="1"/>
  <c r="BL48" i="63" s="1"/>
  <c r="BL49" i="63" s="1"/>
  <c r="BL50" i="63" s="1"/>
  <c r="BL51" i="63" s="1"/>
  <c r="BL52" i="63" s="1"/>
  <c r="BL53" i="63" s="1"/>
  <c r="BL54" i="63" s="1"/>
  <c r="BL55" i="63" s="1"/>
  <c r="BL56" i="63" s="1"/>
  <c r="BL57" i="63" s="1"/>
  <c r="BL58" i="63" s="1"/>
  <c r="BL59" i="63" s="1"/>
  <c r="BL60" i="63" s="1"/>
  <c r="BL61" i="63" s="1"/>
  <c r="BL62" i="63" s="1"/>
  <c r="BL63" i="63" s="1"/>
  <c r="BL64" i="63" s="1"/>
  <c r="BL65" i="63" s="1"/>
  <c r="BL66" i="63" s="1"/>
  <c r="BL67" i="63" s="1"/>
  <c r="BL68" i="63" s="1"/>
  <c r="BL69" i="63" s="1"/>
  <c r="BL70" i="63" s="1"/>
  <c r="BL71" i="63" s="1"/>
  <c r="BL72" i="63" s="1"/>
  <c r="BL73" i="63" s="1"/>
  <c r="BL74" i="63" s="1"/>
  <c r="BL75" i="63" s="1"/>
  <c r="BL76" i="63" s="1"/>
  <c r="BL77" i="63" s="1"/>
  <c r="BL78" i="63" s="1"/>
  <c r="BL79" i="63" s="1"/>
  <c r="BL80" i="63" s="1"/>
  <c r="BL81" i="63" s="1"/>
  <c r="BL82" i="63" s="1"/>
  <c r="BL83" i="63" s="1"/>
  <c r="BL84" i="63" s="1"/>
  <c r="BL85" i="63" s="1"/>
  <c r="BL86" i="63" s="1"/>
  <c r="BL87" i="63" s="1"/>
  <c r="BL88" i="63" s="1"/>
  <c r="BL89" i="63" s="1"/>
  <c r="BL90" i="63" s="1"/>
  <c r="BL91" i="63" s="1"/>
  <c r="BL92" i="63" s="1"/>
  <c r="BL93" i="63" s="1"/>
  <c r="BL94" i="63" s="1"/>
  <c r="BL95" i="63" s="1"/>
  <c r="BL96" i="63" s="1"/>
  <c r="BL97" i="63" s="1"/>
  <c r="BL98" i="63" s="1"/>
  <c r="BL99" i="63" s="1"/>
  <c r="BL100" i="63" s="1"/>
  <c r="BL101" i="63" s="1"/>
  <c r="BL102" i="63" s="1"/>
  <c r="BL103" i="63" s="1"/>
  <c r="BL104" i="63" s="1"/>
  <c r="BL105" i="63" s="1"/>
  <c r="BL106" i="63" s="1"/>
  <c r="BL107" i="63" s="1"/>
  <c r="BL108" i="63" s="1"/>
  <c r="BL109" i="63" s="1"/>
  <c r="BL110" i="63" s="1"/>
  <c r="BL111" i="63" s="1"/>
  <c r="BL112" i="63" s="1"/>
  <c r="BL113" i="63" s="1"/>
  <c r="BL114" i="63" s="1"/>
  <c r="BL115" i="63" s="1"/>
  <c r="BL116" i="63" s="1"/>
  <c r="BL117" i="63" s="1"/>
  <c r="BL118" i="63" s="1"/>
  <c r="BL119" i="63" s="1"/>
  <c r="BL120" i="63" s="1"/>
  <c r="BL121" i="63" s="1"/>
  <c r="BL122" i="63" s="1"/>
  <c r="BL123" i="63" s="1"/>
  <c r="BL124" i="63" s="1"/>
  <c r="BL125" i="63" s="1"/>
  <c r="BL126" i="63" s="1"/>
  <c r="BL127" i="63" s="1"/>
  <c r="BL128" i="63" s="1"/>
  <c r="BL129" i="63" s="1"/>
  <c r="BL130" i="63" s="1"/>
  <c r="BL131" i="63" s="1"/>
  <c r="BL132" i="63" s="1"/>
  <c r="BL133" i="63" s="1"/>
  <c r="BL134" i="63" s="1"/>
  <c r="BL135" i="63" s="1"/>
  <c r="BL136" i="63" s="1"/>
  <c r="BL137" i="63" s="1"/>
  <c r="BL138" i="63" s="1"/>
  <c r="BL139" i="63" s="1"/>
  <c r="BL140" i="63" s="1"/>
  <c r="BL141" i="63" s="1"/>
  <c r="BL142" i="63" s="1"/>
  <c r="BL143" i="63" s="1"/>
  <c r="BL144" i="63" s="1"/>
  <c r="BL145" i="63" s="1"/>
  <c r="BL146" i="63" s="1"/>
  <c r="BL147" i="63" s="1"/>
  <c r="BL148" i="63" s="1"/>
  <c r="BL149" i="63" s="1"/>
  <c r="BL150" i="63" s="1"/>
  <c r="BL151" i="63" s="1"/>
  <c r="BL152" i="63" s="1"/>
  <c r="BL153" i="63" s="1"/>
  <c r="BL154" i="63" s="1"/>
  <c r="BL155" i="63" s="1"/>
  <c r="BL156" i="63" s="1"/>
  <c r="BL157" i="63" s="1"/>
  <c r="BL158" i="63" s="1"/>
  <c r="BL159" i="63" s="1"/>
  <c r="BL160" i="63" s="1"/>
  <c r="BL161" i="63" s="1"/>
  <c r="BL162" i="63" s="1"/>
  <c r="BL163" i="63" s="1"/>
  <c r="BL164" i="63" s="1"/>
  <c r="BL165" i="63" s="1"/>
  <c r="BL166" i="63" s="1"/>
  <c r="BL167" i="63" s="1"/>
  <c r="BL168" i="63" s="1"/>
  <c r="BL169" i="63" s="1"/>
  <c r="BL170" i="63" s="1"/>
  <c r="BL171" i="63" s="1"/>
  <c r="BL172" i="63" s="1"/>
  <c r="BL173" i="63" s="1"/>
  <c r="BL174" i="63" s="1"/>
  <c r="BL175" i="63" s="1"/>
  <c r="BL176" i="63" s="1"/>
  <c r="BL177" i="63" s="1"/>
  <c r="BL178" i="63" s="1"/>
  <c r="BL179" i="63" s="1"/>
  <c r="BL180" i="63" s="1"/>
  <c r="BL181" i="63" s="1"/>
  <c r="BL182" i="63" s="1"/>
  <c r="BL183" i="63" s="1"/>
  <c r="BL184" i="63" s="1"/>
  <c r="BL185" i="63" s="1"/>
  <c r="BL186" i="63" s="1"/>
  <c r="BL187" i="63" s="1"/>
  <c r="BL188" i="63" s="1"/>
  <c r="BL189" i="63" s="1"/>
  <c r="BL190" i="63" s="1"/>
  <c r="BL191" i="63" s="1"/>
  <c r="BL192" i="63" s="1"/>
  <c r="BL193" i="63" s="1"/>
  <c r="BL194" i="63" s="1"/>
  <c r="BL195" i="63" s="1"/>
  <c r="BL196" i="63" s="1"/>
  <c r="BL197" i="63" s="1"/>
  <c r="BL198" i="63" s="1"/>
  <c r="BL199" i="63" s="1"/>
  <c r="BL200" i="63" s="1"/>
  <c r="BL201" i="63" s="1"/>
  <c r="BL202" i="63" s="1"/>
  <c r="BL203" i="63" s="1"/>
  <c r="BL204" i="63" s="1"/>
  <c r="BL205" i="63" s="1"/>
  <c r="BL206" i="63" s="1"/>
  <c r="BL207" i="63" s="1"/>
  <c r="BL208" i="63" s="1"/>
  <c r="BL209" i="63" s="1"/>
  <c r="BL210" i="63" s="1"/>
  <c r="BL211" i="63" s="1"/>
  <c r="BL212" i="63" s="1"/>
  <c r="BL213" i="63" s="1"/>
  <c r="BL214" i="63" s="1"/>
  <c r="BL215" i="63" s="1"/>
  <c r="BL216" i="63" s="1"/>
  <c r="BL217" i="63" s="1"/>
  <c r="BL218" i="63" s="1"/>
  <c r="BL219" i="63" s="1"/>
  <c r="BL220" i="63" s="1"/>
  <c r="BL221" i="63" s="1"/>
  <c r="BL222" i="63" s="1"/>
  <c r="BL223" i="63" s="1"/>
  <c r="BL224" i="63" s="1"/>
  <c r="BL225" i="63" s="1"/>
  <c r="BL226" i="63" s="1"/>
  <c r="BL227" i="63" s="1"/>
  <c r="BL228" i="63" s="1"/>
  <c r="BL229" i="63" s="1"/>
  <c r="BL230" i="63" s="1"/>
  <c r="BL231" i="63" s="1"/>
  <c r="BL232" i="63" s="1"/>
  <c r="BL233" i="63" s="1"/>
  <c r="BL234" i="63" s="1"/>
  <c r="BL235" i="63" s="1"/>
  <c r="BL236" i="63" s="1"/>
  <c r="BL237" i="63" s="1"/>
  <c r="BL238" i="63" s="1"/>
  <c r="BL239" i="63" s="1"/>
  <c r="BL240" i="63" s="1"/>
  <c r="BL241" i="63" s="1"/>
  <c r="BL242" i="63" s="1"/>
  <c r="BL243" i="63" s="1"/>
  <c r="BL244" i="63" s="1"/>
  <c r="BL245" i="63" s="1"/>
  <c r="BL246" i="63" s="1"/>
  <c r="BL247" i="63" s="1"/>
  <c r="BL248" i="63" s="1"/>
  <c r="BL249" i="63" s="1"/>
  <c r="BL250" i="63" s="1"/>
  <c r="BL251" i="63" s="1"/>
  <c r="BL252" i="63" s="1"/>
  <c r="BL253" i="63" s="1"/>
  <c r="BL254" i="63" s="1"/>
  <c r="BL255" i="63" s="1"/>
  <c r="BL256" i="63" s="1"/>
  <c r="BL257" i="63" s="1"/>
  <c r="BL258" i="63" s="1"/>
  <c r="BL259" i="63" s="1"/>
  <c r="BL260" i="63" s="1"/>
  <c r="BL261" i="63" s="1"/>
  <c r="BL262" i="63" s="1"/>
  <c r="BL263" i="63" s="1"/>
  <c r="BL264" i="63" s="1"/>
  <c r="BL265" i="63" s="1"/>
  <c r="BL266" i="63" s="1"/>
  <c r="BL267" i="63" s="1"/>
  <c r="BL268" i="63" s="1"/>
  <c r="BL269" i="63" s="1"/>
  <c r="BL270" i="63" s="1"/>
  <c r="BL271" i="63" s="1"/>
  <c r="BL272" i="63" s="1"/>
  <c r="BL273" i="63" s="1"/>
  <c r="BL274" i="63" s="1"/>
  <c r="BL275" i="63" s="1"/>
  <c r="BL276" i="63" s="1"/>
  <c r="BL277" i="63" s="1"/>
  <c r="BL278" i="63" s="1"/>
  <c r="BL279" i="63" s="1"/>
  <c r="BL280" i="63" s="1"/>
  <c r="BL281" i="63" s="1"/>
  <c r="BL282" i="63" s="1"/>
  <c r="BL283" i="63" s="1"/>
  <c r="BL284" i="63" s="1"/>
  <c r="BL285" i="63" s="1"/>
  <c r="BL286" i="63" s="1"/>
  <c r="BL287" i="63" s="1"/>
  <c r="BL288" i="63" s="1"/>
  <c r="BL289" i="63" s="1"/>
  <c r="BL290" i="63" s="1"/>
  <c r="BL291" i="63" s="1"/>
  <c r="BL292" i="63" s="1"/>
  <c r="BL293" i="63" s="1"/>
  <c r="BL294" i="63" s="1"/>
  <c r="BL295" i="63" s="1"/>
  <c r="BL296" i="63" s="1"/>
  <c r="BL297" i="63" s="1"/>
  <c r="BL298" i="63" s="1"/>
  <c r="BL299" i="63" s="1"/>
  <c r="BL300" i="63" s="1"/>
  <c r="BL301" i="63" s="1"/>
  <c r="BL302" i="63" s="1"/>
  <c r="BL303" i="63" s="1"/>
  <c r="BL304" i="63" s="1"/>
  <c r="BL305" i="63" s="1"/>
  <c r="BL306" i="63" s="1"/>
  <c r="BL307" i="63" s="1"/>
  <c r="BL308" i="63" s="1"/>
  <c r="BJ9" i="63"/>
  <c r="BJ10" i="63" s="1"/>
  <c r="BJ11" i="63" s="1"/>
  <c r="BJ12" i="63" s="1"/>
  <c r="BJ13" i="63" s="1"/>
  <c r="BJ14" i="63" s="1"/>
  <c r="BJ15" i="63" s="1"/>
  <c r="BJ16" i="63" s="1"/>
  <c r="BJ17" i="63" s="1"/>
  <c r="BJ18" i="63" s="1"/>
  <c r="BJ19" i="63" s="1"/>
  <c r="BJ20" i="63" s="1"/>
  <c r="BJ21" i="63" s="1"/>
  <c r="BJ22" i="63" s="1"/>
  <c r="BJ23" i="63" s="1"/>
  <c r="BJ24" i="63" s="1"/>
  <c r="BJ25" i="63" s="1"/>
  <c r="BJ26" i="63" s="1"/>
  <c r="BJ27" i="63" s="1"/>
  <c r="BJ28" i="63" s="1"/>
  <c r="BJ29" i="63" s="1"/>
  <c r="BJ30" i="63" s="1"/>
  <c r="BJ31" i="63" s="1"/>
  <c r="BJ32" i="63" s="1"/>
  <c r="BJ33" i="63" s="1"/>
  <c r="BJ34" i="63" s="1"/>
  <c r="BJ35" i="63" s="1"/>
  <c r="BJ36" i="63" s="1"/>
  <c r="BJ37" i="63" s="1"/>
  <c r="BJ38" i="63" s="1"/>
  <c r="BJ39" i="63" s="1"/>
  <c r="BJ40" i="63" s="1"/>
  <c r="BJ41" i="63" s="1"/>
  <c r="BJ42" i="63" s="1"/>
  <c r="BJ43" i="63" s="1"/>
  <c r="BJ44" i="63" s="1"/>
  <c r="BJ45" i="63" s="1"/>
  <c r="BJ46" i="63" s="1"/>
  <c r="BJ47" i="63" s="1"/>
  <c r="BJ48" i="63" s="1"/>
  <c r="BJ49" i="63" s="1"/>
  <c r="BJ50" i="63" s="1"/>
  <c r="BJ51" i="63" s="1"/>
  <c r="BJ52" i="63" s="1"/>
  <c r="BJ53" i="63" s="1"/>
  <c r="BJ54" i="63" s="1"/>
  <c r="BJ55" i="63" s="1"/>
  <c r="BJ56" i="63" s="1"/>
  <c r="BJ57" i="63" s="1"/>
  <c r="BJ58" i="63" s="1"/>
  <c r="BJ59" i="63" s="1"/>
  <c r="BJ60" i="63" s="1"/>
  <c r="BJ61" i="63" s="1"/>
  <c r="BJ62" i="63" s="1"/>
  <c r="BJ63" i="63" s="1"/>
  <c r="BJ64" i="63" s="1"/>
  <c r="BJ65" i="63" s="1"/>
  <c r="BJ66" i="63" s="1"/>
  <c r="BJ67" i="63" s="1"/>
  <c r="BJ68" i="63" s="1"/>
  <c r="BJ69" i="63" s="1"/>
  <c r="BJ70" i="63" s="1"/>
  <c r="BJ71" i="63" s="1"/>
  <c r="BJ72" i="63" s="1"/>
  <c r="BJ73" i="63" s="1"/>
  <c r="BJ74" i="63" s="1"/>
  <c r="BJ75" i="63" s="1"/>
  <c r="BJ76" i="63" s="1"/>
  <c r="BJ77" i="63" s="1"/>
  <c r="BJ78" i="63" s="1"/>
  <c r="BJ79" i="63" s="1"/>
  <c r="BJ80" i="63" s="1"/>
  <c r="BJ81" i="63" s="1"/>
  <c r="BJ82" i="63" s="1"/>
  <c r="BJ83" i="63" s="1"/>
  <c r="BJ84" i="63" s="1"/>
  <c r="BJ85" i="63" s="1"/>
  <c r="BJ86" i="63" s="1"/>
  <c r="BJ87" i="63" s="1"/>
  <c r="BJ88" i="63" s="1"/>
  <c r="BJ89" i="63" s="1"/>
  <c r="BJ90" i="63" s="1"/>
  <c r="BJ91" i="63" s="1"/>
  <c r="BJ92" i="63" s="1"/>
  <c r="BJ93" i="63" s="1"/>
  <c r="BJ94" i="63" s="1"/>
  <c r="BJ95" i="63" s="1"/>
  <c r="BJ96" i="63" s="1"/>
  <c r="BJ97" i="63" s="1"/>
  <c r="BJ98" i="63" s="1"/>
  <c r="BJ99" i="63" s="1"/>
  <c r="BJ100" i="63" s="1"/>
  <c r="BJ101" i="63" s="1"/>
  <c r="BJ102" i="63" s="1"/>
  <c r="BJ103" i="63" s="1"/>
  <c r="BJ104" i="63" s="1"/>
  <c r="BJ105" i="63" s="1"/>
  <c r="BJ106" i="63" s="1"/>
  <c r="BJ107" i="63" s="1"/>
  <c r="BJ108" i="63" s="1"/>
  <c r="BJ109" i="63" s="1"/>
  <c r="BJ110" i="63" s="1"/>
  <c r="BJ111" i="63" s="1"/>
  <c r="BJ112" i="63" s="1"/>
  <c r="BJ113" i="63" s="1"/>
  <c r="BJ114" i="63" s="1"/>
  <c r="BJ115" i="63" s="1"/>
  <c r="BJ116" i="63" s="1"/>
  <c r="BJ117" i="63" s="1"/>
  <c r="BJ118" i="63" s="1"/>
  <c r="BJ119" i="63" s="1"/>
  <c r="BJ120" i="63" s="1"/>
  <c r="BJ121" i="63" s="1"/>
  <c r="BJ122" i="63" s="1"/>
  <c r="BJ123" i="63" s="1"/>
  <c r="BJ124" i="63" s="1"/>
  <c r="BJ125" i="63" s="1"/>
  <c r="BJ126" i="63" s="1"/>
  <c r="BJ127" i="63" s="1"/>
  <c r="BJ128" i="63" s="1"/>
  <c r="BJ129" i="63" s="1"/>
  <c r="BJ130" i="63" s="1"/>
  <c r="BJ131" i="63" s="1"/>
  <c r="BJ132" i="63" s="1"/>
  <c r="BJ133" i="63" s="1"/>
  <c r="BJ134" i="63" s="1"/>
  <c r="BJ135" i="63" s="1"/>
  <c r="BJ136" i="63" s="1"/>
  <c r="BJ137" i="63" s="1"/>
  <c r="BJ138" i="63" s="1"/>
  <c r="BJ139" i="63" s="1"/>
  <c r="BJ140" i="63" s="1"/>
  <c r="BJ141" i="63" s="1"/>
  <c r="BJ142" i="63" s="1"/>
  <c r="BJ143" i="63" s="1"/>
  <c r="BJ144" i="63" s="1"/>
  <c r="BJ145" i="63" s="1"/>
  <c r="BJ146" i="63" s="1"/>
  <c r="BJ147" i="63" s="1"/>
  <c r="BJ148" i="63" s="1"/>
  <c r="BJ149" i="63" s="1"/>
  <c r="BJ150" i="63" s="1"/>
  <c r="BJ151" i="63" s="1"/>
  <c r="BJ152" i="63" s="1"/>
  <c r="BJ153" i="63" s="1"/>
  <c r="BJ154" i="63" s="1"/>
  <c r="BJ155" i="63" s="1"/>
  <c r="BJ156" i="63" s="1"/>
  <c r="BJ157" i="63" s="1"/>
  <c r="BJ158" i="63" s="1"/>
  <c r="BJ159" i="63" s="1"/>
  <c r="BJ160" i="63" s="1"/>
  <c r="BJ161" i="63" s="1"/>
  <c r="BJ162" i="63" s="1"/>
  <c r="BJ163" i="63" s="1"/>
  <c r="BJ164" i="63" s="1"/>
  <c r="BJ165" i="63" s="1"/>
  <c r="BJ166" i="63" s="1"/>
  <c r="BJ167" i="63" s="1"/>
  <c r="BJ168" i="63" s="1"/>
  <c r="BJ169" i="63" s="1"/>
  <c r="BJ170" i="63" s="1"/>
  <c r="BJ171" i="63" s="1"/>
  <c r="BJ172" i="63" s="1"/>
  <c r="BJ173" i="63" s="1"/>
  <c r="BJ174" i="63" s="1"/>
  <c r="BJ175" i="63" s="1"/>
  <c r="BJ176" i="63" s="1"/>
  <c r="BJ177" i="63" s="1"/>
  <c r="BJ178" i="63" s="1"/>
  <c r="BJ179" i="63" s="1"/>
  <c r="BJ180" i="63" s="1"/>
  <c r="BJ181" i="63" s="1"/>
  <c r="BJ182" i="63" s="1"/>
  <c r="BJ183" i="63" s="1"/>
  <c r="BJ184" i="63" s="1"/>
  <c r="BJ185" i="63" s="1"/>
  <c r="BJ186" i="63" s="1"/>
  <c r="BJ187" i="63" s="1"/>
  <c r="BJ188" i="63" s="1"/>
  <c r="BJ189" i="63" s="1"/>
  <c r="BJ190" i="63" s="1"/>
  <c r="BJ191" i="63" s="1"/>
  <c r="BJ192" i="63" s="1"/>
  <c r="BJ193" i="63" s="1"/>
  <c r="BJ194" i="63" s="1"/>
  <c r="BJ195" i="63" s="1"/>
  <c r="BJ196" i="63" s="1"/>
  <c r="BJ197" i="63" s="1"/>
  <c r="BJ198" i="63" s="1"/>
  <c r="BJ199" i="63" s="1"/>
  <c r="BJ200" i="63" s="1"/>
  <c r="BJ201" i="63" s="1"/>
  <c r="BJ202" i="63" s="1"/>
  <c r="BJ203" i="63" s="1"/>
  <c r="BJ204" i="63" s="1"/>
  <c r="BJ205" i="63" s="1"/>
  <c r="BJ206" i="63" s="1"/>
  <c r="BJ207" i="63" s="1"/>
  <c r="BJ208" i="63" s="1"/>
  <c r="BJ209" i="63" s="1"/>
  <c r="BJ210" i="63" s="1"/>
  <c r="BJ211" i="63" s="1"/>
  <c r="BJ212" i="63" s="1"/>
  <c r="BJ213" i="63" s="1"/>
  <c r="BJ214" i="63" s="1"/>
  <c r="BJ215" i="63" s="1"/>
  <c r="BJ216" i="63" s="1"/>
  <c r="BJ217" i="63" s="1"/>
  <c r="BJ218" i="63" s="1"/>
  <c r="BJ219" i="63" s="1"/>
  <c r="BJ220" i="63" s="1"/>
  <c r="BJ221" i="63" s="1"/>
  <c r="BJ222" i="63" s="1"/>
  <c r="BJ223" i="63" s="1"/>
  <c r="BJ224" i="63" s="1"/>
  <c r="BJ225" i="63" s="1"/>
  <c r="BJ226" i="63" s="1"/>
  <c r="BJ227" i="63" s="1"/>
  <c r="BJ228" i="63" s="1"/>
  <c r="BJ229" i="63" s="1"/>
  <c r="BJ230" i="63" s="1"/>
  <c r="BJ231" i="63" s="1"/>
  <c r="BJ232" i="63" s="1"/>
  <c r="BJ233" i="63" s="1"/>
  <c r="BJ234" i="63" s="1"/>
  <c r="BJ235" i="63" s="1"/>
  <c r="BJ236" i="63" s="1"/>
  <c r="BJ237" i="63" s="1"/>
  <c r="BJ238" i="63" s="1"/>
  <c r="BJ239" i="63" s="1"/>
  <c r="BJ240" i="63" s="1"/>
  <c r="BJ241" i="63" s="1"/>
  <c r="BJ242" i="63" s="1"/>
  <c r="BJ243" i="63" s="1"/>
  <c r="BJ244" i="63" s="1"/>
  <c r="BJ245" i="63" s="1"/>
  <c r="BJ246" i="63" s="1"/>
  <c r="BJ247" i="63" s="1"/>
  <c r="BJ248" i="63" s="1"/>
  <c r="BJ249" i="63" s="1"/>
  <c r="BJ250" i="63" s="1"/>
  <c r="BJ251" i="63" s="1"/>
  <c r="BJ252" i="63" s="1"/>
  <c r="BJ253" i="63" s="1"/>
  <c r="BJ254" i="63" s="1"/>
  <c r="BJ255" i="63" s="1"/>
  <c r="BJ256" i="63" s="1"/>
  <c r="BJ257" i="63" s="1"/>
  <c r="BJ258" i="63" s="1"/>
  <c r="BJ259" i="63" s="1"/>
  <c r="BJ260" i="63" s="1"/>
  <c r="BJ261" i="63" s="1"/>
  <c r="BJ262" i="63" s="1"/>
  <c r="BJ263" i="63" s="1"/>
  <c r="BJ264" i="63" s="1"/>
  <c r="BJ265" i="63" s="1"/>
  <c r="BJ266" i="63" s="1"/>
  <c r="BJ267" i="63" s="1"/>
  <c r="BJ268" i="63" s="1"/>
  <c r="BJ269" i="63" s="1"/>
  <c r="BJ270" i="63" s="1"/>
  <c r="BJ271" i="63" s="1"/>
  <c r="BJ272" i="63" s="1"/>
  <c r="BJ273" i="63" s="1"/>
  <c r="BJ274" i="63" s="1"/>
  <c r="BJ275" i="63" s="1"/>
  <c r="BJ276" i="63" s="1"/>
  <c r="BJ277" i="63" s="1"/>
  <c r="BJ278" i="63" s="1"/>
  <c r="BJ279" i="63" s="1"/>
  <c r="BJ280" i="63" s="1"/>
  <c r="BJ281" i="63" s="1"/>
  <c r="BJ282" i="63" s="1"/>
  <c r="BJ283" i="63" s="1"/>
  <c r="BJ284" i="63" s="1"/>
  <c r="BJ285" i="63" s="1"/>
  <c r="BJ286" i="63" s="1"/>
  <c r="BJ287" i="63" s="1"/>
  <c r="BJ288" i="63" s="1"/>
  <c r="BJ289" i="63" s="1"/>
  <c r="BJ290" i="63" s="1"/>
  <c r="BJ291" i="63" s="1"/>
  <c r="BJ292" i="63" s="1"/>
  <c r="BJ293" i="63" s="1"/>
  <c r="BJ294" i="63" s="1"/>
  <c r="BJ295" i="63" s="1"/>
  <c r="BJ296" i="63" s="1"/>
  <c r="BJ297" i="63" s="1"/>
  <c r="BJ298" i="63" s="1"/>
  <c r="BJ299" i="63" s="1"/>
  <c r="BJ300" i="63" s="1"/>
  <c r="BJ301" i="63" s="1"/>
  <c r="BJ302" i="63" s="1"/>
  <c r="BJ303" i="63" s="1"/>
  <c r="BJ304" i="63" s="1"/>
  <c r="BJ305" i="63" s="1"/>
  <c r="BJ306" i="63" s="1"/>
  <c r="BJ307" i="63" s="1"/>
  <c r="BJ308" i="63" s="1"/>
  <c r="BI9" i="63"/>
  <c r="BI10" i="63" s="1"/>
  <c r="BI11" i="63" s="1"/>
  <c r="BI12" i="63" s="1"/>
  <c r="BI13" i="63" s="1"/>
  <c r="BI14" i="63" s="1"/>
  <c r="BI15" i="63" s="1"/>
  <c r="BI16" i="63" s="1"/>
  <c r="BI17" i="63" s="1"/>
  <c r="BI18" i="63" s="1"/>
  <c r="BI19" i="63" s="1"/>
  <c r="BI20" i="63" s="1"/>
  <c r="BI21" i="63" s="1"/>
  <c r="BI22" i="63" s="1"/>
  <c r="BI23" i="63" s="1"/>
  <c r="BI24" i="63" s="1"/>
  <c r="BI25" i="63" s="1"/>
  <c r="BI26" i="63" s="1"/>
  <c r="BI27" i="63" s="1"/>
  <c r="BI28" i="63" s="1"/>
  <c r="BI29" i="63" s="1"/>
  <c r="BI30" i="63" s="1"/>
  <c r="BI31" i="63" s="1"/>
  <c r="BI32" i="63" s="1"/>
  <c r="BI33" i="63" s="1"/>
  <c r="BI34" i="63" s="1"/>
  <c r="BI35" i="63" s="1"/>
  <c r="BI36" i="63" s="1"/>
  <c r="BI37" i="63" s="1"/>
  <c r="BI38" i="63" s="1"/>
  <c r="BI39" i="63" s="1"/>
  <c r="BI40" i="63" s="1"/>
  <c r="BI41" i="63" s="1"/>
  <c r="BI42" i="63" s="1"/>
  <c r="BI43" i="63" s="1"/>
  <c r="BI44" i="63" s="1"/>
  <c r="BI45" i="63" s="1"/>
  <c r="BI46" i="63" s="1"/>
  <c r="BI47" i="63" s="1"/>
  <c r="BI48" i="63" s="1"/>
  <c r="BI49" i="63" s="1"/>
  <c r="BI50" i="63" s="1"/>
  <c r="BI51" i="63" s="1"/>
  <c r="BI52" i="63" s="1"/>
  <c r="BI53" i="63" s="1"/>
  <c r="BI54" i="63" s="1"/>
  <c r="BI55" i="63" s="1"/>
  <c r="BI56" i="63" s="1"/>
  <c r="BI57" i="63" s="1"/>
  <c r="BI58" i="63" s="1"/>
  <c r="BI59" i="63" s="1"/>
  <c r="BI60" i="63" s="1"/>
  <c r="BI61" i="63" s="1"/>
  <c r="BI62" i="63" s="1"/>
  <c r="BI63" i="63" s="1"/>
  <c r="BI64" i="63" s="1"/>
  <c r="BI65" i="63" s="1"/>
  <c r="BI66" i="63" s="1"/>
  <c r="BI67" i="63" s="1"/>
  <c r="BI68" i="63" s="1"/>
  <c r="BI69" i="63" s="1"/>
  <c r="BI70" i="63" s="1"/>
  <c r="BI71" i="63" s="1"/>
  <c r="BI72" i="63" s="1"/>
  <c r="BI73" i="63" s="1"/>
  <c r="BI74" i="63" s="1"/>
  <c r="BI75" i="63" s="1"/>
  <c r="BI76" i="63" s="1"/>
  <c r="BI77" i="63" s="1"/>
  <c r="BI78" i="63" s="1"/>
  <c r="BI79" i="63" s="1"/>
  <c r="BI80" i="63" s="1"/>
  <c r="BI81" i="63" s="1"/>
  <c r="BI82" i="63" s="1"/>
  <c r="BI83" i="63" s="1"/>
  <c r="BI84" i="63" s="1"/>
  <c r="BI85" i="63" s="1"/>
  <c r="BI86" i="63" s="1"/>
  <c r="BI87" i="63" s="1"/>
  <c r="BI88" i="63" s="1"/>
  <c r="BI89" i="63" s="1"/>
  <c r="BI90" i="63" s="1"/>
  <c r="BI91" i="63" s="1"/>
  <c r="BI92" i="63" s="1"/>
  <c r="BI93" i="63" s="1"/>
  <c r="BI94" i="63" s="1"/>
  <c r="BI95" i="63" s="1"/>
  <c r="BI96" i="63" s="1"/>
  <c r="BI97" i="63" s="1"/>
  <c r="BI98" i="63" s="1"/>
  <c r="BI99" i="63" s="1"/>
  <c r="BI100" i="63" s="1"/>
  <c r="BI101" i="63" s="1"/>
  <c r="BI102" i="63" s="1"/>
  <c r="BI103" i="63" s="1"/>
  <c r="BI104" i="63" s="1"/>
  <c r="BI105" i="63" s="1"/>
  <c r="BI106" i="63" s="1"/>
  <c r="BI107" i="63" s="1"/>
  <c r="BI108" i="63" s="1"/>
  <c r="BI109" i="63" s="1"/>
  <c r="BI110" i="63" s="1"/>
  <c r="BI111" i="63" s="1"/>
  <c r="BI112" i="63" s="1"/>
  <c r="BI113" i="63" s="1"/>
  <c r="BI114" i="63" s="1"/>
  <c r="BI115" i="63" s="1"/>
  <c r="BI116" i="63" s="1"/>
  <c r="BI117" i="63" s="1"/>
  <c r="BI118" i="63" s="1"/>
  <c r="BI119" i="63" s="1"/>
  <c r="BI120" i="63" s="1"/>
  <c r="BI121" i="63" s="1"/>
  <c r="BI122" i="63" s="1"/>
  <c r="BI123" i="63" s="1"/>
  <c r="BI124" i="63" s="1"/>
  <c r="BI125" i="63" s="1"/>
  <c r="BI126" i="63" s="1"/>
  <c r="BI127" i="63" s="1"/>
  <c r="BI128" i="63" s="1"/>
  <c r="BI129" i="63" s="1"/>
  <c r="BI130" i="63" s="1"/>
  <c r="BI131" i="63" s="1"/>
  <c r="BI132" i="63" s="1"/>
  <c r="BI133" i="63" s="1"/>
  <c r="BI134" i="63" s="1"/>
  <c r="BI135" i="63" s="1"/>
  <c r="BI136" i="63" s="1"/>
  <c r="BI137" i="63" s="1"/>
  <c r="BI138" i="63" s="1"/>
  <c r="BI139" i="63" s="1"/>
  <c r="BI140" i="63" s="1"/>
  <c r="BI141" i="63" s="1"/>
  <c r="BI142" i="63" s="1"/>
  <c r="BI143" i="63" s="1"/>
  <c r="BI144" i="63" s="1"/>
  <c r="BI145" i="63" s="1"/>
  <c r="BI146" i="63" s="1"/>
  <c r="BI147" i="63" s="1"/>
  <c r="BI148" i="63" s="1"/>
  <c r="BI149" i="63" s="1"/>
  <c r="BI150" i="63" s="1"/>
  <c r="BI151" i="63" s="1"/>
  <c r="BI152" i="63" s="1"/>
  <c r="BI153" i="63" s="1"/>
  <c r="BI154" i="63" s="1"/>
  <c r="BI155" i="63" s="1"/>
  <c r="BI156" i="63" s="1"/>
  <c r="BI157" i="63" s="1"/>
  <c r="BI158" i="63" s="1"/>
  <c r="BI159" i="63" s="1"/>
  <c r="BI160" i="63" s="1"/>
  <c r="BI161" i="63" s="1"/>
  <c r="BI162" i="63" s="1"/>
  <c r="BI163" i="63" s="1"/>
  <c r="BI164" i="63" s="1"/>
  <c r="BI165" i="63" s="1"/>
  <c r="BI166" i="63" s="1"/>
  <c r="BI167" i="63" s="1"/>
  <c r="BI168" i="63" s="1"/>
  <c r="BI169" i="63" s="1"/>
  <c r="BI170" i="63" s="1"/>
  <c r="BI171" i="63" s="1"/>
  <c r="BI172" i="63" s="1"/>
  <c r="BI173" i="63" s="1"/>
  <c r="BI174" i="63" s="1"/>
  <c r="BI175" i="63" s="1"/>
  <c r="BI176" i="63" s="1"/>
  <c r="BI177" i="63" s="1"/>
  <c r="BI178" i="63" s="1"/>
  <c r="BI179" i="63" s="1"/>
  <c r="BI180" i="63" s="1"/>
  <c r="BI181" i="63" s="1"/>
  <c r="BI182" i="63" s="1"/>
  <c r="BI183" i="63" s="1"/>
  <c r="BI184" i="63" s="1"/>
  <c r="BI185" i="63" s="1"/>
  <c r="BI186" i="63" s="1"/>
  <c r="BI187" i="63" s="1"/>
  <c r="BI188" i="63" s="1"/>
  <c r="BI189" i="63" s="1"/>
  <c r="BI190" i="63" s="1"/>
  <c r="BI191" i="63" s="1"/>
  <c r="BI192" i="63" s="1"/>
  <c r="BI193" i="63" s="1"/>
  <c r="BI194" i="63" s="1"/>
  <c r="BI195" i="63" s="1"/>
  <c r="BI196" i="63" s="1"/>
  <c r="BI197" i="63" s="1"/>
  <c r="BI198" i="63" s="1"/>
  <c r="BI199" i="63" s="1"/>
  <c r="BI200" i="63" s="1"/>
  <c r="BI201" i="63" s="1"/>
  <c r="BI202" i="63" s="1"/>
  <c r="BI203" i="63" s="1"/>
  <c r="BI204" i="63" s="1"/>
  <c r="BI205" i="63" s="1"/>
  <c r="BI206" i="63" s="1"/>
  <c r="BI207" i="63" s="1"/>
  <c r="BI208" i="63" s="1"/>
  <c r="BI209" i="63" s="1"/>
  <c r="BI210" i="63" s="1"/>
  <c r="BI211" i="63" s="1"/>
  <c r="BI212" i="63" s="1"/>
  <c r="BI213" i="63" s="1"/>
  <c r="BI214" i="63" s="1"/>
  <c r="BI215" i="63" s="1"/>
  <c r="BI216" i="63" s="1"/>
  <c r="BI217" i="63" s="1"/>
  <c r="BI218" i="63" s="1"/>
  <c r="BI219" i="63" s="1"/>
  <c r="BI220" i="63" s="1"/>
  <c r="BI221" i="63" s="1"/>
  <c r="BI222" i="63" s="1"/>
  <c r="BI223" i="63" s="1"/>
  <c r="BI224" i="63" s="1"/>
  <c r="BI225" i="63" s="1"/>
  <c r="BI226" i="63" s="1"/>
  <c r="BI227" i="63" s="1"/>
  <c r="BI228" i="63" s="1"/>
  <c r="BI229" i="63" s="1"/>
  <c r="BI230" i="63" s="1"/>
  <c r="BI231" i="63" s="1"/>
  <c r="BI232" i="63" s="1"/>
  <c r="BI233" i="63" s="1"/>
  <c r="BI234" i="63" s="1"/>
  <c r="BI235" i="63" s="1"/>
  <c r="BI236" i="63" s="1"/>
  <c r="BI237" i="63" s="1"/>
  <c r="BI238" i="63" s="1"/>
  <c r="BI239" i="63" s="1"/>
  <c r="BI240" i="63" s="1"/>
  <c r="BI241" i="63" s="1"/>
  <c r="BI242" i="63" s="1"/>
  <c r="BI243" i="63" s="1"/>
  <c r="BI244" i="63" s="1"/>
  <c r="BI245" i="63" s="1"/>
  <c r="BI246" i="63" s="1"/>
  <c r="BI247" i="63" s="1"/>
  <c r="BI248" i="63" s="1"/>
  <c r="BI249" i="63" s="1"/>
  <c r="BI250" i="63" s="1"/>
  <c r="BI251" i="63" s="1"/>
  <c r="BI252" i="63" s="1"/>
  <c r="BI253" i="63" s="1"/>
  <c r="BI254" i="63" s="1"/>
  <c r="BI255" i="63" s="1"/>
  <c r="BI256" i="63" s="1"/>
  <c r="BI257" i="63" s="1"/>
  <c r="BI258" i="63" s="1"/>
  <c r="BI259" i="63" s="1"/>
  <c r="BI260" i="63" s="1"/>
  <c r="BI261" i="63" s="1"/>
  <c r="BI262" i="63" s="1"/>
  <c r="BI263" i="63" s="1"/>
  <c r="BI264" i="63" s="1"/>
  <c r="BI265" i="63" s="1"/>
  <c r="BI266" i="63" s="1"/>
  <c r="BI267" i="63" s="1"/>
  <c r="BI268" i="63" s="1"/>
  <c r="BI269" i="63" s="1"/>
  <c r="BI270" i="63" s="1"/>
  <c r="BI271" i="63" s="1"/>
  <c r="BI272" i="63" s="1"/>
  <c r="BI273" i="63" s="1"/>
  <c r="BI274" i="63" s="1"/>
  <c r="BI275" i="63" s="1"/>
  <c r="BI276" i="63" s="1"/>
  <c r="BI277" i="63" s="1"/>
  <c r="BI278" i="63" s="1"/>
  <c r="BI279" i="63" s="1"/>
  <c r="BI280" i="63" s="1"/>
  <c r="BI281" i="63" s="1"/>
  <c r="BI282" i="63" s="1"/>
  <c r="BI283" i="63" s="1"/>
  <c r="BI284" i="63" s="1"/>
  <c r="BI285" i="63" s="1"/>
  <c r="BI286" i="63" s="1"/>
  <c r="BI287" i="63" s="1"/>
  <c r="BI288" i="63" s="1"/>
  <c r="BI289" i="63" s="1"/>
  <c r="BI290" i="63" s="1"/>
  <c r="BI291" i="63" s="1"/>
  <c r="BI292" i="63" s="1"/>
  <c r="BI293" i="63" s="1"/>
  <c r="BI294" i="63" s="1"/>
  <c r="BI295" i="63" s="1"/>
  <c r="BI296" i="63" s="1"/>
  <c r="BI297" i="63" s="1"/>
  <c r="BI298" i="63" s="1"/>
  <c r="BI299" i="63" s="1"/>
  <c r="BI300" i="63" s="1"/>
  <c r="BI301" i="63" s="1"/>
  <c r="BI302" i="63" s="1"/>
  <c r="BI303" i="63" s="1"/>
  <c r="BI304" i="63" s="1"/>
  <c r="BI305" i="63" s="1"/>
  <c r="BI306" i="63" s="1"/>
  <c r="BI307" i="63" s="1"/>
  <c r="BI308" i="63" s="1"/>
  <c r="BE9" i="63"/>
  <c r="BE10" i="63" s="1"/>
  <c r="BE11" i="63" s="1"/>
  <c r="BE12" i="63" s="1"/>
  <c r="BE13" i="63" s="1"/>
  <c r="BE14" i="63" s="1"/>
  <c r="BE15" i="63" s="1"/>
  <c r="BE16" i="63" s="1"/>
  <c r="BE17" i="63" s="1"/>
  <c r="BE18" i="63" s="1"/>
  <c r="BE19" i="63" s="1"/>
  <c r="BE20" i="63" s="1"/>
  <c r="BE21" i="63" s="1"/>
  <c r="BE22" i="63" s="1"/>
  <c r="BE23" i="63" s="1"/>
  <c r="BE24" i="63" s="1"/>
  <c r="BE25" i="63" s="1"/>
  <c r="BE26" i="63" s="1"/>
  <c r="BE27" i="63" s="1"/>
  <c r="BE28" i="63" s="1"/>
  <c r="BE29" i="63" s="1"/>
  <c r="BE30" i="63" s="1"/>
  <c r="BE31" i="63" s="1"/>
  <c r="BE32" i="63" s="1"/>
  <c r="BE33" i="63" s="1"/>
  <c r="BE34" i="63" s="1"/>
  <c r="BE35" i="63" s="1"/>
  <c r="BE36" i="63" s="1"/>
  <c r="BE37" i="63" s="1"/>
  <c r="BE38" i="63" s="1"/>
  <c r="BE39" i="63" s="1"/>
  <c r="BE40" i="63" s="1"/>
  <c r="BE41" i="63" s="1"/>
  <c r="BE42" i="63" s="1"/>
  <c r="BE43" i="63" s="1"/>
  <c r="BE44" i="63" s="1"/>
  <c r="BE45" i="63" s="1"/>
  <c r="BE46" i="63" s="1"/>
  <c r="BE47" i="63" s="1"/>
  <c r="BE48" i="63" s="1"/>
  <c r="BE49" i="63" s="1"/>
  <c r="BE50" i="63" s="1"/>
  <c r="BE51" i="63" s="1"/>
  <c r="BE52" i="63" s="1"/>
  <c r="BE53" i="63" s="1"/>
  <c r="BE54" i="63" s="1"/>
  <c r="BE55" i="63" s="1"/>
  <c r="BE56" i="63" s="1"/>
  <c r="BE57" i="63" s="1"/>
  <c r="BE58" i="63" s="1"/>
  <c r="BE59" i="63" s="1"/>
  <c r="BE60" i="63" s="1"/>
  <c r="BE61" i="63" s="1"/>
  <c r="BE62" i="63" s="1"/>
  <c r="BE63" i="63" s="1"/>
  <c r="BE64" i="63" s="1"/>
  <c r="BE65" i="63" s="1"/>
  <c r="BE66" i="63" s="1"/>
  <c r="BE67" i="63" s="1"/>
  <c r="BE68" i="63" s="1"/>
  <c r="BE69" i="63" s="1"/>
  <c r="BE70" i="63" s="1"/>
  <c r="BE71" i="63" s="1"/>
  <c r="BE72" i="63" s="1"/>
  <c r="BE73" i="63" s="1"/>
  <c r="BE74" i="63" s="1"/>
  <c r="BE75" i="63" s="1"/>
  <c r="BE76" i="63" s="1"/>
  <c r="BE77" i="63" s="1"/>
  <c r="BE78" i="63" s="1"/>
  <c r="BE79" i="63" s="1"/>
  <c r="BE80" i="63" s="1"/>
  <c r="BE81" i="63" s="1"/>
  <c r="BE82" i="63" s="1"/>
  <c r="BE83" i="63" s="1"/>
  <c r="BE84" i="63" s="1"/>
  <c r="BE85" i="63" s="1"/>
  <c r="BE86" i="63" s="1"/>
  <c r="BE87" i="63" s="1"/>
  <c r="BE88" i="63" s="1"/>
  <c r="BE89" i="63" s="1"/>
  <c r="BE90" i="63" s="1"/>
  <c r="BE91" i="63" s="1"/>
  <c r="BE92" i="63" s="1"/>
  <c r="BE93" i="63" s="1"/>
  <c r="BE94" i="63" s="1"/>
  <c r="BE95" i="63" s="1"/>
  <c r="BE96" i="63" s="1"/>
  <c r="BE97" i="63" s="1"/>
  <c r="BE98" i="63" s="1"/>
  <c r="BE99" i="63" s="1"/>
  <c r="BE100" i="63" s="1"/>
  <c r="BE101" i="63" s="1"/>
  <c r="BE102" i="63" s="1"/>
  <c r="BE103" i="63" s="1"/>
  <c r="BE104" i="63" s="1"/>
  <c r="BE105" i="63" s="1"/>
  <c r="BE106" i="63" s="1"/>
  <c r="BE107" i="63" s="1"/>
  <c r="BE108" i="63" s="1"/>
  <c r="BE109" i="63" s="1"/>
  <c r="BE110" i="63" s="1"/>
  <c r="BE111" i="63" s="1"/>
  <c r="BE112" i="63" s="1"/>
  <c r="BE113" i="63" s="1"/>
  <c r="BE114" i="63" s="1"/>
  <c r="BE115" i="63" s="1"/>
  <c r="BE116" i="63" s="1"/>
  <c r="BE117" i="63" s="1"/>
  <c r="BE118" i="63" s="1"/>
  <c r="BE119" i="63" s="1"/>
  <c r="BE120" i="63" s="1"/>
  <c r="BE121" i="63" s="1"/>
  <c r="BE122" i="63" s="1"/>
  <c r="BE123" i="63" s="1"/>
  <c r="BE124" i="63" s="1"/>
  <c r="BE125" i="63" s="1"/>
  <c r="BE126" i="63" s="1"/>
  <c r="BE127" i="63" s="1"/>
  <c r="BE128" i="63" s="1"/>
  <c r="BE129" i="63" s="1"/>
  <c r="BE130" i="63" s="1"/>
  <c r="BE131" i="63" s="1"/>
  <c r="BE132" i="63" s="1"/>
  <c r="BE133" i="63" s="1"/>
  <c r="BE134" i="63" s="1"/>
  <c r="BE135" i="63" s="1"/>
  <c r="BE136" i="63" s="1"/>
  <c r="BE137" i="63" s="1"/>
  <c r="BE138" i="63" s="1"/>
  <c r="BE139" i="63" s="1"/>
  <c r="BE140" i="63" s="1"/>
  <c r="BE141" i="63" s="1"/>
  <c r="BE142" i="63" s="1"/>
  <c r="BE143" i="63" s="1"/>
  <c r="BE144" i="63" s="1"/>
  <c r="BE145" i="63" s="1"/>
  <c r="BE146" i="63" s="1"/>
  <c r="BE147" i="63" s="1"/>
  <c r="BE148" i="63" s="1"/>
  <c r="BE149" i="63" s="1"/>
  <c r="BE150" i="63" s="1"/>
  <c r="BE151" i="63" s="1"/>
  <c r="BE152" i="63" s="1"/>
  <c r="BE153" i="63" s="1"/>
  <c r="BE154" i="63" s="1"/>
  <c r="BE155" i="63" s="1"/>
  <c r="BE156" i="63" s="1"/>
  <c r="BE157" i="63" s="1"/>
  <c r="BE158" i="63" s="1"/>
  <c r="BE159" i="63" s="1"/>
  <c r="BE160" i="63" s="1"/>
  <c r="BE161" i="63" s="1"/>
  <c r="BE162" i="63" s="1"/>
  <c r="BE163" i="63" s="1"/>
  <c r="BE164" i="63" s="1"/>
  <c r="BE165" i="63" s="1"/>
  <c r="BE166" i="63" s="1"/>
  <c r="BE167" i="63" s="1"/>
  <c r="BE168" i="63" s="1"/>
  <c r="BE169" i="63" s="1"/>
  <c r="BE170" i="63" s="1"/>
  <c r="BE171" i="63" s="1"/>
  <c r="BE172" i="63" s="1"/>
  <c r="BE173" i="63" s="1"/>
  <c r="BE174" i="63" s="1"/>
  <c r="BE175" i="63" s="1"/>
  <c r="BE176" i="63" s="1"/>
  <c r="BE177" i="63" s="1"/>
  <c r="BE178" i="63" s="1"/>
  <c r="BE179" i="63" s="1"/>
  <c r="BE180" i="63" s="1"/>
  <c r="BE181" i="63" s="1"/>
  <c r="BE182" i="63" s="1"/>
  <c r="BE183" i="63" s="1"/>
  <c r="BE184" i="63" s="1"/>
  <c r="BE185" i="63" s="1"/>
  <c r="BE186" i="63" s="1"/>
  <c r="BE187" i="63" s="1"/>
  <c r="BE188" i="63" s="1"/>
  <c r="BE189" i="63" s="1"/>
  <c r="BE190" i="63" s="1"/>
  <c r="BE191" i="63" s="1"/>
  <c r="BE192" i="63" s="1"/>
  <c r="BE193" i="63" s="1"/>
  <c r="BE194" i="63" s="1"/>
  <c r="BE195" i="63" s="1"/>
  <c r="BE196" i="63" s="1"/>
  <c r="BE197" i="63" s="1"/>
  <c r="BE198" i="63" s="1"/>
  <c r="BE199" i="63" s="1"/>
  <c r="BE200" i="63" s="1"/>
  <c r="BE201" i="63" s="1"/>
  <c r="BE202" i="63" s="1"/>
  <c r="BE203" i="63" s="1"/>
  <c r="BE204" i="63" s="1"/>
  <c r="BE205" i="63" s="1"/>
  <c r="BE206" i="63" s="1"/>
  <c r="BE207" i="63" s="1"/>
  <c r="BE208" i="63" s="1"/>
  <c r="BE209" i="63" s="1"/>
  <c r="BE210" i="63" s="1"/>
  <c r="BE211" i="63" s="1"/>
  <c r="BE212" i="63" s="1"/>
  <c r="BE213" i="63" s="1"/>
  <c r="BE214" i="63" s="1"/>
  <c r="BE215" i="63" s="1"/>
  <c r="BE216" i="63" s="1"/>
  <c r="BE217" i="63" s="1"/>
  <c r="BE218" i="63" s="1"/>
  <c r="BE219" i="63" s="1"/>
  <c r="BE220" i="63" s="1"/>
  <c r="BE221" i="63" s="1"/>
  <c r="BE222" i="63" s="1"/>
  <c r="BE223" i="63" s="1"/>
  <c r="BE224" i="63" s="1"/>
  <c r="BE225" i="63" s="1"/>
  <c r="BE226" i="63" s="1"/>
  <c r="BE227" i="63" s="1"/>
  <c r="BE228" i="63" s="1"/>
  <c r="BE229" i="63" s="1"/>
  <c r="BE230" i="63" s="1"/>
  <c r="BE231" i="63" s="1"/>
  <c r="BE232" i="63" s="1"/>
  <c r="BE233" i="63" s="1"/>
  <c r="BE234" i="63" s="1"/>
  <c r="BE235" i="63" s="1"/>
  <c r="BE236" i="63" s="1"/>
  <c r="BE237" i="63" s="1"/>
  <c r="BE238" i="63" s="1"/>
  <c r="BE239" i="63" s="1"/>
  <c r="BE240" i="63" s="1"/>
  <c r="BE241" i="63" s="1"/>
  <c r="BE242" i="63" s="1"/>
  <c r="BE243" i="63" s="1"/>
  <c r="BE244" i="63" s="1"/>
  <c r="BE245" i="63" s="1"/>
  <c r="BE246" i="63" s="1"/>
  <c r="BE247" i="63" s="1"/>
  <c r="BE248" i="63" s="1"/>
  <c r="BE249" i="63" s="1"/>
  <c r="BE250" i="63" s="1"/>
  <c r="BE251" i="63" s="1"/>
  <c r="BE252" i="63" s="1"/>
  <c r="BE253" i="63" s="1"/>
  <c r="BE254" i="63" s="1"/>
  <c r="BE255" i="63" s="1"/>
  <c r="BE256" i="63" s="1"/>
  <c r="BE257" i="63" s="1"/>
  <c r="BE258" i="63" s="1"/>
  <c r="BE259" i="63" s="1"/>
  <c r="BE260" i="63" s="1"/>
  <c r="BE261" i="63" s="1"/>
  <c r="BE262" i="63" s="1"/>
  <c r="BE263" i="63" s="1"/>
  <c r="BE264" i="63" s="1"/>
  <c r="BE265" i="63" s="1"/>
  <c r="BE266" i="63" s="1"/>
  <c r="BE267" i="63" s="1"/>
  <c r="BE268" i="63" s="1"/>
  <c r="BE269" i="63" s="1"/>
  <c r="BE270" i="63" s="1"/>
  <c r="BE271" i="63" s="1"/>
  <c r="BE272" i="63" s="1"/>
  <c r="BE273" i="63" s="1"/>
  <c r="BE274" i="63" s="1"/>
  <c r="BE275" i="63" s="1"/>
  <c r="BE276" i="63" s="1"/>
  <c r="BE277" i="63" s="1"/>
  <c r="BE278" i="63" s="1"/>
  <c r="BE279" i="63" s="1"/>
  <c r="BE280" i="63" s="1"/>
  <c r="BE281" i="63" s="1"/>
  <c r="BE282" i="63" s="1"/>
  <c r="BE283" i="63" s="1"/>
  <c r="BE284" i="63" s="1"/>
  <c r="BE285" i="63" s="1"/>
  <c r="BE286" i="63" s="1"/>
  <c r="BE287" i="63" s="1"/>
  <c r="BE288" i="63" s="1"/>
  <c r="BE289" i="63" s="1"/>
  <c r="BE290" i="63" s="1"/>
  <c r="BE291" i="63" s="1"/>
  <c r="BE292" i="63" s="1"/>
  <c r="BE293" i="63" s="1"/>
  <c r="BE294" i="63" s="1"/>
  <c r="BE295" i="63" s="1"/>
  <c r="BE296" i="63" s="1"/>
  <c r="BE297" i="63" s="1"/>
  <c r="BE298" i="63" s="1"/>
  <c r="BE299" i="63" s="1"/>
  <c r="BE300" i="63" s="1"/>
  <c r="BE301" i="63" s="1"/>
  <c r="BE302" i="63" s="1"/>
  <c r="BE303" i="63" s="1"/>
  <c r="BE304" i="63" s="1"/>
  <c r="BE305" i="63" s="1"/>
  <c r="BE306" i="63" s="1"/>
  <c r="BE307" i="63" s="1"/>
  <c r="BE308" i="63" s="1"/>
  <c r="BA9" i="63"/>
  <c r="BA10" i="63" s="1"/>
  <c r="BA11" i="63" s="1"/>
  <c r="BA12" i="63" s="1"/>
  <c r="BA13" i="63" s="1"/>
  <c r="BA14" i="63" s="1"/>
  <c r="BA15" i="63" s="1"/>
  <c r="BA16" i="63" s="1"/>
  <c r="BA17" i="63" s="1"/>
  <c r="BA18" i="63" s="1"/>
  <c r="BA19" i="63" s="1"/>
  <c r="BA20" i="63" s="1"/>
  <c r="BA21" i="63" s="1"/>
  <c r="BA22" i="63" s="1"/>
  <c r="BA23" i="63" s="1"/>
  <c r="BA24" i="63" s="1"/>
  <c r="BA25" i="63" s="1"/>
  <c r="BA26" i="63" s="1"/>
  <c r="BA27" i="63" s="1"/>
  <c r="BA28" i="63" s="1"/>
  <c r="BA29" i="63" s="1"/>
  <c r="BA30" i="63" s="1"/>
  <c r="BA31" i="63" s="1"/>
  <c r="BA32" i="63" s="1"/>
  <c r="BA33" i="63" s="1"/>
  <c r="BA34" i="63" s="1"/>
  <c r="BA35" i="63" s="1"/>
  <c r="BA36" i="63" s="1"/>
  <c r="BA37" i="63" s="1"/>
  <c r="BA38" i="63" s="1"/>
  <c r="BA39" i="63" s="1"/>
  <c r="BA40" i="63" s="1"/>
  <c r="BA41" i="63" s="1"/>
  <c r="BA42" i="63" s="1"/>
  <c r="BA43" i="63" s="1"/>
  <c r="BA44" i="63" s="1"/>
  <c r="BA45" i="63" s="1"/>
  <c r="BA46" i="63" s="1"/>
  <c r="BA47" i="63" s="1"/>
  <c r="BA48" i="63" s="1"/>
  <c r="BA49" i="63" s="1"/>
  <c r="BA50" i="63" s="1"/>
  <c r="BA51" i="63" s="1"/>
  <c r="BA52" i="63" s="1"/>
  <c r="BA53" i="63" s="1"/>
  <c r="BA54" i="63" s="1"/>
  <c r="BA55" i="63" s="1"/>
  <c r="BA56" i="63" s="1"/>
  <c r="BA57" i="63" s="1"/>
  <c r="BA58" i="63" s="1"/>
  <c r="BA59" i="63" s="1"/>
  <c r="BA60" i="63" s="1"/>
  <c r="BA61" i="63" s="1"/>
  <c r="BA62" i="63" s="1"/>
  <c r="BA63" i="63" s="1"/>
  <c r="BA64" i="63" s="1"/>
  <c r="BA65" i="63" s="1"/>
  <c r="BA66" i="63" s="1"/>
  <c r="BA67" i="63" s="1"/>
  <c r="BA68" i="63" s="1"/>
  <c r="BA69" i="63" s="1"/>
  <c r="BA70" i="63" s="1"/>
  <c r="BA71" i="63" s="1"/>
  <c r="BA72" i="63" s="1"/>
  <c r="BA73" i="63" s="1"/>
  <c r="BA74" i="63" s="1"/>
  <c r="BA75" i="63" s="1"/>
  <c r="BA76" i="63" s="1"/>
  <c r="BA77" i="63" s="1"/>
  <c r="BA78" i="63" s="1"/>
  <c r="BA79" i="63" s="1"/>
  <c r="BA80" i="63" s="1"/>
  <c r="BA81" i="63" s="1"/>
  <c r="BA82" i="63" s="1"/>
  <c r="BA83" i="63" s="1"/>
  <c r="BA84" i="63" s="1"/>
  <c r="BA85" i="63" s="1"/>
  <c r="BA86" i="63" s="1"/>
  <c r="BA87" i="63" s="1"/>
  <c r="BA88" i="63" s="1"/>
  <c r="BA89" i="63" s="1"/>
  <c r="BA90" i="63" s="1"/>
  <c r="BA91" i="63" s="1"/>
  <c r="BA92" i="63" s="1"/>
  <c r="BA93" i="63" s="1"/>
  <c r="BA94" i="63" s="1"/>
  <c r="BA95" i="63" s="1"/>
  <c r="BA96" i="63" s="1"/>
  <c r="BA97" i="63" s="1"/>
  <c r="BA98" i="63" s="1"/>
  <c r="BA99" i="63" s="1"/>
  <c r="BA100" i="63" s="1"/>
  <c r="BA101" i="63" s="1"/>
  <c r="BA102" i="63" s="1"/>
  <c r="BA103" i="63" s="1"/>
  <c r="BA104" i="63" s="1"/>
  <c r="BA105" i="63" s="1"/>
  <c r="BA106" i="63" s="1"/>
  <c r="BA107" i="63" s="1"/>
  <c r="BA108" i="63" s="1"/>
  <c r="BA109" i="63" s="1"/>
  <c r="BA110" i="63" s="1"/>
  <c r="BA111" i="63" s="1"/>
  <c r="BA112" i="63" s="1"/>
  <c r="BA113" i="63" s="1"/>
  <c r="BA114" i="63" s="1"/>
  <c r="BA115" i="63" s="1"/>
  <c r="BA116" i="63" s="1"/>
  <c r="BA117" i="63" s="1"/>
  <c r="BA118" i="63" s="1"/>
  <c r="BA119" i="63" s="1"/>
  <c r="BA120" i="63" s="1"/>
  <c r="BA121" i="63" s="1"/>
  <c r="BA122" i="63" s="1"/>
  <c r="BA123" i="63" s="1"/>
  <c r="BA124" i="63" s="1"/>
  <c r="BA125" i="63" s="1"/>
  <c r="BA126" i="63" s="1"/>
  <c r="BA127" i="63" s="1"/>
  <c r="BA128" i="63" s="1"/>
  <c r="BA129" i="63" s="1"/>
  <c r="BA130" i="63" s="1"/>
  <c r="BA131" i="63" s="1"/>
  <c r="BA132" i="63" s="1"/>
  <c r="BA133" i="63" s="1"/>
  <c r="BA134" i="63" s="1"/>
  <c r="BA135" i="63" s="1"/>
  <c r="BA136" i="63" s="1"/>
  <c r="BA137" i="63" s="1"/>
  <c r="BA138" i="63" s="1"/>
  <c r="BA139" i="63" s="1"/>
  <c r="BA140" i="63" s="1"/>
  <c r="BA141" i="63" s="1"/>
  <c r="BA142" i="63" s="1"/>
  <c r="BA143" i="63" s="1"/>
  <c r="BA144" i="63" s="1"/>
  <c r="BA145" i="63" s="1"/>
  <c r="BA146" i="63" s="1"/>
  <c r="BA147" i="63" s="1"/>
  <c r="BA148" i="63" s="1"/>
  <c r="BA149" i="63" s="1"/>
  <c r="BA150" i="63" s="1"/>
  <c r="BA151" i="63" s="1"/>
  <c r="BA152" i="63" s="1"/>
  <c r="BA153" i="63" s="1"/>
  <c r="BA154" i="63" s="1"/>
  <c r="BA155" i="63" s="1"/>
  <c r="BA156" i="63" s="1"/>
  <c r="BA157" i="63" s="1"/>
  <c r="BA158" i="63" s="1"/>
  <c r="BA159" i="63" s="1"/>
  <c r="BA160" i="63" s="1"/>
  <c r="BA161" i="63" s="1"/>
  <c r="BA162" i="63" s="1"/>
  <c r="BA163" i="63" s="1"/>
  <c r="BA164" i="63" s="1"/>
  <c r="BA165" i="63" s="1"/>
  <c r="BA166" i="63" s="1"/>
  <c r="BA167" i="63" s="1"/>
  <c r="BA168" i="63" s="1"/>
  <c r="BA169" i="63" s="1"/>
  <c r="BA170" i="63" s="1"/>
  <c r="BA171" i="63" s="1"/>
  <c r="BA172" i="63" s="1"/>
  <c r="BA173" i="63" s="1"/>
  <c r="BA174" i="63" s="1"/>
  <c r="BA175" i="63" s="1"/>
  <c r="BA176" i="63" s="1"/>
  <c r="BA177" i="63" s="1"/>
  <c r="BA178" i="63" s="1"/>
  <c r="BA179" i="63" s="1"/>
  <c r="BA180" i="63" s="1"/>
  <c r="BA181" i="63" s="1"/>
  <c r="BA182" i="63" s="1"/>
  <c r="BA183" i="63" s="1"/>
  <c r="BA184" i="63" s="1"/>
  <c r="BA185" i="63" s="1"/>
  <c r="BA186" i="63" s="1"/>
  <c r="BA187" i="63" s="1"/>
  <c r="BA188" i="63" s="1"/>
  <c r="BA189" i="63" s="1"/>
  <c r="BA190" i="63" s="1"/>
  <c r="BA191" i="63" s="1"/>
  <c r="BA192" i="63" s="1"/>
  <c r="BA193" i="63" s="1"/>
  <c r="BA194" i="63" s="1"/>
  <c r="BA195" i="63" s="1"/>
  <c r="BA196" i="63" s="1"/>
  <c r="BA197" i="63" s="1"/>
  <c r="BA198" i="63" s="1"/>
  <c r="BA199" i="63" s="1"/>
  <c r="BA200" i="63" s="1"/>
  <c r="BA201" i="63" s="1"/>
  <c r="BA202" i="63" s="1"/>
  <c r="BA203" i="63" s="1"/>
  <c r="BA204" i="63" s="1"/>
  <c r="BA205" i="63" s="1"/>
  <c r="BA206" i="63" s="1"/>
  <c r="BA207" i="63" s="1"/>
  <c r="BA208" i="63" s="1"/>
  <c r="BA209" i="63" s="1"/>
  <c r="BA210" i="63" s="1"/>
  <c r="BA211" i="63" s="1"/>
  <c r="BA212" i="63" s="1"/>
  <c r="BA213" i="63" s="1"/>
  <c r="BA214" i="63" s="1"/>
  <c r="BA215" i="63" s="1"/>
  <c r="BA216" i="63" s="1"/>
  <c r="BA217" i="63" s="1"/>
  <c r="BA218" i="63" s="1"/>
  <c r="BA219" i="63" s="1"/>
  <c r="BA220" i="63" s="1"/>
  <c r="BA221" i="63" s="1"/>
  <c r="BA222" i="63" s="1"/>
  <c r="BA223" i="63" s="1"/>
  <c r="BA224" i="63" s="1"/>
  <c r="BA225" i="63" s="1"/>
  <c r="BA226" i="63" s="1"/>
  <c r="BA227" i="63" s="1"/>
  <c r="BA228" i="63" s="1"/>
  <c r="BA229" i="63" s="1"/>
  <c r="BA230" i="63" s="1"/>
  <c r="BA231" i="63" s="1"/>
  <c r="BA232" i="63" s="1"/>
  <c r="BA233" i="63" s="1"/>
  <c r="BA234" i="63" s="1"/>
  <c r="BA235" i="63" s="1"/>
  <c r="BA236" i="63" s="1"/>
  <c r="BA237" i="63" s="1"/>
  <c r="BA238" i="63" s="1"/>
  <c r="BA239" i="63" s="1"/>
  <c r="BA240" i="63" s="1"/>
  <c r="BA241" i="63" s="1"/>
  <c r="BA242" i="63" s="1"/>
  <c r="BA243" i="63" s="1"/>
  <c r="BA244" i="63" s="1"/>
  <c r="BA245" i="63" s="1"/>
  <c r="BA246" i="63" s="1"/>
  <c r="BA247" i="63" s="1"/>
  <c r="BA248" i="63" s="1"/>
  <c r="BA249" i="63" s="1"/>
  <c r="BA250" i="63" s="1"/>
  <c r="BA251" i="63" s="1"/>
  <c r="BA252" i="63" s="1"/>
  <c r="BA253" i="63" s="1"/>
  <c r="BA254" i="63" s="1"/>
  <c r="BA255" i="63" s="1"/>
  <c r="BA256" i="63" s="1"/>
  <c r="BA257" i="63" s="1"/>
  <c r="BA258" i="63" s="1"/>
  <c r="BA259" i="63" s="1"/>
  <c r="BA260" i="63" s="1"/>
  <c r="BA261" i="63" s="1"/>
  <c r="BA262" i="63" s="1"/>
  <c r="BA263" i="63" s="1"/>
  <c r="BA264" i="63" s="1"/>
  <c r="BA265" i="63" s="1"/>
  <c r="BA266" i="63" s="1"/>
  <c r="BA267" i="63" s="1"/>
  <c r="BA268" i="63" s="1"/>
  <c r="BA269" i="63" s="1"/>
  <c r="BA270" i="63" s="1"/>
  <c r="BA271" i="63" s="1"/>
  <c r="BA272" i="63" s="1"/>
  <c r="BA273" i="63" s="1"/>
  <c r="BA274" i="63" s="1"/>
  <c r="BA275" i="63" s="1"/>
  <c r="BA276" i="63" s="1"/>
  <c r="BA277" i="63" s="1"/>
  <c r="BA278" i="63" s="1"/>
  <c r="BA279" i="63" s="1"/>
  <c r="BA280" i="63" s="1"/>
  <c r="BA281" i="63" s="1"/>
  <c r="BA282" i="63" s="1"/>
  <c r="BA283" i="63" s="1"/>
  <c r="BA284" i="63" s="1"/>
  <c r="BA285" i="63" s="1"/>
  <c r="BA286" i="63" s="1"/>
  <c r="BA287" i="63" s="1"/>
  <c r="BA288" i="63" s="1"/>
  <c r="BA289" i="63" s="1"/>
  <c r="BA290" i="63" s="1"/>
  <c r="BA291" i="63" s="1"/>
  <c r="BA292" i="63" s="1"/>
  <c r="BA293" i="63" s="1"/>
  <c r="BA294" i="63" s="1"/>
  <c r="BA295" i="63" s="1"/>
  <c r="BA296" i="63" s="1"/>
  <c r="BA297" i="63" s="1"/>
  <c r="BA298" i="63" s="1"/>
  <c r="BA299" i="63" s="1"/>
  <c r="BA300" i="63" s="1"/>
  <c r="BA301" i="63" s="1"/>
  <c r="BA302" i="63" s="1"/>
  <c r="BA303" i="63" s="1"/>
  <c r="BA304" i="63" s="1"/>
  <c r="BA305" i="63" s="1"/>
  <c r="BA306" i="63" s="1"/>
  <c r="BA307" i="63" s="1"/>
  <c r="BA308" i="63" s="1"/>
  <c r="AZ9" i="63"/>
  <c r="AZ10" i="63" s="1"/>
  <c r="AZ11" i="63" s="1"/>
  <c r="AZ12" i="63" s="1"/>
  <c r="AZ13" i="63" s="1"/>
  <c r="AZ14" i="63" s="1"/>
  <c r="AZ15" i="63" s="1"/>
  <c r="AZ16" i="63" s="1"/>
  <c r="AZ17" i="63" s="1"/>
  <c r="AZ18" i="63" s="1"/>
  <c r="AZ19" i="63" s="1"/>
  <c r="AZ20" i="63" s="1"/>
  <c r="AZ21" i="63" s="1"/>
  <c r="AZ22" i="63" s="1"/>
  <c r="AZ23" i="63" s="1"/>
  <c r="AZ24" i="63" s="1"/>
  <c r="AZ25" i="63" s="1"/>
  <c r="AZ26" i="63" s="1"/>
  <c r="AZ27" i="63" s="1"/>
  <c r="AZ28" i="63" s="1"/>
  <c r="AZ29" i="63" s="1"/>
  <c r="AZ30" i="63" s="1"/>
  <c r="AZ31" i="63" s="1"/>
  <c r="AZ32" i="63" s="1"/>
  <c r="AZ33" i="63" s="1"/>
  <c r="AZ34" i="63" s="1"/>
  <c r="AZ35" i="63" s="1"/>
  <c r="AZ36" i="63" s="1"/>
  <c r="AZ37" i="63" s="1"/>
  <c r="AZ38" i="63" s="1"/>
  <c r="AZ39" i="63" s="1"/>
  <c r="AZ40" i="63" s="1"/>
  <c r="AZ41" i="63" s="1"/>
  <c r="AZ42" i="63" s="1"/>
  <c r="AZ43" i="63" s="1"/>
  <c r="AZ44" i="63" s="1"/>
  <c r="AZ45" i="63" s="1"/>
  <c r="AZ46" i="63" s="1"/>
  <c r="AZ47" i="63" s="1"/>
  <c r="AZ48" i="63" s="1"/>
  <c r="AZ49" i="63" s="1"/>
  <c r="AZ50" i="63" s="1"/>
  <c r="AZ51" i="63" s="1"/>
  <c r="AZ52" i="63" s="1"/>
  <c r="AZ53" i="63" s="1"/>
  <c r="AZ54" i="63" s="1"/>
  <c r="AZ55" i="63" s="1"/>
  <c r="AZ56" i="63" s="1"/>
  <c r="AZ57" i="63" s="1"/>
  <c r="AZ58" i="63" s="1"/>
  <c r="AZ59" i="63" s="1"/>
  <c r="AZ60" i="63" s="1"/>
  <c r="AZ61" i="63" s="1"/>
  <c r="AZ62" i="63" s="1"/>
  <c r="AZ63" i="63" s="1"/>
  <c r="AZ64" i="63" s="1"/>
  <c r="AZ65" i="63" s="1"/>
  <c r="AZ66" i="63" s="1"/>
  <c r="AZ67" i="63" s="1"/>
  <c r="AZ68" i="63" s="1"/>
  <c r="AZ69" i="63" s="1"/>
  <c r="AZ70" i="63" s="1"/>
  <c r="AZ71" i="63" s="1"/>
  <c r="AZ72" i="63" s="1"/>
  <c r="AZ73" i="63" s="1"/>
  <c r="AZ74" i="63" s="1"/>
  <c r="AZ75" i="63" s="1"/>
  <c r="AZ76" i="63" s="1"/>
  <c r="AZ77" i="63" s="1"/>
  <c r="AZ78" i="63" s="1"/>
  <c r="AZ79" i="63" s="1"/>
  <c r="AZ80" i="63" s="1"/>
  <c r="AZ81" i="63" s="1"/>
  <c r="AZ82" i="63" s="1"/>
  <c r="AZ83" i="63" s="1"/>
  <c r="AZ84" i="63" s="1"/>
  <c r="AZ85" i="63" s="1"/>
  <c r="AZ86" i="63" s="1"/>
  <c r="AZ87" i="63" s="1"/>
  <c r="AZ88" i="63" s="1"/>
  <c r="AZ89" i="63" s="1"/>
  <c r="AZ90" i="63" s="1"/>
  <c r="AZ91" i="63" s="1"/>
  <c r="AZ92" i="63" s="1"/>
  <c r="AZ93" i="63" s="1"/>
  <c r="AZ94" i="63" s="1"/>
  <c r="AZ95" i="63" s="1"/>
  <c r="AZ96" i="63" s="1"/>
  <c r="AZ97" i="63" s="1"/>
  <c r="AZ98" i="63" s="1"/>
  <c r="AZ99" i="63" s="1"/>
  <c r="AZ100" i="63" s="1"/>
  <c r="AZ101" i="63" s="1"/>
  <c r="AZ102" i="63" s="1"/>
  <c r="AZ103" i="63" s="1"/>
  <c r="AZ104" i="63" s="1"/>
  <c r="AZ105" i="63" s="1"/>
  <c r="AZ106" i="63" s="1"/>
  <c r="AZ107" i="63" s="1"/>
  <c r="AZ108" i="63" s="1"/>
  <c r="AZ109" i="63" s="1"/>
  <c r="AZ110" i="63" s="1"/>
  <c r="AZ111" i="63" s="1"/>
  <c r="AZ112" i="63" s="1"/>
  <c r="AZ113" i="63" s="1"/>
  <c r="AZ114" i="63" s="1"/>
  <c r="AZ115" i="63" s="1"/>
  <c r="AZ116" i="63" s="1"/>
  <c r="AZ117" i="63" s="1"/>
  <c r="AZ118" i="63" s="1"/>
  <c r="AZ119" i="63" s="1"/>
  <c r="AZ120" i="63" s="1"/>
  <c r="AZ121" i="63" s="1"/>
  <c r="AZ122" i="63" s="1"/>
  <c r="AZ123" i="63" s="1"/>
  <c r="AZ124" i="63" s="1"/>
  <c r="AZ125" i="63" s="1"/>
  <c r="AZ126" i="63" s="1"/>
  <c r="AZ127" i="63" s="1"/>
  <c r="AZ128" i="63" s="1"/>
  <c r="AZ129" i="63" s="1"/>
  <c r="AZ130" i="63" s="1"/>
  <c r="AZ131" i="63" s="1"/>
  <c r="AZ132" i="63" s="1"/>
  <c r="AZ133" i="63" s="1"/>
  <c r="AZ134" i="63" s="1"/>
  <c r="AZ135" i="63" s="1"/>
  <c r="AZ136" i="63" s="1"/>
  <c r="AZ137" i="63" s="1"/>
  <c r="AZ138" i="63" s="1"/>
  <c r="AZ139" i="63" s="1"/>
  <c r="AZ140" i="63" s="1"/>
  <c r="AZ141" i="63" s="1"/>
  <c r="AZ142" i="63" s="1"/>
  <c r="AZ143" i="63" s="1"/>
  <c r="AZ144" i="63" s="1"/>
  <c r="AZ145" i="63" s="1"/>
  <c r="AZ146" i="63" s="1"/>
  <c r="AZ147" i="63" s="1"/>
  <c r="AZ148" i="63" s="1"/>
  <c r="AZ149" i="63" s="1"/>
  <c r="AZ150" i="63" s="1"/>
  <c r="AZ151" i="63" s="1"/>
  <c r="AZ152" i="63" s="1"/>
  <c r="AZ153" i="63" s="1"/>
  <c r="AZ154" i="63" s="1"/>
  <c r="AZ155" i="63" s="1"/>
  <c r="AZ156" i="63" s="1"/>
  <c r="AZ157" i="63" s="1"/>
  <c r="AZ158" i="63" s="1"/>
  <c r="AZ159" i="63" s="1"/>
  <c r="AZ160" i="63" s="1"/>
  <c r="AZ161" i="63" s="1"/>
  <c r="AZ162" i="63" s="1"/>
  <c r="AZ163" i="63" s="1"/>
  <c r="AZ164" i="63" s="1"/>
  <c r="AZ165" i="63" s="1"/>
  <c r="AZ166" i="63" s="1"/>
  <c r="AZ167" i="63" s="1"/>
  <c r="AZ168" i="63" s="1"/>
  <c r="AZ169" i="63" s="1"/>
  <c r="AZ170" i="63" s="1"/>
  <c r="AZ171" i="63" s="1"/>
  <c r="AZ172" i="63" s="1"/>
  <c r="AZ173" i="63" s="1"/>
  <c r="AZ174" i="63" s="1"/>
  <c r="AZ175" i="63" s="1"/>
  <c r="AZ176" i="63" s="1"/>
  <c r="AZ177" i="63" s="1"/>
  <c r="AZ178" i="63" s="1"/>
  <c r="AZ179" i="63" s="1"/>
  <c r="AZ180" i="63" s="1"/>
  <c r="AZ181" i="63" s="1"/>
  <c r="AZ182" i="63" s="1"/>
  <c r="AZ183" i="63" s="1"/>
  <c r="AZ184" i="63" s="1"/>
  <c r="AZ185" i="63" s="1"/>
  <c r="AZ186" i="63" s="1"/>
  <c r="AZ187" i="63" s="1"/>
  <c r="AZ188" i="63" s="1"/>
  <c r="AZ189" i="63" s="1"/>
  <c r="AZ190" i="63" s="1"/>
  <c r="AZ191" i="63" s="1"/>
  <c r="AZ192" i="63" s="1"/>
  <c r="AZ193" i="63" s="1"/>
  <c r="AZ194" i="63" s="1"/>
  <c r="AZ195" i="63" s="1"/>
  <c r="AZ196" i="63" s="1"/>
  <c r="AZ197" i="63" s="1"/>
  <c r="AZ198" i="63" s="1"/>
  <c r="AZ199" i="63" s="1"/>
  <c r="AZ200" i="63" s="1"/>
  <c r="AZ201" i="63" s="1"/>
  <c r="AZ202" i="63" s="1"/>
  <c r="AZ203" i="63" s="1"/>
  <c r="AZ204" i="63" s="1"/>
  <c r="AZ205" i="63" s="1"/>
  <c r="AZ206" i="63" s="1"/>
  <c r="AZ207" i="63" s="1"/>
  <c r="AZ208" i="63" s="1"/>
  <c r="AZ209" i="63" s="1"/>
  <c r="AZ210" i="63" s="1"/>
  <c r="AZ211" i="63" s="1"/>
  <c r="AZ212" i="63" s="1"/>
  <c r="AZ213" i="63" s="1"/>
  <c r="AZ214" i="63" s="1"/>
  <c r="AZ215" i="63" s="1"/>
  <c r="AZ216" i="63" s="1"/>
  <c r="AZ217" i="63" s="1"/>
  <c r="AZ218" i="63" s="1"/>
  <c r="AZ219" i="63" s="1"/>
  <c r="AZ220" i="63" s="1"/>
  <c r="AZ221" i="63" s="1"/>
  <c r="AZ222" i="63" s="1"/>
  <c r="AZ223" i="63" s="1"/>
  <c r="AZ224" i="63" s="1"/>
  <c r="AZ225" i="63" s="1"/>
  <c r="AZ226" i="63" s="1"/>
  <c r="AZ227" i="63" s="1"/>
  <c r="AZ228" i="63" s="1"/>
  <c r="AZ229" i="63" s="1"/>
  <c r="AZ230" i="63" s="1"/>
  <c r="AZ231" i="63" s="1"/>
  <c r="AZ232" i="63" s="1"/>
  <c r="AZ233" i="63" s="1"/>
  <c r="AZ234" i="63" s="1"/>
  <c r="AZ235" i="63" s="1"/>
  <c r="AZ236" i="63" s="1"/>
  <c r="AZ237" i="63" s="1"/>
  <c r="AZ238" i="63" s="1"/>
  <c r="AZ239" i="63" s="1"/>
  <c r="AZ240" i="63" s="1"/>
  <c r="AZ241" i="63" s="1"/>
  <c r="AZ242" i="63" s="1"/>
  <c r="AZ243" i="63" s="1"/>
  <c r="AZ244" i="63" s="1"/>
  <c r="AZ245" i="63" s="1"/>
  <c r="AZ246" i="63" s="1"/>
  <c r="AZ247" i="63" s="1"/>
  <c r="AZ248" i="63" s="1"/>
  <c r="AZ249" i="63" s="1"/>
  <c r="AZ250" i="63" s="1"/>
  <c r="AZ251" i="63" s="1"/>
  <c r="AZ252" i="63" s="1"/>
  <c r="AZ253" i="63" s="1"/>
  <c r="AZ254" i="63" s="1"/>
  <c r="AZ255" i="63" s="1"/>
  <c r="AZ256" i="63" s="1"/>
  <c r="AZ257" i="63" s="1"/>
  <c r="AZ258" i="63" s="1"/>
  <c r="AZ259" i="63" s="1"/>
  <c r="AZ260" i="63" s="1"/>
  <c r="AZ261" i="63" s="1"/>
  <c r="AZ262" i="63" s="1"/>
  <c r="AZ263" i="63" s="1"/>
  <c r="AZ264" i="63" s="1"/>
  <c r="AZ265" i="63" s="1"/>
  <c r="AZ266" i="63" s="1"/>
  <c r="AZ267" i="63" s="1"/>
  <c r="AZ268" i="63" s="1"/>
  <c r="AZ269" i="63" s="1"/>
  <c r="AZ270" i="63" s="1"/>
  <c r="AZ271" i="63" s="1"/>
  <c r="AZ272" i="63" s="1"/>
  <c r="AZ273" i="63" s="1"/>
  <c r="AZ274" i="63" s="1"/>
  <c r="AZ275" i="63" s="1"/>
  <c r="AZ276" i="63" s="1"/>
  <c r="AZ277" i="63" s="1"/>
  <c r="AZ278" i="63" s="1"/>
  <c r="AZ279" i="63" s="1"/>
  <c r="AZ280" i="63" s="1"/>
  <c r="AZ281" i="63" s="1"/>
  <c r="AZ282" i="63" s="1"/>
  <c r="AZ283" i="63" s="1"/>
  <c r="AZ284" i="63" s="1"/>
  <c r="AZ285" i="63" s="1"/>
  <c r="AZ286" i="63" s="1"/>
  <c r="AZ287" i="63" s="1"/>
  <c r="AZ288" i="63" s="1"/>
  <c r="AZ289" i="63" s="1"/>
  <c r="AZ290" i="63" s="1"/>
  <c r="AZ291" i="63" s="1"/>
  <c r="AZ292" i="63" s="1"/>
  <c r="AZ293" i="63" s="1"/>
  <c r="AZ294" i="63" s="1"/>
  <c r="AZ295" i="63" s="1"/>
  <c r="AZ296" i="63" s="1"/>
  <c r="AZ297" i="63" s="1"/>
  <c r="AZ298" i="63" s="1"/>
  <c r="AZ299" i="63" s="1"/>
  <c r="AZ300" i="63" s="1"/>
  <c r="AZ301" i="63" s="1"/>
  <c r="AZ302" i="63" s="1"/>
  <c r="AZ303" i="63" s="1"/>
  <c r="AZ304" i="63" s="1"/>
  <c r="AZ305" i="63" s="1"/>
  <c r="AZ306" i="63" s="1"/>
  <c r="AZ307" i="63" s="1"/>
  <c r="AZ308" i="63" s="1"/>
  <c r="AY9" i="63"/>
  <c r="AY10" i="63" s="1"/>
  <c r="AY11" i="63" s="1"/>
  <c r="AY12" i="63" s="1"/>
  <c r="AY13" i="63" s="1"/>
  <c r="AY14" i="63" s="1"/>
  <c r="AY15" i="63" s="1"/>
  <c r="AY16" i="63" s="1"/>
  <c r="AY17" i="63" s="1"/>
  <c r="AY18" i="63" s="1"/>
  <c r="AY19" i="63" s="1"/>
  <c r="AY20" i="63" s="1"/>
  <c r="AY21" i="63" s="1"/>
  <c r="AY22" i="63" s="1"/>
  <c r="AY23" i="63" s="1"/>
  <c r="AY24" i="63" s="1"/>
  <c r="AY25" i="63" s="1"/>
  <c r="AY26" i="63" s="1"/>
  <c r="AY27" i="63" s="1"/>
  <c r="AY28" i="63" s="1"/>
  <c r="AY29" i="63" s="1"/>
  <c r="AY30" i="63" s="1"/>
  <c r="AY31" i="63" s="1"/>
  <c r="AY32" i="63" s="1"/>
  <c r="AY33" i="63" s="1"/>
  <c r="AY34" i="63" s="1"/>
  <c r="AY35" i="63" s="1"/>
  <c r="AY36" i="63" s="1"/>
  <c r="AY37" i="63" s="1"/>
  <c r="AY38" i="63" s="1"/>
  <c r="AY39" i="63" s="1"/>
  <c r="AY40" i="63" s="1"/>
  <c r="AY41" i="63" s="1"/>
  <c r="AY42" i="63" s="1"/>
  <c r="AY43" i="63" s="1"/>
  <c r="AY44" i="63" s="1"/>
  <c r="AY45" i="63" s="1"/>
  <c r="AY46" i="63" s="1"/>
  <c r="AY47" i="63" s="1"/>
  <c r="AY48" i="63" s="1"/>
  <c r="AY49" i="63" s="1"/>
  <c r="AY50" i="63" s="1"/>
  <c r="AY51" i="63" s="1"/>
  <c r="AY52" i="63" s="1"/>
  <c r="AY53" i="63" s="1"/>
  <c r="AY54" i="63" s="1"/>
  <c r="AY55" i="63" s="1"/>
  <c r="AY56" i="63" s="1"/>
  <c r="AY57" i="63" s="1"/>
  <c r="AY58" i="63" s="1"/>
  <c r="AY59" i="63" s="1"/>
  <c r="AY60" i="63" s="1"/>
  <c r="AY61" i="63" s="1"/>
  <c r="AY62" i="63" s="1"/>
  <c r="AY63" i="63" s="1"/>
  <c r="AY64" i="63" s="1"/>
  <c r="AY65" i="63" s="1"/>
  <c r="AY66" i="63" s="1"/>
  <c r="AY67" i="63" s="1"/>
  <c r="AY68" i="63" s="1"/>
  <c r="AY69" i="63" s="1"/>
  <c r="AY70" i="63" s="1"/>
  <c r="AY71" i="63" s="1"/>
  <c r="AY72" i="63" s="1"/>
  <c r="AY73" i="63" s="1"/>
  <c r="AY74" i="63" s="1"/>
  <c r="AY75" i="63" s="1"/>
  <c r="AY76" i="63" s="1"/>
  <c r="AY77" i="63" s="1"/>
  <c r="AY78" i="63" s="1"/>
  <c r="AY79" i="63" s="1"/>
  <c r="AY80" i="63" s="1"/>
  <c r="AY81" i="63" s="1"/>
  <c r="AY82" i="63" s="1"/>
  <c r="AY83" i="63" s="1"/>
  <c r="AY84" i="63" s="1"/>
  <c r="AY85" i="63" s="1"/>
  <c r="AY86" i="63" s="1"/>
  <c r="AY87" i="63" s="1"/>
  <c r="AY88" i="63" s="1"/>
  <c r="AY89" i="63" s="1"/>
  <c r="AY90" i="63" s="1"/>
  <c r="AY91" i="63" s="1"/>
  <c r="AY92" i="63" s="1"/>
  <c r="AY93" i="63" s="1"/>
  <c r="AY94" i="63" s="1"/>
  <c r="AY95" i="63" s="1"/>
  <c r="AY96" i="63" s="1"/>
  <c r="AY97" i="63" s="1"/>
  <c r="AY98" i="63" s="1"/>
  <c r="AY99" i="63" s="1"/>
  <c r="AY100" i="63" s="1"/>
  <c r="AY101" i="63" s="1"/>
  <c r="AY102" i="63" s="1"/>
  <c r="AY103" i="63" s="1"/>
  <c r="AY104" i="63" s="1"/>
  <c r="AY105" i="63" s="1"/>
  <c r="AY106" i="63" s="1"/>
  <c r="AY107" i="63" s="1"/>
  <c r="AY108" i="63" s="1"/>
  <c r="AY109" i="63" s="1"/>
  <c r="AY110" i="63" s="1"/>
  <c r="AY111" i="63" s="1"/>
  <c r="AY112" i="63" s="1"/>
  <c r="AY113" i="63" s="1"/>
  <c r="AY114" i="63" s="1"/>
  <c r="AY115" i="63" s="1"/>
  <c r="AY116" i="63" s="1"/>
  <c r="AY117" i="63" s="1"/>
  <c r="AY118" i="63" s="1"/>
  <c r="AY119" i="63" s="1"/>
  <c r="AY120" i="63" s="1"/>
  <c r="AY121" i="63" s="1"/>
  <c r="AY122" i="63" s="1"/>
  <c r="AY123" i="63" s="1"/>
  <c r="AY124" i="63" s="1"/>
  <c r="AY125" i="63" s="1"/>
  <c r="AY126" i="63" s="1"/>
  <c r="AY127" i="63" s="1"/>
  <c r="AY128" i="63" s="1"/>
  <c r="AY129" i="63" s="1"/>
  <c r="AY130" i="63" s="1"/>
  <c r="AY131" i="63" s="1"/>
  <c r="AY132" i="63" s="1"/>
  <c r="AY133" i="63" s="1"/>
  <c r="AY134" i="63" s="1"/>
  <c r="AY135" i="63" s="1"/>
  <c r="AY136" i="63" s="1"/>
  <c r="AY137" i="63" s="1"/>
  <c r="AY138" i="63" s="1"/>
  <c r="AY139" i="63" s="1"/>
  <c r="AY140" i="63" s="1"/>
  <c r="AY141" i="63" s="1"/>
  <c r="AY142" i="63" s="1"/>
  <c r="AY143" i="63" s="1"/>
  <c r="AY144" i="63" s="1"/>
  <c r="AY145" i="63" s="1"/>
  <c r="AY146" i="63" s="1"/>
  <c r="AY147" i="63" s="1"/>
  <c r="AY148" i="63" s="1"/>
  <c r="AY149" i="63" s="1"/>
  <c r="AY150" i="63" s="1"/>
  <c r="AY151" i="63" s="1"/>
  <c r="AY152" i="63" s="1"/>
  <c r="AY153" i="63" s="1"/>
  <c r="AY154" i="63" s="1"/>
  <c r="AY155" i="63" s="1"/>
  <c r="AY156" i="63" s="1"/>
  <c r="AY157" i="63" s="1"/>
  <c r="AY158" i="63" s="1"/>
  <c r="AY159" i="63" s="1"/>
  <c r="AY160" i="63" s="1"/>
  <c r="AY161" i="63" s="1"/>
  <c r="AY162" i="63" s="1"/>
  <c r="AY163" i="63" s="1"/>
  <c r="AY164" i="63" s="1"/>
  <c r="AY165" i="63" s="1"/>
  <c r="AY166" i="63" s="1"/>
  <c r="AY167" i="63" s="1"/>
  <c r="AY168" i="63" s="1"/>
  <c r="AY169" i="63" s="1"/>
  <c r="AY170" i="63" s="1"/>
  <c r="AY171" i="63" s="1"/>
  <c r="AY172" i="63" s="1"/>
  <c r="AY173" i="63" s="1"/>
  <c r="AY174" i="63" s="1"/>
  <c r="AY175" i="63" s="1"/>
  <c r="AY176" i="63" s="1"/>
  <c r="AY177" i="63" s="1"/>
  <c r="AY178" i="63" s="1"/>
  <c r="AY179" i="63" s="1"/>
  <c r="AY180" i="63" s="1"/>
  <c r="AY181" i="63" s="1"/>
  <c r="AY182" i="63" s="1"/>
  <c r="AY183" i="63" s="1"/>
  <c r="AY184" i="63" s="1"/>
  <c r="AY185" i="63" s="1"/>
  <c r="AY186" i="63" s="1"/>
  <c r="AY187" i="63" s="1"/>
  <c r="AY188" i="63" s="1"/>
  <c r="AY189" i="63" s="1"/>
  <c r="AY190" i="63" s="1"/>
  <c r="AY191" i="63" s="1"/>
  <c r="AY192" i="63" s="1"/>
  <c r="AY193" i="63" s="1"/>
  <c r="AY194" i="63" s="1"/>
  <c r="AY195" i="63" s="1"/>
  <c r="AY196" i="63" s="1"/>
  <c r="AY197" i="63" s="1"/>
  <c r="AY198" i="63" s="1"/>
  <c r="AY199" i="63" s="1"/>
  <c r="AY200" i="63" s="1"/>
  <c r="AY201" i="63" s="1"/>
  <c r="AY202" i="63" s="1"/>
  <c r="AY203" i="63" s="1"/>
  <c r="AY204" i="63" s="1"/>
  <c r="AY205" i="63" s="1"/>
  <c r="AY206" i="63" s="1"/>
  <c r="AY207" i="63" s="1"/>
  <c r="AY208" i="63" s="1"/>
  <c r="AY209" i="63" s="1"/>
  <c r="AY210" i="63" s="1"/>
  <c r="AY211" i="63" s="1"/>
  <c r="AY212" i="63" s="1"/>
  <c r="AY213" i="63" s="1"/>
  <c r="AY214" i="63" s="1"/>
  <c r="AY215" i="63" s="1"/>
  <c r="AY216" i="63" s="1"/>
  <c r="AY217" i="63" s="1"/>
  <c r="AY218" i="63" s="1"/>
  <c r="AY219" i="63" s="1"/>
  <c r="AY220" i="63" s="1"/>
  <c r="AY221" i="63" s="1"/>
  <c r="AY222" i="63" s="1"/>
  <c r="AY223" i="63" s="1"/>
  <c r="AY224" i="63" s="1"/>
  <c r="AY225" i="63" s="1"/>
  <c r="AY226" i="63" s="1"/>
  <c r="AY227" i="63" s="1"/>
  <c r="AY228" i="63" s="1"/>
  <c r="AY229" i="63" s="1"/>
  <c r="AY230" i="63" s="1"/>
  <c r="AY231" i="63" s="1"/>
  <c r="AY232" i="63" s="1"/>
  <c r="AY233" i="63" s="1"/>
  <c r="AY234" i="63" s="1"/>
  <c r="AY235" i="63" s="1"/>
  <c r="AY236" i="63" s="1"/>
  <c r="AY237" i="63" s="1"/>
  <c r="AY238" i="63" s="1"/>
  <c r="AY239" i="63" s="1"/>
  <c r="AY240" i="63" s="1"/>
  <c r="AY241" i="63" s="1"/>
  <c r="AY242" i="63" s="1"/>
  <c r="AY243" i="63" s="1"/>
  <c r="AY244" i="63" s="1"/>
  <c r="AY245" i="63" s="1"/>
  <c r="AY246" i="63" s="1"/>
  <c r="AY247" i="63" s="1"/>
  <c r="AY248" i="63" s="1"/>
  <c r="AY249" i="63" s="1"/>
  <c r="AY250" i="63" s="1"/>
  <c r="AY251" i="63" s="1"/>
  <c r="AY252" i="63" s="1"/>
  <c r="AY253" i="63" s="1"/>
  <c r="AY254" i="63" s="1"/>
  <c r="AY255" i="63" s="1"/>
  <c r="AY256" i="63" s="1"/>
  <c r="AY257" i="63" s="1"/>
  <c r="AY258" i="63" s="1"/>
  <c r="AY259" i="63" s="1"/>
  <c r="AY260" i="63" s="1"/>
  <c r="AY261" i="63" s="1"/>
  <c r="AY262" i="63" s="1"/>
  <c r="AY263" i="63" s="1"/>
  <c r="AY264" i="63" s="1"/>
  <c r="AY265" i="63" s="1"/>
  <c r="AY266" i="63" s="1"/>
  <c r="AY267" i="63" s="1"/>
  <c r="AY268" i="63" s="1"/>
  <c r="AY269" i="63" s="1"/>
  <c r="AY270" i="63" s="1"/>
  <c r="AY271" i="63" s="1"/>
  <c r="AY272" i="63" s="1"/>
  <c r="AY273" i="63" s="1"/>
  <c r="AY274" i="63" s="1"/>
  <c r="AY275" i="63" s="1"/>
  <c r="AY276" i="63" s="1"/>
  <c r="AY277" i="63" s="1"/>
  <c r="AY278" i="63" s="1"/>
  <c r="AY279" i="63" s="1"/>
  <c r="AY280" i="63" s="1"/>
  <c r="AY281" i="63" s="1"/>
  <c r="AY282" i="63" s="1"/>
  <c r="AY283" i="63" s="1"/>
  <c r="AY284" i="63" s="1"/>
  <c r="AY285" i="63" s="1"/>
  <c r="AY286" i="63" s="1"/>
  <c r="AY287" i="63" s="1"/>
  <c r="AY288" i="63" s="1"/>
  <c r="AY289" i="63" s="1"/>
  <c r="AY290" i="63" s="1"/>
  <c r="AY291" i="63" s="1"/>
  <c r="AY292" i="63" s="1"/>
  <c r="AY293" i="63" s="1"/>
  <c r="AY294" i="63" s="1"/>
  <c r="AY295" i="63" s="1"/>
  <c r="AY296" i="63" s="1"/>
  <c r="AY297" i="63" s="1"/>
  <c r="AY298" i="63" s="1"/>
  <c r="AY299" i="63" s="1"/>
  <c r="AY300" i="63" s="1"/>
  <c r="AY301" i="63" s="1"/>
  <c r="AY302" i="63" s="1"/>
  <c r="AY303" i="63" s="1"/>
  <c r="AY304" i="63" s="1"/>
  <c r="AY305" i="63" s="1"/>
  <c r="AY306" i="63" s="1"/>
  <c r="AY307" i="63" s="1"/>
  <c r="AY308" i="63" s="1"/>
  <c r="AV9" i="63"/>
  <c r="AV10" i="63" s="1"/>
  <c r="AV11" i="63" s="1"/>
  <c r="AV12" i="63" s="1"/>
  <c r="AV13" i="63" s="1"/>
  <c r="AV14" i="63" s="1"/>
  <c r="AV15" i="63" s="1"/>
  <c r="AV16" i="63" s="1"/>
  <c r="AV17" i="63" s="1"/>
  <c r="AV18" i="63" s="1"/>
  <c r="AV19" i="63" s="1"/>
  <c r="AV20" i="63" s="1"/>
  <c r="AV21" i="63" s="1"/>
  <c r="AV22" i="63" s="1"/>
  <c r="AV23" i="63" s="1"/>
  <c r="AV24" i="63" s="1"/>
  <c r="AV25" i="63" s="1"/>
  <c r="AV26" i="63" s="1"/>
  <c r="AV27" i="63" s="1"/>
  <c r="AV28" i="63" s="1"/>
  <c r="AV29" i="63" s="1"/>
  <c r="AV30" i="63" s="1"/>
  <c r="AV31" i="63" s="1"/>
  <c r="AV32" i="63" s="1"/>
  <c r="AV33" i="63" s="1"/>
  <c r="AV34" i="63" s="1"/>
  <c r="AV35" i="63" s="1"/>
  <c r="AV36" i="63" s="1"/>
  <c r="AV37" i="63" s="1"/>
  <c r="AV38" i="63" s="1"/>
  <c r="AV39" i="63" s="1"/>
  <c r="AV40" i="63" s="1"/>
  <c r="AV41" i="63" s="1"/>
  <c r="AV42" i="63" s="1"/>
  <c r="AV43" i="63" s="1"/>
  <c r="AV44" i="63" s="1"/>
  <c r="AV45" i="63" s="1"/>
  <c r="AV46" i="63" s="1"/>
  <c r="AV47" i="63" s="1"/>
  <c r="AV48" i="63" s="1"/>
  <c r="AV49" i="63" s="1"/>
  <c r="AV50" i="63" s="1"/>
  <c r="AV51" i="63" s="1"/>
  <c r="AV52" i="63" s="1"/>
  <c r="AV53" i="63" s="1"/>
  <c r="AV54" i="63" s="1"/>
  <c r="AV55" i="63" s="1"/>
  <c r="AV56" i="63" s="1"/>
  <c r="AV57" i="63" s="1"/>
  <c r="AV58" i="63" s="1"/>
  <c r="AV59" i="63" s="1"/>
  <c r="AV60" i="63" s="1"/>
  <c r="AV61" i="63" s="1"/>
  <c r="AV62" i="63" s="1"/>
  <c r="AV63" i="63" s="1"/>
  <c r="AV64" i="63" s="1"/>
  <c r="AV65" i="63" s="1"/>
  <c r="AV66" i="63" s="1"/>
  <c r="AV67" i="63" s="1"/>
  <c r="AV68" i="63" s="1"/>
  <c r="AV69" i="63" s="1"/>
  <c r="AV70" i="63" s="1"/>
  <c r="AV71" i="63" s="1"/>
  <c r="AV72" i="63" s="1"/>
  <c r="AV73" i="63" s="1"/>
  <c r="AV74" i="63" s="1"/>
  <c r="AV75" i="63" s="1"/>
  <c r="AV76" i="63" s="1"/>
  <c r="AV77" i="63" s="1"/>
  <c r="AV78" i="63" s="1"/>
  <c r="AV79" i="63" s="1"/>
  <c r="AV80" i="63" s="1"/>
  <c r="AV81" i="63" s="1"/>
  <c r="AV82" i="63" s="1"/>
  <c r="AV83" i="63" s="1"/>
  <c r="AV84" i="63" s="1"/>
  <c r="AV85" i="63" s="1"/>
  <c r="AV86" i="63" s="1"/>
  <c r="AV87" i="63" s="1"/>
  <c r="AV88" i="63" s="1"/>
  <c r="AV89" i="63" s="1"/>
  <c r="AV90" i="63" s="1"/>
  <c r="AV91" i="63" s="1"/>
  <c r="AV92" i="63" s="1"/>
  <c r="AV93" i="63" s="1"/>
  <c r="AV94" i="63" s="1"/>
  <c r="AV95" i="63" s="1"/>
  <c r="AV96" i="63" s="1"/>
  <c r="AV97" i="63" s="1"/>
  <c r="AV98" i="63" s="1"/>
  <c r="AV99" i="63" s="1"/>
  <c r="AV100" i="63" s="1"/>
  <c r="AV101" i="63" s="1"/>
  <c r="AV102" i="63" s="1"/>
  <c r="AV103" i="63" s="1"/>
  <c r="AV104" i="63" s="1"/>
  <c r="AV105" i="63" s="1"/>
  <c r="AV106" i="63" s="1"/>
  <c r="AV107" i="63" s="1"/>
  <c r="AV108" i="63" s="1"/>
  <c r="AV109" i="63" s="1"/>
  <c r="AV110" i="63" s="1"/>
  <c r="AV111" i="63" s="1"/>
  <c r="AV112" i="63" s="1"/>
  <c r="AV113" i="63" s="1"/>
  <c r="AV114" i="63" s="1"/>
  <c r="AV115" i="63" s="1"/>
  <c r="AV116" i="63" s="1"/>
  <c r="AV117" i="63" s="1"/>
  <c r="AV118" i="63" s="1"/>
  <c r="AV119" i="63" s="1"/>
  <c r="AV120" i="63" s="1"/>
  <c r="AV121" i="63" s="1"/>
  <c r="AV122" i="63" s="1"/>
  <c r="AV123" i="63" s="1"/>
  <c r="AV124" i="63" s="1"/>
  <c r="AV125" i="63" s="1"/>
  <c r="AV126" i="63" s="1"/>
  <c r="AV127" i="63" s="1"/>
  <c r="AV128" i="63" s="1"/>
  <c r="AV129" i="63" s="1"/>
  <c r="AV130" i="63" s="1"/>
  <c r="AV131" i="63" s="1"/>
  <c r="AV132" i="63" s="1"/>
  <c r="AV133" i="63" s="1"/>
  <c r="AV134" i="63" s="1"/>
  <c r="AV135" i="63" s="1"/>
  <c r="AV136" i="63" s="1"/>
  <c r="AV137" i="63" s="1"/>
  <c r="AV138" i="63" s="1"/>
  <c r="AV139" i="63" s="1"/>
  <c r="AV140" i="63" s="1"/>
  <c r="AV141" i="63" s="1"/>
  <c r="AV142" i="63" s="1"/>
  <c r="AV143" i="63" s="1"/>
  <c r="AV144" i="63" s="1"/>
  <c r="AV145" i="63" s="1"/>
  <c r="AV146" i="63" s="1"/>
  <c r="AV147" i="63" s="1"/>
  <c r="AV148" i="63" s="1"/>
  <c r="AV149" i="63" s="1"/>
  <c r="AV150" i="63" s="1"/>
  <c r="AV151" i="63" s="1"/>
  <c r="AV152" i="63" s="1"/>
  <c r="AV153" i="63" s="1"/>
  <c r="AV154" i="63" s="1"/>
  <c r="AV155" i="63" s="1"/>
  <c r="AV156" i="63" s="1"/>
  <c r="AV157" i="63" s="1"/>
  <c r="AV158" i="63" s="1"/>
  <c r="AV159" i="63" s="1"/>
  <c r="AV160" i="63" s="1"/>
  <c r="AV161" i="63" s="1"/>
  <c r="AV162" i="63" s="1"/>
  <c r="AV163" i="63" s="1"/>
  <c r="AV164" i="63" s="1"/>
  <c r="AV165" i="63" s="1"/>
  <c r="AV166" i="63" s="1"/>
  <c r="AV167" i="63" s="1"/>
  <c r="AV168" i="63" s="1"/>
  <c r="AV169" i="63" s="1"/>
  <c r="AV170" i="63" s="1"/>
  <c r="AV171" i="63" s="1"/>
  <c r="AV172" i="63" s="1"/>
  <c r="AV173" i="63" s="1"/>
  <c r="AV174" i="63" s="1"/>
  <c r="AV175" i="63" s="1"/>
  <c r="AV176" i="63" s="1"/>
  <c r="AV177" i="63" s="1"/>
  <c r="AV178" i="63" s="1"/>
  <c r="AV179" i="63" s="1"/>
  <c r="AV180" i="63" s="1"/>
  <c r="AV181" i="63" s="1"/>
  <c r="AV182" i="63" s="1"/>
  <c r="AV183" i="63" s="1"/>
  <c r="AV184" i="63" s="1"/>
  <c r="AV185" i="63" s="1"/>
  <c r="AV186" i="63" s="1"/>
  <c r="AV187" i="63" s="1"/>
  <c r="AV188" i="63" s="1"/>
  <c r="AV189" i="63" s="1"/>
  <c r="AV190" i="63" s="1"/>
  <c r="AV191" i="63" s="1"/>
  <c r="AV192" i="63" s="1"/>
  <c r="AV193" i="63" s="1"/>
  <c r="AV194" i="63" s="1"/>
  <c r="AV195" i="63" s="1"/>
  <c r="AV196" i="63" s="1"/>
  <c r="AV197" i="63" s="1"/>
  <c r="AV198" i="63" s="1"/>
  <c r="AV199" i="63" s="1"/>
  <c r="AV200" i="63" s="1"/>
  <c r="AV201" i="63" s="1"/>
  <c r="AV202" i="63" s="1"/>
  <c r="AV203" i="63" s="1"/>
  <c r="AV204" i="63" s="1"/>
  <c r="AV205" i="63" s="1"/>
  <c r="AV206" i="63" s="1"/>
  <c r="AV207" i="63" s="1"/>
  <c r="AV208" i="63" s="1"/>
  <c r="AV209" i="63" s="1"/>
  <c r="AV210" i="63" s="1"/>
  <c r="AV211" i="63" s="1"/>
  <c r="AV212" i="63" s="1"/>
  <c r="AV213" i="63" s="1"/>
  <c r="AV214" i="63" s="1"/>
  <c r="AV215" i="63" s="1"/>
  <c r="AV216" i="63" s="1"/>
  <c r="AV217" i="63" s="1"/>
  <c r="AV218" i="63" s="1"/>
  <c r="AV219" i="63" s="1"/>
  <c r="AV220" i="63" s="1"/>
  <c r="AV221" i="63" s="1"/>
  <c r="AV222" i="63" s="1"/>
  <c r="AV223" i="63" s="1"/>
  <c r="AV224" i="63" s="1"/>
  <c r="AV225" i="63" s="1"/>
  <c r="AV226" i="63" s="1"/>
  <c r="AV227" i="63" s="1"/>
  <c r="AV228" i="63" s="1"/>
  <c r="AV229" i="63" s="1"/>
  <c r="AV230" i="63" s="1"/>
  <c r="AV231" i="63" s="1"/>
  <c r="AV232" i="63" s="1"/>
  <c r="AV233" i="63" s="1"/>
  <c r="AV234" i="63" s="1"/>
  <c r="AV235" i="63" s="1"/>
  <c r="AV236" i="63" s="1"/>
  <c r="AV237" i="63" s="1"/>
  <c r="AV238" i="63" s="1"/>
  <c r="AV239" i="63" s="1"/>
  <c r="AV240" i="63" s="1"/>
  <c r="AV241" i="63" s="1"/>
  <c r="AV242" i="63" s="1"/>
  <c r="AV243" i="63" s="1"/>
  <c r="AV244" i="63" s="1"/>
  <c r="AV245" i="63" s="1"/>
  <c r="AV246" i="63" s="1"/>
  <c r="AV247" i="63" s="1"/>
  <c r="AV248" i="63" s="1"/>
  <c r="AV249" i="63" s="1"/>
  <c r="AV250" i="63" s="1"/>
  <c r="AV251" i="63" s="1"/>
  <c r="AV252" i="63" s="1"/>
  <c r="AV253" i="63" s="1"/>
  <c r="AV254" i="63" s="1"/>
  <c r="AV255" i="63" s="1"/>
  <c r="AV256" i="63" s="1"/>
  <c r="AV257" i="63" s="1"/>
  <c r="AV258" i="63" s="1"/>
  <c r="AV259" i="63" s="1"/>
  <c r="AV260" i="63" s="1"/>
  <c r="AV261" i="63" s="1"/>
  <c r="AV262" i="63" s="1"/>
  <c r="AV263" i="63" s="1"/>
  <c r="AV264" i="63" s="1"/>
  <c r="AV265" i="63" s="1"/>
  <c r="AV266" i="63" s="1"/>
  <c r="AV267" i="63" s="1"/>
  <c r="AV268" i="63" s="1"/>
  <c r="AV269" i="63" s="1"/>
  <c r="AV270" i="63" s="1"/>
  <c r="AV271" i="63" s="1"/>
  <c r="AV272" i="63" s="1"/>
  <c r="AV273" i="63" s="1"/>
  <c r="AV274" i="63" s="1"/>
  <c r="AV275" i="63" s="1"/>
  <c r="AV276" i="63" s="1"/>
  <c r="AV277" i="63" s="1"/>
  <c r="AV278" i="63" s="1"/>
  <c r="AV279" i="63" s="1"/>
  <c r="AV280" i="63" s="1"/>
  <c r="AV281" i="63" s="1"/>
  <c r="AV282" i="63" s="1"/>
  <c r="AV283" i="63" s="1"/>
  <c r="AV284" i="63" s="1"/>
  <c r="AV285" i="63" s="1"/>
  <c r="AV286" i="63" s="1"/>
  <c r="AV287" i="63" s="1"/>
  <c r="AV288" i="63" s="1"/>
  <c r="AV289" i="63" s="1"/>
  <c r="AV290" i="63" s="1"/>
  <c r="AV291" i="63" s="1"/>
  <c r="AV292" i="63" s="1"/>
  <c r="AV293" i="63" s="1"/>
  <c r="AV294" i="63" s="1"/>
  <c r="AV295" i="63" s="1"/>
  <c r="AV296" i="63" s="1"/>
  <c r="AV297" i="63" s="1"/>
  <c r="AV298" i="63" s="1"/>
  <c r="AV299" i="63" s="1"/>
  <c r="AV300" i="63" s="1"/>
  <c r="AV301" i="63" s="1"/>
  <c r="AV302" i="63" s="1"/>
  <c r="AV303" i="63" s="1"/>
  <c r="AV304" i="63" s="1"/>
  <c r="AV305" i="63" s="1"/>
  <c r="AV306" i="63" s="1"/>
  <c r="AV307" i="63" s="1"/>
  <c r="AV308" i="63" s="1"/>
  <c r="AR9" i="63"/>
  <c r="AR10" i="63" s="1"/>
  <c r="AR11" i="63" s="1"/>
  <c r="AR12" i="63" s="1"/>
  <c r="AR13" i="63" s="1"/>
  <c r="AR14" i="63" s="1"/>
  <c r="AR15" i="63" s="1"/>
  <c r="AR16" i="63" s="1"/>
  <c r="AR17" i="63" s="1"/>
  <c r="AR18" i="63" s="1"/>
  <c r="AR19" i="63" s="1"/>
  <c r="AR20" i="63" s="1"/>
  <c r="AR21" i="63" s="1"/>
  <c r="AR22" i="63" s="1"/>
  <c r="AR23" i="63" s="1"/>
  <c r="AR24" i="63" s="1"/>
  <c r="AR25" i="63" s="1"/>
  <c r="AR26" i="63" s="1"/>
  <c r="AR27" i="63" s="1"/>
  <c r="AR28" i="63" s="1"/>
  <c r="AR29" i="63" s="1"/>
  <c r="AR30" i="63" s="1"/>
  <c r="AR31" i="63" s="1"/>
  <c r="AR32" i="63" s="1"/>
  <c r="AR33" i="63" s="1"/>
  <c r="AR34" i="63" s="1"/>
  <c r="AR35" i="63" s="1"/>
  <c r="AR36" i="63" s="1"/>
  <c r="AR37" i="63" s="1"/>
  <c r="AR38" i="63" s="1"/>
  <c r="AR39" i="63" s="1"/>
  <c r="AR40" i="63" s="1"/>
  <c r="AR41" i="63" s="1"/>
  <c r="AR42" i="63" s="1"/>
  <c r="AR43" i="63" s="1"/>
  <c r="AR44" i="63" s="1"/>
  <c r="AR45" i="63" s="1"/>
  <c r="AR46" i="63" s="1"/>
  <c r="AR47" i="63" s="1"/>
  <c r="AR48" i="63" s="1"/>
  <c r="AR49" i="63" s="1"/>
  <c r="AR50" i="63" s="1"/>
  <c r="AR51" i="63" s="1"/>
  <c r="AR52" i="63" s="1"/>
  <c r="AR53" i="63" s="1"/>
  <c r="AR54" i="63" s="1"/>
  <c r="AR55" i="63" s="1"/>
  <c r="AR56" i="63" s="1"/>
  <c r="AR57" i="63" s="1"/>
  <c r="AR58" i="63" s="1"/>
  <c r="AR59" i="63" s="1"/>
  <c r="AR60" i="63" s="1"/>
  <c r="AR61" i="63" s="1"/>
  <c r="AR62" i="63" s="1"/>
  <c r="AR63" i="63" s="1"/>
  <c r="AR64" i="63" s="1"/>
  <c r="AR65" i="63" s="1"/>
  <c r="AR66" i="63" s="1"/>
  <c r="AR67" i="63" s="1"/>
  <c r="AR68" i="63" s="1"/>
  <c r="AR69" i="63" s="1"/>
  <c r="AR70" i="63" s="1"/>
  <c r="AR71" i="63" s="1"/>
  <c r="AR72" i="63" s="1"/>
  <c r="AR73" i="63" s="1"/>
  <c r="AR74" i="63" s="1"/>
  <c r="AR75" i="63" s="1"/>
  <c r="AR76" i="63" s="1"/>
  <c r="AR77" i="63" s="1"/>
  <c r="AR78" i="63" s="1"/>
  <c r="AR79" i="63" s="1"/>
  <c r="AR80" i="63" s="1"/>
  <c r="AR81" i="63" s="1"/>
  <c r="AR82" i="63" s="1"/>
  <c r="AR83" i="63" s="1"/>
  <c r="AR84" i="63" s="1"/>
  <c r="AR85" i="63" s="1"/>
  <c r="AR86" i="63" s="1"/>
  <c r="AR87" i="63" s="1"/>
  <c r="AR88" i="63" s="1"/>
  <c r="AR89" i="63" s="1"/>
  <c r="AR90" i="63" s="1"/>
  <c r="AR91" i="63" s="1"/>
  <c r="AR92" i="63" s="1"/>
  <c r="AR93" i="63" s="1"/>
  <c r="AR94" i="63" s="1"/>
  <c r="AR95" i="63" s="1"/>
  <c r="AR96" i="63" s="1"/>
  <c r="AR97" i="63" s="1"/>
  <c r="AR98" i="63" s="1"/>
  <c r="AR99" i="63" s="1"/>
  <c r="AR100" i="63" s="1"/>
  <c r="AR101" i="63" s="1"/>
  <c r="AR102" i="63" s="1"/>
  <c r="AR103" i="63" s="1"/>
  <c r="AR104" i="63" s="1"/>
  <c r="AR105" i="63" s="1"/>
  <c r="AR106" i="63" s="1"/>
  <c r="AR107" i="63" s="1"/>
  <c r="AR108" i="63" s="1"/>
  <c r="AR109" i="63" s="1"/>
  <c r="AR110" i="63" s="1"/>
  <c r="AR111" i="63" s="1"/>
  <c r="AR112" i="63" s="1"/>
  <c r="AR113" i="63" s="1"/>
  <c r="AR114" i="63" s="1"/>
  <c r="AR115" i="63" s="1"/>
  <c r="AR116" i="63" s="1"/>
  <c r="AR117" i="63" s="1"/>
  <c r="AR118" i="63" s="1"/>
  <c r="AR119" i="63" s="1"/>
  <c r="AR120" i="63" s="1"/>
  <c r="AR121" i="63" s="1"/>
  <c r="AR122" i="63" s="1"/>
  <c r="AR123" i="63" s="1"/>
  <c r="AR124" i="63" s="1"/>
  <c r="AR125" i="63" s="1"/>
  <c r="AR126" i="63" s="1"/>
  <c r="AR127" i="63" s="1"/>
  <c r="AR128" i="63" s="1"/>
  <c r="AR129" i="63" s="1"/>
  <c r="AR130" i="63" s="1"/>
  <c r="AR131" i="63" s="1"/>
  <c r="AR132" i="63" s="1"/>
  <c r="AR133" i="63" s="1"/>
  <c r="AR134" i="63" s="1"/>
  <c r="AR135" i="63" s="1"/>
  <c r="AR136" i="63" s="1"/>
  <c r="AR137" i="63" s="1"/>
  <c r="AR138" i="63" s="1"/>
  <c r="AR139" i="63" s="1"/>
  <c r="AR140" i="63" s="1"/>
  <c r="AR141" i="63" s="1"/>
  <c r="AR142" i="63" s="1"/>
  <c r="AR143" i="63" s="1"/>
  <c r="AR144" i="63" s="1"/>
  <c r="AR145" i="63" s="1"/>
  <c r="AR146" i="63" s="1"/>
  <c r="AR147" i="63" s="1"/>
  <c r="AR148" i="63" s="1"/>
  <c r="AR149" i="63" s="1"/>
  <c r="AR150" i="63" s="1"/>
  <c r="AR151" i="63" s="1"/>
  <c r="AR152" i="63" s="1"/>
  <c r="AR153" i="63" s="1"/>
  <c r="AR154" i="63" s="1"/>
  <c r="AR155" i="63" s="1"/>
  <c r="AR156" i="63" s="1"/>
  <c r="AR157" i="63" s="1"/>
  <c r="AR158" i="63" s="1"/>
  <c r="AR159" i="63" s="1"/>
  <c r="AR160" i="63" s="1"/>
  <c r="AR161" i="63" s="1"/>
  <c r="AR162" i="63" s="1"/>
  <c r="AR163" i="63" s="1"/>
  <c r="AR164" i="63" s="1"/>
  <c r="AR165" i="63" s="1"/>
  <c r="AR166" i="63" s="1"/>
  <c r="AR167" i="63" s="1"/>
  <c r="AR168" i="63" s="1"/>
  <c r="AR169" i="63" s="1"/>
  <c r="AR170" i="63" s="1"/>
  <c r="AR171" i="63" s="1"/>
  <c r="AR172" i="63" s="1"/>
  <c r="AR173" i="63" s="1"/>
  <c r="AR174" i="63" s="1"/>
  <c r="AR175" i="63" s="1"/>
  <c r="AR176" i="63" s="1"/>
  <c r="AR177" i="63" s="1"/>
  <c r="AR178" i="63" s="1"/>
  <c r="AR179" i="63" s="1"/>
  <c r="AR180" i="63" s="1"/>
  <c r="AR181" i="63" s="1"/>
  <c r="AR182" i="63" s="1"/>
  <c r="AR183" i="63" s="1"/>
  <c r="AR184" i="63" s="1"/>
  <c r="AR185" i="63" s="1"/>
  <c r="AR186" i="63" s="1"/>
  <c r="AR187" i="63" s="1"/>
  <c r="AR188" i="63" s="1"/>
  <c r="AR189" i="63" s="1"/>
  <c r="AR190" i="63" s="1"/>
  <c r="AR191" i="63" s="1"/>
  <c r="AR192" i="63" s="1"/>
  <c r="AR193" i="63" s="1"/>
  <c r="AR194" i="63" s="1"/>
  <c r="AR195" i="63" s="1"/>
  <c r="AR196" i="63" s="1"/>
  <c r="AR197" i="63" s="1"/>
  <c r="AR198" i="63" s="1"/>
  <c r="AR199" i="63" s="1"/>
  <c r="AR200" i="63" s="1"/>
  <c r="AR201" i="63" s="1"/>
  <c r="AR202" i="63" s="1"/>
  <c r="AR203" i="63" s="1"/>
  <c r="AR204" i="63" s="1"/>
  <c r="AR205" i="63" s="1"/>
  <c r="AR206" i="63" s="1"/>
  <c r="AR207" i="63" s="1"/>
  <c r="AR208" i="63" s="1"/>
  <c r="AR209" i="63" s="1"/>
  <c r="AR210" i="63" s="1"/>
  <c r="AR211" i="63" s="1"/>
  <c r="AR212" i="63" s="1"/>
  <c r="AR213" i="63" s="1"/>
  <c r="AR214" i="63" s="1"/>
  <c r="AR215" i="63" s="1"/>
  <c r="AR216" i="63" s="1"/>
  <c r="AR217" i="63" s="1"/>
  <c r="AR218" i="63" s="1"/>
  <c r="AR219" i="63" s="1"/>
  <c r="AR220" i="63" s="1"/>
  <c r="AR221" i="63" s="1"/>
  <c r="AR222" i="63" s="1"/>
  <c r="AR223" i="63" s="1"/>
  <c r="AR224" i="63" s="1"/>
  <c r="AR225" i="63" s="1"/>
  <c r="AR226" i="63" s="1"/>
  <c r="AR227" i="63" s="1"/>
  <c r="AR228" i="63" s="1"/>
  <c r="AR229" i="63" s="1"/>
  <c r="AR230" i="63" s="1"/>
  <c r="AR231" i="63" s="1"/>
  <c r="AR232" i="63" s="1"/>
  <c r="AR233" i="63" s="1"/>
  <c r="AR234" i="63" s="1"/>
  <c r="AR235" i="63" s="1"/>
  <c r="AR236" i="63" s="1"/>
  <c r="AR237" i="63" s="1"/>
  <c r="AR238" i="63" s="1"/>
  <c r="AR239" i="63" s="1"/>
  <c r="AR240" i="63" s="1"/>
  <c r="AR241" i="63" s="1"/>
  <c r="AR242" i="63" s="1"/>
  <c r="AR243" i="63" s="1"/>
  <c r="AR244" i="63" s="1"/>
  <c r="AR245" i="63" s="1"/>
  <c r="AR246" i="63" s="1"/>
  <c r="AR247" i="63" s="1"/>
  <c r="AR248" i="63" s="1"/>
  <c r="AR249" i="63" s="1"/>
  <c r="AR250" i="63" s="1"/>
  <c r="AR251" i="63" s="1"/>
  <c r="AR252" i="63" s="1"/>
  <c r="AR253" i="63" s="1"/>
  <c r="AR254" i="63" s="1"/>
  <c r="AR255" i="63" s="1"/>
  <c r="AR256" i="63" s="1"/>
  <c r="AR257" i="63" s="1"/>
  <c r="AR258" i="63" s="1"/>
  <c r="AR259" i="63" s="1"/>
  <c r="AR260" i="63" s="1"/>
  <c r="AR261" i="63" s="1"/>
  <c r="AR262" i="63" s="1"/>
  <c r="AR263" i="63" s="1"/>
  <c r="AR264" i="63" s="1"/>
  <c r="AR265" i="63" s="1"/>
  <c r="AR266" i="63" s="1"/>
  <c r="AR267" i="63" s="1"/>
  <c r="AR268" i="63" s="1"/>
  <c r="AR269" i="63" s="1"/>
  <c r="AR270" i="63" s="1"/>
  <c r="AR271" i="63" s="1"/>
  <c r="AR272" i="63" s="1"/>
  <c r="AR273" i="63" s="1"/>
  <c r="AR274" i="63" s="1"/>
  <c r="AR275" i="63" s="1"/>
  <c r="AR276" i="63" s="1"/>
  <c r="AR277" i="63" s="1"/>
  <c r="AR278" i="63" s="1"/>
  <c r="AR279" i="63" s="1"/>
  <c r="AR280" i="63" s="1"/>
  <c r="AR281" i="63" s="1"/>
  <c r="AR282" i="63" s="1"/>
  <c r="AR283" i="63" s="1"/>
  <c r="AR284" i="63" s="1"/>
  <c r="AR285" i="63" s="1"/>
  <c r="AR286" i="63" s="1"/>
  <c r="AR287" i="63" s="1"/>
  <c r="AR288" i="63" s="1"/>
  <c r="AR289" i="63" s="1"/>
  <c r="AR290" i="63" s="1"/>
  <c r="AR291" i="63" s="1"/>
  <c r="AR292" i="63" s="1"/>
  <c r="AR293" i="63" s="1"/>
  <c r="AR294" i="63" s="1"/>
  <c r="AR295" i="63" s="1"/>
  <c r="AR296" i="63" s="1"/>
  <c r="AR297" i="63" s="1"/>
  <c r="AR298" i="63" s="1"/>
  <c r="AR299" i="63" s="1"/>
  <c r="AR300" i="63" s="1"/>
  <c r="AR301" i="63" s="1"/>
  <c r="AR302" i="63" s="1"/>
  <c r="AR303" i="63" s="1"/>
  <c r="AR304" i="63" s="1"/>
  <c r="AR305" i="63" s="1"/>
  <c r="AR306" i="63" s="1"/>
  <c r="AR307" i="63" s="1"/>
  <c r="AR308" i="63" s="1"/>
  <c r="AO9" i="63"/>
  <c r="AO10" i="63" s="1"/>
  <c r="AO11" i="63" s="1"/>
  <c r="AO12" i="63" s="1"/>
  <c r="AO13" i="63" s="1"/>
  <c r="AO14" i="63" s="1"/>
  <c r="AO15" i="63" s="1"/>
  <c r="AO16" i="63" s="1"/>
  <c r="AO17" i="63" s="1"/>
  <c r="AO18" i="63" s="1"/>
  <c r="AO19" i="63" s="1"/>
  <c r="AO20" i="63" s="1"/>
  <c r="AO21" i="63" s="1"/>
  <c r="AO22" i="63" s="1"/>
  <c r="AO23" i="63" s="1"/>
  <c r="AO24" i="63" s="1"/>
  <c r="AO25" i="63" s="1"/>
  <c r="AO26" i="63" s="1"/>
  <c r="AO27" i="63" s="1"/>
  <c r="AO28" i="63" s="1"/>
  <c r="AO29" i="63" s="1"/>
  <c r="AO30" i="63" s="1"/>
  <c r="AO31" i="63" s="1"/>
  <c r="AO32" i="63" s="1"/>
  <c r="AO33" i="63" s="1"/>
  <c r="AO34" i="63" s="1"/>
  <c r="AO35" i="63" s="1"/>
  <c r="AO36" i="63" s="1"/>
  <c r="AO37" i="63" s="1"/>
  <c r="AO38" i="63" s="1"/>
  <c r="AO39" i="63" s="1"/>
  <c r="AO40" i="63" s="1"/>
  <c r="AO41" i="63" s="1"/>
  <c r="AO42" i="63" s="1"/>
  <c r="AO43" i="63" s="1"/>
  <c r="AO44" i="63" s="1"/>
  <c r="AO45" i="63" s="1"/>
  <c r="AO46" i="63" s="1"/>
  <c r="AO47" i="63" s="1"/>
  <c r="AO48" i="63" s="1"/>
  <c r="AO49" i="63" s="1"/>
  <c r="AO50" i="63" s="1"/>
  <c r="AO51" i="63" s="1"/>
  <c r="AO52" i="63" s="1"/>
  <c r="AO53" i="63" s="1"/>
  <c r="AO54" i="63" s="1"/>
  <c r="AO55" i="63" s="1"/>
  <c r="AO56" i="63" s="1"/>
  <c r="AO57" i="63" s="1"/>
  <c r="AO58" i="63" s="1"/>
  <c r="AO59" i="63" s="1"/>
  <c r="AO60" i="63" s="1"/>
  <c r="AO61" i="63" s="1"/>
  <c r="AO62" i="63" s="1"/>
  <c r="AO63" i="63" s="1"/>
  <c r="AO64" i="63" s="1"/>
  <c r="AO65" i="63" s="1"/>
  <c r="AO66" i="63" s="1"/>
  <c r="AO67" i="63" s="1"/>
  <c r="AO68" i="63" s="1"/>
  <c r="AO69" i="63" s="1"/>
  <c r="AO70" i="63" s="1"/>
  <c r="AO71" i="63" s="1"/>
  <c r="AO72" i="63" s="1"/>
  <c r="AO73" i="63" s="1"/>
  <c r="AO74" i="63" s="1"/>
  <c r="AO75" i="63" s="1"/>
  <c r="AO76" i="63" s="1"/>
  <c r="AO77" i="63" s="1"/>
  <c r="AO78" i="63" s="1"/>
  <c r="AO79" i="63" s="1"/>
  <c r="AO80" i="63" s="1"/>
  <c r="AO81" i="63" s="1"/>
  <c r="AO82" i="63" s="1"/>
  <c r="AO83" i="63" s="1"/>
  <c r="AO84" i="63" s="1"/>
  <c r="AO85" i="63" s="1"/>
  <c r="AO86" i="63" s="1"/>
  <c r="AO87" i="63" s="1"/>
  <c r="AO88" i="63" s="1"/>
  <c r="AO89" i="63" s="1"/>
  <c r="AO90" i="63" s="1"/>
  <c r="AO91" i="63" s="1"/>
  <c r="AO92" i="63" s="1"/>
  <c r="AO93" i="63" s="1"/>
  <c r="AO94" i="63" s="1"/>
  <c r="AO95" i="63" s="1"/>
  <c r="AO96" i="63" s="1"/>
  <c r="AO97" i="63" s="1"/>
  <c r="AO98" i="63" s="1"/>
  <c r="AO99" i="63" s="1"/>
  <c r="AO100" i="63" s="1"/>
  <c r="AO101" i="63" s="1"/>
  <c r="AO102" i="63" s="1"/>
  <c r="AO103" i="63" s="1"/>
  <c r="AO104" i="63" s="1"/>
  <c r="AO105" i="63" s="1"/>
  <c r="AO106" i="63" s="1"/>
  <c r="AO107" i="63" s="1"/>
  <c r="AO108" i="63" s="1"/>
  <c r="AO109" i="63" s="1"/>
  <c r="AO110" i="63" s="1"/>
  <c r="AO111" i="63" s="1"/>
  <c r="AO112" i="63" s="1"/>
  <c r="AO113" i="63" s="1"/>
  <c r="AO114" i="63" s="1"/>
  <c r="AO115" i="63" s="1"/>
  <c r="AO116" i="63" s="1"/>
  <c r="AO117" i="63" s="1"/>
  <c r="AO118" i="63" s="1"/>
  <c r="AO119" i="63" s="1"/>
  <c r="AO120" i="63" s="1"/>
  <c r="AO121" i="63" s="1"/>
  <c r="AO122" i="63" s="1"/>
  <c r="AO123" i="63" s="1"/>
  <c r="AO124" i="63" s="1"/>
  <c r="AO125" i="63" s="1"/>
  <c r="AO126" i="63" s="1"/>
  <c r="AO127" i="63" s="1"/>
  <c r="AO128" i="63" s="1"/>
  <c r="AO129" i="63" s="1"/>
  <c r="AO130" i="63" s="1"/>
  <c r="AO131" i="63" s="1"/>
  <c r="AO132" i="63" s="1"/>
  <c r="AO133" i="63" s="1"/>
  <c r="AO134" i="63" s="1"/>
  <c r="AO135" i="63" s="1"/>
  <c r="AO136" i="63" s="1"/>
  <c r="AO137" i="63" s="1"/>
  <c r="AO138" i="63" s="1"/>
  <c r="AO139" i="63" s="1"/>
  <c r="AO140" i="63" s="1"/>
  <c r="AO141" i="63" s="1"/>
  <c r="AO142" i="63" s="1"/>
  <c r="AO143" i="63" s="1"/>
  <c r="AO144" i="63" s="1"/>
  <c r="AO145" i="63" s="1"/>
  <c r="AO146" i="63" s="1"/>
  <c r="AO147" i="63" s="1"/>
  <c r="AO148" i="63" s="1"/>
  <c r="AO149" i="63" s="1"/>
  <c r="AO150" i="63" s="1"/>
  <c r="AO151" i="63" s="1"/>
  <c r="AO152" i="63" s="1"/>
  <c r="AO153" i="63" s="1"/>
  <c r="AO154" i="63" s="1"/>
  <c r="AO155" i="63" s="1"/>
  <c r="AO156" i="63" s="1"/>
  <c r="AO157" i="63" s="1"/>
  <c r="AO158" i="63" s="1"/>
  <c r="AO159" i="63" s="1"/>
  <c r="AO160" i="63" s="1"/>
  <c r="AO161" i="63" s="1"/>
  <c r="AO162" i="63" s="1"/>
  <c r="AO163" i="63" s="1"/>
  <c r="AO164" i="63" s="1"/>
  <c r="AO165" i="63" s="1"/>
  <c r="AO166" i="63" s="1"/>
  <c r="AO167" i="63" s="1"/>
  <c r="AO168" i="63" s="1"/>
  <c r="AO169" i="63" s="1"/>
  <c r="AO170" i="63" s="1"/>
  <c r="AO171" i="63" s="1"/>
  <c r="AO172" i="63" s="1"/>
  <c r="AO173" i="63" s="1"/>
  <c r="AO174" i="63" s="1"/>
  <c r="AO175" i="63" s="1"/>
  <c r="AO176" i="63" s="1"/>
  <c r="AO177" i="63" s="1"/>
  <c r="AO178" i="63" s="1"/>
  <c r="AO179" i="63" s="1"/>
  <c r="AO180" i="63" s="1"/>
  <c r="AO181" i="63" s="1"/>
  <c r="AO182" i="63" s="1"/>
  <c r="AO183" i="63" s="1"/>
  <c r="AO184" i="63" s="1"/>
  <c r="AO185" i="63" s="1"/>
  <c r="AO186" i="63" s="1"/>
  <c r="AO187" i="63" s="1"/>
  <c r="AO188" i="63" s="1"/>
  <c r="AO189" i="63" s="1"/>
  <c r="AO190" i="63" s="1"/>
  <c r="AO191" i="63" s="1"/>
  <c r="AO192" i="63" s="1"/>
  <c r="AO193" i="63" s="1"/>
  <c r="AO194" i="63" s="1"/>
  <c r="AO195" i="63" s="1"/>
  <c r="AO196" i="63" s="1"/>
  <c r="AO197" i="63" s="1"/>
  <c r="AO198" i="63" s="1"/>
  <c r="AO199" i="63" s="1"/>
  <c r="AO200" i="63" s="1"/>
  <c r="AO201" i="63" s="1"/>
  <c r="AO202" i="63" s="1"/>
  <c r="AO203" i="63" s="1"/>
  <c r="AO204" i="63" s="1"/>
  <c r="AO205" i="63" s="1"/>
  <c r="AO206" i="63" s="1"/>
  <c r="AO207" i="63" s="1"/>
  <c r="AO208" i="63" s="1"/>
  <c r="AO209" i="63" s="1"/>
  <c r="AO210" i="63" s="1"/>
  <c r="AO211" i="63" s="1"/>
  <c r="AO212" i="63" s="1"/>
  <c r="AO213" i="63" s="1"/>
  <c r="AO214" i="63" s="1"/>
  <c r="AO215" i="63" s="1"/>
  <c r="AO216" i="63" s="1"/>
  <c r="AO217" i="63" s="1"/>
  <c r="AO218" i="63" s="1"/>
  <c r="AO219" i="63" s="1"/>
  <c r="AO220" i="63" s="1"/>
  <c r="AO221" i="63" s="1"/>
  <c r="AO222" i="63" s="1"/>
  <c r="AO223" i="63" s="1"/>
  <c r="AO224" i="63" s="1"/>
  <c r="AO225" i="63" s="1"/>
  <c r="AO226" i="63" s="1"/>
  <c r="AO227" i="63" s="1"/>
  <c r="AO228" i="63" s="1"/>
  <c r="AO229" i="63" s="1"/>
  <c r="AO230" i="63" s="1"/>
  <c r="AO231" i="63" s="1"/>
  <c r="AO232" i="63" s="1"/>
  <c r="AO233" i="63" s="1"/>
  <c r="AO234" i="63" s="1"/>
  <c r="AO235" i="63" s="1"/>
  <c r="AO236" i="63" s="1"/>
  <c r="AO237" i="63" s="1"/>
  <c r="AO238" i="63" s="1"/>
  <c r="AO239" i="63" s="1"/>
  <c r="AO240" i="63" s="1"/>
  <c r="AO241" i="63" s="1"/>
  <c r="AO242" i="63" s="1"/>
  <c r="AO243" i="63" s="1"/>
  <c r="AO244" i="63" s="1"/>
  <c r="AO245" i="63" s="1"/>
  <c r="AO246" i="63" s="1"/>
  <c r="AO247" i="63" s="1"/>
  <c r="AO248" i="63" s="1"/>
  <c r="AO249" i="63" s="1"/>
  <c r="AO250" i="63" s="1"/>
  <c r="AO251" i="63" s="1"/>
  <c r="AO252" i="63" s="1"/>
  <c r="AO253" i="63" s="1"/>
  <c r="AO254" i="63" s="1"/>
  <c r="AO255" i="63" s="1"/>
  <c r="AO256" i="63" s="1"/>
  <c r="AO257" i="63" s="1"/>
  <c r="AO258" i="63" s="1"/>
  <c r="AO259" i="63" s="1"/>
  <c r="AO260" i="63" s="1"/>
  <c r="AO261" i="63" s="1"/>
  <c r="AO262" i="63" s="1"/>
  <c r="AO263" i="63" s="1"/>
  <c r="AO264" i="63" s="1"/>
  <c r="AO265" i="63" s="1"/>
  <c r="AO266" i="63" s="1"/>
  <c r="AO267" i="63" s="1"/>
  <c r="AO268" i="63" s="1"/>
  <c r="AO269" i="63" s="1"/>
  <c r="AO270" i="63" s="1"/>
  <c r="AO271" i="63" s="1"/>
  <c r="AO272" i="63" s="1"/>
  <c r="AO273" i="63" s="1"/>
  <c r="AO274" i="63" s="1"/>
  <c r="AO275" i="63" s="1"/>
  <c r="AO276" i="63" s="1"/>
  <c r="AO277" i="63" s="1"/>
  <c r="AO278" i="63" s="1"/>
  <c r="AO279" i="63" s="1"/>
  <c r="AO280" i="63" s="1"/>
  <c r="AO281" i="63" s="1"/>
  <c r="AO282" i="63" s="1"/>
  <c r="AO283" i="63" s="1"/>
  <c r="AO284" i="63" s="1"/>
  <c r="AO285" i="63" s="1"/>
  <c r="AO286" i="63" s="1"/>
  <c r="AO287" i="63" s="1"/>
  <c r="AO288" i="63" s="1"/>
  <c r="AO289" i="63" s="1"/>
  <c r="AO290" i="63" s="1"/>
  <c r="AO291" i="63" s="1"/>
  <c r="AO292" i="63" s="1"/>
  <c r="AO293" i="63" s="1"/>
  <c r="AO294" i="63" s="1"/>
  <c r="AO295" i="63" s="1"/>
  <c r="AO296" i="63" s="1"/>
  <c r="AO297" i="63" s="1"/>
  <c r="AO298" i="63" s="1"/>
  <c r="AO299" i="63" s="1"/>
  <c r="AO300" i="63" s="1"/>
  <c r="AO301" i="63" s="1"/>
  <c r="AO302" i="63" s="1"/>
  <c r="AO303" i="63" s="1"/>
  <c r="AO304" i="63" s="1"/>
  <c r="AO305" i="63" s="1"/>
  <c r="AO306" i="63" s="1"/>
  <c r="AO307" i="63" s="1"/>
  <c r="AO308" i="63" s="1"/>
  <c r="AN9" i="63"/>
  <c r="AN10" i="63" s="1"/>
  <c r="AN11" i="63" s="1"/>
  <c r="AN12" i="63" s="1"/>
  <c r="AN13" i="63" s="1"/>
  <c r="AN14" i="63" s="1"/>
  <c r="AN15" i="63" s="1"/>
  <c r="AN16" i="63" s="1"/>
  <c r="AN17" i="63" s="1"/>
  <c r="AN18" i="63" s="1"/>
  <c r="AN19" i="63" s="1"/>
  <c r="AN20" i="63" s="1"/>
  <c r="AN21" i="63" s="1"/>
  <c r="AN22" i="63" s="1"/>
  <c r="AN23" i="63" s="1"/>
  <c r="AN24" i="63" s="1"/>
  <c r="AN25" i="63" s="1"/>
  <c r="AN26" i="63" s="1"/>
  <c r="AN27" i="63" s="1"/>
  <c r="AN28" i="63" s="1"/>
  <c r="AN29" i="63" s="1"/>
  <c r="AN30" i="63" s="1"/>
  <c r="AN31" i="63" s="1"/>
  <c r="AN32" i="63" s="1"/>
  <c r="AN33" i="63" s="1"/>
  <c r="AN34" i="63" s="1"/>
  <c r="AN35" i="63" s="1"/>
  <c r="AN36" i="63" s="1"/>
  <c r="AN37" i="63" s="1"/>
  <c r="AN38" i="63" s="1"/>
  <c r="AN39" i="63" s="1"/>
  <c r="AN40" i="63" s="1"/>
  <c r="AN41" i="63" s="1"/>
  <c r="AN42" i="63" s="1"/>
  <c r="AN43" i="63" s="1"/>
  <c r="AN44" i="63" s="1"/>
  <c r="AN45" i="63" s="1"/>
  <c r="AN46" i="63" s="1"/>
  <c r="AN47" i="63" s="1"/>
  <c r="AN48" i="63" s="1"/>
  <c r="AN49" i="63" s="1"/>
  <c r="AN50" i="63" s="1"/>
  <c r="AN51" i="63" s="1"/>
  <c r="AN52" i="63" s="1"/>
  <c r="AN53" i="63" s="1"/>
  <c r="AN54" i="63" s="1"/>
  <c r="AN55" i="63" s="1"/>
  <c r="AN56" i="63" s="1"/>
  <c r="AN57" i="63" s="1"/>
  <c r="AN58" i="63" s="1"/>
  <c r="AN59" i="63" s="1"/>
  <c r="AN60" i="63" s="1"/>
  <c r="AN61" i="63" s="1"/>
  <c r="AN62" i="63" s="1"/>
  <c r="AN63" i="63" s="1"/>
  <c r="AN64" i="63" s="1"/>
  <c r="AN65" i="63" s="1"/>
  <c r="AN66" i="63" s="1"/>
  <c r="AN67" i="63" s="1"/>
  <c r="AN68" i="63" s="1"/>
  <c r="AN69" i="63" s="1"/>
  <c r="AN70" i="63" s="1"/>
  <c r="AN71" i="63" s="1"/>
  <c r="AN72" i="63" s="1"/>
  <c r="AN73" i="63" s="1"/>
  <c r="AN74" i="63" s="1"/>
  <c r="AN75" i="63" s="1"/>
  <c r="AN76" i="63" s="1"/>
  <c r="AN77" i="63" s="1"/>
  <c r="AN78" i="63" s="1"/>
  <c r="AN79" i="63" s="1"/>
  <c r="AN80" i="63" s="1"/>
  <c r="AN81" i="63" s="1"/>
  <c r="AN82" i="63" s="1"/>
  <c r="AN83" i="63" s="1"/>
  <c r="AN84" i="63" s="1"/>
  <c r="AN85" i="63" s="1"/>
  <c r="AN86" i="63" s="1"/>
  <c r="AN87" i="63" s="1"/>
  <c r="AN88" i="63" s="1"/>
  <c r="AN89" i="63" s="1"/>
  <c r="AN90" i="63" s="1"/>
  <c r="AN91" i="63" s="1"/>
  <c r="AN92" i="63" s="1"/>
  <c r="AN93" i="63" s="1"/>
  <c r="AN94" i="63" s="1"/>
  <c r="AN95" i="63" s="1"/>
  <c r="AN96" i="63" s="1"/>
  <c r="AN97" i="63" s="1"/>
  <c r="AN98" i="63" s="1"/>
  <c r="AN99" i="63" s="1"/>
  <c r="AN100" i="63" s="1"/>
  <c r="AN101" i="63" s="1"/>
  <c r="AN102" i="63" s="1"/>
  <c r="AN103" i="63" s="1"/>
  <c r="AN104" i="63" s="1"/>
  <c r="AN105" i="63" s="1"/>
  <c r="AN106" i="63" s="1"/>
  <c r="AN107" i="63" s="1"/>
  <c r="AN108" i="63" s="1"/>
  <c r="AN109" i="63" s="1"/>
  <c r="AN110" i="63" s="1"/>
  <c r="AN111" i="63" s="1"/>
  <c r="AN112" i="63" s="1"/>
  <c r="AN113" i="63" s="1"/>
  <c r="AN114" i="63" s="1"/>
  <c r="AN115" i="63" s="1"/>
  <c r="AN116" i="63" s="1"/>
  <c r="AN117" i="63" s="1"/>
  <c r="AN118" i="63" s="1"/>
  <c r="AN119" i="63" s="1"/>
  <c r="AN120" i="63" s="1"/>
  <c r="AN121" i="63" s="1"/>
  <c r="AN122" i="63" s="1"/>
  <c r="AN123" i="63" s="1"/>
  <c r="AN124" i="63" s="1"/>
  <c r="AN125" i="63" s="1"/>
  <c r="AN126" i="63" s="1"/>
  <c r="AN127" i="63" s="1"/>
  <c r="AN128" i="63" s="1"/>
  <c r="AN129" i="63" s="1"/>
  <c r="AN130" i="63" s="1"/>
  <c r="AN131" i="63" s="1"/>
  <c r="AN132" i="63" s="1"/>
  <c r="AN133" i="63" s="1"/>
  <c r="AN134" i="63" s="1"/>
  <c r="AN135" i="63" s="1"/>
  <c r="AN136" i="63" s="1"/>
  <c r="AN137" i="63" s="1"/>
  <c r="AN138" i="63" s="1"/>
  <c r="AN139" i="63" s="1"/>
  <c r="AN140" i="63" s="1"/>
  <c r="AN141" i="63" s="1"/>
  <c r="AN142" i="63" s="1"/>
  <c r="AN143" i="63" s="1"/>
  <c r="AN144" i="63" s="1"/>
  <c r="AN145" i="63" s="1"/>
  <c r="AN146" i="63" s="1"/>
  <c r="AN147" i="63" s="1"/>
  <c r="AN148" i="63" s="1"/>
  <c r="AN149" i="63" s="1"/>
  <c r="AN150" i="63" s="1"/>
  <c r="AN151" i="63" s="1"/>
  <c r="AN152" i="63" s="1"/>
  <c r="AN153" i="63" s="1"/>
  <c r="AN154" i="63" s="1"/>
  <c r="AN155" i="63" s="1"/>
  <c r="AN156" i="63" s="1"/>
  <c r="AN157" i="63" s="1"/>
  <c r="AN158" i="63" s="1"/>
  <c r="AN159" i="63" s="1"/>
  <c r="AN160" i="63" s="1"/>
  <c r="AN161" i="63" s="1"/>
  <c r="AN162" i="63" s="1"/>
  <c r="AN163" i="63" s="1"/>
  <c r="AN164" i="63" s="1"/>
  <c r="AN165" i="63" s="1"/>
  <c r="AN166" i="63" s="1"/>
  <c r="AN167" i="63" s="1"/>
  <c r="AN168" i="63" s="1"/>
  <c r="AN169" i="63" s="1"/>
  <c r="AN170" i="63" s="1"/>
  <c r="AN171" i="63" s="1"/>
  <c r="AN172" i="63" s="1"/>
  <c r="AN173" i="63" s="1"/>
  <c r="AN174" i="63" s="1"/>
  <c r="AN175" i="63" s="1"/>
  <c r="AN176" i="63" s="1"/>
  <c r="AN177" i="63" s="1"/>
  <c r="AN178" i="63" s="1"/>
  <c r="AN179" i="63" s="1"/>
  <c r="AN180" i="63" s="1"/>
  <c r="AN181" i="63" s="1"/>
  <c r="AN182" i="63" s="1"/>
  <c r="AN183" i="63" s="1"/>
  <c r="AN184" i="63" s="1"/>
  <c r="AN185" i="63" s="1"/>
  <c r="AN186" i="63" s="1"/>
  <c r="AN187" i="63" s="1"/>
  <c r="AN188" i="63" s="1"/>
  <c r="AN189" i="63" s="1"/>
  <c r="AN190" i="63" s="1"/>
  <c r="AN191" i="63" s="1"/>
  <c r="AN192" i="63" s="1"/>
  <c r="AN193" i="63" s="1"/>
  <c r="AN194" i="63" s="1"/>
  <c r="AN195" i="63" s="1"/>
  <c r="AN196" i="63" s="1"/>
  <c r="AN197" i="63" s="1"/>
  <c r="AN198" i="63" s="1"/>
  <c r="AN199" i="63" s="1"/>
  <c r="AN200" i="63" s="1"/>
  <c r="AN201" i="63" s="1"/>
  <c r="AN202" i="63" s="1"/>
  <c r="AN203" i="63" s="1"/>
  <c r="AN204" i="63" s="1"/>
  <c r="AN205" i="63" s="1"/>
  <c r="AN206" i="63" s="1"/>
  <c r="AN207" i="63" s="1"/>
  <c r="AN208" i="63" s="1"/>
  <c r="AN209" i="63" s="1"/>
  <c r="AN210" i="63" s="1"/>
  <c r="AN211" i="63" s="1"/>
  <c r="AN212" i="63" s="1"/>
  <c r="AN213" i="63" s="1"/>
  <c r="AN214" i="63" s="1"/>
  <c r="AN215" i="63" s="1"/>
  <c r="AN216" i="63" s="1"/>
  <c r="AN217" i="63" s="1"/>
  <c r="AN218" i="63" s="1"/>
  <c r="AN219" i="63" s="1"/>
  <c r="AN220" i="63" s="1"/>
  <c r="AN221" i="63" s="1"/>
  <c r="AN222" i="63" s="1"/>
  <c r="AN223" i="63" s="1"/>
  <c r="AN224" i="63" s="1"/>
  <c r="AN225" i="63" s="1"/>
  <c r="AN226" i="63" s="1"/>
  <c r="AN227" i="63" s="1"/>
  <c r="AN228" i="63" s="1"/>
  <c r="AN229" i="63" s="1"/>
  <c r="AN230" i="63" s="1"/>
  <c r="AN231" i="63" s="1"/>
  <c r="AN232" i="63" s="1"/>
  <c r="AN233" i="63" s="1"/>
  <c r="AN234" i="63" s="1"/>
  <c r="AN235" i="63" s="1"/>
  <c r="AN236" i="63" s="1"/>
  <c r="AN237" i="63" s="1"/>
  <c r="AN238" i="63" s="1"/>
  <c r="AN239" i="63" s="1"/>
  <c r="AN240" i="63" s="1"/>
  <c r="AN241" i="63" s="1"/>
  <c r="AN242" i="63" s="1"/>
  <c r="AN243" i="63" s="1"/>
  <c r="AN244" i="63" s="1"/>
  <c r="AN245" i="63" s="1"/>
  <c r="AN246" i="63" s="1"/>
  <c r="AN247" i="63" s="1"/>
  <c r="AN248" i="63" s="1"/>
  <c r="AN249" i="63" s="1"/>
  <c r="AN250" i="63" s="1"/>
  <c r="AN251" i="63" s="1"/>
  <c r="AN252" i="63" s="1"/>
  <c r="AN253" i="63" s="1"/>
  <c r="AN254" i="63" s="1"/>
  <c r="AN255" i="63" s="1"/>
  <c r="AN256" i="63" s="1"/>
  <c r="AN257" i="63" s="1"/>
  <c r="AN258" i="63" s="1"/>
  <c r="AN259" i="63" s="1"/>
  <c r="AN260" i="63" s="1"/>
  <c r="AN261" i="63" s="1"/>
  <c r="AN262" i="63" s="1"/>
  <c r="AN263" i="63" s="1"/>
  <c r="AN264" i="63" s="1"/>
  <c r="AN265" i="63" s="1"/>
  <c r="AN266" i="63" s="1"/>
  <c r="AN267" i="63" s="1"/>
  <c r="AN268" i="63" s="1"/>
  <c r="AN269" i="63" s="1"/>
  <c r="AN270" i="63" s="1"/>
  <c r="AN271" i="63" s="1"/>
  <c r="AN272" i="63" s="1"/>
  <c r="AN273" i="63" s="1"/>
  <c r="AN274" i="63" s="1"/>
  <c r="AN275" i="63" s="1"/>
  <c r="AN276" i="63" s="1"/>
  <c r="AN277" i="63" s="1"/>
  <c r="AN278" i="63" s="1"/>
  <c r="AN279" i="63" s="1"/>
  <c r="AN280" i="63" s="1"/>
  <c r="AN281" i="63" s="1"/>
  <c r="AN282" i="63" s="1"/>
  <c r="AN283" i="63" s="1"/>
  <c r="AN284" i="63" s="1"/>
  <c r="AN285" i="63" s="1"/>
  <c r="AN286" i="63" s="1"/>
  <c r="AN287" i="63" s="1"/>
  <c r="AN288" i="63" s="1"/>
  <c r="AN289" i="63" s="1"/>
  <c r="AN290" i="63" s="1"/>
  <c r="AN291" i="63" s="1"/>
  <c r="AN292" i="63" s="1"/>
  <c r="AN293" i="63" s="1"/>
  <c r="AN294" i="63" s="1"/>
  <c r="AN295" i="63" s="1"/>
  <c r="AN296" i="63" s="1"/>
  <c r="AN297" i="63" s="1"/>
  <c r="AN298" i="63" s="1"/>
  <c r="AN299" i="63" s="1"/>
  <c r="AN300" i="63" s="1"/>
  <c r="AN301" i="63" s="1"/>
  <c r="AN302" i="63" s="1"/>
  <c r="AN303" i="63" s="1"/>
  <c r="AN304" i="63" s="1"/>
  <c r="AN305" i="63" s="1"/>
  <c r="AN306" i="63" s="1"/>
  <c r="AN307" i="63" s="1"/>
  <c r="AN308" i="63" s="1"/>
  <c r="AL9" i="63"/>
  <c r="AL10" i="63" s="1"/>
  <c r="AL11" i="63" s="1"/>
  <c r="AL12" i="63" s="1"/>
  <c r="AL13" i="63" s="1"/>
  <c r="AL14" i="63" s="1"/>
  <c r="AL15" i="63" s="1"/>
  <c r="AL16" i="63" s="1"/>
  <c r="AL17" i="63" s="1"/>
  <c r="AL18" i="63" s="1"/>
  <c r="AL19" i="63" s="1"/>
  <c r="AL20" i="63" s="1"/>
  <c r="AL21" i="63" s="1"/>
  <c r="AL22" i="63" s="1"/>
  <c r="AL23" i="63" s="1"/>
  <c r="AL24" i="63" s="1"/>
  <c r="AL25" i="63" s="1"/>
  <c r="AL26" i="63" s="1"/>
  <c r="AL27" i="63" s="1"/>
  <c r="AL28" i="63" s="1"/>
  <c r="AL29" i="63" s="1"/>
  <c r="AL30" i="63" s="1"/>
  <c r="AL31" i="63" s="1"/>
  <c r="AL32" i="63" s="1"/>
  <c r="AL33" i="63" s="1"/>
  <c r="AL34" i="63" s="1"/>
  <c r="AL35" i="63" s="1"/>
  <c r="AL36" i="63" s="1"/>
  <c r="AL37" i="63" s="1"/>
  <c r="AL38" i="63" s="1"/>
  <c r="AL39" i="63" s="1"/>
  <c r="AL40" i="63" s="1"/>
  <c r="AL41" i="63" s="1"/>
  <c r="AL42" i="63" s="1"/>
  <c r="AL43" i="63" s="1"/>
  <c r="AL44" i="63" s="1"/>
  <c r="AL45" i="63" s="1"/>
  <c r="AL46" i="63" s="1"/>
  <c r="AL47" i="63" s="1"/>
  <c r="AL48" i="63" s="1"/>
  <c r="AL49" i="63" s="1"/>
  <c r="AL50" i="63" s="1"/>
  <c r="AL51" i="63" s="1"/>
  <c r="AL52" i="63" s="1"/>
  <c r="AL53" i="63" s="1"/>
  <c r="AL54" i="63" s="1"/>
  <c r="AL55" i="63" s="1"/>
  <c r="AL56" i="63" s="1"/>
  <c r="AL57" i="63" s="1"/>
  <c r="AL58" i="63" s="1"/>
  <c r="AL59" i="63" s="1"/>
  <c r="AL60" i="63" s="1"/>
  <c r="AL61" i="63" s="1"/>
  <c r="AL62" i="63" s="1"/>
  <c r="AL63" i="63" s="1"/>
  <c r="AL64" i="63" s="1"/>
  <c r="AL65" i="63" s="1"/>
  <c r="AL66" i="63" s="1"/>
  <c r="AL67" i="63" s="1"/>
  <c r="AL68" i="63" s="1"/>
  <c r="AL69" i="63" s="1"/>
  <c r="AL70" i="63" s="1"/>
  <c r="AL71" i="63" s="1"/>
  <c r="AL72" i="63" s="1"/>
  <c r="AL73" i="63" s="1"/>
  <c r="AL74" i="63" s="1"/>
  <c r="AL75" i="63" s="1"/>
  <c r="AL76" i="63" s="1"/>
  <c r="AL77" i="63" s="1"/>
  <c r="AL78" i="63" s="1"/>
  <c r="AL79" i="63" s="1"/>
  <c r="AL80" i="63" s="1"/>
  <c r="AL81" i="63" s="1"/>
  <c r="AL82" i="63" s="1"/>
  <c r="AL83" i="63" s="1"/>
  <c r="AL84" i="63" s="1"/>
  <c r="AL85" i="63" s="1"/>
  <c r="AL86" i="63" s="1"/>
  <c r="AL87" i="63" s="1"/>
  <c r="AL88" i="63" s="1"/>
  <c r="AL89" i="63" s="1"/>
  <c r="AL90" i="63" s="1"/>
  <c r="AL91" i="63" s="1"/>
  <c r="AL92" i="63" s="1"/>
  <c r="AL93" i="63" s="1"/>
  <c r="AL94" i="63" s="1"/>
  <c r="AL95" i="63" s="1"/>
  <c r="AL96" i="63" s="1"/>
  <c r="AL97" i="63" s="1"/>
  <c r="AL98" i="63" s="1"/>
  <c r="AL99" i="63" s="1"/>
  <c r="AL100" i="63" s="1"/>
  <c r="AL101" i="63" s="1"/>
  <c r="AL102" i="63" s="1"/>
  <c r="AL103" i="63" s="1"/>
  <c r="AL104" i="63" s="1"/>
  <c r="AL105" i="63" s="1"/>
  <c r="AL106" i="63" s="1"/>
  <c r="AL107" i="63" s="1"/>
  <c r="AL108" i="63" s="1"/>
  <c r="AL109" i="63" s="1"/>
  <c r="AL110" i="63" s="1"/>
  <c r="AL111" i="63" s="1"/>
  <c r="AL112" i="63" s="1"/>
  <c r="AL113" i="63" s="1"/>
  <c r="AL114" i="63" s="1"/>
  <c r="AL115" i="63" s="1"/>
  <c r="AL116" i="63" s="1"/>
  <c r="AL117" i="63" s="1"/>
  <c r="AL118" i="63" s="1"/>
  <c r="AL119" i="63" s="1"/>
  <c r="AL120" i="63" s="1"/>
  <c r="AL121" i="63" s="1"/>
  <c r="AL122" i="63" s="1"/>
  <c r="AL123" i="63" s="1"/>
  <c r="AL124" i="63" s="1"/>
  <c r="AL125" i="63" s="1"/>
  <c r="AL126" i="63" s="1"/>
  <c r="AL127" i="63" s="1"/>
  <c r="AL128" i="63" s="1"/>
  <c r="AL129" i="63" s="1"/>
  <c r="AL130" i="63" s="1"/>
  <c r="AL131" i="63" s="1"/>
  <c r="AL132" i="63" s="1"/>
  <c r="AL133" i="63" s="1"/>
  <c r="AL134" i="63" s="1"/>
  <c r="AL135" i="63" s="1"/>
  <c r="AL136" i="63" s="1"/>
  <c r="AL137" i="63" s="1"/>
  <c r="AL138" i="63" s="1"/>
  <c r="AL139" i="63" s="1"/>
  <c r="AL140" i="63" s="1"/>
  <c r="AL141" i="63" s="1"/>
  <c r="AL142" i="63" s="1"/>
  <c r="AL143" i="63" s="1"/>
  <c r="AL144" i="63" s="1"/>
  <c r="AL145" i="63" s="1"/>
  <c r="AL146" i="63" s="1"/>
  <c r="AL147" i="63" s="1"/>
  <c r="AL148" i="63" s="1"/>
  <c r="AL149" i="63" s="1"/>
  <c r="AL150" i="63" s="1"/>
  <c r="AL151" i="63" s="1"/>
  <c r="AL152" i="63" s="1"/>
  <c r="AL153" i="63" s="1"/>
  <c r="AL154" i="63" s="1"/>
  <c r="AL155" i="63" s="1"/>
  <c r="AL156" i="63" s="1"/>
  <c r="AL157" i="63" s="1"/>
  <c r="AL158" i="63" s="1"/>
  <c r="AL159" i="63" s="1"/>
  <c r="AL160" i="63" s="1"/>
  <c r="AL161" i="63" s="1"/>
  <c r="AL162" i="63" s="1"/>
  <c r="AL163" i="63" s="1"/>
  <c r="AL164" i="63" s="1"/>
  <c r="AL165" i="63" s="1"/>
  <c r="AL166" i="63" s="1"/>
  <c r="AL167" i="63" s="1"/>
  <c r="AL168" i="63" s="1"/>
  <c r="AL169" i="63" s="1"/>
  <c r="AL170" i="63" s="1"/>
  <c r="AL171" i="63" s="1"/>
  <c r="AL172" i="63" s="1"/>
  <c r="AL173" i="63" s="1"/>
  <c r="AL174" i="63" s="1"/>
  <c r="AL175" i="63" s="1"/>
  <c r="AL176" i="63" s="1"/>
  <c r="AL177" i="63" s="1"/>
  <c r="AL178" i="63" s="1"/>
  <c r="AL179" i="63" s="1"/>
  <c r="AL180" i="63" s="1"/>
  <c r="AL181" i="63" s="1"/>
  <c r="AL182" i="63" s="1"/>
  <c r="AL183" i="63" s="1"/>
  <c r="AL184" i="63" s="1"/>
  <c r="AL185" i="63" s="1"/>
  <c r="AL186" i="63" s="1"/>
  <c r="AL187" i="63" s="1"/>
  <c r="AL188" i="63" s="1"/>
  <c r="AL189" i="63" s="1"/>
  <c r="AL190" i="63" s="1"/>
  <c r="AL191" i="63" s="1"/>
  <c r="AL192" i="63" s="1"/>
  <c r="AL193" i="63" s="1"/>
  <c r="AL194" i="63" s="1"/>
  <c r="AL195" i="63" s="1"/>
  <c r="AL196" i="63" s="1"/>
  <c r="AL197" i="63" s="1"/>
  <c r="AL198" i="63" s="1"/>
  <c r="AL199" i="63" s="1"/>
  <c r="AL200" i="63" s="1"/>
  <c r="AL201" i="63" s="1"/>
  <c r="AL202" i="63" s="1"/>
  <c r="AL203" i="63" s="1"/>
  <c r="AL204" i="63" s="1"/>
  <c r="AL205" i="63" s="1"/>
  <c r="AL206" i="63" s="1"/>
  <c r="AL207" i="63" s="1"/>
  <c r="AL208" i="63" s="1"/>
  <c r="AL209" i="63" s="1"/>
  <c r="AL210" i="63" s="1"/>
  <c r="AL211" i="63" s="1"/>
  <c r="AL212" i="63" s="1"/>
  <c r="AL213" i="63" s="1"/>
  <c r="AL214" i="63" s="1"/>
  <c r="AL215" i="63" s="1"/>
  <c r="AL216" i="63" s="1"/>
  <c r="AL217" i="63" s="1"/>
  <c r="AL218" i="63" s="1"/>
  <c r="AL219" i="63" s="1"/>
  <c r="AL220" i="63" s="1"/>
  <c r="AL221" i="63" s="1"/>
  <c r="AL222" i="63" s="1"/>
  <c r="AL223" i="63" s="1"/>
  <c r="AL224" i="63" s="1"/>
  <c r="AL225" i="63" s="1"/>
  <c r="AL226" i="63" s="1"/>
  <c r="AL227" i="63" s="1"/>
  <c r="AL228" i="63" s="1"/>
  <c r="AL229" i="63" s="1"/>
  <c r="AL230" i="63" s="1"/>
  <c r="AL231" i="63" s="1"/>
  <c r="AL232" i="63" s="1"/>
  <c r="AL233" i="63" s="1"/>
  <c r="AL234" i="63" s="1"/>
  <c r="AL235" i="63" s="1"/>
  <c r="AL236" i="63" s="1"/>
  <c r="AL237" i="63" s="1"/>
  <c r="AL238" i="63" s="1"/>
  <c r="AL239" i="63" s="1"/>
  <c r="AL240" i="63" s="1"/>
  <c r="AL241" i="63" s="1"/>
  <c r="AL242" i="63" s="1"/>
  <c r="AL243" i="63" s="1"/>
  <c r="AL244" i="63" s="1"/>
  <c r="AL245" i="63" s="1"/>
  <c r="AL246" i="63" s="1"/>
  <c r="AL247" i="63" s="1"/>
  <c r="AL248" i="63" s="1"/>
  <c r="AL249" i="63" s="1"/>
  <c r="AL250" i="63" s="1"/>
  <c r="AL251" i="63" s="1"/>
  <c r="AL252" i="63" s="1"/>
  <c r="AL253" i="63" s="1"/>
  <c r="AL254" i="63" s="1"/>
  <c r="AL255" i="63" s="1"/>
  <c r="AL256" i="63" s="1"/>
  <c r="AL257" i="63" s="1"/>
  <c r="AL258" i="63" s="1"/>
  <c r="AL259" i="63" s="1"/>
  <c r="AL260" i="63" s="1"/>
  <c r="AL261" i="63" s="1"/>
  <c r="AL262" i="63" s="1"/>
  <c r="AL263" i="63" s="1"/>
  <c r="AL264" i="63" s="1"/>
  <c r="AL265" i="63" s="1"/>
  <c r="AL266" i="63" s="1"/>
  <c r="AL267" i="63" s="1"/>
  <c r="AL268" i="63" s="1"/>
  <c r="AL269" i="63" s="1"/>
  <c r="AL270" i="63" s="1"/>
  <c r="AL271" i="63" s="1"/>
  <c r="AL272" i="63" s="1"/>
  <c r="AL273" i="63" s="1"/>
  <c r="AL274" i="63" s="1"/>
  <c r="AL275" i="63" s="1"/>
  <c r="AL276" i="63" s="1"/>
  <c r="AL277" i="63" s="1"/>
  <c r="AL278" i="63" s="1"/>
  <c r="AL279" i="63" s="1"/>
  <c r="AL280" i="63" s="1"/>
  <c r="AL281" i="63" s="1"/>
  <c r="AL282" i="63" s="1"/>
  <c r="AL283" i="63" s="1"/>
  <c r="AL284" i="63" s="1"/>
  <c r="AL285" i="63" s="1"/>
  <c r="AL286" i="63" s="1"/>
  <c r="AL287" i="63" s="1"/>
  <c r="AL288" i="63" s="1"/>
  <c r="AL289" i="63" s="1"/>
  <c r="AL290" i="63" s="1"/>
  <c r="AL291" i="63" s="1"/>
  <c r="AL292" i="63" s="1"/>
  <c r="AL293" i="63" s="1"/>
  <c r="AL294" i="63" s="1"/>
  <c r="AL295" i="63" s="1"/>
  <c r="AL296" i="63" s="1"/>
  <c r="AL297" i="63" s="1"/>
  <c r="AL298" i="63" s="1"/>
  <c r="AL299" i="63" s="1"/>
  <c r="AL300" i="63" s="1"/>
  <c r="AL301" i="63" s="1"/>
  <c r="AL302" i="63" s="1"/>
  <c r="AL303" i="63" s="1"/>
  <c r="AL304" i="63" s="1"/>
  <c r="AL305" i="63" s="1"/>
  <c r="AL306" i="63" s="1"/>
  <c r="AL307" i="63" s="1"/>
  <c r="AL308" i="63" s="1"/>
  <c r="AK9" i="63"/>
  <c r="AK10" i="63" s="1"/>
  <c r="AK11" i="63" s="1"/>
  <c r="AK12" i="63" s="1"/>
  <c r="AK13" i="63" s="1"/>
  <c r="AK14" i="63" s="1"/>
  <c r="AK15" i="63" s="1"/>
  <c r="AK16" i="63" s="1"/>
  <c r="AK17" i="63" s="1"/>
  <c r="AK18" i="63" s="1"/>
  <c r="AK19" i="63" s="1"/>
  <c r="AK20" i="63" s="1"/>
  <c r="AK21" i="63" s="1"/>
  <c r="AK22" i="63" s="1"/>
  <c r="AK23" i="63" s="1"/>
  <c r="AK24" i="63" s="1"/>
  <c r="AK25" i="63" s="1"/>
  <c r="AK26" i="63" s="1"/>
  <c r="AK27" i="63" s="1"/>
  <c r="AK28" i="63" s="1"/>
  <c r="AK29" i="63" s="1"/>
  <c r="AK30" i="63" s="1"/>
  <c r="AK31" i="63" s="1"/>
  <c r="AK32" i="63" s="1"/>
  <c r="AK33" i="63" s="1"/>
  <c r="AK34" i="63" s="1"/>
  <c r="AK35" i="63" s="1"/>
  <c r="AK36" i="63" s="1"/>
  <c r="AK37" i="63" s="1"/>
  <c r="AK38" i="63" s="1"/>
  <c r="AK39" i="63" s="1"/>
  <c r="AK40" i="63" s="1"/>
  <c r="AK41" i="63" s="1"/>
  <c r="AK42" i="63" s="1"/>
  <c r="AK43" i="63" s="1"/>
  <c r="AK44" i="63" s="1"/>
  <c r="AK45" i="63" s="1"/>
  <c r="AK46" i="63" s="1"/>
  <c r="AK47" i="63" s="1"/>
  <c r="AK48" i="63" s="1"/>
  <c r="AK49" i="63" s="1"/>
  <c r="AK50" i="63" s="1"/>
  <c r="AK51" i="63" s="1"/>
  <c r="AK52" i="63" s="1"/>
  <c r="AK53" i="63" s="1"/>
  <c r="AK54" i="63" s="1"/>
  <c r="AK55" i="63" s="1"/>
  <c r="AK56" i="63" s="1"/>
  <c r="AK57" i="63" s="1"/>
  <c r="AK58" i="63" s="1"/>
  <c r="AK59" i="63" s="1"/>
  <c r="AK60" i="63" s="1"/>
  <c r="AK61" i="63" s="1"/>
  <c r="AK62" i="63" s="1"/>
  <c r="AK63" i="63" s="1"/>
  <c r="AK64" i="63" s="1"/>
  <c r="AK65" i="63" s="1"/>
  <c r="AK66" i="63" s="1"/>
  <c r="AK67" i="63" s="1"/>
  <c r="AK68" i="63" s="1"/>
  <c r="AK69" i="63" s="1"/>
  <c r="AK70" i="63" s="1"/>
  <c r="AK71" i="63" s="1"/>
  <c r="AK72" i="63" s="1"/>
  <c r="AK73" i="63" s="1"/>
  <c r="AK74" i="63" s="1"/>
  <c r="AK75" i="63" s="1"/>
  <c r="AK76" i="63" s="1"/>
  <c r="AK77" i="63" s="1"/>
  <c r="AK78" i="63" s="1"/>
  <c r="AK79" i="63" s="1"/>
  <c r="AK80" i="63" s="1"/>
  <c r="AK81" i="63" s="1"/>
  <c r="AK82" i="63" s="1"/>
  <c r="AK83" i="63" s="1"/>
  <c r="AK84" i="63" s="1"/>
  <c r="AK85" i="63" s="1"/>
  <c r="AK86" i="63" s="1"/>
  <c r="AK87" i="63" s="1"/>
  <c r="AK88" i="63" s="1"/>
  <c r="AK89" i="63" s="1"/>
  <c r="AK90" i="63" s="1"/>
  <c r="AK91" i="63" s="1"/>
  <c r="AK92" i="63" s="1"/>
  <c r="AK93" i="63" s="1"/>
  <c r="AK94" i="63" s="1"/>
  <c r="AK95" i="63" s="1"/>
  <c r="AK96" i="63" s="1"/>
  <c r="AK97" i="63" s="1"/>
  <c r="AK98" i="63" s="1"/>
  <c r="AK99" i="63" s="1"/>
  <c r="AK100" i="63" s="1"/>
  <c r="AK101" i="63" s="1"/>
  <c r="AK102" i="63" s="1"/>
  <c r="AK103" i="63" s="1"/>
  <c r="AK104" i="63" s="1"/>
  <c r="AK105" i="63" s="1"/>
  <c r="AK106" i="63" s="1"/>
  <c r="AK107" i="63" s="1"/>
  <c r="AK108" i="63" s="1"/>
  <c r="AK109" i="63" s="1"/>
  <c r="AK110" i="63" s="1"/>
  <c r="AK111" i="63" s="1"/>
  <c r="AK112" i="63" s="1"/>
  <c r="AK113" i="63" s="1"/>
  <c r="AK114" i="63" s="1"/>
  <c r="AK115" i="63" s="1"/>
  <c r="AK116" i="63" s="1"/>
  <c r="AK117" i="63" s="1"/>
  <c r="AK118" i="63" s="1"/>
  <c r="AK119" i="63" s="1"/>
  <c r="AK120" i="63" s="1"/>
  <c r="AK121" i="63" s="1"/>
  <c r="AK122" i="63" s="1"/>
  <c r="AK123" i="63" s="1"/>
  <c r="AK124" i="63" s="1"/>
  <c r="AK125" i="63" s="1"/>
  <c r="AK126" i="63" s="1"/>
  <c r="AK127" i="63" s="1"/>
  <c r="AK128" i="63" s="1"/>
  <c r="AK129" i="63" s="1"/>
  <c r="AK130" i="63" s="1"/>
  <c r="AK131" i="63" s="1"/>
  <c r="AK132" i="63" s="1"/>
  <c r="AK133" i="63" s="1"/>
  <c r="AK134" i="63" s="1"/>
  <c r="AK135" i="63" s="1"/>
  <c r="AK136" i="63" s="1"/>
  <c r="AK137" i="63" s="1"/>
  <c r="AK138" i="63" s="1"/>
  <c r="AK139" i="63" s="1"/>
  <c r="AK140" i="63" s="1"/>
  <c r="AK141" i="63" s="1"/>
  <c r="AK142" i="63" s="1"/>
  <c r="AK143" i="63" s="1"/>
  <c r="AK144" i="63" s="1"/>
  <c r="AK145" i="63" s="1"/>
  <c r="AK146" i="63" s="1"/>
  <c r="AK147" i="63" s="1"/>
  <c r="AK148" i="63" s="1"/>
  <c r="AK149" i="63" s="1"/>
  <c r="AK150" i="63" s="1"/>
  <c r="AK151" i="63" s="1"/>
  <c r="AK152" i="63" s="1"/>
  <c r="AK153" i="63" s="1"/>
  <c r="AK154" i="63" s="1"/>
  <c r="AK155" i="63" s="1"/>
  <c r="AK156" i="63" s="1"/>
  <c r="AK157" i="63" s="1"/>
  <c r="AK158" i="63" s="1"/>
  <c r="AK159" i="63" s="1"/>
  <c r="AK160" i="63" s="1"/>
  <c r="AK161" i="63" s="1"/>
  <c r="AK162" i="63" s="1"/>
  <c r="AK163" i="63" s="1"/>
  <c r="AK164" i="63" s="1"/>
  <c r="AK165" i="63" s="1"/>
  <c r="AK166" i="63" s="1"/>
  <c r="AK167" i="63" s="1"/>
  <c r="AK168" i="63" s="1"/>
  <c r="AK169" i="63" s="1"/>
  <c r="AK170" i="63" s="1"/>
  <c r="AK171" i="63" s="1"/>
  <c r="AK172" i="63" s="1"/>
  <c r="AK173" i="63" s="1"/>
  <c r="AK174" i="63" s="1"/>
  <c r="AK175" i="63" s="1"/>
  <c r="AK176" i="63" s="1"/>
  <c r="AK177" i="63" s="1"/>
  <c r="AK178" i="63" s="1"/>
  <c r="AK179" i="63" s="1"/>
  <c r="AK180" i="63" s="1"/>
  <c r="AK181" i="63" s="1"/>
  <c r="AK182" i="63" s="1"/>
  <c r="AK183" i="63" s="1"/>
  <c r="AK184" i="63" s="1"/>
  <c r="AK185" i="63" s="1"/>
  <c r="AK186" i="63" s="1"/>
  <c r="AK187" i="63" s="1"/>
  <c r="AK188" i="63" s="1"/>
  <c r="AK189" i="63" s="1"/>
  <c r="AK190" i="63" s="1"/>
  <c r="AK191" i="63" s="1"/>
  <c r="AK192" i="63" s="1"/>
  <c r="AK193" i="63" s="1"/>
  <c r="AK194" i="63" s="1"/>
  <c r="AK195" i="63" s="1"/>
  <c r="AK196" i="63" s="1"/>
  <c r="AK197" i="63" s="1"/>
  <c r="AK198" i="63" s="1"/>
  <c r="AK199" i="63" s="1"/>
  <c r="AK200" i="63" s="1"/>
  <c r="AK201" i="63" s="1"/>
  <c r="AK202" i="63" s="1"/>
  <c r="AK203" i="63" s="1"/>
  <c r="AK204" i="63" s="1"/>
  <c r="AK205" i="63" s="1"/>
  <c r="AK206" i="63" s="1"/>
  <c r="AK207" i="63" s="1"/>
  <c r="AK208" i="63" s="1"/>
  <c r="AK209" i="63" s="1"/>
  <c r="AK210" i="63" s="1"/>
  <c r="AK211" i="63" s="1"/>
  <c r="AK212" i="63" s="1"/>
  <c r="AK213" i="63" s="1"/>
  <c r="AK214" i="63" s="1"/>
  <c r="AK215" i="63" s="1"/>
  <c r="AK216" i="63" s="1"/>
  <c r="AK217" i="63" s="1"/>
  <c r="AK218" i="63" s="1"/>
  <c r="AK219" i="63" s="1"/>
  <c r="AK220" i="63" s="1"/>
  <c r="AK221" i="63" s="1"/>
  <c r="AK222" i="63" s="1"/>
  <c r="AK223" i="63" s="1"/>
  <c r="AK224" i="63" s="1"/>
  <c r="AK225" i="63" s="1"/>
  <c r="AK226" i="63" s="1"/>
  <c r="AK227" i="63" s="1"/>
  <c r="AK228" i="63" s="1"/>
  <c r="AK229" i="63" s="1"/>
  <c r="AK230" i="63" s="1"/>
  <c r="AK231" i="63" s="1"/>
  <c r="AK232" i="63" s="1"/>
  <c r="AK233" i="63" s="1"/>
  <c r="AK234" i="63" s="1"/>
  <c r="AK235" i="63" s="1"/>
  <c r="AK236" i="63" s="1"/>
  <c r="AK237" i="63" s="1"/>
  <c r="AK238" i="63" s="1"/>
  <c r="AK239" i="63" s="1"/>
  <c r="AK240" i="63" s="1"/>
  <c r="AK241" i="63" s="1"/>
  <c r="AK242" i="63" s="1"/>
  <c r="AK243" i="63" s="1"/>
  <c r="AK244" i="63" s="1"/>
  <c r="AK245" i="63" s="1"/>
  <c r="AK246" i="63" s="1"/>
  <c r="AK247" i="63" s="1"/>
  <c r="AK248" i="63" s="1"/>
  <c r="AK249" i="63" s="1"/>
  <c r="AK250" i="63" s="1"/>
  <c r="AK251" i="63" s="1"/>
  <c r="AK252" i="63" s="1"/>
  <c r="AK253" i="63" s="1"/>
  <c r="AK254" i="63" s="1"/>
  <c r="AK255" i="63" s="1"/>
  <c r="AK256" i="63" s="1"/>
  <c r="AK257" i="63" s="1"/>
  <c r="AK258" i="63" s="1"/>
  <c r="AK259" i="63" s="1"/>
  <c r="AK260" i="63" s="1"/>
  <c r="AK261" i="63" s="1"/>
  <c r="AK262" i="63" s="1"/>
  <c r="AK263" i="63" s="1"/>
  <c r="AK264" i="63" s="1"/>
  <c r="AK265" i="63" s="1"/>
  <c r="AK266" i="63" s="1"/>
  <c r="AK267" i="63" s="1"/>
  <c r="AK268" i="63" s="1"/>
  <c r="AK269" i="63" s="1"/>
  <c r="AK270" i="63" s="1"/>
  <c r="AK271" i="63" s="1"/>
  <c r="AK272" i="63" s="1"/>
  <c r="AK273" i="63" s="1"/>
  <c r="AK274" i="63" s="1"/>
  <c r="AK275" i="63" s="1"/>
  <c r="AK276" i="63" s="1"/>
  <c r="AK277" i="63" s="1"/>
  <c r="AK278" i="63" s="1"/>
  <c r="AK279" i="63" s="1"/>
  <c r="AK280" i="63" s="1"/>
  <c r="AK281" i="63" s="1"/>
  <c r="AK282" i="63" s="1"/>
  <c r="AK283" i="63" s="1"/>
  <c r="AK284" i="63" s="1"/>
  <c r="AK285" i="63" s="1"/>
  <c r="AK286" i="63" s="1"/>
  <c r="AK287" i="63" s="1"/>
  <c r="AK288" i="63" s="1"/>
  <c r="AK289" i="63" s="1"/>
  <c r="AK290" i="63" s="1"/>
  <c r="AK291" i="63" s="1"/>
  <c r="AK292" i="63" s="1"/>
  <c r="AK293" i="63" s="1"/>
  <c r="AK294" i="63" s="1"/>
  <c r="AK295" i="63" s="1"/>
  <c r="AK296" i="63" s="1"/>
  <c r="AK297" i="63" s="1"/>
  <c r="AK298" i="63" s="1"/>
  <c r="AK299" i="63" s="1"/>
  <c r="AK300" i="63" s="1"/>
  <c r="AK301" i="63" s="1"/>
  <c r="AK302" i="63" s="1"/>
  <c r="AK303" i="63" s="1"/>
  <c r="AK304" i="63" s="1"/>
  <c r="AK305" i="63" s="1"/>
  <c r="AK306" i="63" s="1"/>
  <c r="AK307" i="63" s="1"/>
  <c r="AK308" i="63" s="1"/>
  <c r="AJ9" i="63"/>
  <c r="AJ10" i="63" s="1"/>
  <c r="AJ11" i="63" s="1"/>
  <c r="AJ12" i="63" s="1"/>
  <c r="AJ13" i="63" s="1"/>
  <c r="AJ14" i="63" s="1"/>
  <c r="AJ15" i="63" s="1"/>
  <c r="AJ16" i="63" s="1"/>
  <c r="AJ17" i="63" s="1"/>
  <c r="AJ18" i="63" s="1"/>
  <c r="AJ19" i="63" s="1"/>
  <c r="AJ20" i="63" s="1"/>
  <c r="AJ21" i="63" s="1"/>
  <c r="AJ22" i="63" s="1"/>
  <c r="AJ23" i="63" s="1"/>
  <c r="AJ24" i="63" s="1"/>
  <c r="AJ25" i="63" s="1"/>
  <c r="AJ26" i="63" s="1"/>
  <c r="AJ27" i="63" s="1"/>
  <c r="AJ28" i="63" s="1"/>
  <c r="AJ29" i="63" s="1"/>
  <c r="AJ30" i="63" s="1"/>
  <c r="AJ31" i="63" s="1"/>
  <c r="AJ32" i="63" s="1"/>
  <c r="AJ33" i="63" s="1"/>
  <c r="AJ34" i="63" s="1"/>
  <c r="AJ35" i="63" s="1"/>
  <c r="AJ36" i="63" s="1"/>
  <c r="AJ37" i="63" s="1"/>
  <c r="AJ38" i="63" s="1"/>
  <c r="AJ39" i="63" s="1"/>
  <c r="AJ40" i="63" s="1"/>
  <c r="AJ41" i="63" s="1"/>
  <c r="AJ42" i="63" s="1"/>
  <c r="AJ43" i="63" s="1"/>
  <c r="AJ44" i="63" s="1"/>
  <c r="AJ45" i="63" s="1"/>
  <c r="AJ46" i="63" s="1"/>
  <c r="AJ47" i="63" s="1"/>
  <c r="AJ48" i="63" s="1"/>
  <c r="AJ49" i="63" s="1"/>
  <c r="AJ50" i="63" s="1"/>
  <c r="AJ51" i="63" s="1"/>
  <c r="AJ52" i="63" s="1"/>
  <c r="AJ53" i="63" s="1"/>
  <c r="AJ54" i="63" s="1"/>
  <c r="AJ55" i="63" s="1"/>
  <c r="AJ56" i="63" s="1"/>
  <c r="AJ57" i="63" s="1"/>
  <c r="AJ58" i="63" s="1"/>
  <c r="AJ59" i="63" s="1"/>
  <c r="AJ60" i="63" s="1"/>
  <c r="AJ61" i="63" s="1"/>
  <c r="AJ62" i="63" s="1"/>
  <c r="AJ63" i="63" s="1"/>
  <c r="AJ64" i="63" s="1"/>
  <c r="AJ65" i="63" s="1"/>
  <c r="AJ66" i="63" s="1"/>
  <c r="AJ67" i="63" s="1"/>
  <c r="AJ68" i="63" s="1"/>
  <c r="AJ69" i="63" s="1"/>
  <c r="AJ70" i="63" s="1"/>
  <c r="AJ71" i="63" s="1"/>
  <c r="AJ72" i="63" s="1"/>
  <c r="AJ73" i="63" s="1"/>
  <c r="AJ74" i="63" s="1"/>
  <c r="AJ75" i="63" s="1"/>
  <c r="AJ76" i="63" s="1"/>
  <c r="AJ77" i="63" s="1"/>
  <c r="AJ78" i="63" s="1"/>
  <c r="AJ79" i="63" s="1"/>
  <c r="AJ80" i="63" s="1"/>
  <c r="AJ81" i="63" s="1"/>
  <c r="AJ82" i="63" s="1"/>
  <c r="AJ83" i="63" s="1"/>
  <c r="AJ84" i="63" s="1"/>
  <c r="AJ85" i="63" s="1"/>
  <c r="AJ86" i="63" s="1"/>
  <c r="AJ87" i="63" s="1"/>
  <c r="AJ88" i="63" s="1"/>
  <c r="AJ89" i="63" s="1"/>
  <c r="AJ90" i="63" s="1"/>
  <c r="AJ91" i="63" s="1"/>
  <c r="AJ92" i="63" s="1"/>
  <c r="AJ93" i="63" s="1"/>
  <c r="AJ94" i="63" s="1"/>
  <c r="AJ95" i="63" s="1"/>
  <c r="AJ96" i="63" s="1"/>
  <c r="AJ97" i="63" s="1"/>
  <c r="AJ98" i="63" s="1"/>
  <c r="AJ99" i="63" s="1"/>
  <c r="AJ100" i="63" s="1"/>
  <c r="AJ101" i="63" s="1"/>
  <c r="AJ102" i="63" s="1"/>
  <c r="AJ103" i="63" s="1"/>
  <c r="AJ104" i="63" s="1"/>
  <c r="AJ105" i="63" s="1"/>
  <c r="AJ106" i="63" s="1"/>
  <c r="AJ107" i="63" s="1"/>
  <c r="AJ108" i="63" s="1"/>
  <c r="AJ109" i="63" s="1"/>
  <c r="AJ110" i="63" s="1"/>
  <c r="AJ111" i="63" s="1"/>
  <c r="AJ112" i="63" s="1"/>
  <c r="AJ113" i="63" s="1"/>
  <c r="AJ114" i="63" s="1"/>
  <c r="AJ115" i="63" s="1"/>
  <c r="AJ116" i="63" s="1"/>
  <c r="AJ117" i="63" s="1"/>
  <c r="AJ118" i="63" s="1"/>
  <c r="AJ119" i="63" s="1"/>
  <c r="AJ120" i="63" s="1"/>
  <c r="AJ121" i="63" s="1"/>
  <c r="AJ122" i="63" s="1"/>
  <c r="AJ123" i="63" s="1"/>
  <c r="AJ124" i="63" s="1"/>
  <c r="AJ125" i="63" s="1"/>
  <c r="AJ126" i="63" s="1"/>
  <c r="AJ127" i="63" s="1"/>
  <c r="AJ128" i="63" s="1"/>
  <c r="AJ129" i="63" s="1"/>
  <c r="AJ130" i="63" s="1"/>
  <c r="AJ131" i="63" s="1"/>
  <c r="AJ132" i="63" s="1"/>
  <c r="AJ133" i="63" s="1"/>
  <c r="AJ134" i="63" s="1"/>
  <c r="AJ135" i="63" s="1"/>
  <c r="AJ136" i="63" s="1"/>
  <c r="AJ137" i="63" s="1"/>
  <c r="AJ138" i="63" s="1"/>
  <c r="AJ139" i="63" s="1"/>
  <c r="AJ140" i="63" s="1"/>
  <c r="AJ141" i="63" s="1"/>
  <c r="AJ142" i="63" s="1"/>
  <c r="AJ143" i="63" s="1"/>
  <c r="AJ144" i="63" s="1"/>
  <c r="AJ145" i="63" s="1"/>
  <c r="AJ146" i="63" s="1"/>
  <c r="AJ147" i="63" s="1"/>
  <c r="AJ148" i="63" s="1"/>
  <c r="AJ149" i="63" s="1"/>
  <c r="AJ150" i="63" s="1"/>
  <c r="AJ151" i="63" s="1"/>
  <c r="AJ152" i="63" s="1"/>
  <c r="AJ153" i="63" s="1"/>
  <c r="AJ154" i="63" s="1"/>
  <c r="AJ155" i="63" s="1"/>
  <c r="AJ156" i="63" s="1"/>
  <c r="AJ157" i="63" s="1"/>
  <c r="AJ158" i="63" s="1"/>
  <c r="AJ159" i="63" s="1"/>
  <c r="AJ160" i="63" s="1"/>
  <c r="AJ161" i="63" s="1"/>
  <c r="AJ162" i="63" s="1"/>
  <c r="AJ163" i="63" s="1"/>
  <c r="AJ164" i="63" s="1"/>
  <c r="AJ165" i="63" s="1"/>
  <c r="AJ166" i="63" s="1"/>
  <c r="AJ167" i="63" s="1"/>
  <c r="AJ168" i="63" s="1"/>
  <c r="AJ169" i="63" s="1"/>
  <c r="AJ170" i="63" s="1"/>
  <c r="AJ171" i="63" s="1"/>
  <c r="AJ172" i="63" s="1"/>
  <c r="AJ173" i="63" s="1"/>
  <c r="AJ174" i="63" s="1"/>
  <c r="AJ175" i="63" s="1"/>
  <c r="AJ176" i="63" s="1"/>
  <c r="AJ177" i="63" s="1"/>
  <c r="AJ178" i="63" s="1"/>
  <c r="AJ179" i="63" s="1"/>
  <c r="AJ180" i="63" s="1"/>
  <c r="AJ181" i="63" s="1"/>
  <c r="AJ182" i="63" s="1"/>
  <c r="AJ183" i="63" s="1"/>
  <c r="AJ184" i="63" s="1"/>
  <c r="AJ185" i="63" s="1"/>
  <c r="AJ186" i="63" s="1"/>
  <c r="AJ187" i="63" s="1"/>
  <c r="AJ188" i="63" s="1"/>
  <c r="AJ189" i="63" s="1"/>
  <c r="AJ190" i="63" s="1"/>
  <c r="AJ191" i="63" s="1"/>
  <c r="AJ192" i="63" s="1"/>
  <c r="AJ193" i="63" s="1"/>
  <c r="AJ194" i="63" s="1"/>
  <c r="AJ195" i="63" s="1"/>
  <c r="AJ196" i="63" s="1"/>
  <c r="AJ197" i="63" s="1"/>
  <c r="AJ198" i="63" s="1"/>
  <c r="AJ199" i="63" s="1"/>
  <c r="AJ200" i="63" s="1"/>
  <c r="AJ201" i="63" s="1"/>
  <c r="AJ202" i="63" s="1"/>
  <c r="AJ203" i="63" s="1"/>
  <c r="AJ204" i="63" s="1"/>
  <c r="AJ205" i="63" s="1"/>
  <c r="AJ206" i="63" s="1"/>
  <c r="AJ207" i="63" s="1"/>
  <c r="AJ208" i="63" s="1"/>
  <c r="AJ209" i="63" s="1"/>
  <c r="AJ210" i="63" s="1"/>
  <c r="AJ211" i="63" s="1"/>
  <c r="AJ212" i="63" s="1"/>
  <c r="AJ213" i="63" s="1"/>
  <c r="AJ214" i="63" s="1"/>
  <c r="AJ215" i="63" s="1"/>
  <c r="AJ216" i="63" s="1"/>
  <c r="AJ217" i="63" s="1"/>
  <c r="AJ218" i="63" s="1"/>
  <c r="AJ219" i="63" s="1"/>
  <c r="AJ220" i="63" s="1"/>
  <c r="AJ221" i="63" s="1"/>
  <c r="AJ222" i="63" s="1"/>
  <c r="AJ223" i="63" s="1"/>
  <c r="AJ224" i="63" s="1"/>
  <c r="AJ225" i="63" s="1"/>
  <c r="AJ226" i="63" s="1"/>
  <c r="AJ227" i="63" s="1"/>
  <c r="AJ228" i="63" s="1"/>
  <c r="AJ229" i="63" s="1"/>
  <c r="AJ230" i="63" s="1"/>
  <c r="AJ231" i="63" s="1"/>
  <c r="AJ232" i="63" s="1"/>
  <c r="AJ233" i="63" s="1"/>
  <c r="AJ234" i="63" s="1"/>
  <c r="AJ235" i="63" s="1"/>
  <c r="AJ236" i="63" s="1"/>
  <c r="AJ237" i="63" s="1"/>
  <c r="AJ238" i="63" s="1"/>
  <c r="AJ239" i="63" s="1"/>
  <c r="AJ240" i="63" s="1"/>
  <c r="AJ241" i="63" s="1"/>
  <c r="AJ242" i="63" s="1"/>
  <c r="AJ243" i="63" s="1"/>
  <c r="AJ244" i="63" s="1"/>
  <c r="AJ245" i="63" s="1"/>
  <c r="AJ246" i="63" s="1"/>
  <c r="AJ247" i="63" s="1"/>
  <c r="AJ248" i="63" s="1"/>
  <c r="AJ249" i="63" s="1"/>
  <c r="AJ250" i="63" s="1"/>
  <c r="AJ251" i="63" s="1"/>
  <c r="AJ252" i="63" s="1"/>
  <c r="AJ253" i="63" s="1"/>
  <c r="AJ254" i="63" s="1"/>
  <c r="AJ255" i="63" s="1"/>
  <c r="AJ256" i="63" s="1"/>
  <c r="AJ257" i="63" s="1"/>
  <c r="AJ258" i="63" s="1"/>
  <c r="AJ259" i="63" s="1"/>
  <c r="AJ260" i="63" s="1"/>
  <c r="AJ261" i="63" s="1"/>
  <c r="AJ262" i="63" s="1"/>
  <c r="AJ263" i="63" s="1"/>
  <c r="AJ264" i="63" s="1"/>
  <c r="AJ265" i="63" s="1"/>
  <c r="AJ266" i="63" s="1"/>
  <c r="AJ267" i="63" s="1"/>
  <c r="AJ268" i="63" s="1"/>
  <c r="AJ269" i="63" s="1"/>
  <c r="AJ270" i="63" s="1"/>
  <c r="AJ271" i="63" s="1"/>
  <c r="AJ272" i="63" s="1"/>
  <c r="AJ273" i="63" s="1"/>
  <c r="AJ274" i="63" s="1"/>
  <c r="AJ275" i="63" s="1"/>
  <c r="AJ276" i="63" s="1"/>
  <c r="AJ277" i="63" s="1"/>
  <c r="AJ278" i="63" s="1"/>
  <c r="AJ279" i="63" s="1"/>
  <c r="AJ280" i="63" s="1"/>
  <c r="AJ281" i="63" s="1"/>
  <c r="AJ282" i="63" s="1"/>
  <c r="AJ283" i="63" s="1"/>
  <c r="AJ284" i="63" s="1"/>
  <c r="AJ285" i="63" s="1"/>
  <c r="AJ286" i="63" s="1"/>
  <c r="AJ287" i="63" s="1"/>
  <c r="AJ288" i="63" s="1"/>
  <c r="AJ289" i="63" s="1"/>
  <c r="AJ290" i="63" s="1"/>
  <c r="AJ291" i="63" s="1"/>
  <c r="AJ292" i="63" s="1"/>
  <c r="AJ293" i="63" s="1"/>
  <c r="AJ294" i="63" s="1"/>
  <c r="AJ295" i="63" s="1"/>
  <c r="AJ296" i="63" s="1"/>
  <c r="AJ297" i="63" s="1"/>
  <c r="AJ298" i="63" s="1"/>
  <c r="AJ299" i="63" s="1"/>
  <c r="AJ300" i="63" s="1"/>
  <c r="AJ301" i="63" s="1"/>
  <c r="AJ302" i="63" s="1"/>
  <c r="AJ303" i="63" s="1"/>
  <c r="AJ304" i="63" s="1"/>
  <c r="AJ305" i="63" s="1"/>
  <c r="AJ306" i="63" s="1"/>
  <c r="AJ307" i="63" s="1"/>
  <c r="AJ308" i="63" s="1"/>
  <c r="AH9" i="63"/>
  <c r="AH10" i="63" s="1"/>
  <c r="AH11" i="63" s="1"/>
  <c r="AH12" i="63" s="1"/>
  <c r="AH13" i="63" s="1"/>
  <c r="AH14" i="63" s="1"/>
  <c r="AH15" i="63" s="1"/>
  <c r="AH16" i="63" s="1"/>
  <c r="AH17" i="63" s="1"/>
  <c r="AH18" i="63" s="1"/>
  <c r="AH19" i="63" s="1"/>
  <c r="AH20" i="63" s="1"/>
  <c r="AH21" i="63" s="1"/>
  <c r="AH22" i="63" s="1"/>
  <c r="AH23" i="63" s="1"/>
  <c r="AH24" i="63" s="1"/>
  <c r="AH25" i="63" s="1"/>
  <c r="AH26" i="63" s="1"/>
  <c r="AH27" i="63" s="1"/>
  <c r="AH28" i="63" s="1"/>
  <c r="AH29" i="63" s="1"/>
  <c r="AH30" i="63" s="1"/>
  <c r="AH31" i="63" s="1"/>
  <c r="AH32" i="63" s="1"/>
  <c r="AH33" i="63" s="1"/>
  <c r="AH34" i="63" s="1"/>
  <c r="AH35" i="63" s="1"/>
  <c r="AH36" i="63" s="1"/>
  <c r="AH37" i="63" s="1"/>
  <c r="AH38" i="63" s="1"/>
  <c r="AH39" i="63" s="1"/>
  <c r="AH40" i="63" s="1"/>
  <c r="AH41" i="63" s="1"/>
  <c r="AH42" i="63" s="1"/>
  <c r="AH43" i="63" s="1"/>
  <c r="AH44" i="63" s="1"/>
  <c r="AH45" i="63" s="1"/>
  <c r="AH46" i="63" s="1"/>
  <c r="AH47" i="63" s="1"/>
  <c r="AH48" i="63" s="1"/>
  <c r="AH49" i="63" s="1"/>
  <c r="AH50" i="63" s="1"/>
  <c r="AH51" i="63" s="1"/>
  <c r="AH52" i="63" s="1"/>
  <c r="AH53" i="63" s="1"/>
  <c r="AH54" i="63" s="1"/>
  <c r="AH55" i="63" s="1"/>
  <c r="AH56" i="63" s="1"/>
  <c r="AH57" i="63" s="1"/>
  <c r="AH58" i="63" s="1"/>
  <c r="AH59" i="63" s="1"/>
  <c r="AH60" i="63" s="1"/>
  <c r="AH61" i="63" s="1"/>
  <c r="AH62" i="63" s="1"/>
  <c r="AH63" i="63" s="1"/>
  <c r="AH64" i="63" s="1"/>
  <c r="AH65" i="63" s="1"/>
  <c r="AH66" i="63" s="1"/>
  <c r="AH67" i="63" s="1"/>
  <c r="AH68" i="63" s="1"/>
  <c r="AH69" i="63" s="1"/>
  <c r="AH70" i="63" s="1"/>
  <c r="AH71" i="63" s="1"/>
  <c r="AH72" i="63" s="1"/>
  <c r="AH73" i="63" s="1"/>
  <c r="AH74" i="63" s="1"/>
  <c r="AH75" i="63" s="1"/>
  <c r="AH76" i="63" s="1"/>
  <c r="AH77" i="63" s="1"/>
  <c r="AH78" i="63" s="1"/>
  <c r="AH79" i="63" s="1"/>
  <c r="AH80" i="63" s="1"/>
  <c r="AH81" i="63" s="1"/>
  <c r="AH82" i="63" s="1"/>
  <c r="AH83" i="63" s="1"/>
  <c r="AH84" i="63" s="1"/>
  <c r="AH85" i="63" s="1"/>
  <c r="AH86" i="63" s="1"/>
  <c r="AH87" i="63" s="1"/>
  <c r="AH88" i="63" s="1"/>
  <c r="AH89" i="63" s="1"/>
  <c r="AH90" i="63" s="1"/>
  <c r="AH91" i="63" s="1"/>
  <c r="AH92" i="63" s="1"/>
  <c r="AH93" i="63" s="1"/>
  <c r="AH94" i="63" s="1"/>
  <c r="AH95" i="63" s="1"/>
  <c r="AH96" i="63" s="1"/>
  <c r="AH97" i="63" s="1"/>
  <c r="AH98" i="63" s="1"/>
  <c r="AH99" i="63" s="1"/>
  <c r="AH100" i="63" s="1"/>
  <c r="AH101" i="63" s="1"/>
  <c r="AH102" i="63" s="1"/>
  <c r="AH103" i="63" s="1"/>
  <c r="AH104" i="63" s="1"/>
  <c r="AH105" i="63" s="1"/>
  <c r="AH106" i="63" s="1"/>
  <c r="AH107" i="63" s="1"/>
  <c r="AH108" i="63" s="1"/>
  <c r="AH109" i="63" s="1"/>
  <c r="AH110" i="63" s="1"/>
  <c r="AH111" i="63" s="1"/>
  <c r="AH112" i="63" s="1"/>
  <c r="AH113" i="63" s="1"/>
  <c r="AH114" i="63" s="1"/>
  <c r="AH115" i="63" s="1"/>
  <c r="AH116" i="63" s="1"/>
  <c r="AH117" i="63" s="1"/>
  <c r="AH118" i="63" s="1"/>
  <c r="AH119" i="63" s="1"/>
  <c r="AH120" i="63" s="1"/>
  <c r="AH121" i="63" s="1"/>
  <c r="AH122" i="63" s="1"/>
  <c r="AH123" i="63" s="1"/>
  <c r="AH124" i="63" s="1"/>
  <c r="AH125" i="63" s="1"/>
  <c r="AH126" i="63" s="1"/>
  <c r="AH127" i="63" s="1"/>
  <c r="AH128" i="63" s="1"/>
  <c r="AH129" i="63" s="1"/>
  <c r="AH130" i="63" s="1"/>
  <c r="AH131" i="63" s="1"/>
  <c r="AH132" i="63" s="1"/>
  <c r="AH133" i="63" s="1"/>
  <c r="AH134" i="63" s="1"/>
  <c r="AH135" i="63" s="1"/>
  <c r="AH136" i="63" s="1"/>
  <c r="AH137" i="63" s="1"/>
  <c r="AH138" i="63" s="1"/>
  <c r="AH139" i="63" s="1"/>
  <c r="AH140" i="63" s="1"/>
  <c r="AH141" i="63" s="1"/>
  <c r="AH142" i="63" s="1"/>
  <c r="AH143" i="63" s="1"/>
  <c r="AH144" i="63" s="1"/>
  <c r="AH145" i="63" s="1"/>
  <c r="AH146" i="63" s="1"/>
  <c r="AH147" i="63" s="1"/>
  <c r="AH148" i="63" s="1"/>
  <c r="AH149" i="63" s="1"/>
  <c r="AH150" i="63" s="1"/>
  <c r="AH151" i="63" s="1"/>
  <c r="AH152" i="63" s="1"/>
  <c r="AH153" i="63" s="1"/>
  <c r="AH154" i="63" s="1"/>
  <c r="AH155" i="63" s="1"/>
  <c r="AH156" i="63" s="1"/>
  <c r="AH157" i="63" s="1"/>
  <c r="AH158" i="63" s="1"/>
  <c r="AH159" i="63" s="1"/>
  <c r="AH160" i="63" s="1"/>
  <c r="AH161" i="63" s="1"/>
  <c r="AH162" i="63" s="1"/>
  <c r="AH163" i="63" s="1"/>
  <c r="AH164" i="63" s="1"/>
  <c r="AH165" i="63" s="1"/>
  <c r="AH166" i="63" s="1"/>
  <c r="AH167" i="63" s="1"/>
  <c r="AH168" i="63" s="1"/>
  <c r="AH169" i="63" s="1"/>
  <c r="AH170" i="63" s="1"/>
  <c r="AH171" i="63" s="1"/>
  <c r="AH172" i="63" s="1"/>
  <c r="AH173" i="63" s="1"/>
  <c r="AH174" i="63" s="1"/>
  <c r="AH175" i="63" s="1"/>
  <c r="AH176" i="63" s="1"/>
  <c r="AH177" i="63" s="1"/>
  <c r="AH178" i="63" s="1"/>
  <c r="AH179" i="63" s="1"/>
  <c r="AH180" i="63" s="1"/>
  <c r="AH181" i="63" s="1"/>
  <c r="AH182" i="63" s="1"/>
  <c r="AH183" i="63" s="1"/>
  <c r="AH184" i="63" s="1"/>
  <c r="AH185" i="63" s="1"/>
  <c r="AH186" i="63" s="1"/>
  <c r="AH187" i="63" s="1"/>
  <c r="AH188" i="63" s="1"/>
  <c r="AH189" i="63" s="1"/>
  <c r="AH190" i="63" s="1"/>
  <c r="AH191" i="63" s="1"/>
  <c r="AH192" i="63" s="1"/>
  <c r="AH193" i="63" s="1"/>
  <c r="AH194" i="63" s="1"/>
  <c r="AH195" i="63" s="1"/>
  <c r="AH196" i="63" s="1"/>
  <c r="AH197" i="63" s="1"/>
  <c r="AH198" i="63" s="1"/>
  <c r="AH199" i="63" s="1"/>
  <c r="AH200" i="63" s="1"/>
  <c r="AH201" i="63" s="1"/>
  <c r="AH202" i="63" s="1"/>
  <c r="AH203" i="63" s="1"/>
  <c r="AH204" i="63" s="1"/>
  <c r="AH205" i="63" s="1"/>
  <c r="AH206" i="63" s="1"/>
  <c r="AH207" i="63" s="1"/>
  <c r="AH208" i="63" s="1"/>
  <c r="AH209" i="63" s="1"/>
  <c r="AH210" i="63" s="1"/>
  <c r="AH211" i="63" s="1"/>
  <c r="AH212" i="63" s="1"/>
  <c r="AH213" i="63" s="1"/>
  <c r="AH214" i="63" s="1"/>
  <c r="AH215" i="63" s="1"/>
  <c r="AH216" i="63" s="1"/>
  <c r="AH217" i="63" s="1"/>
  <c r="AH218" i="63" s="1"/>
  <c r="AH219" i="63" s="1"/>
  <c r="AH220" i="63" s="1"/>
  <c r="AH221" i="63" s="1"/>
  <c r="AH222" i="63" s="1"/>
  <c r="AH223" i="63" s="1"/>
  <c r="AH224" i="63" s="1"/>
  <c r="AH225" i="63" s="1"/>
  <c r="AH226" i="63" s="1"/>
  <c r="AH227" i="63" s="1"/>
  <c r="AH228" i="63" s="1"/>
  <c r="AH229" i="63" s="1"/>
  <c r="AH230" i="63" s="1"/>
  <c r="AH231" i="63" s="1"/>
  <c r="AH232" i="63" s="1"/>
  <c r="AH233" i="63" s="1"/>
  <c r="AH234" i="63" s="1"/>
  <c r="AH235" i="63" s="1"/>
  <c r="AH236" i="63" s="1"/>
  <c r="AH237" i="63" s="1"/>
  <c r="AH238" i="63" s="1"/>
  <c r="AH239" i="63" s="1"/>
  <c r="AH240" i="63" s="1"/>
  <c r="AH241" i="63" s="1"/>
  <c r="AH242" i="63" s="1"/>
  <c r="AH243" i="63" s="1"/>
  <c r="AH244" i="63" s="1"/>
  <c r="AH245" i="63" s="1"/>
  <c r="AH246" i="63" s="1"/>
  <c r="AH247" i="63" s="1"/>
  <c r="AH248" i="63" s="1"/>
  <c r="AH249" i="63" s="1"/>
  <c r="AH250" i="63" s="1"/>
  <c r="AH251" i="63" s="1"/>
  <c r="AH252" i="63" s="1"/>
  <c r="AH253" i="63" s="1"/>
  <c r="AH254" i="63" s="1"/>
  <c r="AH255" i="63" s="1"/>
  <c r="AH256" i="63" s="1"/>
  <c r="AH257" i="63" s="1"/>
  <c r="AH258" i="63" s="1"/>
  <c r="AH259" i="63" s="1"/>
  <c r="AH260" i="63" s="1"/>
  <c r="AH261" i="63" s="1"/>
  <c r="AH262" i="63" s="1"/>
  <c r="AH263" i="63" s="1"/>
  <c r="AH264" i="63" s="1"/>
  <c r="AH265" i="63" s="1"/>
  <c r="AH266" i="63" s="1"/>
  <c r="AH267" i="63" s="1"/>
  <c r="AH268" i="63" s="1"/>
  <c r="AH269" i="63" s="1"/>
  <c r="AH270" i="63" s="1"/>
  <c r="AH271" i="63" s="1"/>
  <c r="AH272" i="63" s="1"/>
  <c r="AH273" i="63" s="1"/>
  <c r="AH274" i="63" s="1"/>
  <c r="AH275" i="63" s="1"/>
  <c r="AH276" i="63" s="1"/>
  <c r="AH277" i="63" s="1"/>
  <c r="AH278" i="63" s="1"/>
  <c r="AH279" i="63" s="1"/>
  <c r="AH280" i="63" s="1"/>
  <c r="AH281" i="63" s="1"/>
  <c r="AH282" i="63" s="1"/>
  <c r="AH283" i="63" s="1"/>
  <c r="AH284" i="63" s="1"/>
  <c r="AH285" i="63" s="1"/>
  <c r="AH286" i="63" s="1"/>
  <c r="AH287" i="63" s="1"/>
  <c r="AH288" i="63" s="1"/>
  <c r="AH289" i="63" s="1"/>
  <c r="AH290" i="63" s="1"/>
  <c r="AH291" i="63" s="1"/>
  <c r="AH292" i="63" s="1"/>
  <c r="AH293" i="63" s="1"/>
  <c r="AH294" i="63" s="1"/>
  <c r="AH295" i="63" s="1"/>
  <c r="AH296" i="63" s="1"/>
  <c r="AH297" i="63" s="1"/>
  <c r="AH298" i="63" s="1"/>
  <c r="AH299" i="63" s="1"/>
  <c r="AH300" i="63" s="1"/>
  <c r="AH301" i="63" s="1"/>
  <c r="AH302" i="63" s="1"/>
  <c r="AH303" i="63" s="1"/>
  <c r="AH304" i="63" s="1"/>
  <c r="AH305" i="63" s="1"/>
  <c r="AH306" i="63" s="1"/>
  <c r="AH307" i="63" s="1"/>
  <c r="AH308" i="63" s="1"/>
  <c r="Z9" i="63"/>
  <c r="Z10" i="63" s="1"/>
  <c r="Z11" i="63" s="1"/>
  <c r="Z12" i="63" s="1"/>
  <c r="Z13" i="63" s="1"/>
  <c r="Z14" i="63" s="1"/>
  <c r="Z15" i="63" s="1"/>
  <c r="Z16" i="63" s="1"/>
  <c r="Z17" i="63" s="1"/>
  <c r="Z18" i="63" s="1"/>
  <c r="Z19" i="63" s="1"/>
  <c r="Z20" i="63" s="1"/>
  <c r="Z21" i="63" s="1"/>
  <c r="Z22" i="63" s="1"/>
  <c r="Z23" i="63" s="1"/>
  <c r="Z24" i="63" s="1"/>
  <c r="Z25" i="63" s="1"/>
  <c r="Z26" i="63" s="1"/>
  <c r="Z27" i="63" s="1"/>
  <c r="Z28" i="63" s="1"/>
  <c r="Z29" i="63" s="1"/>
  <c r="Z30" i="63" s="1"/>
  <c r="Z31" i="63" s="1"/>
  <c r="Z32" i="63" s="1"/>
  <c r="Z33" i="63" s="1"/>
  <c r="Z34" i="63" s="1"/>
  <c r="Z35" i="63" s="1"/>
  <c r="Z36" i="63" s="1"/>
  <c r="Z37" i="63" s="1"/>
  <c r="Z38" i="63" s="1"/>
  <c r="Z39" i="63" s="1"/>
  <c r="Z40" i="63" s="1"/>
  <c r="Z41" i="63" s="1"/>
  <c r="Z42" i="63" s="1"/>
  <c r="Z43" i="63" s="1"/>
  <c r="Z44" i="63" s="1"/>
  <c r="Z45" i="63" s="1"/>
  <c r="Z46" i="63" s="1"/>
  <c r="Z47" i="63" s="1"/>
  <c r="Z48" i="63" s="1"/>
  <c r="Z49" i="63" s="1"/>
  <c r="Z50" i="63" s="1"/>
  <c r="Z51" i="63" s="1"/>
  <c r="Z52" i="63" s="1"/>
  <c r="Z53" i="63" s="1"/>
  <c r="Z54" i="63" s="1"/>
  <c r="Z55" i="63" s="1"/>
  <c r="Z56" i="63" s="1"/>
  <c r="Z57" i="63" s="1"/>
  <c r="Z58" i="63" s="1"/>
  <c r="Z59" i="63" s="1"/>
  <c r="Z60" i="63" s="1"/>
  <c r="Z61" i="63" s="1"/>
  <c r="Z62" i="63" s="1"/>
  <c r="Z63" i="63" s="1"/>
  <c r="Z64" i="63" s="1"/>
  <c r="Z65" i="63" s="1"/>
  <c r="Z66" i="63" s="1"/>
  <c r="Z67" i="63" s="1"/>
  <c r="Z68" i="63" s="1"/>
  <c r="Z69" i="63" s="1"/>
  <c r="Z70" i="63" s="1"/>
  <c r="Z71" i="63" s="1"/>
  <c r="Z72" i="63" s="1"/>
  <c r="Z73" i="63" s="1"/>
  <c r="Z74" i="63" s="1"/>
  <c r="Z75" i="63" s="1"/>
  <c r="Z76" i="63" s="1"/>
  <c r="Z77" i="63" s="1"/>
  <c r="Z78" i="63" s="1"/>
  <c r="Z79" i="63" s="1"/>
  <c r="Z80" i="63" s="1"/>
  <c r="Z81" i="63" s="1"/>
  <c r="Z82" i="63" s="1"/>
  <c r="Z83" i="63" s="1"/>
  <c r="Z84" i="63" s="1"/>
  <c r="Z85" i="63" s="1"/>
  <c r="Z86" i="63" s="1"/>
  <c r="Z87" i="63" s="1"/>
  <c r="Z88" i="63" s="1"/>
  <c r="Z89" i="63" s="1"/>
  <c r="Z90" i="63" s="1"/>
  <c r="Z91" i="63" s="1"/>
  <c r="Z92" i="63" s="1"/>
  <c r="Z93" i="63" s="1"/>
  <c r="Z94" i="63" s="1"/>
  <c r="Z95" i="63" s="1"/>
  <c r="Z96" i="63" s="1"/>
  <c r="Z97" i="63" s="1"/>
  <c r="Z98" i="63" s="1"/>
  <c r="Z99" i="63" s="1"/>
  <c r="Z100" i="63" s="1"/>
  <c r="Z101" i="63" s="1"/>
  <c r="Z102" i="63" s="1"/>
  <c r="Z103" i="63" s="1"/>
  <c r="Z104" i="63" s="1"/>
  <c r="Z105" i="63" s="1"/>
  <c r="Z106" i="63" s="1"/>
  <c r="Z107" i="63" s="1"/>
  <c r="Z108" i="63" s="1"/>
  <c r="Z109" i="63" s="1"/>
  <c r="Z110" i="63" s="1"/>
  <c r="Z111" i="63" s="1"/>
  <c r="Z112" i="63" s="1"/>
  <c r="Z113" i="63" s="1"/>
  <c r="Z114" i="63" s="1"/>
  <c r="Z115" i="63" s="1"/>
  <c r="Z116" i="63" s="1"/>
  <c r="Z117" i="63" s="1"/>
  <c r="Z118" i="63" s="1"/>
  <c r="Z119" i="63" s="1"/>
  <c r="Z120" i="63" s="1"/>
  <c r="Z121" i="63" s="1"/>
  <c r="Z122" i="63" s="1"/>
  <c r="Z123" i="63" s="1"/>
  <c r="Z124" i="63" s="1"/>
  <c r="Z125" i="63" s="1"/>
  <c r="Z126" i="63" s="1"/>
  <c r="Z127" i="63" s="1"/>
  <c r="Z128" i="63" s="1"/>
  <c r="Z129" i="63" s="1"/>
  <c r="Z130" i="63" s="1"/>
  <c r="Z131" i="63" s="1"/>
  <c r="Z132" i="63" s="1"/>
  <c r="Z133" i="63" s="1"/>
  <c r="Z134" i="63" s="1"/>
  <c r="Z135" i="63" s="1"/>
  <c r="Z136" i="63" s="1"/>
  <c r="Z137" i="63" s="1"/>
  <c r="Z138" i="63" s="1"/>
  <c r="Z139" i="63" s="1"/>
  <c r="Z140" i="63" s="1"/>
  <c r="Z141" i="63" s="1"/>
  <c r="Z142" i="63" s="1"/>
  <c r="Z143" i="63" s="1"/>
  <c r="Z144" i="63" s="1"/>
  <c r="Z145" i="63" s="1"/>
  <c r="Z146" i="63" s="1"/>
  <c r="Z147" i="63" s="1"/>
  <c r="Z148" i="63" s="1"/>
  <c r="Z149" i="63" s="1"/>
  <c r="Z150" i="63" s="1"/>
  <c r="Z151" i="63" s="1"/>
  <c r="Z152" i="63" s="1"/>
  <c r="Z153" i="63" s="1"/>
  <c r="Z154" i="63" s="1"/>
  <c r="Z155" i="63" s="1"/>
  <c r="Z156" i="63" s="1"/>
  <c r="Z157" i="63" s="1"/>
  <c r="Z158" i="63" s="1"/>
  <c r="Z159" i="63" s="1"/>
  <c r="Z160" i="63" s="1"/>
  <c r="Z161" i="63" s="1"/>
  <c r="Z162" i="63" s="1"/>
  <c r="Z163" i="63" s="1"/>
  <c r="Z164" i="63" s="1"/>
  <c r="Z165" i="63" s="1"/>
  <c r="Z166" i="63" s="1"/>
  <c r="Z167" i="63" s="1"/>
  <c r="Z168" i="63" s="1"/>
  <c r="Z169" i="63" s="1"/>
  <c r="Z170" i="63" s="1"/>
  <c r="Z171" i="63" s="1"/>
  <c r="Z172" i="63" s="1"/>
  <c r="Z173" i="63" s="1"/>
  <c r="Z174" i="63" s="1"/>
  <c r="Z175" i="63" s="1"/>
  <c r="Z176" i="63" s="1"/>
  <c r="Z177" i="63" s="1"/>
  <c r="Z178" i="63" s="1"/>
  <c r="Z179" i="63" s="1"/>
  <c r="Z180" i="63" s="1"/>
  <c r="Z181" i="63" s="1"/>
  <c r="Z182" i="63" s="1"/>
  <c r="Z183" i="63" s="1"/>
  <c r="Z184" i="63" s="1"/>
  <c r="Z185" i="63" s="1"/>
  <c r="Z186" i="63" s="1"/>
  <c r="Z187" i="63" s="1"/>
  <c r="Z188" i="63" s="1"/>
  <c r="Z189" i="63" s="1"/>
  <c r="Z190" i="63" s="1"/>
  <c r="Z191" i="63" s="1"/>
  <c r="Z192" i="63" s="1"/>
  <c r="Z193" i="63" s="1"/>
  <c r="Z194" i="63" s="1"/>
  <c r="Z195" i="63" s="1"/>
  <c r="Z196" i="63" s="1"/>
  <c r="Z197" i="63" s="1"/>
  <c r="Z198" i="63" s="1"/>
  <c r="Z199" i="63" s="1"/>
  <c r="Z200" i="63" s="1"/>
  <c r="Z201" i="63" s="1"/>
  <c r="Z202" i="63" s="1"/>
  <c r="Z203" i="63" s="1"/>
  <c r="Z204" i="63" s="1"/>
  <c r="Z205" i="63" s="1"/>
  <c r="Z206" i="63" s="1"/>
  <c r="Z207" i="63" s="1"/>
  <c r="Z208" i="63" s="1"/>
  <c r="Z209" i="63" s="1"/>
  <c r="Z210" i="63" s="1"/>
  <c r="Z211" i="63" s="1"/>
  <c r="Z212" i="63" s="1"/>
  <c r="Z213" i="63" s="1"/>
  <c r="Z214" i="63" s="1"/>
  <c r="Z215" i="63" s="1"/>
  <c r="Z216" i="63" s="1"/>
  <c r="Z217" i="63" s="1"/>
  <c r="Z218" i="63" s="1"/>
  <c r="Z219" i="63" s="1"/>
  <c r="Z220" i="63" s="1"/>
  <c r="Z221" i="63" s="1"/>
  <c r="Z222" i="63" s="1"/>
  <c r="Z223" i="63" s="1"/>
  <c r="Z224" i="63" s="1"/>
  <c r="Z225" i="63" s="1"/>
  <c r="Z226" i="63" s="1"/>
  <c r="Z227" i="63" s="1"/>
  <c r="Z228" i="63" s="1"/>
  <c r="Z229" i="63" s="1"/>
  <c r="Z230" i="63" s="1"/>
  <c r="Z231" i="63" s="1"/>
  <c r="Z232" i="63" s="1"/>
  <c r="Z233" i="63" s="1"/>
  <c r="Z234" i="63" s="1"/>
  <c r="Z235" i="63" s="1"/>
  <c r="Z236" i="63" s="1"/>
  <c r="Z237" i="63" s="1"/>
  <c r="Z238" i="63" s="1"/>
  <c r="Z239" i="63" s="1"/>
  <c r="Z240" i="63" s="1"/>
  <c r="Z241" i="63" s="1"/>
  <c r="Z242" i="63" s="1"/>
  <c r="Z243" i="63" s="1"/>
  <c r="Z244" i="63" s="1"/>
  <c r="Z245" i="63" s="1"/>
  <c r="Z246" i="63" s="1"/>
  <c r="Z247" i="63" s="1"/>
  <c r="Z248" i="63" s="1"/>
  <c r="Z249" i="63" s="1"/>
  <c r="Z250" i="63" s="1"/>
  <c r="Z251" i="63" s="1"/>
  <c r="Z252" i="63" s="1"/>
  <c r="Z253" i="63" s="1"/>
  <c r="Z254" i="63" s="1"/>
  <c r="Z255" i="63" s="1"/>
  <c r="Z256" i="63" s="1"/>
  <c r="Z257" i="63" s="1"/>
  <c r="Z258" i="63" s="1"/>
  <c r="Z259" i="63" s="1"/>
  <c r="Z260" i="63" s="1"/>
  <c r="Z261" i="63" s="1"/>
  <c r="Z262" i="63" s="1"/>
  <c r="Z263" i="63" s="1"/>
  <c r="Z264" i="63" s="1"/>
  <c r="Z265" i="63" s="1"/>
  <c r="Z266" i="63" s="1"/>
  <c r="Z267" i="63" s="1"/>
  <c r="Z268" i="63" s="1"/>
  <c r="Z269" i="63" s="1"/>
  <c r="Z270" i="63" s="1"/>
  <c r="Z271" i="63" s="1"/>
  <c r="Z272" i="63" s="1"/>
  <c r="Z273" i="63" s="1"/>
  <c r="Z274" i="63" s="1"/>
  <c r="Z275" i="63" s="1"/>
  <c r="Z276" i="63" s="1"/>
  <c r="Z277" i="63" s="1"/>
  <c r="Z278" i="63" s="1"/>
  <c r="Z279" i="63" s="1"/>
  <c r="Z280" i="63" s="1"/>
  <c r="Z281" i="63" s="1"/>
  <c r="Z282" i="63" s="1"/>
  <c r="Z283" i="63" s="1"/>
  <c r="Z284" i="63" s="1"/>
  <c r="Z285" i="63" s="1"/>
  <c r="Z286" i="63" s="1"/>
  <c r="Z287" i="63" s="1"/>
  <c r="Z288" i="63" s="1"/>
  <c r="Z289" i="63" s="1"/>
  <c r="Z290" i="63" s="1"/>
  <c r="Z291" i="63" s="1"/>
  <c r="Z292" i="63" s="1"/>
  <c r="Z293" i="63" s="1"/>
  <c r="Z294" i="63" s="1"/>
  <c r="Z295" i="63" s="1"/>
  <c r="Z296" i="63" s="1"/>
  <c r="Z297" i="63" s="1"/>
  <c r="Z298" i="63" s="1"/>
  <c r="Z299" i="63" s="1"/>
  <c r="Z300" i="63" s="1"/>
  <c r="Z301" i="63" s="1"/>
  <c r="Z302" i="63" s="1"/>
  <c r="Z303" i="63" s="1"/>
  <c r="Z304" i="63" s="1"/>
  <c r="Z305" i="63" s="1"/>
  <c r="Z306" i="63" s="1"/>
  <c r="Z307" i="63" s="1"/>
  <c r="Z308" i="63" s="1"/>
  <c r="X9" i="63"/>
  <c r="X10" i="63" s="1"/>
  <c r="X11" i="63" s="1"/>
  <c r="X12" i="63" s="1"/>
  <c r="X13" i="63" s="1"/>
  <c r="X14" i="63" s="1"/>
  <c r="X15" i="63" s="1"/>
  <c r="X16" i="63" s="1"/>
  <c r="X17" i="63" s="1"/>
  <c r="X18" i="63" s="1"/>
  <c r="X19" i="63" s="1"/>
  <c r="X20" i="63" s="1"/>
  <c r="X21" i="63" s="1"/>
  <c r="X22" i="63" s="1"/>
  <c r="X23" i="63" s="1"/>
  <c r="X24" i="63" s="1"/>
  <c r="X25" i="63" s="1"/>
  <c r="X26" i="63" s="1"/>
  <c r="X27" i="63" s="1"/>
  <c r="X28" i="63" s="1"/>
  <c r="X29" i="63" s="1"/>
  <c r="X30" i="63" s="1"/>
  <c r="X31" i="63" s="1"/>
  <c r="X32" i="63" s="1"/>
  <c r="X33" i="63" s="1"/>
  <c r="X34" i="63" s="1"/>
  <c r="X35" i="63" s="1"/>
  <c r="X36" i="63" s="1"/>
  <c r="X37" i="63" s="1"/>
  <c r="X38" i="63" s="1"/>
  <c r="X39" i="63" s="1"/>
  <c r="X40" i="63" s="1"/>
  <c r="X41" i="63" s="1"/>
  <c r="X42" i="63" s="1"/>
  <c r="X43" i="63" s="1"/>
  <c r="X44" i="63" s="1"/>
  <c r="X45" i="63" s="1"/>
  <c r="X46" i="63" s="1"/>
  <c r="X47" i="63" s="1"/>
  <c r="X48" i="63" s="1"/>
  <c r="X49" i="63" s="1"/>
  <c r="X50" i="63" s="1"/>
  <c r="X51" i="63" s="1"/>
  <c r="X52" i="63" s="1"/>
  <c r="X53" i="63" s="1"/>
  <c r="X54" i="63" s="1"/>
  <c r="X55" i="63" s="1"/>
  <c r="X56" i="63" s="1"/>
  <c r="X57" i="63" s="1"/>
  <c r="X58" i="63" s="1"/>
  <c r="X59" i="63" s="1"/>
  <c r="X60" i="63" s="1"/>
  <c r="X61" i="63" s="1"/>
  <c r="X62" i="63" s="1"/>
  <c r="X63" i="63" s="1"/>
  <c r="X64" i="63" s="1"/>
  <c r="X65" i="63" s="1"/>
  <c r="X66" i="63" s="1"/>
  <c r="X67" i="63" s="1"/>
  <c r="X68" i="63" s="1"/>
  <c r="X69" i="63" s="1"/>
  <c r="X70" i="63" s="1"/>
  <c r="X71" i="63" s="1"/>
  <c r="X72" i="63" s="1"/>
  <c r="X73" i="63" s="1"/>
  <c r="X74" i="63" s="1"/>
  <c r="X75" i="63" s="1"/>
  <c r="X76" i="63" s="1"/>
  <c r="X77" i="63" s="1"/>
  <c r="X78" i="63" s="1"/>
  <c r="X79" i="63" s="1"/>
  <c r="X80" i="63" s="1"/>
  <c r="X81" i="63" s="1"/>
  <c r="X82" i="63" s="1"/>
  <c r="X83" i="63" s="1"/>
  <c r="X84" i="63" s="1"/>
  <c r="X85" i="63" s="1"/>
  <c r="X86" i="63" s="1"/>
  <c r="X87" i="63" s="1"/>
  <c r="X88" i="63" s="1"/>
  <c r="X89" i="63" s="1"/>
  <c r="X90" i="63" s="1"/>
  <c r="X91" i="63" s="1"/>
  <c r="X92" i="63" s="1"/>
  <c r="X93" i="63" s="1"/>
  <c r="X94" i="63" s="1"/>
  <c r="X95" i="63" s="1"/>
  <c r="X96" i="63" s="1"/>
  <c r="X97" i="63" s="1"/>
  <c r="X98" i="63" s="1"/>
  <c r="X99" i="63" s="1"/>
  <c r="X100" i="63" s="1"/>
  <c r="X101" i="63" s="1"/>
  <c r="X102" i="63" s="1"/>
  <c r="X103" i="63" s="1"/>
  <c r="X104" i="63" s="1"/>
  <c r="X105" i="63" s="1"/>
  <c r="X106" i="63" s="1"/>
  <c r="X107" i="63" s="1"/>
  <c r="X108" i="63" s="1"/>
  <c r="X109" i="63" s="1"/>
  <c r="X110" i="63" s="1"/>
  <c r="X111" i="63" s="1"/>
  <c r="X112" i="63" s="1"/>
  <c r="X113" i="63" s="1"/>
  <c r="X114" i="63" s="1"/>
  <c r="X115" i="63" s="1"/>
  <c r="X116" i="63" s="1"/>
  <c r="X117" i="63" s="1"/>
  <c r="X118" i="63" s="1"/>
  <c r="X119" i="63" s="1"/>
  <c r="X120" i="63" s="1"/>
  <c r="X121" i="63" s="1"/>
  <c r="X122" i="63" s="1"/>
  <c r="X123" i="63" s="1"/>
  <c r="X124" i="63" s="1"/>
  <c r="X125" i="63" s="1"/>
  <c r="X126" i="63" s="1"/>
  <c r="X127" i="63" s="1"/>
  <c r="X128" i="63" s="1"/>
  <c r="X129" i="63" s="1"/>
  <c r="X130" i="63" s="1"/>
  <c r="X131" i="63" s="1"/>
  <c r="X132" i="63" s="1"/>
  <c r="X133" i="63" s="1"/>
  <c r="X134" i="63" s="1"/>
  <c r="X135" i="63" s="1"/>
  <c r="X136" i="63" s="1"/>
  <c r="X137" i="63" s="1"/>
  <c r="X138" i="63" s="1"/>
  <c r="X139" i="63" s="1"/>
  <c r="X140" i="63" s="1"/>
  <c r="X141" i="63" s="1"/>
  <c r="X142" i="63" s="1"/>
  <c r="X143" i="63" s="1"/>
  <c r="X144" i="63" s="1"/>
  <c r="X145" i="63" s="1"/>
  <c r="X146" i="63" s="1"/>
  <c r="X147" i="63" s="1"/>
  <c r="X148" i="63" s="1"/>
  <c r="X149" i="63" s="1"/>
  <c r="X150" i="63" s="1"/>
  <c r="X151" i="63" s="1"/>
  <c r="X152" i="63" s="1"/>
  <c r="X153" i="63" s="1"/>
  <c r="X154" i="63" s="1"/>
  <c r="X155" i="63" s="1"/>
  <c r="X156" i="63" s="1"/>
  <c r="X157" i="63" s="1"/>
  <c r="X158" i="63" s="1"/>
  <c r="X159" i="63" s="1"/>
  <c r="X160" i="63" s="1"/>
  <c r="X161" i="63" s="1"/>
  <c r="X162" i="63" s="1"/>
  <c r="X163" i="63" s="1"/>
  <c r="X164" i="63" s="1"/>
  <c r="X165" i="63" s="1"/>
  <c r="X166" i="63" s="1"/>
  <c r="X167" i="63" s="1"/>
  <c r="X168" i="63" s="1"/>
  <c r="X169" i="63" s="1"/>
  <c r="X170" i="63" s="1"/>
  <c r="X171" i="63" s="1"/>
  <c r="X172" i="63" s="1"/>
  <c r="X173" i="63" s="1"/>
  <c r="X174" i="63" s="1"/>
  <c r="X175" i="63" s="1"/>
  <c r="X176" i="63" s="1"/>
  <c r="X177" i="63" s="1"/>
  <c r="X178" i="63" s="1"/>
  <c r="X179" i="63" s="1"/>
  <c r="X180" i="63" s="1"/>
  <c r="X181" i="63" s="1"/>
  <c r="X182" i="63" s="1"/>
  <c r="X183" i="63" s="1"/>
  <c r="X184" i="63" s="1"/>
  <c r="X185" i="63" s="1"/>
  <c r="X186" i="63" s="1"/>
  <c r="X187" i="63" s="1"/>
  <c r="X188" i="63" s="1"/>
  <c r="X189" i="63" s="1"/>
  <c r="X190" i="63" s="1"/>
  <c r="X191" i="63" s="1"/>
  <c r="X192" i="63" s="1"/>
  <c r="X193" i="63" s="1"/>
  <c r="X194" i="63" s="1"/>
  <c r="X195" i="63" s="1"/>
  <c r="X196" i="63" s="1"/>
  <c r="X197" i="63" s="1"/>
  <c r="X198" i="63" s="1"/>
  <c r="X199" i="63" s="1"/>
  <c r="X200" i="63" s="1"/>
  <c r="X201" i="63" s="1"/>
  <c r="X202" i="63" s="1"/>
  <c r="X203" i="63" s="1"/>
  <c r="X204" i="63" s="1"/>
  <c r="X205" i="63" s="1"/>
  <c r="X206" i="63" s="1"/>
  <c r="X207" i="63" s="1"/>
  <c r="X208" i="63" s="1"/>
  <c r="X209" i="63" s="1"/>
  <c r="X210" i="63" s="1"/>
  <c r="X211" i="63" s="1"/>
  <c r="X212" i="63" s="1"/>
  <c r="X213" i="63" s="1"/>
  <c r="X214" i="63" s="1"/>
  <c r="X215" i="63" s="1"/>
  <c r="X216" i="63" s="1"/>
  <c r="X217" i="63" s="1"/>
  <c r="X218" i="63" s="1"/>
  <c r="X219" i="63" s="1"/>
  <c r="X220" i="63" s="1"/>
  <c r="X221" i="63" s="1"/>
  <c r="X222" i="63" s="1"/>
  <c r="X223" i="63" s="1"/>
  <c r="X224" i="63" s="1"/>
  <c r="X225" i="63" s="1"/>
  <c r="X226" i="63" s="1"/>
  <c r="X227" i="63" s="1"/>
  <c r="X228" i="63" s="1"/>
  <c r="X229" i="63" s="1"/>
  <c r="X230" i="63" s="1"/>
  <c r="X231" i="63" s="1"/>
  <c r="X232" i="63" s="1"/>
  <c r="X233" i="63" s="1"/>
  <c r="X234" i="63" s="1"/>
  <c r="X235" i="63" s="1"/>
  <c r="X236" i="63" s="1"/>
  <c r="X237" i="63" s="1"/>
  <c r="X238" i="63" s="1"/>
  <c r="X239" i="63" s="1"/>
  <c r="X240" i="63" s="1"/>
  <c r="X241" i="63" s="1"/>
  <c r="X242" i="63" s="1"/>
  <c r="X243" i="63" s="1"/>
  <c r="X244" i="63" s="1"/>
  <c r="X245" i="63" s="1"/>
  <c r="X246" i="63" s="1"/>
  <c r="X247" i="63" s="1"/>
  <c r="X248" i="63" s="1"/>
  <c r="X249" i="63" s="1"/>
  <c r="X250" i="63" s="1"/>
  <c r="X251" i="63" s="1"/>
  <c r="X252" i="63" s="1"/>
  <c r="X253" i="63" s="1"/>
  <c r="X254" i="63" s="1"/>
  <c r="X255" i="63" s="1"/>
  <c r="X256" i="63" s="1"/>
  <c r="X257" i="63" s="1"/>
  <c r="X258" i="63" s="1"/>
  <c r="X259" i="63" s="1"/>
  <c r="X260" i="63" s="1"/>
  <c r="X261" i="63" s="1"/>
  <c r="X262" i="63" s="1"/>
  <c r="X263" i="63" s="1"/>
  <c r="X264" i="63" s="1"/>
  <c r="X265" i="63" s="1"/>
  <c r="X266" i="63" s="1"/>
  <c r="X267" i="63" s="1"/>
  <c r="X268" i="63" s="1"/>
  <c r="X269" i="63" s="1"/>
  <c r="X270" i="63" s="1"/>
  <c r="X271" i="63" s="1"/>
  <c r="X272" i="63" s="1"/>
  <c r="X273" i="63" s="1"/>
  <c r="X274" i="63" s="1"/>
  <c r="X275" i="63" s="1"/>
  <c r="X276" i="63" s="1"/>
  <c r="X277" i="63" s="1"/>
  <c r="X278" i="63" s="1"/>
  <c r="X279" i="63" s="1"/>
  <c r="X280" i="63" s="1"/>
  <c r="X281" i="63" s="1"/>
  <c r="X282" i="63" s="1"/>
  <c r="X283" i="63" s="1"/>
  <c r="X284" i="63" s="1"/>
  <c r="X285" i="63" s="1"/>
  <c r="X286" i="63" s="1"/>
  <c r="X287" i="63" s="1"/>
  <c r="X288" i="63" s="1"/>
  <c r="X289" i="63" s="1"/>
  <c r="X290" i="63" s="1"/>
  <c r="X291" i="63" s="1"/>
  <c r="X292" i="63" s="1"/>
  <c r="X293" i="63" s="1"/>
  <c r="X294" i="63" s="1"/>
  <c r="X295" i="63" s="1"/>
  <c r="X296" i="63" s="1"/>
  <c r="X297" i="63" s="1"/>
  <c r="X298" i="63" s="1"/>
  <c r="X299" i="63" s="1"/>
  <c r="X300" i="63" s="1"/>
  <c r="X301" i="63" s="1"/>
  <c r="X302" i="63" s="1"/>
  <c r="X303" i="63" s="1"/>
  <c r="X304" i="63" s="1"/>
  <c r="X305" i="63" s="1"/>
  <c r="X306" i="63" s="1"/>
  <c r="X307" i="63" s="1"/>
  <c r="X308" i="63" s="1"/>
  <c r="V9" i="63"/>
  <c r="V10" i="63" s="1"/>
  <c r="V11" i="63" s="1"/>
  <c r="V12" i="63" s="1"/>
  <c r="V13" i="63" s="1"/>
  <c r="V14" i="63" s="1"/>
  <c r="V15" i="63" s="1"/>
  <c r="V16" i="63" s="1"/>
  <c r="V17" i="63" s="1"/>
  <c r="V18" i="63" s="1"/>
  <c r="V19" i="63" s="1"/>
  <c r="V20" i="63" s="1"/>
  <c r="V21" i="63" s="1"/>
  <c r="V22" i="63" s="1"/>
  <c r="V23" i="63" s="1"/>
  <c r="V24" i="63" s="1"/>
  <c r="V25" i="63" s="1"/>
  <c r="V26" i="63" s="1"/>
  <c r="V27" i="63" s="1"/>
  <c r="V28" i="63" s="1"/>
  <c r="V29" i="63" s="1"/>
  <c r="V30" i="63" s="1"/>
  <c r="V31" i="63" s="1"/>
  <c r="V32" i="63" s="1"/>
  <c r="V33" i="63" s="1"/>
  <c r="V34" i="63" s="1"/>
  <c r="V35" i="63" s="1"/>
  <c r="V36" i="63" s="1"/>
  <c r="V37" i="63" s="1"/>
  <c r="V38" i="63" s="1"/>
  <c r="V39" i="63" s="1"/>
  <c r="V40" i="63" s="1"/>
  <c r="V41" i="63" s="1"/>
  <c r="V42" i="63" s="1"/>
  <c r="V43" i="63" s="1"/>
  <c r="V44" i="63" s="1"/>
  <c r="V45" i="63" s="1"/>
  <c r="V46" i="63" s="1"/>
  <c r="V47" i="63" s="1"/>
  <c r="V48" i="63" s="1"/>
  <c r="V49" i="63" s="1"/>
  <c r="V50" i="63" s="1"/>
  <c r="V51" i="63" s="1"/>
  <c r="V52" i="63" s="1"/>
  <c r="V53" i="63" s="1"/>
  <c r="V54" i="63" s="1"/>
  <c r="V55" i="63" s="1"/>
  <c r="V56" i="63" s="1"/>
  <c r="V57" i="63" s="1"/>
  <c r="V58" i="63" s="1"/>
  <c r="V59" i="63" s="1"/>
  <c r="V60" i="63" s="1"/>
  <c r="V61" i="63" s="1"/>
  <c r="V62" i="63" s="1"/>
  <c r="V63" i="63" s="1"/>
  <c r="V64" i="63" s="1"/>
  <c r="V65" i="63" s="1"/>
  <c r="V66" i="63" s="1"/>
  <c r="V67" i="63" s="1"/>
  <c r="V68" i="63" s="1"/>
  <c r="V69" i="63" s="1"/>
  <c r="V70" i="63" s="1"/>
  <c r="V71" i="63" s="1"/>
  <c r="V72" i="63" s="1"/>
  <c r="V73" i="63" s="1"/>
  <c r="V74" i="63" s="1"/>
  <c r="V75" i="63" s="1"/>
  <c r="V76" i="63" s="1"/>
  <c r="V77" i="63" s="1"/>
  <c r="V78" i="63" s="1"/>
  <c r="V79" i="63" s="1"/>
  <c r="V80" i="63" s="1"/>
  <c r="V81" i="63" s="1"/>
  <c r="V82" i="63" s="1"/>
  <c r="V83" i="63" s="1"/>
  <c r="V84" i="63" s="1"/>
  <c r="V85" i="63" s="1"/>
  <c r="V86" i="63" s="1"/>
  <c r="V87" i="63" s="1"/>
  <c r="V88" i="63" s="1"/>
  <c r="V89" i="63" s="1"/>
  <c r="V90" i="63" s="1"/>
  <c r="V91" i="63" s="1"/>
  <c r="V92" i="63" s="1"/>
  <c r="V93" i="63" s="1"/>
  <c r="V94" i="63" s="1"/>
  <c r="V95" i="63" s="1"/>
  <c r="V96" i="63" s="1"/>
  <c r="V97" i="63" s="1"/>
  <c r="V98" i="63" s="1"/>
  <c r="V99" i="63" s="1"/>
  <c r="V100" i="63" s="1"/>
  <c r="V101" i="63" s="1"/>
  <c r="V102" i="63" s="1"/>
  <c r="V103" i="63" s="1"/>
  <c r="V104" i="63" s="1"/>
  <c r="V105" i="63" s="1"/>
  <c r="V106" i="63" s="1"/>
  <c r="V107" i="63" s="1"/>
  <c r="V108" i="63" s="1"/>
  <c r="V109" i="63" s="1"/>
  <c r="V110" i="63" s="1"/>
  <c r="V111" i="63" s="1"/>
  <c r="V112" i="63" s="1"/>
  <c r="V113" i="63" s="1"/>
  <c r="V114" i="63" s="1"/>
  <c r="V115" i="63" s="1"/>
  <c r="V116" i="63" s="1"/>
  <c r="V117" i="63" s="1"/>
  <c r="V118" i="63" s="1"/>
  <c r="V119" i="63" s="1"/>
  <c r="V120" i="63" s="1"/>
  <c r="V121" i="63" s="1"/>
  <c r="V122" i="63" s="1"/>
  <c r="V123" i="63" s="1"/>
  <c r="V124" i="63" s="1"/>
  <c r="V125" i="63" s="1"/>
  <c r="V126" i="63" s="1"/>
  <c r="V127" i="63" s="1"/>
  <c r="V128" i="63" s="1"/>
  <c r="V129" i="63" s="1"/>
  <c r="V130" i="63" s="1"/>
  <c r="V131" i="63" s="1"/>
  <c r="V132" i="63" s="1"/>
  <c r="V133" i="63" s="1"/>
  <c r="V134" i="63" s="1"/>
  <c r="V135" i="63" s="1"/>
  <c r="V136" i="63" s="1"/>
  <c r="V137" i="63" s="1"/>
  <c r="V138" i="63" s="1"/>
  <c r="V139" i="63" s="1"/>
  <c r="V140" i="63" s="1"/>
  <c r="V141" i="63" s="1"/>
  <c r="V142" i="63" s="1"/>
  <c r="V143" i="63" s="1"/>
  <c r="V144" i="63" s="1"/>
  <c r="V145" i="63" s="1"/>
  <c r="V146" i="63" s="1"/>
  <c r="V147" i="63" s="1"/>
  <c r="V148" i="63" s="1"/>
  <c r="V149" i="63" s="1"/>
  <c r="V150" i="63" s="1"/>
  <c r="V151" i="63" s="1"/>
  <c r="V152" i="63" s="1"/>
  <c r="V153" i="63" s="1"/>
  <c r="V154" i="63" s="1"/>
  <c r="V155" i="63" s="1"/>
  <c r="V156" i="63" s="1"/>
  <c r="V157" i="63" s="1"/>
  <c r="V158" i="63" s="1"/>
  <c r="V159" i="63" s="1"/>
  <c r="V160" i="63" s="1"/>
  <c r="V161" i="63" s="1"/>
  <c r="V162" i="63" s="1"/>
  <c r="V163" i="63" s="1"/>
  <c r="V164" i="63" s="1"/>
  <c r="V165" i="63" s="1"/>
  <c r="V166" i="63" s="1"/>
  <c r="V167" i="63" s="1"/>
  <c r="V168" i="63" s="1"/>
  <c r="V169" i="63" s="1"/>
  <c r="V170" i="63" s="1"/>
  <c r="V171" i="63" s="1"/>
  <c r="V172" i="63" s="1"/>
  <c r="V173" i="63" s="1"/>
  <c r="V174" i="63" s="1"/>
  <c r="V175" i="63" s="1"/>
  <c r="V176" i="63" s="1"/>
  <c r="V177" i="63" s="1"/>
  <c r="V178" i="63" s="1"/>
  <c r="V179" i="63" s="1"/>
  <c r="V180" i="63" s="1"/>
  <c r="V181" i="63" s="1"/>
  <c r="V182" i="63" s="1"/>
  <c r="V183" i="63" s="1"/>
  <c r="V184" i="63" s="1"/>
  <c r="V185" i="63" s="1"/>
  <c r="V186" i="63" s="1"/>
  <c r="V187" i="63" s="1"/>
  <c r="V188" i="63" s="1"/>
  <c r="V189" i="63" s="1"/>
  <c r="V190" i="63" s="1"/>
  <c r="V191" i="63" s="1"/>
  <c r="V192" i="63" s="1"/>
  <c r="V193" i="63" s="1"/>
  <c r="V194" i="63" s="1"/>
  <c r="V195" i="63" s="1"/>
  <c r="V196" i="63" s="1"/>
  <c r="V197" i="63" s="1"/>
  <c r="V198" i="63" s="1"/>
  <c r="V199" i="63" s="1"/>
  <c r="V200" i="63" s="1"/>
  <c r="V201" i="63" s="1"/>
  <c r="V202" i="63" s="1"/>
  <c r="V203" i="63" s="1"/>
  <c r="V204" i="63" s="1"/>
  <c r="V205" i="63" s="1"/>
  <c r="V206" i="63" s="1"/>
  <c r="V207" i="63" s="1"/>
  <c r="V208" i="63" s="1"/>
  <c r="V209" i="63" s="1"/>
  <c r="V210" i="63" s="1"/>
  <c r="V211" i="63" s="1"/>
  <c r="V212" i="63" s="1"/>
  <c r="V213" i="63" s="1"/>
  <c r="V214" i="63" s="1"/>
  <c r="V215" i="63" s="1"/>
  <c r="V216" i="63" s="1"/>
  <c r="V217" i="63" s="1"/>
  <c r="V218" i="63" s="1"/>
  <c r="V219" i="63" s="1"/>
  <c r="V220" i="63" s="1"/>
  <c r="V221" i="63" s="1"/>
  <c r="V222" i="63" s="1"/>
  <c r="V223" i="63" s="1"/>
  <c r="V224" i="63" s="1"/>
  <c r="V225" i="63" s="1"/>
  <c r="V226" i="63" s="1"/>
  <c r="V227" i="63" s="1"/>
  <c r="V228" i="63" s="1"/>
  <c r="V229" i="63" s="1"/>
  <c r="V230" i="63" s="1"/>
  <c r="V231" i="63" s="1"/>
  <c r="V232" i="63" s="1"/>
  <c r="V233" i="63" s="1"/>
  <c r="V234" i="63" s="1"/>
  <c r="V235" i="63" s="1"/>
  <c r="V236" i="63" s="1"/>
  <c r="V237" i="63" s="1"/>
  <c r="V238" i="63" s="1"/>
  <c r="V239" i="63" s="1"/>
  <c r="V240" i="63" s="1"/>
  <c r="V241" i="63" s="1"/>
  <c r="V242" i="63" s="1"/>
  <c r="V243" i="63" s="1"/>
  <c r="V244" i="63" s="1"/>
  <c r="V245" i="63" s="1"/>
  <c r="V246" i="63" s="1"/>
  <c r="V247" i="63" s="1"/>
  <c r="V248" i="63" s="1"/>
  <c r="V249" i="63" s="1"/>
  <c r="V250" i="63" s="1"/>
  <c r="V251" i="63" s="1"/>
  <c r="V252" i="63" s="1"/>
  <c r="V253" i="63" s="1"/>
  <c r="V254" i="63" s="1"/>
  <c r="V255" i="63" s="1"/>
  <c r="V256" i="63" s="1"/>
  <c r="V257" i="63" s="1"/>
  <c r="V258" i="63" s="1"/>
  <c r="V259" i="63" s="1"/>
  <c r="V260" i="63" s="1"/>
  <c r="V261" i="63" s="1"/>
  <c r="V262" i="63" s="1"/>
  <c r="V263" i="63" s="1"/>
  <c r="V264" i="63" s="1"/>
  <c r="V265" i="63" s="1"/>
  <c r="V266" i="63" s="1"/>
  <c r="V267" i="63" s="1"/>
  <c r="V268" i="63" s="1"/>
  <c r="V269" i="63" s="1"/>
  <c r="V270" i="63" s="1"/>
  <c r="V271" i="63" s="1"/>
  <c r="V272" i="63" s="1"/>
  <c r="V273" i="63" s="1"/>
  <c r="V274" i="63" s="1"/>
  <c r="V275" i="63" s="1"/>
  <c r="V276" i="63" s="1"/>
  <c r="V277" i="63" s="1"/>
  <c r="V278" i="63" s="1"/>
  <c r="V279" i="63" s="1"/>
  <c r="V280" i="63" s="1"/>
  <c r="V281" i="63" s="1"/>
  <c r="V282" i="63" s="1"/>
  <c r="V283" i="63" s="1"/>
  <c r="V284" i="63" s="1"/>
  <c r="V285" i="63" s="1"/>
  <c r="V286" i="63" s="1"/>
  <c r="V287" i="63" s="1"/>
  <c r="V288" i="63" s="1"/>
  <c r="V289" i="63" s="1"/>
  <c r="V290" i="63" s="1"/>
  <c r="V291" i="63" s="1"/>
  <c r="V292" i="63" s="1"/>
  <c r="V293" i="63" s="1"/>
  <c r="V294" i="63" s="1"/>
  <c r="V295" i="63" s="1"/>
  <c r="V296" i="63" s="1"/>
  <c r="V297" i="63" s="1"/>
  <c r="V298" i="63" s="1"/>
  <c r="V299" i="63" s="1"/>
  <c r="V300" i="63" s="1"/>
  <c r="V301" i="63" s="1"/>
  <c r="V302" i="63" s="1"/>
  <c r="V303" i="63" s="1"/>
  <c r="V304" i="63" s="1"/>
  <c r="V305" i="63" s="1"/>
  <c r="V306" i="63" s="1"/>
  <c r="V307" i="63" s="1"/>
  <c r="V308" i="63" s="1"/>
  <c r="U9" i="63"/>
  <c r="U10" i="63" s="1"/>
  <c r="U11" i="63" s="1"/>
  <c r="U12" i="63" s="1"/>
  <c r="U13" i="63" s="1"/>
  <c r="U14" i="63" s="1"/>
  <c r="U15" i="63" s="1"/>
  <c r="U16" i="63" s="1"/>
  <c r="U17" i="63" s="1"/>
  <c r="U18" i="63" s="1"/>
  <c r="U19" i="63" s="1"/>
  <c r="U20" i="63" s="1"/>
  <c r="U21" i="63" s="1"/>
  <c r="U22" i="63" s="1"/>
  <c r="U23" i="63" s="1"/>
  <c r="U24" i="63" s="1"/>
  <c r="U25" i="63" s="1"/>
  <c r="U26" i="63" s="1"/>
  <c r="U27" i="63" s="1"/>
  <c r="U28" i="63" s="1"/>
  <c r="U29" i="63" s="1"/>
  <c r="U30" i="63" s="1"/>
  <c r="U31" i="63" s="1"/>
  <c r="U32" i="63" s="1"/>
  <c r="U33" i="63" s="1"/>
  <c r="U34" i="63" s="1"/>
  <c r="U35" i="63" s="1"/>
  <c r="U36" i="63" s="1"/>
  <c r="U37" i="63" s="1"/>
  <c r="U38" i="63" s="1"/>
  <c r="U39" i="63" s="1"/>
  <c r="U40" i="63" s="1"/>
  <c r="U41" i="63" s="1"/>
  <c r="U42" i="63" s="1"/>
  <c r="U43" i="63" s="1"/>
  <c r="U44" i="63" s="1"/>
  <c r="U45" i="63" s="1"/>
  <c r="U46" i="63" s="1"/>
  <c r="U47" i="63" s="1"/>
  <c r="U48" i="63" s="1"/>
  <c r="U49" i="63" s="1"/>
  <c r="U50" i="63" s="1"/>
  <c r="U51" i="63" s="1"/>
  <c r="U52" i="63" s="1"/>
  <c r="U53" i="63" s="1"/>
  <c r="U54" i="63" s="1"/>
  <c r="U55" i="63" s="1"/>
  <c r="U56" i="63" s="1"/>
  <c r="U57" i="63" s="1"/>
  <c r="U58" i="63" s="1"/>
  <c r="U59" i="63" s="1"/>
  <c r="U60" i="63" s="1"/>
  <c r="U61" i="63" s="1"/>
  <c r="U62" i="63" s="1"/>
  <c r="U63" i="63" s="1"/>
  <c r="U64" i="63" s="1"/>
  <c r="U65" i="63" s="1"/>
  <c r="U66" i="63" s="1"/>
  <c r="U67" i="63" s="1"/>
  <c r="U68" i="63" s="1"/>
  <c r="U69" i="63" s="1"/>
  <c r="U70" i="63" s="1"/>
  <c r="U71" i="63" s="1"/>
  <c r="U72" i="63" s="1"/>
  <c r="U73" i="63" s="1"/>
  <c r="U74" i="63" s="1"/>
  <c r="U75" i="63" s="1"/>
  <c r="U76" i="63" s="1"/>
  <c r="U77" i="63" s="1"/>
  <c r="U78" i="63" s="1"/>
  <c r="U79" i="63" s="1"/>
  <c r="U80" i="63" s="1"/>
  <c r="U81" i="63" s="1"/>
  <c r="U82" i="63" s="1"/>
  <c r="U83" i="63" s="1"/>
  <c r="U84" i="63" s="1"/>
  <c r="U85" i="63" s="1"/>
  <c r="U86" i="63" s="1"/>
  <c r="U87" i="63" s="1"/>
  <c r="U88" i="63" s="1"/>
  <c r="U89" i="63" s="1"/>
  <c r="U90" i="63" s="1"/>
  <c r="U91" i="63" s="1"/>
  <c r="U92" i="63" s="1"/>
  <c r="U93" i="63" s="1"/>
  <c r="U94" i="63" s="1"/>
  <c r="U95" i="63" s="1"/>
  <c r="U96" i="63" s="1"/>
  <c r="U97" i="63" s="1"/>
  <c r="U98" i="63" s="1"/>
  <c r="U99" i="63" s="1"/>
  <c r="U100" i="63" s="1"/>
  <c r="U101" i="63" s="1"/>
  <c r="U102" i="63" s="1"/>
  <c r="U103" i="63" s="1"/>
  <c r="U104" i="63" s="1"/>
  <c r="U105" i="63" s="1"/>
  <c r="U106" i="63" s="1"/>
  <c r="U107" i="63" s="1"/>
  <c r="U108" i="63" s="1"/>
  <c r="U109" i="63" s="1"/>
  <c r="U110" i="63" s="1"/>
  <c r="U111" i="63" s="1"/>
  <c r="U112" i="63" s="1"/>
  <c r="U113" i="63" s="1"/>
  <c r="U114" i="63" s="1"/>
  <c r="U115" i="63" s="1"/>
  <c r="U116" i="63" s="1"/>
  <c r="U117" i="63" s="1"/>
  <c r="U118" i="63" s="1"/>
  <c r="U119" i="63" s="1"/>
  <c r="U120" i="63" s="1"/>
  <c r="U121" i="63" s="1"/>
  <c r="U122" i="63" s="1"/>
  <c r="U123" i="63" s="1"/>
  <c r="U124" i="63" s="1"/>
  <c r="U125" i="63" s="1"/>
  <c r="U126" i="63" s="1"/>
  <c r="U127" i="63" s="1"/>
  <c r="U128" i="63" s="1"/>
  <c r="U129" i="63" s="1"/>
  <c r="U130" i="63" s="1"/>
  <c r="U131" i="63" s="1"/>
  <c r="U132" i="63" s="1"/>
  <c r="U133" i="63" s="1"/>
  <c r="U134" i="63" s="1"/>
  <c r="U135" i="63" s="1"/>
  <c r="U136" i="63" s="1"/>
  <c r="U137" i="63" s="1"/>
  <c r="U138" i="63" s="1"/>
  <c r="U139" i="63" s="1"/>
  <c r="U140" i="63" s="1"/>
  <c r="U141" i="63" s="1"/>
  <c r="U142" i="63" s="1"/>
  <c r="U143" i="63" s="1"/>
  <c r="U144" i="63" s="1"/>
  <c r="U145" i="63" s="1"/>
  <c r="U146" i="63" s="1"/>
  <c r="U147" i="63" s="1"/>
  <c r="U148" i="63" s="1"/>
  <c r="U149" i="63" s="1"/>
  <c r="U150" i="63" s="1"/>
  <c r="U151" i="63" s="1"/>
  <c r="U152" i="63" s="1"/>
  <c r="U153" i="63" s="1"/>
  <c r="U154" i="63" s="1"/>
  <c r="U155" i="63" s="1"/>
  <c r="U156" i="63" s="1"/>
  <c r="U157" i="63" s="1"/>
  <c r="U158" i="63" s="1"/>
  <c r="U159" i="63" s="1"/>
  <c r="U160" i="63" s="1"/>
  <c r="U161" i="63" s="1"/>
  <c r="U162" i="63" s="1"/>
  <c r="U163" i="63" s="1"/>
  <c r="U164" i="63" s="1"/>
  <c r="U165" i="63" s="1"/>
  <c r="U166" i="63" s="1"/>
  <c r="U167" i="63" s="1"/>
  <c r="U168" i="63" s="1"/>
  <c r="U169" i="63" s="1"/>
  <c r="U170" i="63" s="1"/>
  <c r="U171" i="63" s="1"/>
  <c r="U172" i="63" s="1"/>
  <c r="U173" i="63" s="1"/>
  <c r="U174" i="63" s="1"/>
  <c r="U175" i="63" s="1"/>
  <c r="U176" i="63" s="1"/>
  <c r="U177" i="63" s="1"/>
  <c r="U178" i="63" s="1"/>
  <c r="U179" i="63" s="1"/>
  <c r="U180" i="63" s="1"/>
  <c r="U181" i="63" s="1"/>
  <c r="U182" i="63" s="1"/>
  <c r="U183" i="63" s="1"/>
  <c r="U184" i="63" s="1"/>
  <c r="U185" i="63" s="1"/>
  <c r="U186" i="63" s="1"/>
  <c r="U187" i="63" s="1"/>
  <c r="U188" i="63" s="1"/>
  <c r="U189" i="63" s="1"/>
  <c r="U190" i="63" s="1"/>
  <c r="U191" i="63" s="1"/>
  <c r="U192" i="63" s="1"/>
  <c r="U193" i="63" s="1"/>
  <c r="U194" i="63" s="1"/>
  <c r="U195" i="63" s="1"/>
  <c r="U196" i="63" s="1"/>
  <c r="U197" i="63" s="1"/>
  <c r="U198" i="63" s="1"/>
  <c r="U199" i="63" s="1"/>
  <c r="U200" i="63" s="1"/>
  <c r="U201" i="63" s="1"/>
  <c r="U202" i="63" s="1"/>
  <c r="U203" i="63" s="1"/>
  <c r="U204" i="63" s="1"/>
  <c r="U205" i="63" s="1"/>
  <c r="U206" i="63" s="1"/>
  <c r="U207" i="63" s="1"/>
  <c r="U208" i="63" s="1"/>
  <c r="U209" i="63" s="1"/>
  <c r="U210" i="63" s="1"/>
  <c r="U211" i="63" s="1"/>
  <c r="U212" i="63" s="1"/>
  <c r="U213" i="63" s="1"/>
  <c r="U214" i="63" s="1"/>
  <c r="U215" i="63" s="1"/>
  <c r="U216" i="63" s="1"/>
  <c r="U217" i="63" s="1"/>
  <c r="U218" i="63" s="1"/>
  <c r="U219" i="63" s="1"/>
  <c r="U220" i="63" s="1"/>
  <c r="U221" i="63" s="1"/>
  <c r="U222" i="63" s="1"/>
  <c r="U223" i="63" s="1"/>
  <c r="U224" i="63" s="1"/>
  <c r="U225" i="63" s="1"/>
  <c r="U226" i="63" s="1"/>
  <c r="U227" i="63" s="1"/>
  <c r="U228" i="63" s="1"/>
  <c r="U229" i="63" s="1"/>
  <c r="U230" i="63" s="1"/>
  <c r="U231" i="63" s="1"/>
  <c r="U232" i="63" s="1"/>
  <c r="U233" i="63" s="1"/>
  <c r="U234" i="63" s="1"/>
  <c r="U235" i="63" s="1"/>
  <c r="U236" i="63" s="1"/>
  <c r="U237" i="63" s="1"/>
  <c r="U238" i="63" s="1"/>
  <c r="U239" i="63" s="1"/>
  <c r="U240" i="63" s="1"/>
  <c r="U241" i="63" s="1"/>
  <c r="U242" i="63" s="1"/>
  <c r="U243" i="63" s="1"/>
  <c r="U244" i="63" s="1"/>
  <c r="U245" i="63" s="1"/>
  <c r="U246" i="63" s="1"/>
  <c r="U247" i="63" s="1"/>
  <c r="U248" i="63" s="1"/>
  <c r="U249" i="63" s="1"/>
  <c r="U250" i="63" s="1"/>
  <c r="U251" i="63" s="1"/>
  <c r="U252" i="63" s="1"/>
  <c r="U253" i="63" s="1"/>
  <c r="U254" i="63" s="1"/>
  <c r="U255" i="63" s="1"/>
  <c r="U256" i="63" s="1"/>
  <c r="U257" i="63" s="1"/>
  <c r="U258" i="63" s="1"/>
  <c r="U259" i="63" s="1"/>
  <c r="U260" i="63" s="1"/>
  <c r="U261" i="63" s="1"/>
  <c r="U262" i="63" s="1"/>
  <c r="U263" i="63" s="1"/>
  <c r="U264" i="63" s="1"/>
  <c r="U265" i="63" s="1"/>
  <c r="U266" i="63" s="1"/>
  <c r="U267" i="63" s="1"/>
  <c r="U268" i="63" s="1"/>
  <c r="U269" i="63" s="1"/>
  <c r="U270" i="63" s="1"/>
  <c r="U271" i="63" s="1"/>
  <c r="U272" i="63" s="1"/>
  <c r="U273" i="63" s="1"/>
  <c r="U274" i="63" s="1"/>
  <c r="U275" i="63" s="1"/>
  <c r="U276" i="63" s="1"/>
  <c r="U277" i="63" s="1"/>
  <c r="U278" i="63" s="1"/>
  <c r="U279" i="63" s="1"/>
  <c r="U280" i="63" s="1"/>
  <c r="U281" i="63" s="1"/>
  <c r="U282" i="63" s="1"/>
  <c r="U283" i="63" s="1"/>
  <c r="U284" i="63" s="1"/>
  <c r="U285" i="63" s="1"/>
  <c r="U286" i="63" s="1"/>
  <c r="U287" i="63" s="1"/>
  <c r="U288" i="63" s="1"/>
  <c r="U289" i="63" s="1"/>
  <c r="U290" i="63" s="1"/>
  <c r="U291" i="63" s="1"/>
  <c r="U292" i="63" s="1"/>
  <c r="U293" i="63" s="1"/>
  <c r="U294" i="63" s="1"/>
  <c r="U295" i="63" s="1"/>
  <c r="U296" i="63" s="1"/>
  <c r="U297" i="63" s="1"/>
  <c r="U298" i="63" s="1"/>
  <c r="U299" i="63" s="1"/>
  <c r="U300" i="63" s="1"/>
  <c r="U301" i="63" s="1"/>
  <c r="U302" i="63" s="1"/>
  <c r="U303" i="63" s="1"/>
  <c r="U304" i="63" s="1"/>
  <c r="U305" i="63" s="1"/>
  <c r="U306" i="63" s="1"/>
  <c r="U307" i="63" s="1"/>
  <c r="U308" i="63" s="1"/>
  <c r="T9" i="63"/>
  <c r="T10" i="63" s="1"/>
  <c r="T11" i="63" s="1"/>
  <c r="T12" i="63" s="1"/>
  <c r="T13" i="63" s="1"/>
  <c r="T14" i="63" s="1"/>
  <c r="T15" i="63" s="1"/>
  <c r="T16" i="63" s="1"/>
  <c r="T17" i="63" s="1"/>
  <c r="T18" i="63" s="1"/>
  <c r="T19" i="63" s="1"/>
  <c r="T20" i="63" s="1"/>
  <c r="T21" i="63" s="1"/>
  <c r="T22" i="63" s="1"/>
  <c r="T23" i="63" s="1"/>
  <c r="T24" i="63" s="1"/>
  <c r="T25" i="63" s="1"/>
  <c r="T26" i="63" s="1"/>
  <c r="T27" i="63" s="1"/>
  <c r="T28" i="63" s="1"/>
  <c r="T29" i="63" s="1"/>
  <c r="T30" i="63" s="1"/>
  <c r="T31" i="63" s="1"/>
  <c r="T32" i="63" s="1"/>
  <c r="T33" i="63" s="1"/>
  <c r="T34" i="63" s="1"/>
  <c r="T35" i="63" s="1"/>
  <c r="T36" i="63" s="1"/>
  <c r="T37" i="63" s="1"/>
  <c r="T38" i="63" s="1"/>
  <c r="T39" i="63" s="1"/>
  <c r="T40" i="63" s="1"/>
  <c r="T41" i="63" s="1"/>
  <c r="T42" i="63" s="1"/>
  <c r="T43" i="63" s="1"/>
  <c r="T44" i="63" s="1"/>
  <c r="T45" i="63" s="1"/>
  <c r="T46" i="63" s="1"/>
  <c r="T47" i="63" s="1"/>
  <c r="T48" i="63" s="1"/>
  <c r="T49" i="63" s="1"/>
  <c r="T50" i="63" s="1"/>
  <c r="T51" i="63" s="1"/>
  <c r="T52" i="63" s="1"/>
  <c r="T53" i="63" s="1"/>
  <c r="T54" i="63" s="1"/>
  <c r="T55" i="63" s="1"/>
  <c r="T56" i="63" s="1"/>
  <c r="T57" i="63" s="1"/>
  <c r="T58" i="63" s="1"/>
  <c r="T59" i="63" s="1"/>
  <c r="T60" i="63" s="1"/>
  <c r="T61" i="63" s="1"/>
  <c r="T62" i="63" s="1"/>
  <c r="T63" i="63" s="1"/>
  <c r="T64" i="63" s="1"/>
  <c r="T65" i="63" s="1"/>
  <c r="T66" i="63" s="1"/>
  <c r="T67" i="63" s="1"/>
  <c r="T68" i="63" s="1"/>
  <c r="T69" i="63" s="1"/>
  <c r="T70" i="63" s="1"/>
  <c r="T71" i="63" s="1"/>
  <c r="T72" i="63" s="1"/>
  <c r="T73" i="63" s="1"/>
  <c r="T74" i="63" s="1"/>
  <c r="T75" i="63" s="1"/>
  <c r="T76" i="63" s="1"/>
  <c r="T77" i="63" s="1"/>
  <c r="T78" i="63" s="1"/>
  <c r="T79" i="63" s="1"/>
  <c r="T80" i="63" s="1"/>
  <c r="T81" i="63" s="1"/>
  <c r="T82" i="63" s="1"/>
  <c r="T83" i="63" s="1"/>
  <c r="T84" i="63" s="1"/>
  <c r="T85" i="63" s="1"/>
  <c r="T86" i="63" s="1"/>
  <c r="T87" i="63" s="1"/>
  <c r="T88" i="63" s="1"/>
  <c r="T89" i="63" s="1"/>
  <c r="T90" i="63" s="1"/>
  <c r="T91" i="63" s="1"/>
  <c r="T92" i="63" s="1"/>
  <c r="T93" i="63" s="1"/>
  <c r="T94" i="63" s="1"/>
  <c r="T95" i="63" s="1"/>
  <c r="T96" i="63" s="1"/>
  <c r="T97" i="63" s="1"/>
  <c r="T98" i="63" s="1"/>
  <c r="T99" i="63" s="1"/>
  <c r="T100" i="63" s="1"/>
  <c r="T101" i="63" s="1"/>
  <c r="T102" i="63" s="1"/>
  <c r="T103" i="63" s="1"/>
  <c r="T104" i="63" s="1"/>
  <c r="T105" i="63" s="1"/>
  <c r="T106" i="63" s="1"/>
  <c r="T107" i="63" s="1"/>
  <c r="T108" i="63" s="1"/>
  <c r="T109" i="63" s="1"/>
  <c r="T110" i="63" s="1"/>
  <c r="T111" i="63" s="1"/>
  <c r="T112" i="63" s="1"/>
  <c r="T113" i="63" s="1"/>
  <c r="T114" i="63" s="1"/>
  <c r="T115" i="63" s="1"/>
  <c r="T116" i="63" s="1"/>
  <c r="T117" i="63" s="1"/>
  <c r="T118" i="63" s="1"/>
  <c r="T119" i="63" s="1"/>
  <c r="T120" i="63" s="1"/>
  <c r="T121" i="63" s="1"/>
  <c r="T122" i="63" s="1"/>
  <c r="T123" i="63" s="1"/>
  <c r="T124" i="63" s="1"/>
  <c r="T125" i="63" s="1"/>
  <c r="T126" i="63" s="1"/>
  <c r="T127" i="63" s="1"/>
  <c r="T128" i="63" s="1"/>
  <c r="T129" i="63" s="1"/>
  <c r="T130" i="63" s="1"/>
  <c r="T131" i="63" s="1"/>
  <c r="T132" i="63" s="1"/>
  <c r="T133" i="63" s="1"/>
  <c r="T134" i="63" s="1"/>
  <c r="T135" i="63" s="1"/>
  <c r="T136" i="63" s="1"/>
  <c r="T137" i="63" s="1"/>
  <c r="T138" i="63" s="1"/>
  <c r="T139" i="63" s="1"/>
  <c r="T140" i="63" s="1"/>
  <c r="T141" i="63" s="1"/>
  <c r="T142" i="63" s="1"/>
  <c r="T143" i="63" s="1"/>
  <c r="T144" i="63" s="1"/>
  <c r="T145" i="63" s="1"/>
  <c r="T146" i="63" s="1"/>
  <c r="T147" i="63" s="1"/>
  <c r="T148" i="63" s="1"/>
  <c r="T149" i="63" s="1"/>
  <c r="T150" i="63" s="1"/>
  <c r="T151" i="63" s="1"/>
  <c r="T152" i="63" s="1"/>
  <c r="T153" i="63" s="1"/>
  <c r="T154" i="63" s="1"/>
  <c r="T155" i="63" s="1"/>
  <c r="T156" i="63" s="1"/>
  <c r="T157" i="63" s="1"/>
  <c r="T158" i="63" s="1"/>
  <c r="T159" i="63" s="1"/>
  <c r="T160" i="63" s="1"/>
  <c r="T161" i="63" s="1"/>
  <c r="T162" i="63" s="1"/>
  <c r="T163" i="63" s="1"/>
  <c r="T164" i="63" s="1"/>
  <c r="T165" i="63" s="1"/>
  <c r="T166" i="63" s="1"/>
  <c r="T167" i="63" s="1"/>
  <c r="T168" i="63" s="1"/>
  <c r="T169" i="63" s="1"/>
  <c r="T170" i="63" s="1"/>
  <c r="T171" i="63" s="1"/>
  <c r="T172" i="63" s="1"/>
  <c r="T173" i="63" s="1"/>
  <c r="T174" i="63" s="1"/>
  <c r="T175" i="63" s="1"/>
  <c r="T176" i="63" s="1"/>
  <c r="T177" i="63" s="1"/>
  <c r="T178" i="63" s="1"/>
  <c r="T179" i="63" s="1"/>
  <c r="T180" i="63" s="1"/>
  <c r="T181" i="63" s="1"/>
  <c r="T182" i="63" s="1"/>
  <c r="T183" i="63" s="1"/>
  <c r="T184" i="63" s="1"/>
  <c r="T185" i="63" s="1"/>
  <c r="T186" i="63" s="1"/>
  <c r="T187" i="63" s="1"/>
  <c r="T188" i="63" s="1"/>
  <c r="T189" i="63" s="1"/>
  <c r="T190" i="63" s="1"/>
  <c r="T191" i="63" s="1"/>
  <c r="T192" i="63" s="1"/>
  <c r="T193" i="63" s="1"/>
  <c r="T194" i="63" s="1"/>
  <c r="T195" i="63" s="1"/>
  <c r="T196" i="63" s="1"/>
  <c r="T197" i="63" s="1"/>
  <c r="T198" i="63" s="1"/>
  <c r="T199" i="63" s="1"/>
  <c r="T200" i="63" s="1"/>
  <c r="T201" i="63" s="1"/>
  <c r="T202" i="63" s="1"/>
  <c r="T203" i="63" s="1"/>
  <c r="T204" i="63" s="1"/>
  <c r="T205" i="63" s="1"/>
  <c r="T206" i="63" s="1"/>
  <c r="T207" i="63" s="1"/>
  <c r="T208" i="63" s="1"/>
  <c r="T209" i="63" s="1"/>
  <c r="T210" i="63" s="1"/>
  <c r="T211" i="63" s="1"/>
  <c r="T212" i="63" s="1"/>
  <c r="T213" i="63" s="1"/>
  <c r="T214" i="63" s="1"/>
  <c r="T215" i="63" s="1"/>
  <c r="T216" i="63" s="1"/>
  <c r="T217" i="63" s="1"/>
  <c r="T218" i="63" s="1"/>
  <c r="T219" i="63" s="1"/>
  <c r="T220" i="63" s="1"/>
  <c r="T221" i="63" s="1"/>
  <c r="T222" i="63" s="1"/>
  <c r="T223" i="63" s="1"/>
  <c r="T224" i="63" s="1"/>
  <c r="T225" i="63" s="1"/>
  <c r="T226" i="63" s="1"/>
  <c r="T227" i="63" s="1"/>
  <c r="T228" i="63" s="1"/>
  <c r="T229" i="63" s="1"/>
  <c r="T230" i="63" s="1"/>
  <c r="T231" i="63" s="1"/>
  <c r="T232" i="63" s="1"/>
  <c r="T233" i="63" s="1"/>
  <c r="T234" i="63" s="1"/>
  <c r="T235" i="63" s="1"/>
  <c r="T236" i="63" s="1"/>
  <c r="T237" i="63" s="1"/>
  <c r="T238" i="63" s="1"/>
  <c r="T239" i="63" s="1"/>
  <c r="T240" i="63" s="1"/>
  <c r="T241" i="63" s="1"/>
  <c r="T242" i="63" s="1"/>
  <c r="T243" i="63" s="1"/>
  <c r="T244" i="63" s="1"/>
  <c r="T245" i="63" s="1"/>
  <c r="T246" i="63" s="1"/>
  <c r="T247" i="63" s="1"/>
  <c r="T248" i="63" s="1"/>
  <c r="T249" i="63" s="1"/>
  <c r="T250" i="63" s="1"/>
  <c r="T251" i="63" s="1"/>
  <c r="T252" i="63" s="1"/>
  <c r="T253" i="63" s="1"/>
  <c r="T254" i="63" s="1"/>
  <c r="T255" i="63" s="1"/>
  <c r="T256" i="63" s="1"/>
  <c r="T257" i="63" s="1"/>
  <c r="T258" i="63" s="1"/>
  <c r="T259" i="63" s="1"/>
  <c r="T260" i="63" s="1"/>
  <c r="T261" i="63" s="1"/>
  <c r="T262" i="63" s="1"/>
  <c r="T263" i="63" s="1"/>
  <c r="T264" i="63" s="1"/>
  <c r="T265" i="63" s="1"/>
  <c r="T266" i="63" s="1"/>
  <c r="T267" i="63" s="1"/>
  <c r="T268" i="63" s="1"/>
  <c r="T269" i="63" s="1"/>
  <c r="T270" i="63" s="1"/>
  <c r="T271" i="63" s="1"/>
  <c r="T272" i="63" s="1"/>
  <c r="T273" i="63" s="1"/>
  <c r="T274" i="63" s="1"/>
  <c r="T275" i="63" s="1"/>
  <c r="T276" i="63" s="1"/>
  <c r="T277" i="63" s="1"/>
  <c r="T278" i="63" s="1"/>
  <c r="T279" i="63" s="1"/>
  <c r="T280" i="63" s="1"/>
  <c r="T281" i="63" s="1"/>
  <c r="T282" i="63" s="1"/>
  <c r="T283" i="63" s="1"/>
  <c r="T284" i="63" s="1"/>
  <c r="T285" i="63" s="1"/>
  <c r="T286" i="63" s="1"/>
  <c r="T287" i="63" s="1"/>
  <c r="T288" i="63" s="1"/>
  <c r="T289" i="63" s="1"/>
  <c r="T290" i="63" s="1"/>
  <c r="T291" i="63" s="1"/>
  <c r="T292" i="63" s="1"/>
  <c r="T293" i="63" s="1"/>
  <c r="T294" i="63" s="1"/>
  <c r="T295" i="63" s="1"/>
  <c r="T296" i="63" s="1"/>
  <c r="T297" i="63" s="1"/>
  <c r="T298" i="63" s="1"/>
  <c r="T299" i="63" s="1"/>
  <c r="T300" i="63" s="1"/>
  <c r="T301" i="63" s="1"/>
  <c r="T302" i="63" s="1"/>
  <c r="T303" i="63" s="1"/>
  <c r="T304" i="63" s="1"/>
  <c r="T305" i="63" s="1"/>
  <c r="T306" i="63" s="1"/>
  <c r="T307" i="63" s="1"/>
  <c r="T308" i="63" s="1"/>
  <c r="R9" i="63"/>
  <c r="R10" i="63" s="1"/>
  <c r="R11" i="63" s="1"/>
  <c r="R12" i="63" s="1"/>
  <c r="R13" i="63" s="1"/>
  <c r="R14" i="63" s="1"/>
  <c r="R15" i="63" s="1"/>
  <c r="R16" i="63" s="1"/>
  <c r="R17" i="63" s="1"/>
  <c r="R18" i="63" s="1"/>
  <c r="R19" i="63" s="1"/>
  <c r="R20" i="63" s="1"/>
  <c r="R21" i="63" s="1"/>
  <c r="R22" i="63" s="1"/>
  <c r="R23" i="63" s="1"/>
  <c r="R24" i="63" s="1"/>
  <c r="R25" i="63" s="1"/>
  <c r="R26" i="63" s="1"/>
  <c r="R27" i="63" s="1"/>
  <c r="R28" i="63" s="1"/>
  <c r="R29" i="63" s="1"/>
  <c r="R30" i="63" s="1"/>
  <c r="R31" i="63" s="1"/>
  <c r="R32" i="63" s="1"/>
  <c r="R33" i="63" s="1"/>
  <c r="R34" i="63" s="1"/>
  <c r="R35" i="63" s="1"/>
  <c r="R36" i="63" s="1"/>
  <c r="R37" i="63" s="1"/>
  <c r="R38" i="63" s="1"/>
  <c r="R39" i="63" s="1"/>
  <c r="R40" i="63" s="1"/>
  <c r="R41" i="63" s="1"/>
  <c r="R42" i="63" s="1"/>
  <c r="R43" i="63" s="1"/>
  <c r="R44" i="63" s="1"/>
  <c r="R45" i="63" s="1"/>
  <c r="R46" i="63" s="1"/>
  <c r="R47" i="63" s="1"/>
  <c r="R48" i="63" s="1"/>
  <c r="R49" i="63" s="1"/>
  <c r="R50" i="63" s="1"/>
  <c r="R51" i="63" s="1"/>
  <c r="R52" i="63" s="1"/>
  <c r="R53" i="63" s="1"/>
  <c r="R54" i="63" s="1"/>
  <c r="R55" i="63" s="1"/>
  <c r="R56" i="63" s="1"/>
  <c r="R57" i="63" s="1"/>
  <c r="R58" i="63" s="1"/>
  <c r="R59" i="63" s="1"/>
  <c r="R60" i="63" s="1"/>
  <c r="R61" i="63" s="1"/>
  <c r="R62" i="63" s="1"/>
  <c r="R63" i="63" s="1"/>
  <c r="R64" i="63" s="1"/>
  <c r="R65" i="63" s="1"/>
  <c r="R66" i="63" s="1"/>
  <c r="R67" i="63" s="1"/>
  <c r="R68" i="63" s="1"/>
  <c r="R69" i="63" s="1"/>
  <c r="R70" i="63" s="1"/>
  <c r="R71" i="63" s="1"/>
  <c r="R72" i="63" s="1"/>
  <c r="R73" i="63" s="1"/>
  <c r="R74" i="63" s="1"/>
  <c r="R75" i="63" s="1"/>
  <c r="R76" i="63" s="1"/>
  <c r="R77" i="63" s="1"/>
  <c r="R78" i="63" s="1"/>
  <c r="R79" i="63" s="1"/>
  <c r="R80" i="63" s="1"/>
  <c r="R81" i="63" s="1"/>
  <c r="R82" i="63" s="1"/>
  <c r="R83" i="63" s="1"/>
  <c r="R84" i="63" s="1"/>
  <c r="R85" i="63" s="1"/>
  <c r="R86" i="63" s="1"/>
  <c r="R87" i="63" s="1"/>
  <c r="R88" i="63" s="1"/>
  <c r="R89" i="63" s="1"/>
  <c r="R90" i="63" s="1"/>
  <c r="R91" i="63" s="1"/>
  <c r="R92" i="63" s="1"/>
  <c r="R93" i="63" s="1"/>
  <c r="R94" i="63" s="1"/>
  <c r="R95" i="63" s="1"/>
  <c r="R96" i="63" s="1"/>
  <c r="R97" i="63" s="1"/>
  <c r="R98" i="63" s="1"/>
  <c r="R99" i="63" s="1"/>
  <c r="R100" i="63" s="1"/>
  <c r="R101" i="63" s="1"/>
  <c r="R102" i="63" s="1"/>
  <c r="R103" i="63" s="1"/>
  <c r="R104" i="63" s="1"/>
  <c r="R105" i="63" s="1"/>
  <c r="R106" i="63" s="1"/>
  <c r="R107" i="63" s="1"/>
  <c r="R108" i="63" s="1"/>
  <c r="R109" i="63" s="1"/>
  <c r="R110" i="63" s="1"/>
  <c r="R111" i="63" s="1"/>
  <c r="R112" i="63" s="1"/>
  <c r="R113" i="63" s="1"/>
  <c r="R114" i="63" s="1"/>
  <c r="R115" i="63" s="1"/>
  <c r="R116" i="63" s="1"/>
  <c r="R117" i="63" s="1"/>
  <c r="R118" i="63" s="1"/>
  <c r="R119" i="63" s="1"/>
  <c r="R120" i="63" s="1"/>
  <c r="R121" i="63" s="1"/>
  <c r="R122" i="63" s="1"/>
  <c r="R123" i="63" s="1"/>
  <c r="R124" i="63" s="1"/>
  <c r="R125" i="63" s="1"/>
  <c r="R126" i="63" s="1"/>
  <c r="R127" i="63" s="1"/>
  <c r="R128" i="63" s="1"/>
  <c r="R129" i="63" s="1"/>
  <c r="R130" i="63" s="1"/>
  <c r="R131" i="63" s="1"/>
  <c r="R132" i="63" s="1"/>
  <c r="R133" i="63" s="1"/>
  <c r="R134" i="63" s="1"/>
  <c r="R135" i="63" s="1"/>
  <c r="R136" i="63" s="1"/>
  <c r="R137" i="63" s="1"/>
  <c r="R138" i="63" s="1"/>
  <c r="R139" i="63" s="1"/>
  <c r="R140" i="63" s="1"/>
  <c r="R141" i="63" s="1"/>
  <c r="R142" i="63" s="1"/>
  <c r="R143" i="63" s="1"/>
  <c r="R144" i="63" s="1"/>
  <c r="R145" i="63" s="1"/>
  <c r="R146" i="63" s="1"/>
  <c r="R147" i="63" s="1"/>
  <c r="R148" i="63" s="1"/>
  <c r="R149" i="63" s="1"/>
  <c r="R150" i="63" s="1"/>
  <c r="R151" i="63" s="1"/>
  <c r="R152" i="63" s="1"/>
  <c r="R153" i="63" s="1"/>
  <c r="R154" i="63" s="1"/>
  <c r="R155" i="63" s="1"/>
  <c r="R156" i="63" s="1"/>
  <c r="R157" i="63" s="1"/>
  <c r="R158" i="63" s="1"/>
  <c r="R159" i="63" s="1"/>
  <c r="R160" i="63" s="1"/>
  <c r="R161" i="63" s="1"/>
  <c r="R162" i="63" s="1"/>
  <c r="R163" i="63" s="1"/>
  <c r="R164" i="63" s="1"/>
  <c r="R165" i="63" s="1"/>
  <c r="R166" i="63" s="1"/>
  <c r="R167" i="63" s="1"/>
  <c r="R168" i="63" s="1"/>
  <c r="R169" i="63" s="1"/>
  <c r="R170" i="63" s="1"/>
  <c r="R171" i="63" s="1"/>
  <c r="R172" i="63" s="1"/>
  <c r="R173" i="63" s="1"/>
  <c r="R174" i="63" s="1"/>
  <c r="R175" i="63" s="1"/>
  <c r="R176" i="63" s="1"/>
  <c r="R177" i="63" s="1"/>
  <c r="R178" i="63" s="1"/>
  <c r="R179" i="63" s="1"/>
  <c r="R180" i="63" s="1"/>
  <c r="R181" i="63" s="1"/>
  <c r="R182" i="63" s="1"/>
  <c r="R183" i="63" s="1"/>
  <c r="R184" i="63" s="1"/>
  <c r="R185" i="63" s="1"/>
  <c r="R186" i="63" s="1"/>
  <c r="R187" i="63" s="1"/>
  <c r="R188" i="63" s="1"/>
  <c r="R189" i="63" s="1"/>
  <c r="R190" i="63" s="1"/>
  <c r="R191" i="63" s="1"/>
  <c r="R192" i="63" s="1"/>
  <c r="R193" i="63" s="1"/>
  <c r="R194" i="63" s="1"/>
  <c r="R195" i="63" s="1"/>
  <c r="R196" i="63" s="1"/>
  <c r="R197" i="63" s="1"/>
  <c r="R198" i="63" s="1"/>
  <c r="R199" i="63" s="1"/>
  <c r="R200" i="63" s="1"/>
  <c r="R201" i="63" s="1"/>
  <c r="R202" i="63" s="1"/>
  <c r="R203" i="63" s="1"/>
  <c r="R204" i="63" s="1"/>
  <c r="R205" i="63" s="1"/>
  <c r="R206" i="63" s="1"/>
  <c r="R207" i="63" s="1"/>
  <c r="R208" i="63" s="1"/>
  <c r="R209" i="63" s="1"/>
  <c r="R210" i="63" s="1"/>
  <c r="R211" i="63" s="1"/>
  <c r="R212" i="63" s="1"/>
  <c r="R213" i="63" s="1"/>
  <c r="R214" i="63" s="1"/>
  <c r="R215" i="63" s="1"/>
  <c r="R216" i="63" s="1"/>
  <c r="R217" i="63" s="1"/>
  <c r="R218" i="63" s="1"/>
  <c r="R219" i="63" s="1"/>
  <c r="R220" i="63" s="1"/>
  <c r="R221" i="63" s="1"/>
  <c r="R222" i="63" s="1"/>
  <c r="R223" i="63" s="1"/>
  <c r="R224" i="63" s="1"/>
  <c r="R225" i="63" s="1"/>
  <c r="R226" i="63" s="1"/>
  <c r="R227" i="63" s="1"/>
  <c r="R228" i="63" s="1"/>
  <c r="R229" i="63" s="1"/>
  <c r="R230" i="63" s="1"/>
  <c r="R231" i="63" s="1"/>
  <c r="R232" i="63" s="1"/>
  <c r="R233" i="63" s="1"/>
  <c r="R234" i="63" s="1"/>
  <c r="R235" i="63" s="1"/>
  <c r="R236" i="63" s="1"/>
  <c r="R237" i="63" s="1"/>
  <c r="R238" i="63" s="1"/>
  <c r="R239" i="63" s="1"/>
  <c r="R240" i="63" s="1"/>
  <c r="R241" i="63" s="1"/>
  <c r="R242" i="63" s="1"/>
  <c r="R243" i="63" s="1"/>
  <c r="R244" i="63" s="1"/>
  <c r="R245" i="63" s="1"/>
  <c r="R246" i="63" s="1"/>
  <c r="R247" i="63" s="1"/>
  <c r="R248" i="63" s="1"/>
  <c r="R249" i="63" s="1"/>
  <c r="R250" i="63" s="1"/>
  <c r="R251" i="63" s="1"/>
  <c r="R252" i="63" s="1"/>
  <c r="R253" i="63" s="1"/>
  <c r="R254" i="63" s="1"/>
  <c r="R255" i="63" s="1"/>
  <c r="R256" i="63" s="1"/>
  <c r="R257" i="63" s="1"/>
  <c r="R258" i="63" s="1"/>
  <c r="R259" i="63" s="1"/>
  <c r="R260" i="63" s="1"/>
  <c r="R261" i="63" s="1"/>
  <c r="R262" i="63" s="1"/>
  <c r="R263" i="63" s="1"/>
  <c r="R264" i="63" s="1"/>
  <c r="R265" i="63" s="1"/>
  <c r="R266" i="63" s="1"/>
  <c r="R267" i="63" s="1"/>
  <c r="R268" i="63" s="1"/>
  <c r="R269" i="63" s="1"/>
  <c r="R270" i="63" s="1"/>
  <c r="R271" i="63" s="1"/>
  <c r="R272" i="63" s="1"/>
  <c r="R273" i="63" s="1"/>
  <c r="R274" i="63" s="1"/>
  <c r="R275" i="63" s="1"/>
  <c r="R276" i="63" s="1"/>
  <c r="R277" i="63" s="1"/>
  <c r="R278" i="63" s="1"/>
  <c r="R279" i="63" s="1"/>
  <c r="R280" i="63" s="1"/>
  <c r="R281" i="63" s="1"/>
  <c r="R282" i="63" s="1"/>
  <c r="R283" i="63" s="1"/>
  <c r="R284" i="63" s="1"/>
  <c r="R285" i="63" s="1"/>
  <c r="R286" i="63" s="1"/>
  <c r="R287" i="63" s="1"/>
  <c r="R288" i="63" s="1"/>
  <c r="R289" i="63" s="1"/>
  <c r="R290" i="63" s="1"/>
  <c r="R291" i="63" s="1"/>
  <c r="R292" i="63" s="1"/>
  <c r="R293" i="63" s="1"/>
  <c r="R294" i="63" s="1"/>
  <c r="R295" i="63" s="1"/>
  <c r="R296" i="63" s="1"/>
  <c r="R297" i="63" s="1"/>
  <c r="R298" i="63" s="1"/>
  <c r="R299" i="63" s="1"/>
  <c r="R300" i="63" s="1"/>
  <c r="R301" i="63" s="1"/>
  <c r="R302" i="63" s="1"/>
  <c r="R303" i="63" s="1"/>
  <c r="R304" i="63" s="1"/>
  <c r="R305" i="63" s="1"/>
  <c r="R306" i="63" s="1"/>
  <c r="R307" i="63" s="1"/>
  <c r="R308" i="63" s="1"/>
  <c r="O9" i="63"/>
  <c r="O10" i="63" s="1"/>
  <c r="O11" i="63" s="1"/>
  <c r="O12" i="63" s="1"/>
  <c r="O13" i="63" s="1"/>
  <c r="O14" i="63" s="1"/>
  <c r="O15" i="63" s="1"/>
  <c r="O16" i="63" s="1"/>
  <c r="O17" i="63" s="1"/>
  <c r="O18" i="63" s="1"/>
  <c r="O19" i="63" s="1"/>
  <c r="O20" i="63" s="1"/>
  <c r="O21" i="63" s="1"/>
  <c r="O22" i="63" s="1"/>
  <c r="O23" i="63" s="1"/>
  <c r="O24" i="63" s="1"/>
  <c r="O25" i="63" s="1"/>
  <c r="O26" i="63" s="1"/>
  <c r="O27" i="63" s="1"/>
  <c r="O28" i="63" s="1"/>
  <c r="O29" i="63" s="1"/>
  <c r="O30" i="63" s="1"/>
  <c r="O31" i="63" s="1"/>
  <c r="O32" i="63" s="1"/>
  <c r="O33" i="63" s="1"/>
  <c r="O34" i="63" s="1"/>
  <c r="O35" i="63" s="1"/>
  <c r="O36" i="63" s="1"/>
  <c r="O37" i="63" s="1"/>
  <c r="O38" i="63" s="1"/>
  <c r="O39" i="63" s="1"/>
  <c r="O40" i="63" s="1"/>
  <c r="O41" i="63" s="1"/>
  <c r="O42" i="63" s="1"/>
  <c r="O43" i="63" s="1"/>
  <c r="O44" i="63" s="1"/>
  <c r="O45" i="63" s="1"/>
  <c r="O46" i="63" s="1"/>
  <c r="O47" i="63" s="1"/>
  <c r="O48" i="63" s="1"/>
  <c r="O49" i="63" s="1"/>
  <c r="O50" i="63" s="1"/>
  <c r="O51" i="63" s="1"/>
  <c r="O52" i="63" s="1"/>
  <c r="O53" i="63" s="1"/>
  <c r="O54" i="63" s="1"/>
  <c r="O55" i="63" s="1"/>
  <c r="O56" i="63" s="1"/>
  <c r="O57" i="63" s="1"/>
  <c r="O58" i="63" s="1"/>
  <c r="O59" i="63" s="1"/>
  <c r="O60" i="63" s="1"/>
  <c r="O61" i="63" s="1"/>
  <c r="O62" i="63" s="1"/>
  <c r="O63" i="63" s="1"/>
  <c r="O64" i="63" s="1"/>
  <c r="O65" i="63" s="1"/>
  <c r="O66" i="63" s="1"/>
  <c r="O67" i="63" s="1"/>
  <c r="O68" i="63" s="1"/>
  <c r="O69" i="63" s="1"/>
  <c r="O70" i="63" s="1"/>
  <c r="O71" i="63" s="1"/>
  <c r="O72" i="63" s="1"/>
  <c r="O73" i="63" s="1"/>
  <c r="O74" i="63" s="1"/>
  <c r="O75" i="63" s="1"/>
  <c r="O76" i="63" s="1"/>
  <c r="O77" i="63" s="1"/>
  <c r="O78" i="63" s="1"/>
  <c r="O79" i="63" s="1"/>
  <c r="O80" i="63" s="1"/>
  <c r="O81" i="63" s="1"/>
  <c r="O82" i="63" s="1"/>
  <c r="O83" i="63" s="1"/>
  <c r="O84" i="63" s="1"/>
  <c r="O85" i="63" s="1"/>
  <c r="O86" i="63" s="1"/>
  <c r="O87" i="63" s="1"/>
  <c r="O88" i="63" s="1"/>
  <c r="O89" i="63" s="1"/>
  <c r="O90" i="63" s="1"/>
  <c r="O91" i="63" s="1"/>
  <c r="O92" i="63" s="1"/>
  <c r="O93" i="63" s="1"/>
  <c r="O94" i="63" s="1"/>
  <c r="O95" i="63" s="1"/>
  <c r="O96" i="63" s="1"/>
  <c r="O97" i="63" s="1"/>
  <c r="O98" i="63" s="1"/>
  <c r="O99" i="63" s="1"/>
  <c r="O100" i="63" s="1"/>
  <c r="O101" i="63" s="1"/>
  <c r="O102" i="63" s="1"/>
  <c r="O103" i="63" s="1"/>
  <c r="O104" i="63" s="1"/>
  <c r="O105" i="63" s="1"/>
  <c r="O106" i="63" s="1"/>
  <c r="O107" i="63" s="1"/>
  <c r="O108" i="63" s="1"/>
  <c r="O109" i="63" s="1"/>
  <c r="O110" i="63" s="1"/>
  <c r="O111" i="63" s="1"/>
  <c r="O112" i="63" s="1"/>
  <c r="O113" i="63" s="1"/>
  <c r="O114" i="63" s="1"/>
  <c r="O115" i="63" s="1"/>
  <c r="O116" i="63" s="1"/>
  <c r="O117" i="63" s="1"/>
  <c r="O118" i="63" s="1"/>
  <c r="O119" i="63" s="1"/>
  <c r="O120" i="63" s="1"/>
  <c r="O121" i="63" s="1"/>
  <c r="O122" i="63" s="1"/>
  <c r="O123" i="63" s="1"/>
  <c r="O124" i="63" s="1"/>
  <c r="O125" i="63" s="1"/>
  <c r="O126" i="63" s="1"/>
  <c r="O127" i="63" s="1"/>
  <c r="O128" i="63" s="1"/>
  <c r="O129" i="63" s="1"/>
  <c r="O130" i="63" s="1"/>
  <c r="O131" i="63" s="1"/>
  <c r="O132" i="63" s="1"/>
  <c r="O133" i="63" s="1"/>
  <c r="O134" i="63" s="1"/>
  <c r="O135" i="63" s="1"/>
  <c r="O136" i="63" s="1"/>
  <c r="O137" i="63" s="1"/>
  <c r="O138" i="63" s="1"/>
  <c r="O139" i="63" s="1"/>
  <c r="O140" i="63" s="1"/>
  <c r="O141" i="63" s="1"/>
  <c r="O142" i="63" s="1"/>
  <c r="O143" i="63" s="1"/>
  <c r="O144" i="63" s="1"/>
  <c r="O145" i="63" s="1"/>
  <c r="O146" i="63" s="1"/>
  <c r="O147" i="63" s="1"/>
  <c r="O148" i="63" s="1"/>
  <c r="O149" i="63" s="1"/>
  <c r="O150" i="63" s="1"/>
  <c r="O151" i="63" s="1"/>
  <c r="O152" i="63" s="1"/>
  <c r="O153" i="63" s="1"/>
  <c r="O154" i="63" s="1"/>
  <c r="O155" i="63" s="1"/>
  <c r="O156" i="63" s="1"/>
  <c r="O157" i="63" s="1"/>
  <c r="O158" i="63" s="1"/>
  <c r="O159" i="63" s="1"/>
  <c r="O160" i="63" s="1"/>
  <c r="O161" i="63" s="1"/>
  <c r="O162" i="63" s="1"/>
  <c r="O163" i="63" s="1"/>
  <c r="O164" i="63" s="1"/>
  <c r="O165" i="63" s="1"/>
  <c r="O166" i="63" s="1"/>
  <c r="O167" i="63" s="1"/>
  <c r="O168" i="63" s="1"/>
  <c r="O169" i="63" s="1"/>
  <c r="O170" i="63" s="1"/>
  <c r="O171" i="63" s="1"/>
  <c r="O172" i="63" s="1"/>
  <c r="O173" i="63" s="1"/>
  <c r="O174" i="63" s="1"/>
  <c r="O175" i="63" s="1"/>
  <c r="O176" i="63" s="1"/>
  <c r="O177" i="63" s="1"/>
  <c r="O178" i="63" s="1"/>
  <c r="O179" i="63" s="1"/>
  <c r="O180" i="63" s="1"/>
  <c r="O181" i="63" s="1"/>
  <c r="O182" i="63" s="1"/>
  <c r="O183" i="63" s="1"/>
  <c r="O184" i="63" s="1"/>
  <c r="O185" i="63" s="1"/>
  <c r="O186" i="63" s="1"/>
  <c r="O187" i="63" s="1"/>
  <c r="O188" i="63" s="1"/>
  <c r="O189" i="63" s="1"/>
  <c r="O190" i="63" s="1"/>
  <c r="O191" i="63" s="1"/>
  <c r="O192" i="63" s="1"/>
  <c r="O193" i="63" s="1"/>
  <c r="O194" i="63" s="1"/>
  <c r="O195" i="63" s="1"/>
  <c r="O196" i="63" s="1"/>
  <c r="O197" i="63" s="1"/>
  <c r="O198" i="63" s="1"/>
  <c r="O199" i="63" s="1"/>
  <c r="O200" i="63" s="1"/>
  <c r="O201" i="63" s="1"/>
  <c r="O202" i="63" s="1"/>
  <c r="O203" i="63" s="1"/>
  <c r="O204" i="63" s="1"/>
  <c r="O205" i="63" s="1"/>
  <c r="O206" i="63" s="1"/>
  <c r="O207" i="63" s="1"/>
  <c r="O208" i="63" s="1"/>
  <c r="O209" i="63" s="1"/>
  <c r="O210" i="63" s="1"/>
  <c r="O211" i="63" s="1"/>
  <c r="O212" i="63" s="1"/>
  <c r="O213" i="63" s="1"/>
  <c r="O214" i="63" s="1"/>
  <c r="O215" i="63" s="1"/>
  <c r="O216" i="63" s="1"/>
  <c r="O217" i="63" s="1"/>
  <c r="O218" i="63" s="1"/>
  <c r="O219" i="63" s="1"/>
  <c r="O220" i="63" s="1"/>
  <c r="O221" i="63" s="1"/>
  <c r="O222" i="63" s="1"/>
  <c r="O223" i="63" s="1"/>
  <c r="O224" i="63" s="1"/>
  <c r="O225" i="63" s="1"/>
  <c r="O226" i="63" s="1"/>
  <c r="O227" i="63" s="1"/>
  <c r="O228" i="63" s="1"/>
  <c r="O229" i="63" s="1"/>
  <c r="O230" i="63" s="1"/>
  <c r="O231" i="63" s="1"/>
  <c r="O232" i="63" s="1"/>
  <c r="O233" i="63" s="1"/>
  <c r="O234" i="63" s="1"/>
  <c r="O235" i="63" s="1"/>
  <c r="O236" i="63" s="1"/>
  <c r="O237" i="63" s="1"/>
  <c r="O238" i="63" s="1"/>
  <c r="O239" i="63" s="1"/>
  <c r="O240" i="63" s="1"/>
  <c r="O241" i="63" s="1"/>
  <c r="O242" i="63" s="1"/>
  <c r="O243" i="63" s="1"/>
  <c r="O244" i="63" s="1"/>
  <c r="O245" i="63" s="1"/>
  <c r="O246" i="63" s="1"/>
  <c r="O247" i="63" s="1"/>
  <c r="O248" i="63" s="1"/>
  <c r="O249" i="63" s="1"/>
  <c r="O250" i="63" s="1"/>
  <c r="O251" i="63" s="1"/>
  <c r="O252" i="63" s="1"/>
  <c r="O253" i="63" s="1"/>
  <c r="O254" i="63" s="1"/>
  <c r="O255" i="63" s="1"/>
  <c r="O256" i="63" s="1"/>
  <c r="O257" i="63" s="1"/>
  <c r="O258" i="63" s="1"/>
  <c r="O259" i="63" s="1"/>
  <c r="O260" i="63" s="1"/>
  <c r="O261" i="63" s="1"/>
  <c r="O262" i="63" s="1"/>
  <c r="O263" i="63" s="1"/>
  <c r="O264" i="63" s="1"/>
  <c r="O265" i="63" s="1"/>
  <c r="O266" i="63" s="1"/>
  <c r="O267" i="63" s="1"/>
  <c r="O268" i="63" s="1"/>
  <c r="O269" i="63" s="1"/>
  <c r="O270" i="63" s="1"/>
  <c r="O271" i="63" s="1"/>
  <c r="O272" i="63" s="1"/>
  <c r="O273" i="63" s="1"/>
  <c r="O274" i="63" s="1"/>
  <c r="O275" i="63" s="1"/>
  <c r="O276" i="63" s="1"/>
  <c r="O277" i="63" s="1"/>
  <c r="O278" i="63" s="1"/>
  <c r="O279" i="63" s="1"/>
  <c r="O280" i="63" s="1"/>
  <c r="O281" i="63" s="1"/>
  <c r="O282" i="63" s="1"/>
  <c r="O283" i="63" s="1"/>
  <c r="O284" i="63" s="1"/>
  <c r="O285" i="63" s="1"/>
  <c r="O286" i="63" s="1"/>
  <c r="O287" i="63" s="1"/>
  <c r="O288" i="63" s="1"/>
  <c r="O289" i="63" s="1"/>
  <c r="O290" i="63" s="1"/>
  <c r="O291" i="63" s="1"/>
  <c r="O292" i="63" s="1"/>
  <c r="O293" i="63" s="1"/>
  <c r="O294" i="63" s="1"/>
  <c r="O295" i="63" s="1"/>
  <c r="O296" i="63" s="1"/>
  <c r="O297" i="63" s="1"/>
  <c r="O298" i="63" s="1"/>
  <c r="O299" i="63" s="1"/>
  <c r="O300" i="63" s="1"/>
  <c r="O301" i="63" s="1"/>
  <c r="O302" i="63" s="1"/>
  <c r="O303" i="63" s="1"/>
  <c r="O304" i="63" s="1"/>
  <c r="O305" i="63" s="1"/>
  <c r="O306" i="63" s="1"/>
  <c r="O307" i="63" s="1"/>
  <c r="O308" i="63" s="1"/>
  <c r="M9" i="63"/>
  <c r="M10" i="63" s="1"/>
  <c r="M11" i="63" s="1"/>
  <c r="M12" i="63" s="1"/>
  <c r="M13" i="63" s="1"/>
  <c r="M14" i="63" s="1"/>
  <c r="M15" i="63" s="1"/>
  <c r="M16" i="63" s="1"/>
  <c r="M17" i="63" s="1"/>
  <c r="M18" i="63" s="1"/>
  <c r="M19" i="63" s="1"/>
  <c r="M20" i="63" s="1"/>
  <c r="M21" i="63" s="1"/>
  <c r="M22" i="63" s="1"/>
  <c r="M23" i="63" s="1"/>
  <c r="M24" i="63" s="1"/>
  <c r="M25" i="63" s="1"/>
  <c r="M26" i="63" s="1"/>
  <c r="M27" i="63" s="1"/>
  <c r="M28" i="63" s="1"/>
  <c r="M29" i="63" s="1"/>
  <c r="M30" i="63" s="1"/>
  <c r="M31" i="63" s="1"/>
  <c r="M32" i="63" s="1"/>
  <c r="M33" i="63" s="1"/>
  <c r="M34" i="63" s="1"/>
  <c r="M35" i="63" s="1"/>
  <c r="M36" i="63" s="1"/>
  <c r="M37" i="63" s="1"/>
  <c r="M38" i="63" s="1"/>
  <c r="M39" i="63" s="1"/>
  <c r="M40" i="63" s="1"/>
  <c r="M41" i="63" s="1"/>
  <c r="M42" i="63" s="1"/>
  <c r="M43" i="63" s="1"/>
  <c r="M44" i="63" s="1"/>
  <c r="M45" i="63" s="1"/>
  <c r="M46" i="63" s="1"/>
  <c r="M47" i="63" s="1"/>
  <c r="M48" i="63" s="1"/>
  <c r="M49" i="63" s="1"/>
  <c r="M50" i="63" s="1"/>
  <c r="M51" i="63" s="1"/>
  <c r="M52" i="63" s="1"/>
  <c r="M53" i="63" s="1"/>
  <c r="M54" i="63" s="1"/>
  <c r="M55" i="63" s="1"/>
  <c r="M56" i="63" s="1"/>
  <c r="M57" i="63" s="1"/>
  <c r="M58" i="63" s="1"/>
  <c r="M59" i="63" s="1"/>
  <c r="M60" i="63" s="1"/>
  <c r="M61" i="63" s="1"/>
  <c r="M62" i="63" s="1"/>
  <c r="M63" i="63" s="1"/>
  <c r="M64" i="63" s="1"/>
  <c r="M65" i="63" s="1"/>
  <c r="M66" i="63" s="1"/>
  <c r="M67" i="63" s="1"/>
  <c r="M68" i="63" s="1"/>
  <c r="M69" i="63" s="1"/>
  <c r="M70" i="63" s="1"/>
  <c r="M71" i="63" s="1"/>
  <c r="M72" i="63" s="1"/>
  <c r="M73" i="63" s="1"/>
  <c r="M74" i="63" s="1"/>
  <c r="M75" i="63" s="1"/>
  <c r="M76" i="63" s="1"/>
  <c r="M77" i="63" s="1"/>
  <c r="M78" i="63" s="1"/>
  <c r="M79" i="63" s="1"/>
  <c r="M80" i="63" s="1"/>
  <c r="M81" i="63" s="1"/>
  <c r="M82" i="63" s="1"/>
  <c r="M83" i="63" s="1"/>
  <c r="M84" i="63" s="1"/>
  <c r="M85" i="63" s="1"/>
  <c r="M86" i="63" s="1"/>
  <c r="M87" i="63" s="1"/>
  <c r="M88" i="63" s="1"/>
  <c r="M89" i="63" s="1"/>
  <c r="M90" i="63" s="1"/>
  <c r="M91" i="63" s="1"/>
  <c r="M92" i="63" s="1"/>
  <c r="M93" i="63" s="1"/>
  <c r="M94" i="63" s="1"/>
  <c r="M95" i="63" s="1"/>
  <c r="M96" i="63" s="1"/>
  <c r="M97" i="63" s="1"/>
  <c r="M98" i="63" s="1"/>
  <c r="M99" i="63" s="1"/>
  <c r="M100" i="63" s="1"/>
  <c r="M101" i="63" s="1"/>
  <c r="M102" i="63" s="1"/>
  <c r="M103" i="63" s="1"/>
  <c r="M104" i="63" s="1"/>
  <c r="M105" i="63" s="1"/>
  <c r="M106" i="63" s="1"/>
  <c r="M107" i="63" s="1"/>
  <c r="M108" i="63" s="1"/>
  <c r="M109" i="63" s="1"/>
  <c r="M110" i="63" s="1"/>
  <c r="M111" i="63" s="1"/>
  <c r="M112" i="63" s="1"/>
  <c r="M113" i="63" s="1"/>
  <c r="M114" i="63" s="1"/>
  <c r="M115" i="63" s="1"/>
  <c r="M116" i="63" s="1"/>
  <c r="M117" i="63" s="1"/>
  <c r="M118" i="63" s="1"/>
  <c r="M119" i="63" s="1"/>
  <c r="M120" i="63" s="1"/>
  <c r="M121" i="63" s="1"/>
  <c r="M122" i="63" s="1"/>
  <c r="M123" i="63" s="1"/>
  <c r="M124" i="63" s="1"/>
  <c r="M125" i="63" s="1"/>
  <c r="M126" i="63" s="1"/>
  <c r="M127" i="63" s="1"/>
  <c r="M128" i="63" s="1"/>
  <c r="M129" i="63" s="1"/>
  <c r="M130" i="63" s="1"/>
  <c r="M131" i="63" s="1"/>
  <c r="M132" i="63" s="1"/>
  <c r="M133" i="63" s="1"/>
  <c r="M134" i="63" s="1"/>
  <c r="M135" i="63" s="1"/>
  <c r="M136" i="63" s="1"/>
  <c r="M137" i="63" s="1"/>
  <c r="M138" i="63" s="1"/>
  <c r="M139" i="63" s="1"/>
  <c r="M140" i="63" s="1"/>
  <c r="M141" i="63" s="1"/>
  <c r="M142" i="63" s="1"/>
  <c r="M143" i="63" s="1"/>
  <c r="M144" i="63" s="1"/>
  <c r="M145" i="63" s="1"/>
  <c r="M146" i="63" s="1"/>
  <c r="M147" i="63" s="1"/>
  <c r="M148" i="63" s="1"/>
  <c r="M149" i="63" s="1"/>
  <c r="M150" i="63" s="1"/>
  <c r="M151" i="63" s="1"/>
  <c r="M152" i="63" s="1"/>
  <c r="M153" i="63" s="1"/>
  <c r="M154" i="63" s="1"/>
  <c r="M155" i="63" s="1"/>
  <c r="M156" i="63" s="1"/>
  <c r="M157" i="63" s="1"/>
  <c r="M158" i="63" s="1"/>
  <c r="M159" i="63" s="1"/>
  <c r="M160" i="63" s="1"/>
  <c r="M161" i="63" s="1"/>
  <c r="M162" i="63" s="1"/>
  <c r="M163" i="63" s="1"/>
  <c r="M164" i="63" s="1"/>
  <c r="M165" i="63" s="1"/>
  <c r="M166" i="63" s="1"/>
  <c r="M167" i="63" s="1"/>
  <c r="M168" i="63" s="1"/>
  <c r="M169" i="63" s="1"/>
  <c r="M170" i="63" s="1"/>
  <c r="M171" i="63" s="1"/>
  <c r="M172" i="63" s="1"/>
  <c r="M173" i="63" s="1"/>
  <c r="M174" i="63" s="1"/>
  <c r="M175" i="63" s="1"/>
  <c r="M176" i="63" s="1"/>
  <c r="M177" i="63" s="1"/>
  <c r="M178" i="63" s="1"/>
  <c r="M179" i="63" s="1"/>
  <c r="M180" i="63" s="1"/>
  <c r="M181" i="63" s="1"/>
  <c r="M182" i="63" s="1"/>
  <c r="M183" i="63" s="1"/>
  <c r="M184" i="63" s="1"/>
  <c r="M185" i="63" s="1"/>
  <c r="M186" i="63" s="1"/>
  <c r="M187" i="63" s="1"/>
  <c r="M188" i="63" s="1"/>
  <c r="M189" i="63" s="1"/>
  <c r="M190" i="63" s="1"/>
  <c r="M191" i="63" s="1"/>
  <c r="M192" i="63" s="1"/>
  <c r="M193" i="63" s="1"/>
  <c r="M194" i="63" s="1"/>
  <c r="M195" i="63" s="1"/>
  <c r="M196" i="63" s="1"/>
  <c r="M197" i="63" s="1"/>
  <c r="M198" i="63" s="1"/>
  <c r="M199" i="63" s="1"/>
  <c r="M200" i="63" s="1"/>
  <c r="M201" i="63" s="1"/>
  <c r="M202" i="63" s="1"/>
  <c r="M203" i="63" s="1"/>
  <c r="M204" i="63" s="1"/>
  <c r="M205" i="63" s="1"/>
  <c r="M206" i="63" s="1"/>
  <c r="M207" i="63" s="1"/>
  <c r="M208" i="63" s="1"/>
  <c r="M209" i="63" s="1"/>
  <c r="M210" i="63" s="1"/>
  <c r="M211" i="63" s="1"/>
  <c r="M212" i="63" s="1"/>
  <c r="M213" i="63" s="1"/>
  <c r="M214" i="63" s="1"/>
  <c r="M215" i="63" s="1"/>
  <c r="M216" i="63" s="1"/>
  <c r="M217" i="63" s="1"/>
  <c r="M218" i="63" s="1"/>
  <c r="M219" i="63" s="1"/>
  <c r="M220" i="63" s="1"/>
  <c r="M221" i="63" s="1"/>
  <c r="M222" i="63" s="1"/>
  <c r="M223" i="63" s="1"/>
  <c r="M224" i="63" s="1"/>
  <c r="M225" i="63" s="1"/>
  <c r="M226" i="63" s="1"/>
  <c r="M227" i="63" s="1"/>
  <c r="M228" i="63" s="1"/>
  <c r="M229" i="63" s="1"/>
  <c r="M230" i="63" s="1"/>
  <c r="M231" i="63" s="1"/>
  <c r="M232" i="63" s="1"/>
  <c r="M233" i="63" s="1"/>
  <c r="M234" i="63" s="1"/>
  <c r="M235" i="63" s="1"/>
  <c r="M236" i="63" s="1"/>
  <c r="M237" i="63" s="1"/>
  <c r="M238" i="63" s="1"/>
  <c r="M239" i="63" s="1"/>
  <c r="M240" i="63" s="1"/>
  <c r="M241" i="63" s="1"/>
  <c r="M242" i="63" s="1"/>
  <c r="M243" i="63" s="1"/>
  <c r="M244" i="63" s="1"/>
  <c r="M245" i="63" s="1"/>
  <c r="M246" i="63" s="1"/>
  <c r="M247" i="63" s="1"/>
  <c r="M248" i="63" s="1"/>
  <c r="M249" i="63" s="1"/>
  <c r="M250" i="63" s="1"/>
  <c r="M251" i="63" s="1"/>
  <c r="M252" i="63" s="1"/>
  <c r="M253" i="63" s="1"/>
  <c r="M254" i="63" s="1"/>
  <c r="M255" i="63" s="1"/>
  <c r="M256" i="63" s="1"/>
  <c r="M257" i="63" s="1"/>
  <c r="M258" i="63" s="1"/>
  <c r="M259" i="63" s="1"/>
  <c r="M260" i="63" s="1"/>
  <c r="M261" i="63" s="1"/>
  <c r="M262" i="63" s="1"/>
  <c r="M263" i="63" s="1"/>
  <c r="M264" i="63" s="1"/>
  <c r="M265" i="63" s="1"/>
  <c r="M266" i="63" s="1"/>
  <c r="M267" i="63" s="1"/>
  <c r="M268" i="63" s="1"/>
  <c r="M269" i="63" s="1"/>
  <c r="M270" i="63" s="1"/>
  <c r="M271" i="63" s="1"/>
  <c r="M272" i="63" s="1"/>
  <c r="M273" i="63" s="1"/>
  <c r="M274" i="63" s="1"/>
  <c r="M275" i="63" s="1"/>
  <c r="M276" i="63" s="1"/>
  <c r="M277" i="63" s="1"/>
  <c r="M278" i="63" s="1"/>
  <c r="M279" i="63" s="1"/>
  <c r="M280" i="63" s="1"/>
  <c r="M281" i="63" s="1"/>
  <c r="M282" i="63" s="1"/>
  <c r="M283" i="63" s="1"/>
  <c r="M284" i="63" s="1"/>
  <c r="M285" i="63" s="1"/>
  <c r="M286" i="63" s="1"/>
  <c r="M287" i="63" s="1"/>
  <c r="M288" i="63" s="1"/>
  <c r="M289" i="63" s="1"/>
  <c r="M290" i="63" s="1"/>
  <c r="M291" i="63" s="1"/>
  <c r="M292" i="63" s="1"/>
  <c r="M293" i="63" s="1"/>
  <c r="M294" i="63" s="1"/>
  <c r="M295" i="63" s="1"/>
  <c r="M296" i="63" s="1"/>
  <c r="M297" i="63" s="1"/>
  <c r="M298" i="63" s="1"/>
  <c r="M299" i="63" s="1"/>
  <c r="M300" i="63" s="1"/>
  <c r="M301" i="63" s="1"/>
  <c r="M302" i="63" s="1"/>
  <c r="M303" i="63" s="1"/>
  <c r="M304" i="63" s="1"/>
  <c r="M305" i="63" s="1"/>
  <c r="M306" i="63" s="1"/>
  <c r="M307" i="63" s="1"/>
  <c r="M308" i="63" s="1"/>
  <c r="K9" i="63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24" i="63" s="1"/>
  <c r="K25" i="63" s="1"/>
  <c r="K26" i="63" s="1"/>
  <c r="K27" i="63" s="1"/>
  <c r="K28" i="63" s="1"/>
  <c r="K29" i="63" s="1"/>
  <c r="K30" i="63" s="1"/>
  <c r="K31" i="63" s="1"/>
  <c r="K32" i="63" s="1"/>
  <c r="K33" i="63" s="1"/>
  <c r="K34" i="63" s="1"/>
  <c r="K35" i="63" s="1"/>
  <c r="K36" i="63" s="1"/>
  <c r="K37" i="63" s="1"/>
  <c r="K38" i="63" s="1"/>
  <c r="K39" i="63" s="1"/>
  <c r="K40" i="63" s="1"/>
  <c r="K41" i="63" s="1"/>
  <c r="K42" i="63" s="1"/>
  <c r="K43" i="63" s="1"/>
  <c r="K44" i="63" s="1"/>
  <c r="K45" i="63" s="1"/>
  <c r="K46" i="63" s="1"/>
  <c r="K47" i="63" s="1"/>
  <c r="K48" i="63" s="1"/>
  <c r="K49" i="63" s="1"/>
  <c r="K50" i="63" s="1"/>
  <c r="K51" i="63" s="1"/>
  <c r="K52" i="63" s="1"/>
  <c r="K53" i="63" s="1"/>
  <c r="K54" i="63" s="1"/>
  <c r="K55" i="63" s="1"/>
  <c r="K56" i="63" s="1"/>
  <c r="K57" i="63" s="1"/>
  <c r="K58" i="63" s="1"/>
  <c r="K59" i="63" s="1"/>
  <c r="K60" i="63" s="1"/>
  <c r="K61" i="63" s="1"/>
  <c r="K62" i="63" s="1"/>
  <c r="K63" i="63" s="1"/>
  <c r="K64" i="63" s="1"/>
  <c r="K65" i="63" s="1"/>
  <c r="K66" i="63" s="1"/>
  <c r="K67" i="63" s="1"/>
  <c r="K68" i="63" s="1"/>
  <c r="K69" i="63" s="1"/>
  <c r="K70" i="63" s="1"/>
  <c r="K71" i="63" s="1"/>
  <c r="K72" i="63" s="1"/>
  <c r="K73" i="63" s="1"/>
  <c r="K74" i="63" s="1"/>
  <c r="K75" i="63" s="1"/>
  <c r="K76" i="63" s="1"/>
  <c r="K77" i="63" s="1"/>
  <c r="K78" i="63" s="1"/>
  <c r="K79" i="63" s="1"/>
  <c r="K80" i="63" s="1"/>
  <c r="K81" i="63" s="1"/>
  <c r="K82" i="63" s="1"/>
  <c r="K83" i="63" s="1"/>
  <c r="K84" i="63" s="1"/>
  <c r="K85" i="63" s="1"/>
  <c r="K86" i="63" s="1"/>
  <c r="K87" i="63" s="1"/>
  <c r="K88" i="63" s="1"/>
  <c r="K89" i="63" s="1"/>
  <c r="K90" i="63" s="1"/>
  <c r="K91" i="63" s="1"/>
  <c r="K92" i="63" s="1"/>
  <c r="K93" i="63" s="1"/>
  <c r="K94" i="63" s="1"/>
  <c r="K95" i="63" s="1"/>
  <c r="K96" i="63" s="1"/>
  <c r="K97" i="63" s="1"/>
  <c r="K98" i="63" s="1"/>
  <c r="K99" i="63" s="1"/>
  <c r="K100" i="63" s="1"/>
  <c r="K101" i="63" s="1"/>
  <c r="K102" i="63" s="1"/>
  <c r="K103" i="63" s="1"/>
  <c r="K104" i="63" s="1"/>
  <c r="K105" i="63" s="1"/>
  <c r="K106" i="63" s="1"/>
  <c r="K107" i="63" s="1"/>
  <c r="K108" i="63" s="1"/>
  <c r="K109" i="63" s="1"/>
  <c r="K110" i="63" s="1"/>
  <c r="K111" i="63" s="1"/>
  <c r="K112" i="63" s="1"/>
  <c r="K113" i="63" s="1"/>
  <c r="K114" i="63" s="1"/>
  <c r="K115" i="63" s="1"/>
  <c r="K116" i="63" s="1"/>
  <c r="K117" i="63" s="1"/>
  <c r="K118" i="63" s="1"/>
  <c r="K119" i="63" s="1"/>
  <c r="K120" i="63" s="1"/>
  <c r="K121" i="63" s="1"/>
  <c r="K122" i="63" s="1"/>
  <c r="K123" i="63" s="1"/>
  <c r="K124" i="63" s="1"/>
  <c r="K125" i="63" s="1"/>
  <c r="K126" i="63" s="1"/>
  <c r="K127" i="63" s="1"/>
  <c r="K128" i="63" s="1"/>
  <c r="K129" i="63" s="1"/>
  <c r="K130" i="63" s="1"/>
  <c r="K131" i="63" s="1"/>
  <c r="K132" i="63" s="1"/>
  <c r="K133" i="63" s="1"/>
  <c r="K134" i="63" s="1"/>
  <c r="K135" i="63" s="1"/>
  <c r="K136" i="63" s="1"/>
  <c r="K137" i="63" s="1"/>
  <c r="K138" i="63" s="1"/>
  <c r="K139" i="63" s="1"/>
  <c r="K140" i="63" s="1"/>
  <c r="K141" i="63" s="1"/>
  <c r="K142" i="63" s="1"/>
  <c r="K143" i="63" s="1"/>
  <c r="K144" i="63" s="1"/>
  <c r="K145" i="63" s="1"/>
  <c r="K146" i="63" s="1"/>
  <c r="K147" i="63" s="1"/>
  <c r="K148" i="63" s="1"/>
  <c r="K149" i="63" s="1"/>
  <c r="K150" i="63" s="1"/>
  <c r="K151" i="63" s="1"/>
  <c r="K152" i="63" s="1"/>
  <c r="K153" i="63" s="1"/>
  <c r="K154" i="63" s="1"/>
  <c r="K155" i="63" s="1"/>
  <c r="K156" i="63" s="1"/>
  <c r="K157" i="63" s="1"/>
  <c r="K158" i="63" s="1"/>
  <c r="K159" i="63" s="1"/>
  <c r="K160" i="63" s="1"/>
  <c r="K161" i="63" s="1"/>
  <c r="K162" i="63" s="1"/>
  <c r="K163" i="63" s="1"/>
  <c r="K164" i="63" s="1"/>
  <c r="K165" i="63" s="1"/>
  <c r="K166" i="63" s="1"/>
  <c r="K167" i="63" s="1"/>
  <c r="K168" i="63" s="1"/>
  <c r="K169" i="63" s="1"/>
  <c r="K170" i="63" s="1"/>
  <c r="K171" i="63" s="1"/>
  <c r="K172" i="63" s="1"/>
  <c r="K173" i="63" s="1"/>
  <c r="K174" i="63" s="1"/>
  <c r="K175" i="63" s="1"/>
  <c r="K176" i="63" s="1"/>
  <c r="K177" i="63" s="1"/>
  <c r="K178" i="63" s="1"/>
  <c r="K179" i="63" s="1"/>
  <c r="K180" i="63" s="1"/>
  <c r="K181" i="63" s="1"/>
  <c r="K182" i="63" s="1"/>
  <c r="K183" i="63" s="1"/>
  <c r="K184" i="63" s="1"/>
  <c r="K185" i="63" s="1"/>
  <c r="K186" i="63" s="1"/>
  <c r="K187" i="63" s="1"/>
  <c r="K188" i="63" s="1"/>
  <c r="K189" i="63" s="1"/>
  <c r="K190" i="63" s="1"/>
  <c r="K191" i="63" s="1"/>
  <c r="K192" i="63" s="1"/>
  <c r="K193" i="63" s="1"/>
  <c r="K194" i="63" s="1"/>
  <c r="K195" i="63" s="1"/>
  <c r="K196" i="63" s="1"/>
  <c r="K197" i="63" s="1"/>
  <c r="K198" i="63" s="1"/>
  <c r="K199" i="63" s="1"/>
  <c r="K200" i="63" s="1"/>
  <c r="K201" i="63" s="1"/>
  <c r="K202" i="63" s="1"/>
  <c r="K203" i="63" s="1"/>
  <c r="K204" i="63" s="1"/>
  <c r="K205" i="63" s="1"/>
  <c r="K206" i="63" s="1"/>
  <c r="K207" i="63" s="1"/>
  <c r="K208" i="63" s="1"/>
  <c r="K209" i="63" s="1"/>
  <c r="K210" i="63" s="1"/>
  <c r="K211" i="63" s="1"/>
  <c r="K212" i="63" s="1"/>
  <c r="K213" i="63" s="1"/>
  <c r="K214" i="63" s="1"/>
  <c r="K215" i="63" s="1"/>
  <c r="K216" i="63" s="1"/>
  <c r="K217" i="63" s="1"/>
  <c r="K218" i="63" s="1"/>
  <c r="K219" i="63" s="1"/>
  <c r="K220" i="63" s="1"/>
  <c r="K221" i="63" s="1"/>
  <c r="K222" i="63" s="1"/>
  <c r="K223" i="63" s="1"/>
  <c r="K224" i="63" s="1"/>
  <c r="K225" i="63" s="1"/>
  <c r="K226" i="63" s="1"/>
  <c r="K227" i="63" s="1"/>
  <c r="K228" i="63" s="1"/>
  <c r="K229" i="63" s="1"/>
  <c r="K230" i="63" s="1"/>
  <c r="K231" i="63" s="1"/>
  <c r="K232" i="63" s="1"/>
  <c r="K233" i="63" s="1"/>
  <c r="K234" i="63" s="1"/>
  <c r="K235" i="63" s="1"/>
  <c r="K236" i="63" s="1"/>
  <c r="K237" i="63" s="1"/>
  <c r="K238" i="63" s="1"/>
  <c r="K239" i="63" s="1"/>
  <c r="K240" i="63" s="1"/>
  <c r="K241" i="63" s="1"/>
  <c r="K242" i="63" s="1"/>
  <c r="K243" i="63" s="1"/>
  <c r="K244" i="63" s="1"/>
  <c r="K245" i="63" s="1"/>
  <c r="K246" i="63" s="1"/>
  <c r="K247" i="63" s="1"/>
  <c r="K248" i="63" s="1"/>
  <c r="K249" i="63" s="1"/>
  <c r="K250" i="63" s="1"/>
  <c r="K251" i="63" s="1"/>
  <c r="K252" i="63" s="1"/>
  <c r="K253" i="63" s="1"/>
  <c r="K254" i="63" s="1"/>
  <c r="K255" i="63" s="1"/>
  <c r="K256" i="63" s="1"/>
  <c r="K257" i="63" s="1"/>
  <c r="K258" i="63" s="1"/>
  <c r="K259" i="63" s="1"/>
  <c r="K260" i="63" s="1"/>
  <c r="K261" i="63" s="1"/>
  <c r="K262" i="63" s="1"/>
  <c r="K263" i="63" s="1"/>
  <c r="K264" i="63" s="1"/>
  <c r="K265" i="63" s="1"/>
  <c r="K266" i="63" s="1"/>
  <c r="K267" i="63" s="1"/>
  <c r="K268" i="63" s="1"/>
  <c r="K269" i="63" s="1"/>
  <c r="K270" i="63" s="1"/>
  <c r="K271" i="63" s="1"/>
  <c r="K272" i="63" s="1"/>
  <c r="K273" i="63" s="1"/>
  <c r="K274" i="63" s="1"/>
  <c r="K275" i="63" s="1"/>
  <c r="K276" i="63" s="1"/>
  <c r="K277" i="63" s="1"/>
  <c r="K278" i="63" s="1"/>
  <c r="K279" i="63" s="1"/>
  <c r="K280" i="63" s="1"/>
  <c r="K281" i="63" s="1"/>
  <c r="K282" i="63" s="1"/>
  <c r="K283" i="63" s="1"/>
  <c r="K284" i="63" s="1"/>
  <c r="K285" i="63" s="1"/>
  <c r="K286" i="63" s="1"/>
  <c r="K287" i="63" s="1"/>
  <c r="K288" i="63" s="1"/>
  <c r="K289" i="63" s="1"/>
  <c r="K290" i="63" s="1"/>
  <c r="K291" i="63" s="1"/>
  <c r="K292" i="63" s="1"/>
  <c r="K293" i="63" s="1"/>
  <c r="K294" i="63" s="1"/>
  <c r="K295" i="63" s="1"/>
  <c r="K296" i="63" s="1"/>
  <c r="K297" i="63" s="1"/>
  <c r="K298" i="63" s="1"/>
  <c r="K299" i="63" s="1"/>
  <c r="K300" i="63" s="1"/>
  <c r="K301" i="63" s="1"/>
  <c r="K302" i="63" s="1"/>
  <c r="K303" i="63" s="1"/>
  <c r="K304" i="63" s="1"/>
  <c r="K305" i="63" s="1"/>
  <c r="K306" i="63" s="1"/>
  <c r="K307" i="63" s="1"/>
  <c r="K308" i="63" s="1"/>
  <c r="J9" i="63"/>
  <c r="J10" i="63" s="1"/>
  <c r="J11" i="63" s="1"/>
  <c r="J12" i="63" s="1"/>
  <c r="J13" i="63" s="1"/>
  <c r="J14" i="63" s="1"/>
  <c r="J15" i="63" s="1"/>
  <c r="J16" i="63" s="1"/>
  <c r="J17" i="63" s="1"/>
  <c r="J18" i="63" s="1"/>
  <c r="J19" i="63" s="1"/>
  <c r="J20" i="63" s="1"/>
  <c r="J21" i="63" s="1"/>
  <c r="J22" i="63" s="1"/>
  <c r="J23" i="63" s="1"/>
  <c r="J24" i="63" s="1"/>
  <c r="J25" i="63" s="1"/>
  <c r="J26" i="63" s="1"/>
  <c r="J27" i="63" s="1"/>
  <c r="J28" i="63" s="1"/>
  <c r="J29" i="63" s="1"/>
  <c r="J30" i="63" s="1"/>
  <c r="J31" i="63" s="1"/>
  <c r="J32" i="63" s="1"/>
  <c r="J33" i="63" s="1"/>
  <c r="J34" i="63" s="1"/>
  <c r="J35" i="63" s="1"/>
  <c r="J36" i="63" s="1"/>
  <c r="J37" i="63" s="1"/>
  <c r="J38" i="63" s="1"/>
  <c r="J39" i="63" s="1"/>
  <c r="J40" i="63" s="1"/>
  <c r="J41" i="63" s="1"/>
  <c r="J42" i="63" s="1"/>
  <c r="J43" i="63" s="1"/>
  <c r="J44" i="63" s="1"/>
  <c r="J45" i="63" s="1"/>
  <c r="J46" i="63" s="1"/>
  <c r="J47" i="63" s="1"/>
  <c r="J48" i="63" s="1"/>
  <c r="J49" i="63" s="1"/>
  <c r="J50" i="63" s="1"/>
  <c r="J51" i="63" s="1"/>
  <c r="J52" i="63" s="1"/>
  <c r="J53" i="63" s="1"/>
  <c r="J54" i="63" s="1"/>
  <c r="J55" i="63" s="1"/>
  <c r="J56" i="63" s="1"/>
  <c r="J57" i="63" s="1"/>
  <c r="J58" i="63" s="1"/>
  <c r="J59" i="63" s="1"/>
  <c r="J60" i="63" s="1"/>
  <c r="J61" i="63" s="1"/>
  <c r="J62" i="63" s="1"/>
  <c r="J63" i="63" s="1"/>
  <c r="J64" i="63" s="1"/>
  <c r="J65" i="63" s="1"/>
  <c r="J66" i="63" s="1"/>
  <c r="J67" i="63" s="1"/>
  <c r="J68" i="63" s="1"/>
  <c r="J69" i="63" s="1"/>
  <c r="J70" i="63" s="1"/>
  <c r="J71" i="63" s="1"/>
  <c r="J72" i="63" s="1"/>
  <c r="J73" i="63" s="1"/>
  <c r="J74" i="63" s="1"/>
  <c r="J75" i="63" s="1"/>
  <c r="J76" i="63" s="1"/>
  <c r="J77" i="63" s="1"/>
  <c r="J78" i="63" s="1"/>
  <c r="J79" i="63" s="1"/>
  <c r="J80" i="63" s="1"/>
  <c r="J81" i="63" s="1"/>
  <c r="J82" i="63" s="1"/>
  <c r="J83" i="63" s="1"/>
  <c r="J84" i="63" s="1"/>
  <c r="J85" i="63" s="1"/>
  <c r="J86" i="63" s="1"/>
  <c r="J87" i="63" s="1"/>
  <c r="J88" i="63" s="1"/>
  <c r="J89" i="63" s="1"/>
  <c r="J90" i="63" s="1"/>
  <c r="J91" i="63" s="1"/>
  <c r="J92" i="63" s="1"/>
  <c r="J93" i="63" s="1"/>
  <c r="J94" i="63" s="1"/>
  <c r="J95" i="63" s="1"/>
  <c r="J96" i="63" s="1"/>
  <c r="J97" i="63" s="1"/>
  <c r="J98" i="63" s="1"/>
  <c r="J99" i="63" s="1"/>
  <c r="J100" i="63" s="1"/>
  <c r="J101" i="63" s="1"/>
  <c r="J102" i="63" s="1"/>
  <c r="J103" i="63" s="1"/>
  <c r="J104" i="63" s="1"/>
  <c r="J105" i="63" s="1"/>
  <c r="J106" i="63" s="1"/>
  <c r="J107" i="63" s="1"/>
  <c r="J108" i="63" s="1"/>
  <c r="J109" i="63" s="1"/>
  <c r="J110" i="63" s="1"/>
  <c r="J111" i="63" s="1"/>
  <c r="J112" i="63" s="1"/>
  <c r="J113" i="63" s="1"/>
  <c r="J114" i="63" s="1"/>
  <c r="J115" i="63" s="1"/>
  <c r="J116" i="63" s="1"/>
  <c r="J117" i="63" s="1"/>
  <c r="J118" i="63" s="1"/>
  <c r="J119" i="63" s="1"/>
  <c r="J120" i="63" s="1"/>
  <c r="J121" i="63" s="1"/>
  <c r="J122" i="63" s="1"/>
  <c r="J123" i="63" s="1"/>
  <c r="J124" i="63" s="1"/>
  <c r="J125" i="63" s="1"/>
  <c r="J126" i="63" s="1"/>
  <c r="J127" i="63" s="1"/>
  <c r="J128" i="63" s="1"/>
  <c r="J129" i="63" s="1"/>
  <c r="J130" i="63" s="1"/>
  <c r="J131" i="63" s="1"/>
  <c r="J132" i="63" s="1"/>
  <c r="J133" i="63" s="1"/>
  <c r="J134" i="63" s="1"/>
  <c r="J135" i="63" s="1"/>
  <c r="J136" i="63" s="1"/>
  <c r="J137" i="63" s="1"/>
  <c r="J138" i="63" s="1"/>
  <c r="J139" i="63" s="1"/>
  <c r="J140" i="63" s="1"/>
  <c r="J141" i="63" s="1"/>
  <c r="J142" i="63" s="1"/>
  <c r="J143" i="63" s="1"/>
  <c r="J144" i="63" s="1"/>
  <c r="J145" i="63" s="1"/>
  <c r="J146" i="63" s="1"/>
  <c r="J147" i="63" s="1"/>
  <c r="J148" i="63" s="1"/>
  <c r="J149" i="63" s="1"/>
  <c r="J150" i="63" s="1"/>
  <c r="J151" i="63" s="1"/>
  <c r="J152" i="63" s="1"/>
  <c r="J153" i="63" s="1"/>
  <c r="J154" i="63" s="1"/>
  <c r="J155" i="63" s="1"/>
  <c r="J156" i="63" s="1"/>
  <c r="J157" i="63" s="1"/>
  <c r="J158" i="63" s="1"/>
  <c r="J159" i="63" s="1"/>
  <c r="J160" i="63" s="1"/>
  <c r="J161" i="63" s="1"/>
  <c r="J162" i="63" s="1"/>
  <c r="J163" i="63" s="1"/>
  <c r="J164" i="63" s="1"/>
  <c r="J165" i="63" s="1"/>
  <c r="J166" i="63" s="1"/>
  <c r="J167" i="63" s="1"/>
  <c r="J168" i="63" s="1"/>
  <c r="J169" i="63" s="1"/>
  <c r="J170" i="63" s="1"/>
  <c r="J171" i="63" s="1"/>
  <c r="J172" i="63" s="1"/>
  <c r="J173" i="63" s="1"/>
  <c r="J174" i="63" s="1"/>
  <c r="J175" i="63" s="1"/>
  <c r="J176" i="63" s="1"/>
  <c r="J177" i="63" s="1"/>
  <c r="J178" i="63" s="1"/>
  <c r="J179" i="63" s="1"/>
  <c r="J180" i="63" s="1"/>
  <c r="J181" i="63" s="1"/>
  <c r="J182" i="63" s="1"/>
  <c r="J183" i="63" s="1"/>
  <c r="J184" i="63" s="1"/>
  <c r="J185" i="63" s="1"/>
  <c r="J186" i="63" s="1"/>
  <c r="J187" i="63" s="1"/>
  <c r="J188" i="63" s="1"/>
  <c r="J189" i="63" s="1"/>
  <c r="J190" i="63" s="1"/>
  <c r="J191" i="63" s="1"/>
  <c r="J192" i="63" s="1"/>
  <c r="J193" i="63" s="1"/>
  <c r="J194" i="63" s="1"/>
  <c r="J195" i="63" s="1"/>
  <c r="J196" i="63" s="1"/>
  <c r="J197" i="63" s="1"/>
  <c r="J198" i="63" s="1"/>
  <c r="J199" i="63" s="1"/>
  <c r="J200" i="63" s="1"/>
  <c r="J201" i="63" s="1"/>
  <c r="J202" i="63" s="1"/>
  <c r="J203" i="63" s="1"/>
  <c r="J204" i="63" s="1"/>
  <c r="J205" i="63" s="1"/>
  <c r="J206" i="63" s="1"/>
  <c r="J207" i="63" s="1"/>
  <c r="J208" i="63" s="1"/>
  <c r="J209" i="63" s="1"/>
  <c r="J210" i="63" s="1"/>
  <c r="J211" i="63" s="1"/>
  <c r="J212" i="63" s="1"/>
  <c r="J213" i="63" s="1"/>
  <c r="J214" i="63" s="1"/>
  <c r="J215" i="63" s="1"/>
  <c r="J216" i="63" s="1"/>
  <c r="J217" i="63" s="1"/>
  <c r="J218" i="63" s="1"/>
  <c r="J219" i="63" s="1"/>
  <c r="J220" i="63" s="1"/>
  <c r="J221" i="63" s="1"/>
  <c r="J222" i="63" s="1"/>
  <c r="J223" i="63" s="1"/>
  <c r="J224" i="63" s="1"/>
  <c r="J225" i="63" s="1"/>
  <c r="J226" i="63" s="1"/>
  <c r="J227" i="63" s="1"/>
  <c r="J228" i="63" s="1"/>
  <c r="J229" i="63" s="1"/>
  <c r="J230" i="63" s="1"/>
  <c r="J231" i="63" s="1"/>
  <c r="J232" i="63" s="1"/>
  <c r="J233" i="63" s="1"/>
  <c r="J234" i="63" s="1"/>
  <c r="J235" i="63" s="1"/>
  <c r="J236" i="63" s="1"/>
  <c r="J237" i="63" s="1"/>
  <c r="J238" i="63" s="1"/>
  <c r="J239" i="63" s="1"/>
  <c r="J240" i="63" s="1"/>
  <c r="J241" i="63" s="1"/>
  <c r="J242" i="63" s="1"/>
  <c r="J243" i="63" s="1"/>
  <c r="J244" i="63" s="1"/>
  <c r="J245" i="63" s="1"/>
  <c r="J246" i="63" s="1"/>
  <c r="J247" i="63" s="1"/>
  <c r="J248" i="63" s="1"/>
  <c r="J249" i="63" s="1"/>
  <c r="J250" i="63" s="1"/>
  <c r="J251" i="63" s="1"/>
  <c r="J252" i="63" s="1"/>
  <c r="J253" i="63" s="1"/>
  <c r="J254" i="63" s="1"/>
  <c r="J255" i="63" s="1"/>
  <c r="J256" i="63" s="1"/>
  <c r="J257" i="63" s="1"/>
  <c r="J258" i="63" s="1"/>
  <c r="J259" i="63" s="1"/>
  <c r="J260" i="63" s="1"/>
  <c r="J261" i="63" s="1"/>
  <c r="J262" i="63" s="1"/>
  <c r="J263" i="63" s="1"/>
  <c r="J264" i="63" s="1"/>
  <c r="J265" i="63" s="1"/>
  <c r="J266" i="63" s="1"/>
  <c r="J267" i="63" s="1"/>
  <c r="J268" i="63" s="1"/>
  <c r="J269" i="63" s="1"/>
  <c r="J270" i="63" s="1"/>
  <c r="J271" i="63" s="1"/>
  <c r="J272" i="63" s="1"/>
  <c r="J273" i="63" s="1"/>
  <c r="J274" i="63" s="1"/>
  <c r="J275" i="63" s="1"/>
  <c r="J276" i="63" s="1"/>
  <c r="J277" i="63" s="1"/>
  <c r="J278" i="63" s="1"/>
  <c r="J279" i="63" s="1"/>
  <c r="J280" i="63" s="1"/>
  <c r="J281" i="63" s="1"/>
  <c r="J282" i="63" s="1"/>
  <c r="J283" i="63" s="1"/>
  <c r="J284" i="63" s="1"/>
  <c r="J285" i="63" s="1"/>
  <c r="J286" i="63" s="1"/>
  <c r="J287" i="63" s="1"/>
  <c r="J288" i="63" s="1"/>
  <c r="J289" i="63" s="1"/>
  <c r="J290" i="63" s="1"/>
  <c r="J291" i="63" s="1"/>
  <c r="J292" i="63" s="1"/>
  <c r="J293" i="63" s="1"/>
  <c r="J294" i="63" s="1"/>
  <c r="J295" i="63" s="1"/>
  <c r="J296" i="63" s="1"/>
  <c r="J297" i="63" s="1"/>
  <c r="J298" i="63" s="1"/>
  <c r="J299" i="63" s="1"/>
  <c r="J300" i="63" s="1"/>
  <c r="J301" i="63" s="1"/>
  <c r="J302" i="63" s="1"/>
  <c r="J303" i="63" s="1"/>
  <c r="J304" i="63" s="1"/>
  <c r="J305" i="63" s="1"/>
  <c r="J306" i="63" s="1"/>
  <c r="J307" i="63" s="1"/>
  <c r="J308" i="63" s="1"/>
  <c r="G9" i="63"/>
  <c r="G10" i="63" s="1"/>
  <c r="G11" i="63" s="1"/>
  <c r="G12" i="63" s="1"/>
  <c r="G13" i="63" s="1"/>
  <c r="G14" i="63" s="1"/>
  <c r="G15" i="63" s="1"/>
  <c r="G16" i="63" s="1"/>
  <c r="G17" i="63" s="1"/>
  <c r="G18" i="63" s="1"/>
  <c r="G19" i="63" s="1"/>
  <c r="G20" i="63" s="1"/>
  <c r="G21" i="63" s="1"/>
  <c r="G22" i="63" s="1"/>
  <c r="G23" i="63" s="1"/>
  <c r="G24" i="63" s="1"/>
  <c r="G25" i="63" s="1"/>
  <c r="G26" i="63" s="1"/>
  <c r="G27" i="63" s="1"/>
  <c r="G28" i="63" s="1"/>
  <c r="G29" i="63" s="1"/>
  <c r="G30" i="63" s="1"/>
  <c r="G31" i="63" s="1"/>
  <c r="G32" i="63" s="1"/>
  <c r="G33" i="63" s="1"/>
  <c r="G34" i="63" s="1"/>
  <c r="G35" i="63" s="1"/>
  <c r="G36" i="63" s="1"/>
  <c r="G37" i="63" s="1"/>
  <c r="G38" i="63" s="1"/>
  <c r="G39" i="63" s="1"/>
  <c r="G40" i="63" s="1"/>
  <c r="G41" i="63" s="1"/>
  <c r="G42" i="63" s="1"/>
  <c r="G43" i="63" s="1"/>
  <c r="G44" i="63" s="1"/>
  <c r="G45" i="63" s="1"/>
  <c r="G46" i="63" s="1"/>
  <c r="G47" i="63" s="1"/>
  <c r="G48" i="63" s="1"/>
  <c r="G49" i="63" s="1"/>
  <c r="G50" i="63" s="1"/>
  <c r="G51" i="63" s="1"/>
  <c r="G52" i="63" s="1"/>
  <c r="G53" i="63" s="1"/>
  <c r="G54" i="63" s="1"/>
  <c r="G55" i="63" s="1"/>
  <c r="G56" i="63" s="1"/>
  <c r="G57" i="63" s="1"/>
  <c r="G58" i="63" s="1"/>
  <c r="G59" i="63" s="1"/>
  <c r="G60" i="63" s="1"/>
  <c r="G61" i="63" s="1"/>
  <c r="G62" i="63" s="1"/>
  <c r="G63" i="63" s="1"/>
  <c r="G64" i="63" s="1"/>
  <c r="G65" i="63" s="1"/>
  <c r="G66" i="63" s="1"/>
  <c r="G67" i="63" s="1"/>
  <c r="G68" i="63" s="1"/>
  <c r="G69" i="63" s="1"/>
  <c r="G70" i="63" s="1"/>
  <c r="G71" i="63" s="1"/>
  <c r="G72" i="63" s="1"/>
  <c r="G73" i="63" s="1"/>
  <c r="G74" i="63" s="1"/>
  <c r="G75" i="63" s="1"/>
  <c r="G76" i="63" s="1"/>
  <c r="G77" i="63" s="1"/>
  <c r="G78" i="63" s="1"/>
  <c r="G79" i="63" s="1"/>
  <c r="G80" i="63" s="1"/>
  <c r="G81" i="63" s="1"/>
  <c r="G82" i="63" s="1"/>
  <c r="G83" i="63" s="1"/>
  <c r="G84" i="63" s="1"/>
  <c r="G85" i="63" s="1"/>
  <c r="G86" i="63" s="1"/>
  <c r="G87" i="63" s="1"/>
  <c r="G88" i="63" s="1"/>
  <c r="G89" i="63" s="1"/>
  <c r="G90" i="63" s="1"/>
  <c r="G91" i="63" s="1"/>
  <c r="G92" i="63" s="1"/>
  <c r="G93" i="63" s="1"/>
  <c r="G94" i="63" s="1"/>
  <c r="G95" i="63" s="1"/>
  <c r="G96" i="63" s="1"/>
  <c r="G97" i="63" s="1"/>
  <c r="G98" i="63" s="1"/>
  <c r="G99" i="63" s="1"/>
  <c r="G100" i="63" s="1"/>
  <c r="G101" i="63" s="1"/>
  <c r="G102" i="63" s="1"/>
  <c r="G103" i="63" s="1"/>
  <c r="G104" i="63" s="1"/>
  <c r="G105" i="63" s="1"/>
  <c r="G106" i="63" s="1"/>
  <c r="G107" i="63" s="1"/>
  <c r="G108" i="63" s="1"/>
  <c r="G109" i="63" s="1"/>
  <c r="G110" i="63" s="1"/>
  <c r="G111" i="63" s="1"/>
  <c r="G112" i="63" s="1"/>
  <c r="G113" i="63" s="1"/>
  <c r="G114" i="63" s="1"/>
  <c r="G115" i="63" s="1"/>
  <c r="G116" i="63" s="1"/>
  <c r="G117" i="63" s="1"/>
  <c r="G118" i="63" s="1"/>
  <c r="G119" i="63" s="1"/>
  <c r="G120" i="63" s="1"/>
  <c r="G121" i="63" s="1"/>
  <c r="G122" i="63" s="1"/>
  <c r="G123" i="63" s="1"/>
  <c r="G124" i="63" s="1"/>
  <c r="G125" i="63" s="1"/>
  <c r="G126" i="63" s="1"/>
  <c r="G127" i="63" s="1"/>
  <c r="G128" i="63" s="1"/>
  <c r="G129" i="63" s="1"/>
  <c r="G130" i="63" s="1"/>
  <c r="G131" i="63" s="1"/>
  <c r="G132" i="63" s="1"/>
  <c r="G133" i="63" s="1"/>
  <c r="G134" i="63" s="1"/>
  <c r="G135" i="63" s="1"/>
  <c r="G136" i="63" s="1"/>
  <c r="G137" i="63" s="1"/>
  <c r="G138" i="63" s="1"/>
  <c r="G139" i="63" s="1"/>
  <c r="G140" i="63" s="1"/>
  <c r="G141" i="63" s="1"/>
  <c r="G142" i="63" s="1"/>
  <c r="G143" i="63" s="1"/>
  <c r="G144" i="63" s="1"/>
  <c r="G145" i="63" s="1"/>
  <c r="G146" i="63" s="1"/>
  <c r="G147" i="63" s="1"/>
  <c r="G148" i="63" s="1"/>
  <c r="G149" i="63" s="1"/>
  <c r="G150" i="63" s="1"/>
  <c r="G151" i="63" s="1"/>
  <c r="G152" i="63" s="1"/>
  <c r="G153" i="63" s="1"/>
  <c r="G154" i="63" s="1"/>
  <c r="G155" i="63" s="1"/>
  <c r="G156" i="63" s="1"/>
  <c r="G157" i="63" s="1"/>
  <c r="G158" i="63" s="1"/>
  <c r="G159" i="63" s="1"/>
  <c r="G160" i="63" s="1"/>
  <c r="G161" i="63" s="1"/>
  <c r="G162" i="63" s="1"/>
  <c r="G163" i="63" s="1"/>
  <c r="G164" i="63" s="1"/>
  <c r="G165" i="63" s="1"/>
  <c r="G166" i="63" s="1"/>
  <c r="G167" i="63" s="1"/>
  <c r="G168" i="63" s="1"/>
  <c r="G169" i="63" s="1"/>
  <c r="G170" i="63" s="1"/>
  <c r="G171" i="63" s="1"/>
  <c r="G172" i="63" s="1"/>
  <c r="G173" i="63" s="1"/>
  <c r="G174" i="63" s="1"/>
  <c r="G175" i="63" s="1"/>
  <c r="G176" i="63" s="1"/>
  <c r="G177" i="63" s="1"/>
  <c r="G178" i="63" s="1"/>
  <c r="G179" i="63" s="1"/>
  <c r="G180" i="63" s="1"/>
  <c r="G181" i="63" s="1"/>
  <c r="G182" i="63" s="1"/>
  <c r="G183" i="63" s="1"/>
  <c r="G184" i="63" s="1"/>
  <c r="G185" i="63" s="1"/>
  <c r="G186" i="63" s="1"/>
  <c r="G187" i="63" s="1"/>
  <c r="G188" i="63" s="1"/>
  <c r="G189" i="63" s="1"/>
  <c r="G190" i="63" s="1"/>
  <c r="G191" i="63" s="1"/>
  <c r="G192" i="63" s="1"/>
  <c r="G193" i="63" s="1"/>
  <c r="G194" i="63" s="1"/>
  <c r="G195" i="63" s="1"/>
  <c r="G196" i="63" s="1"/>
  <c r="G197" i="63" s="1"/>
  <c r="G198" i="63" s="1"/>
  <c r="G199" i="63" s="1"/>
  <c r="G200" i="63" s="1"/>
  <c r="G201" i="63" s="1"/>
  <c r="G202" i="63" s="1"/>
  <c r="G203" i="63" s="1"/>
  <c r="G204" i="63" s="1"/>
  <c r="G205" i="63" s="1"/>
  <c r="G206" i="63" s="1"/>
  <c r="G207" i="63" s="1"/>
  <c r="G208" i="63" s="1"/>
  <c r="G209" i="63" s="1"/>
  <c r="G210" i="63" s="1"/>
  <c r="G211" i="63" s="1"/>
  <c r="G212" i="63" s="1"/>
  <c r="G213" i="63" s="1"/>
  <c r="G214" i="63" s="1"/>
  <c r="G215" i="63" s="1"/>
  <c r="G216" i="63" s="1"/>
  <c r="G217" i="63" s="1"/>
  <c r="G218" i="63" s="1"/>
  <c r="G219" i="63" s="1"/>
  <c r="G220" i="63" s="1"/>
  <c r="G221" i="63" s="1"/>
  <c r="G222" i="63" s="1"/>
  <c r="G223" i="63" s="1"/>
  <c r="G224" i="63" s="1"/>
  <c r="G225" i="63" s="1"/>
  <c r="G226" i="63" s="1"/>
  <c r="G227" i="63" s="1"/>
  <c r="G228" i="63" s="1"/>
  <c r="G229" i="63" s="1"/>
  <c r="G230" i="63" s="1"/>
  <c r="G231" i="63" s="1"/>
  <c r="G232" i="63" s="1"/>
  <c r="G233" i="63" s="1"/>
  <c r="G234" i="63" s="1"/>
  <c r="G235" i="63" s="1"/>
  <c r="G236" i="63" s="1"/>
  <c r="G237" i="63" s="1"/>
  <c r="G238" i="63" s="1"/>
  <c r="G239" i="63" s="1"/>
  <c r="G240" i="63" s="1"/>
  <c r="G241" i="63" s="1"/>
  <c r="G242" i="63" s="1"/>
  <c r="G243" i="63" s="1"/>
  <c r="G244" i="63" s="1"/>
  <c r="G245" i="63" s="1"/>
  <c r="G246" i="63" s="1"/>
  <c r="G247" i="63" s="1"/>
  <c r="G248" i="63" s="1"/>
  <c r="G249" i="63" s="1"/>
  <c r="G250" i="63" s="1"/>
  <c r="G251" i="63" s="1"/>
  <c r="G252" i="63" s="1"/>
  <c r="G253" i="63" s="1"/>
  <c r="G254" i="63" s="1"/>
  <c r="G255" i="63" s="1"/>
  <c r="G256" i="63" s="1"/>
  <c r="G257" i="63" s="1"/>
  <c r="G258" i="63" s="1"/>
  <c r="G259" i="63" s="1"/>
  <c r="G260" i="63" s="1"/>
  <c r="G261" i="63" s="1"/>
  <c r="G262" i="63" s="1"/>
  <c r="G263" i="63" s="1"/>
  <c r="G264" i="63" s="1"/>
  <c r="G265" i="63" s="1"/>
  <c r="G266" i="63" s="1"/>
  <c r="G267" i="63" s="1"/>
  <c r="G268" i="63" s="1"/>
  <c r="G269" i="63" s="1"/>
  <c r="G270" i="63" s="1"/>
  <c r="G271" i="63" s="1"/>
  <c r="G272" i="63" s="1"/>
  <c r="G273" i="63" s="1"/>
  <c r="G274" i="63" s="1"/>
  <c r="G275" i="63" s="1"/>
  <c r="G276" i="63" s="1"/>
  <c r="G277" i="63" s="1"/>
  <c r="G278" i="63" s="1"/>
  <c r="G279" i="63" s="1"/>
  <c r="G280" i="63" s="1"/>
  <c r="G281" i="63" s="1"/>
  <c r="G282" i="63" s="1"/>
  <c r="G283" i="63" s="1"/>
  <c r="G284" i="63" s="1"/>
  <c r="G285" i="63" s="1"/>
  <c r="G286" i="63" s="1"/>
  <c r="G287" i="63" s="1"/>
  <c r="G288" i="63" s="1"/>
  <c r="G289" i="63" s="1"/>
  <c r="G290" i="63" s="1"/>
  <c r="G291" i="63" s="1"/>
  <c r="G292" i="63" s="1"/>
  <c r="G293" i="63" s="1"/>
  <c r="G294" i="63" s="1"/>
  <c r="G295" i="63" s="1"/>
  <c r="G296" i="63" s="1"/>
  <c r="G297" i="63" s="1"/>
  <c r="G298" i="63" s="1"/>
  <c r="G299" i="63" s="1"/>
  <c r="G300" i="63" s="1"/>
  <c r="G301" i="63" s="1"/>
  <c r="G302" i="63" s="1"/>
  <c r="G303" i="63" s="1"/>
  <c r="G304" i="63" s="1"/>
  <c r="G305" i="63" s="1"/>
  <c r="G306" i="63" s="1"/>
  <c r="G307" i="63" s="1"/>
  <c r="G308" i="63" s="1"/>
  <c r="E9" i="63"/>
  <c r="E10" i="63" s="1"/>
  <c r="E11" i="63" s="1"/>
  <c r="E12" i="63" s="1"/>
  <c r="E13" i="63" s="1"/>
  <c r="E14" i="63" s="1"/>
  <c r="E15" i="63" s="1"/>
  <c r="E16" i="63" s="1"/>
  <c r="E17" i="63" s="1"/>
  <c r="E18" i="63" s="1"/>
  <c r="E19" i="63" s="1"/>
  <c r="E20" i="63" s="1"/>
  <c r="E21" i="63" s="1"/>
  <c r="E22" i="63" s="1"/>
  <c r="E23" i="63" s="1"/>
  <c r="E24" i="63" s="1"/>
  <c r="E25" i="63" s="1"/>
  <c r="E26" i="63" s="1"/>
  <c r="E27" i="63" s="1"/>
  <c r="E28" i="63" s="1"/>
  <c r="E29" i="63" s="1"/>
  <c r="E30" i="63" s="1"/>
  <c r="E31" i="63" s="1"/>
  <c r="E32" i="63" s="1"/>
  <c r="E33" i="63" s="1"/>
  <c r="E34" i="63" s="1"/>
  <c r="E35" i="63" s="1"/>
  <c r="E36" i="63" s="1"/>
  <c r="E37" i="63" s="1"/>
  <c r="E38" i="63" s="1"/>
  <c r="E39" i="63" s="1"/>
  <c r="E40" i="63" s="1"/>
  <c r="E41" i="63" s="1"/>
  <c r="E42" i="63" s="1"/>
  <c r="E43" i="63" s="1"/>
  <c r="E44" i="63" s="1"/>
  <c r="E45" i="63" s="1"/>
  <c r="E46" i="63" s="1"/>
  <c r="E47" i="63" s="1"/>
  <c r="E48" i="63" s="1"/>
  <c r="E49" i="63" s="1"/>
  <c r="E50" i="63" s="1"/>
  <c r="E51" i="63" s="1"/>
  <c r="E52" i="63" s="1"/>
  <c r="E53" i="63" s="1"/>
  <c r="E54" i="63" s="1"/>
  <c r="E55" i="63" s="1"/>
  <c r="E56" i="63" s="1"/>
  <c r="E57" i="63" s="1"/>
  <c r="E58" i="63" s="1"/>
  <c r="E59" i="63" s="1"/>
  <c r="E60" i="63" s="1"/>
  <c r="E61" i="63" s="1"/>
  <c r="E62" i="63" s="1"/>
  <c r="E63" i="63" s="1"/>
  <c r="E64" i="63" s="1"/>
  <c r="E65" i="63" s="1"/>
  <c r="E66" i="63" s="1"/>
  <c r="E67" i="63" s="1"/>
  <c r="E68" i="63" s="1"/>
  <c r="E69" i="63" s="1"/>
  <c r="E70" i="63" s="1"/>
  <c r="E71" i="63" s="1"/>
  <c r="E72" i="63" s="1"/>
  <c r="E73" i="63" s="1"/>
  <c r="E74" i="63" s="1"/>
  <c r="E75" i="63" s="1"/>
  <c r="E76" i="63" s="1"/>
  <c r="E77" i="63" s="1"/>
  <c r="E78" i="63" s="1"/>
  <c r="E79" i="63" s="1"/>
  <c r="E80" i="63" s="1"/>
  <c r="E81" i="63" s="1"/>
  <c r="E82" i="63" s="1"/>
  <c r="E83" i="63" s="1"/>
  <c r="E84" i="63" s="1"/>
  <c r="E85" i="63" s="1"/>
  <c r="E86" i="63" s="1"/>
  <c r="E87" i="63" s="1"/>
  <c r="E88" i="63" s="1"/>
  <c r="E89" i="63" s="1"/>
  <c r="E90" i="63" s="1"/>
  <c r="E91" i="63" s="1"/>
  <c r="E92" i="63" s="1"/>
  <c r="E93" i="63" s="1"/>
  <c r="E94" i="63" s="1"/>
  <c r="E95" i="63" s="1"/>
  <c r="E96" i="63" s="1"/>
  <c r="E97" i="63" s="1"/>
  <c r="E98" i="63" s="1"/>
  <c r="E99" i="63" s="1"/>
  <c r="E100" i="63" s="1"/>
  <c r="E101" i="63" s="1"/>
  <c r="E102" i="63" s="1"/>
  <c r="E103" i="63" s="1"/>
  <c r="E104" i="63" s="1"/>
  <c r="E105" i="63" s="1"/>
  <c r="E106" i="63" s="1"/>
  <c r="E107" i="63" s="1"/>
  <c r="E108" i="63" s="1"/>
  <c r="E109" i="63" s="1"/>
  <c r="E110" i="63" s="1"/>
  <c r="E111" i="63" s="1"/>
  <c r="E112" i="63" s="1"/>
  <c r="E113" i="63" s="1"/>
  <c r="E114" i="63" s="1"/>
  <c r="E115" i="63" s="1"/>
  <c r="E116" i="63" s="1"/>
  <c r="E117" i="63" s="1"/>
  <c r="E118" i="63" s="1"/>
  <c r="E119" i="63" s="1"/>
  <c r="E120" i="63" s="1"/>
  <c r="E121" i="63" s="1"/>
  <c r="E122" i="63" s="1"/>
  <c r="E123" i="63" s="1"/>
  <c r="E124" i="63" s="1"/>
  <c r="E125" i="63" s="1"/>
  <c r="E126" i="63" s="1"/>
  <c r="E127" i="63" s="1"/>
  <c r="E128" i="63" s="1"/>
  <c r="E129" i="63" s="1"/>
  <c r="E130" i="63" s="1"/>
  <c r="E131" i="63" s="1"/>
  <c r="E132" i="63" s="1"/>
  <c r="E133" i="63" s="1"/>
  <c r="E134" i="63" s="1"/>
  <c r="E135" i="63" s="1"/>
  <c r="E136" i="63" s="1"/>
  <c r="E137" i="63" s="1"/>
  <c r="E138" i="63" s="1"/>
  <c r="E139" i="63" s="1"/>
  <c r="E140" i="63" s="1"/>
  <c r="E141" i="63" s="1"/>
  <c r="E142" i="63" s="1"/>
  <c r="E143" i="63" s="1"/>
  <c r="E144" i="63" s="1"/>
  <c r="E145" i="63" s="1"/>
  <c r="E146" i="63" s="1"/>
  <c r="E147" i="63" s="1"/>
  <c r="E148" i="63" s="1"/>
  <c r="E149" i="63" s="1"/>
  <c r="E150" i="63" s="1"/>
  <c r="E151" i="63" s="1"/>
  <c r="E152" i="63" s="1"/>
  <c r="E153" i="63" s="1"/>
  <c r="E154" i="63" s="1"/>
  <c r="E155" i="63" s="1"/>
  <c r="E156" i="63" s="1"/>
  <c r="E157" i="63" s="1"/>
  <c r="E158" i="63" s="1"/>
  <c r="E159" i="63" s="1"/>
  <c r="E160" i="63" s="1"/>
  <c r="E161" i="63" s="1"/>
  <c r="E162" i="63" s="1"/>
  <c r="E163" i="63" s="1"/>
  <c r="E164" i="63" s="1"/>
  <c r="E165" i="63" s="1"/>
  <c r="E166" i="63" s="1"/>
  <c r="E167" i="63" s="1"/>
  <c r="E168" i="63" s="1"/>
  <c r="E169" i="63" s="1"/>
  <c r="E170" i="63" s="1"/>
  <c r="E171" i="63" s="1"/>
  <c r="E172" i="63" s="1"/>
  <c r="E173" i="63" s="1"/>
  <c r="E174" i="63" s="1"/>
  <c r="E175" i="63" s="1"/>
  <c r="E176" i="63" s="1"/>
  <c r="E177" i="63" s="1"/>
  <c r="E178" i="63" s="1"/>
  <c r="E179" i="63" s="1"/>
  <c r="E180" i="63" s="1"/>
  <c r="E181" i="63" s="1"/>
  <c r="E182" i="63" s="1"/>
  <c r="E183" i="63" s="1"/>
  <c r="E184" i="63" s="1"/>
  <c r="E185" i="63" s="1"/>
  <c r="E186" i="63" s="1"/>
  <c r="E187" i="63" s="1"/>
  <c r="E188" i="63" s="1"/>
  <c r="E189" i="63" s="1"/>
  <c r="E190" i="63" s="1"/>
  <c r="E191" i="63" s="1"/>
  <c r="E192" i="63" s="1"/>
  <c r="E193" i="63" s="1"/>
  <c r="E194" i="63" s="1"/>
  <c r="E195" i="63" s="1"/>
  <c r="E196" i="63" s="1"/>
  <c r="E197" i="63" s="1"/>
  <c r="E198" i="63" s="1"/>
  <c r="E199" i="63" s="1"/>
  <c r="E200" i="63" s="1"/>
  <c r="E201" i="63" s="1"/>
  <c r="E202" i="63" s="1"/>
  <c r="E203" i="63" s="1"/>
  <c r="E204" i="63" s="1"/>
  <c r="E205" i="63" s="1"/>
  <c r="E206" i="63" s="1"/>
  <c r="E207" i="63" s="1"/>
  <c r="E208" i="63" s="1"/>
  <c r="E209" i="63" s="1"/>
  <c r="E210" i="63" s="1"/>
  <c r="E211" i="63" s="1"/>
  <c r="E212" i="63" s="1"/>
  <c r="E213" i="63" s="1"/>
  <c r="E214" i="63" s="1"/>
  <c r="E215" i="63" s="1"/>
  <c r="E216" i="63" s="1"/>
  <c r="E217" i="63" s="1"/>
  <c r="E218" i="63" s="1"/>
  <c r="E219" i="63" s="1"/>
  <c r="E220" i="63" s="1"/>
  <c r="E221" i="63" s="1"/>
  <c r="E222" i="63" s="1"/>
  <c r="E223" i="63" s="1"/>
  <c r="E224" i="63" s="1"/>
  <c r="E225" i="63" s="1"/>
  <c r="E226" i="63" s="1"/>
  <c r="E227" i="63" s="1"/>
  <c r="E228" i="63" s="1"/>
  <c r="E229" i="63" s="1"/>
  <c r="E230" i="63" s="1"/>
  <c r="E231" i="63" s="1"/>
  <c r="E232" i="63" s="1"/>
  <c r="E233" i="63" s="1"/>
  <c r="E234" i="63" s="1"/>
  <c r="E235" i="63" s="1"/>
  <c r="E236" i="63" s="1"/>
  <c r="E237" i="63" s="1"/>
  <c r="E238" i="63" s="1"/>
  <c r="E239" i="63" s="1"/>
  <c r="E240" i="63" s="1"/>
  <c r="E241" i="63" s="1"/>
  <c r="E242" i="63" s="1"/>
  <c r="E243" i="63" s="1"/>
  <c r="E244" i="63" s="1"/>
  <c r="E245" i="63" s="1"/>
  <c r="E246" i="63" s="1"/>
  <c r="E247" i="63" s="1"/>
  <c r="E248" i="63" s="1"/>
  <c r="E249" i="63" s="1"/>
  <c r="E250" i="63" s="1"/>
  <c r="E251" i="63" s="1"/>
  <c r="E252" i="63" s="1"/>
  <c r="E253" i="63" s="1"/>
  <c r="E254" i="63" s="1"/>
  <c r="E255" i="63" s="1"/>
  <c r="E256" i="63" s="1"/>
  <c r="E257" i="63" s="1"/>
  <c r="E258" i="63" s="1"/>
  <c r="E259" i="63" s="1"/>
  <c r="E260" i="63" s="1"/>
  <c r="E261" i="63" s="1"/>
  <c r="E262" i="63" s="1"/>
  <c r="E263" i="63" s="1"/>
  <c r="E264" i="63" s="1"/>
  <c r="E265" i="63" s="1"/>
  <c r="E266" i="63" s="1"/>
  <c r="E267" i="63" s="1"/>
  <c r="E268" i="63" s="1"/>
  <c r="E269" i="63" s="1"/>
  <c r="E270" i="63" s="1"/>
  <c r="E271" i="63" s="1"/>
  <c r="E272" i="63" s="1"/>
  <c r="E273" i="63" s="1"/>
  <c r="E274" i="63" s="1"/>
  <c r="E275" i="63" s="1"/>
  <c r="E276" i="63" s="1"/>
  <c r="E277" i="63" s="1"/>
  <c r="E278" i="63" s="1"/>
  <c r="E279" i="63" s="1"/>
  <c r="E280" i="63" s="1"/>
  <c r="E281" i="63" s="1"/>
  <c r="E282" i="63" s="1"/>
  <c r="E283" i="63" s="1"/>
  <c r="E284" i="63" s="1"/>
  <c r="E285" i="63" s="1"/>
  <c r="E286" i="63" s="1"/>
  <c r="E287" i="63" s="1"/>
  <c r="E288" i="63" s="1"/>
  <c r="E289" i="63" s="1"/>
  <c r="E290" i="63" s="1"/>
  <c r="E291" i="63" s="1"/>
  <c r="E292" i="63" s="1"/>
  <c r="E293" i="63" s="1"/>
  <c r="E294" i="63" s="1"/>
  <c r="E295" i="63" s="1"/>
  <c r="E296" i="63" s="1"/>
  <c r="E297" i="63" s="1"/>
  <c r="E298" i="63" s="1"/>
  <c r="E299" i="63" s="1"/>
  <c r="E300" i="63" s="1"/>
  <c r="E301" i="63" s="1"/>
  <c r="E302" i="63" s="1"/>
  <c r="E303" i="63" s="1"/>
  <c r="E304" i="63" s="1"/>
  <c r="E305" i="63" s="1"/>
  <c r="E306" i="63" s="1"/>
  <c r="E307" i="63" s="1"/>
  <c r="E308" i="63" s="1"/>
  <c r="D9" i="63"/>
  <c r="D10" i="63" s="1"/>
  <c r="D11" i="63" s="1"/>
  <c r="D12" i="63" s="1"/>
  <c r="D13" i="63" s="1"/>
  <c r="D14" i="63" s="1"/>
  <c r="D15" i="63" s="1"/>
  <c r="D16" i="63" s="1"/>
  <c r="D17" i="63" s="1"/>
  <c r="D18" i="63" s="1"/>
  <c r="D19" i="63" s="1"/>
  <c r="D20" i="63" s="1"/>
  <c r="D21" i="63" s="1"/>
  <c r="D22" i="63" s="1"/>
  <c r="D23" i="63" s="1"/>
  <c r="D24" i="63" s="1"/>
  <c r="D25" i="63" s="1"/>
  <c r="D26" i="63" s="1"/>
  <c r="D27" i="63" s="1"/>
  <c r="D28" i="63" s="1"/>
  <c r="D29" i="63" s="1"/>
  <c r="D30" i="63" s="1"/>
  <c r="D31" i="63" s="1"/>
  <c r="D32" i="63" s="1"/>
  <c r="D33" i="63" s="1"/>
  <c r="D34" i="63" s="1"/>
  <c r="D35" i="63" s="1"/>
  <c r="D36" i="63" s="1"/>
  <c r="D37" i="63" s="1"/>
  <c r="D38" i="63" s="1"/>
  <c r="D39" i="63" s="1"/>
  <c r="D40" i="63" s="1"/>
  <c r="D41" i="63" s="1"/>
  <c r="D42" i="63" s="1"/>
  <c r="D43" i="63" s="1"/>
  <c r="D44" i="63" s="1"/>
  <c r="D45" i="63" s="1"/>
  <c r="D46" i="63" s="1"/>
  <c r="D47" i="63" s="1"/>
  <c r="D48" i="63" s="1"/>
  <c r="D49" i="63" s="1"/>
  <c r="D50" i="63" s="1"/>
  <c r="D51" i="63" s="1"/>
  <c r="D52" i="63" s="1"/>
  <c r="D53" i="63" s="1"/>
  <c r="D54" i="63" s="1"/>
  <c r="D55" i="63" s="1"/>
  <c r="D56" i="63" s="1"/>
  <c r="D57" i="63" s="1"/>
  <c r="D58" i="63" s="1"/>
  <c r="D59" i="63" s="1"/>
  <c r="D60" i="63" s="1"/>
  <c r="D61" i="63" s="1"/>
  <c r="D62" i="63" s="1"/>
  <c r="D63" i="63" s="1"/>
  <c r="D64" i="63" s="1"/>
  <c r="D65" i="63" s="1"/>
  <c r="D66" i="63" s="1"/>
  <c r="D67" i="63" s="1"/>
  <c r="D68" i="63" s="1"/>
  <c r="D69" i="63" s="1"/>
  <c r="D70" i="63" s="1"/>
  <c r="D71" i="63" s="1"/>
  <c r="D72" i="63" s="1"/>
  <c r="D73" i="63" s="1"/>
  <c r="D74" i="63" s="1"/>
  <c r="D75" i="63" s="1"/>
  <c r="D76" i="63" s="1"/>
  <c r="D77" i="63" s="1"/>
  <c r="D78" i="63" s="1"/>
  <c r="D79" i="63" s="1"/>
  <c r="D80" i="63" s="1"/>
  <c r="D81" i="63" s="1"/>
  <c r="D82" i="63" s="1"/>
  <c r="D83" i="63" s="1"/>
  <c r="D84" i="63" s="1"/>
  <c r="D85" i="63" s="1"/>
  <c r="D86" i="63" s="1"/>
  <c r="D87" i="63" s="1"/>
  <c r="D88" i="63" s="1"/>
  <c r="D89" i="63" s="1"/>
  <c r="D90" i="63" s="1"/>
  <c r="D91" i="63" s="1"/>
  <c r="D92" i="63" s="1"/>
  <c r="D93" i="63" s="1"/>
  <c r="D94" i="63" s="1"/>
  <c r="D95" i="63" s="1"/>
  <c r="D96" i="63" s="1"/>
  <c r="D97" i="63" s="1"/>
  <c r="D98" i="63" s="1"/>
  <c r="D99" i="63" s="1"/>
  <c r="D100" i="63" s="1"/>
  <c r="D101" i="63" s="1"/>
  <c r="D102" i="63" s="1"/>
  <c r="D103" i="63" s="1"/>
  <c r="D104" i="63" s="1"/>
  <c r="D105" i="63" s="1"/>
  <c r="D106" i="63" s="1"/>
  <c r="D107" i="63" s="1"/>
  <c r="D108" i="63" s="1"/>
  <c r="D109" i="63" s="1"/>
  <c r="D110" i="63" s="1"/>
  <c r="D111" i="63" s="1"/>
  <c r="D112" i="63" s="1"/>
  <c r="D113" i="63" s="1"/>
  <c r="D114" i="63" s="1"/>
  <c r="D115" i="63" s="1"/>
  <c r="D116" i="63" s="1"/>
  <c r="D117" i="63" s="1"/>
  <c r="D118" i="63" s="1"/>
  <c r="D119" i="63" s="1"/>
  <c r="D120" i="63" s="1"/>
  <c r="D121" i="63" s="1"/>
  <c r="D122" i="63" s="1"/>
  <c r="D123" i="63" s="1"/>
  <c r="D124" i="63" s="1"/>
  <c r="D125" i="63" s="1"/>
  <c r="D126" i="63" s="1"/>
  <c r="D127" i="63" s="1"/>
  <c r="D128" i="63" s="1"/>
  <c r="D129" i="63" s="1"/>
  <c r="D130" i="63" s="1"/>
  <c r="D131" i="63" s="1"/>
  <c r="D132" i="63" s="1"/>
  <c r="D133" i="63" s="1"/>
  <c r="D134" i="63" s="1"/>
  <c r="D135" i="63" s="1"/>
  <c r="D136" i="63" s="1"/>
  <c r="D137" i="63" s="1"/>
  <c r="D138" i="63" s="1"/>
  <c r="D139" i="63" s="1"/>
  <c r="D140" i="63" s="1"/>
  <c r="D141" i="63" s="1"/>
  <c r="D142" i="63" s="1"/>
  <c r="D143" i="63" s="1"/>
  <c r="D144" i="63" s="1"/>
  <c r="D145" i="63" s="1"/>
  <c r="D146" i="63" s="1"/>
  <c r="D147" i="63" s="1"/>
  <c r="D148" i="63" s="1"/>
  <c r="D149" i="63" s="1"/>
  <c r="D150" i="63" s="1"/>
  <c r="D151" i="63" s="1"/>
  <c r="D152" i="63" s="1"/>
  <c r="D153" i="63" s="1"/>
  <c r="D154" i="63" s="1"/>
  <c r="D155" i="63" s="1"/>
  <c r="D156" i="63" s="1"/>
  <c r="D157" i="63" s="1"/>
  <c r="D158" i="63" s="1"/>
  <c r="D159" i="63" s="1"/>
  <c r="D160" i="63" s="1"/>
  <c r="D161" i="63" s="1"/>
  <c r="D162" i="63" s="1"/>
  <c r="D163" i="63" s="1"/>
  <c r="D164" i="63" s="1"/>
  <c r="D165" i="63" s="1"/>
  <c r="D166" i="63" s="1"/>
  <c r="D167" i="63" s="1"/>
  <c r="D168" i="63" s="1"/>
  <c r="D169" i="63" s="1"/>
  <c r="D170" i="63" s="1"/>
  <c r="D171" i="63" s="1"/>
  <c r="D172" i="63" s="1"/>
  <c r="D173" i="63" s="1"/>
  <c r="D174" i="63" s="1"/>
  <c r="D175" i="63" s="1"/>
  <c r="D176" i="63" s="1"/>
  <c r="D177" i="63" s="1"/>
  <c r="D178" i="63" s="1"/>
  <c r="D179" i="63" s="1"/>
  <c r="D180" i="63" s="1"/>
  <c r="D181" i="63" s="1"/>
  <c r="D182" i="63" s="1"/>
  <c r="D183" i="63" s="1"/>
  <c r="D184" i="63" s="1"/>
  <c r="D185" i="63" s="1"/>
  <c r="D186" i="63" s="1"/>
  <c r="D187" i="63" s="1"/>
  <c r="D188" i="63" s="1"/>
  <c r="D189" i="63" s="1"/>
  <c r="D190" i="63" s="1"/>
  <c r="D191" i="63" s="1"/>
  <c r="D192" i="63" s="1"/>
  <c r="D193" i="63" s="1"/>
  <c r="D194" i="63" s="1"/>
  <c r="D195" i="63" s="1"/>
  <c r="D196" i="63" s="1"/>
  <c r="D197" i="63" s="1"/>
  <c r="D198" i="63" s="1"/>
  <c r="D199" i="63" s="1"/>
  <c r="D200" i="63" s="1"/>
  <c r="D201" i="63" s="1"/>
  <c r="D202" i="63" s="1"/>
  <c r="D203" i="63" s="1"/>
  <c r="D204" i="63" s="1"/>
  <c r="D205" i="63" s="1"/>
  <c r="D206" i="63" s="1"/>
  <c r="D207" i="63" s="1"/>
  <c r="D208" i="63" s="1"/>
  <c r="D209" i="63" s="1"/>
  <c r="D210" i="63" s="1"/>
  <c r="D211" i="63" s="1"/>
  <c r="D212" i="63" s="1"/>
  <c r="D213" i="63" s="1"/>
  <c r="D214" i="63" s="1"/>
  <c r="D215" i="63" s="1"/>
  <c r="D216" i="63" s="1"/>
  <c r="D217" i="63" s="1"/>
  <c r="D218" i="63" s="1"/>
  <c r="D219" i="63" s="1"/>
  <c r="D220" i="63" s="1"/>
  <c r="D221" i="63" s="1"/>
  <c r="D222" i="63" s="1"/>
  <c r="D223" i="63" s="1"/>
  <c r="D224" i="63" s="1"/>
  <c r="D225" i="63" s="1"/>
  <c r="D226" i="63" s="1"/>
  <c r="D227" i="63" s="1"/>
  <c r="D228" i="63" s="1"/>
  <c r="D229" i="63" s="1"/>
  <c r="D230" i="63" s="1"/>
  <c r="D231" i="63" s="1"/>
  <c r="D232" i="63" s="1"/>
  <c r="D233" i="63" s="1"/>
  <c r="D234" i="63" s="1"/>
  <c r="D235" i="63" s="1"/>
  <c r="D236" i="63" s="1"/>
  <c r="D237" i="63" s="1"/>
  <c r="D238" i="63" s="1"/>
  <c r="D239" i="63" s="1"/>
  <c r="D240" i="63" s="1"/>
  <c r="D241" i="63" s="1"/>
  <c r="D242" i="63" s="1"/>
  <c r="D243" i="63" s="1"/>
  <c r="D244" i="63" s="1"/>
  <c r="D245" i="63" s="1"/>
  <c r="D246" i="63" s="1"/>
  <c r="D247" i="63" s="1"/>
  <c r="D248" i="63" s="1"/>
  <c r="D249" i="63" s="1"/>
  <c r="D250" i="63" s="1"/>
  <c r="D251" i="63" s="1"/>
  <c r="D252" i="63" s="1"/>
  <c r="D253" i="63" s="1"/>
  <c r="D254" i="63" s="1"/>
  <c r="D255" i="63" s="1"/>
  <c r="D256" i="63" s="1"/>
  <c r="D257" i="63" s="1"/>
  <c r="D258" i="63" s="1"/>
  <c r="D259" i="63" s="1"/>
  <c r="D260" i="63" s="1"/>
  <c r="D261" i="63" s="1"/>
  <c r="D262" i="63" s="1"/>
  <c r="D263" i="63" s="1"/>
  <c r="D264" i="63" s="1"/>
  <c r="D265" i="63" s="1"/>
  <c r="D266" i="63" s="1"/>
  <c r="D267" i="63" s="1"/>
  <c r="D268" i="63" s="1"/>
  <c r="D269" i="63" s="1"/>
  <c r="D270" i="63" s="1"/>
  <c r="D271" i="63" s="1"/>
  <c r="D272" i="63" s="1"/>
  <c r="D273" i="63" s="1"/>
  <c r="D274" i="63" s="1"/>
  <c r="D275" i="63" s="1"/>
  <c r="D276" i="63" s="1"/>
  <c r="D277" i="63" s="1"/>
  <c r="D278" i="63" s="1"/>
  <c r="D279" i="63" s="1"/>
  <c r="D280" i="63" s="1"/>
  <c r="D281" i="63" s="1"/>
  <c r="D282" i="63" s="1"/>
  <c r="D283" i="63" s="1"/>
  <c r="D284" i="63" s="1"/>
  <c r="D285" i="63" s="1"/>
  <c r="D286" i="63" s="1"/>
  <c r="D287" i="63" s="1"/>
  <c r="D288" i="63" s="1"/>
  <c r="D289" i="63" s="1"/>
  <c r="D290" i="63" s="1"/>
  <c r="D291" i="63" s="1"/>
  <c r="D292" i="63" s="1"/>
  <c r="D293" i="63" s="1"/>
  <c r="D294" i="63" s="1"/>
  <c r="D295" i="63" s="1"/>
  <c r="D296" i="63" s="1"/>
  <c r="D297" i="63" s="1"/>
  <c r="D298" i="63" s="1"/>
  <c r="D299" i="63" s="1"/>
  <c r="D300" i="63" s="1"/>
  <c r="D301" i="63" s="1"/>
  <c r="D302" i="63" s="1"/>
  <c r="D303" i="63" s="1"/>
  <c r="D304" i="63" s="1"/>
  <c r="D305" i="63" s="1"/>
  <c r="D306" i="63" s="1"/>
  <c r="D307" i="63" s="1"/>
  <c r="D308" i="63" s="1"/>
  <c r="A9" i="63"/>
  <c r="A10" i="63" s="1"/>
  <c r="A11" i="63" s="1"/>
  <c r="A12" i="63" s="1"/>
  <c r="A13" i="63" s="1"/>
  <c r="A14" i="63" s="1"/>
  <c r="A15" i="63" s="1"/>
  <c r="A16" i="63" s="1"/>
  <c r="A17" i="63" s="1"/>
  <c r="A18" i="63" s="1"/>
  <c r="A19" i="63" s="1"/>
  <c r="A20" i="63" s="1"/>
  <c r="A21" i="63" s="1"/>
  <c r="A22" i="63" s="1"/>
  <c r="A23" i="63" s="1"/>
  <c r="A24" i="63" s="1"/>
  <c r="A25" i="63" s="1"/>
  <c r="A26" i="63" s="1"/>
  <c r="A27" i="63" s="1"/>
  <c r="A28" i="63" s="1"/>
  <c r="A29" i="63" s="1"/>
  <c r="A30" i="63" s="1"/>
  <c r="A31" i="63" s="1"/>
  <c r="A32" i="63" s="1"/>
  <c r="A33" i="63" s="1"/>
  <c r="A34" i="63" s="1"/>
  <c r="A35" i="63" s="1"/>
  <c r="A36" i="63" s="1"/>
  <c r="A37" i="63" s="1"/>
  <c r="A38" i="63" s="1"/>
  <c r="A39" i="63" s="1"/>
  <c r="A40" i="63" s="1"/>
  <c r="A41" i="63" s="1"/>
  <c r="A42" i="63" s="1"/>
  <c r="A43" i="63" s="1"/>
  <c r="A44" i="63" s="1"/>
  <c r="A45" i="63" s="1"/>
  <c r="A46" i="63" s="1"/>
  <c r="A47" i="63" s="1"/>
  <c r="A48" i="63" s="1"/>
  <c r="A49" i="63" s="1"/>
  <c r="A50" i="63" s="1"/>
  <c r="A51" i="63" s="1"/>
  <c r="A52" i="63" s="1"/>
  <c r="A53" i="63" s="1"/>
  <c r="A54" i="63" s="1"/>
  <c r="A55" i="63" s="1"/>
  <c r="A56" i="63" s="1"/>
  <c r="A57" i="63" s="1"/>
  <c r="A58" i="63" s="1"/>
  <c r="A59" i="63" s="1"/>
  <c r="A60" i="63" s="1"/>
  <c r="A61" i="63" s="1"/>
  <c r="A62" i="63" s="1"/>
  <c r="A63" i="63" s="1"/>
  <c r="A64" i="63" s="1"/>
  <c r="A65" i="63" s="1"/>
  <c r="A66" i="63" s="1"/>
  <c r="A67" i="63" s="1"/>
  <c r="A68" i="63" s="1"/>
  <c r="A69" i="63" s="1"/>
  <c r="A70" i="63" s="1"/>
  <c r="A71" i="63" s="1"/>
  <c r="A72" i="63" s="1"/>
  <c r="A73" i="63" s="1"/>
  <c r="A74" i="63" s="1"/>
  <c r="A75" i="63" s="1"/>
  <c r="A76" i="63" s="1"/>
  <c r="A77" i="63" s="1"/>
  <c r="A78" i="63" s="1"/>
  <c r="A79" i="63" s="1"/>
  <c r="A80" i="63" s="1"/>
  <c r="A81" i="63" s="1"/>
  <c r="A82" i="63" s="1"/>
  <c r="A83" i="63" s="1"/>
  <c r="A84" i="63" s="1"/>
  <c r="A85" i="63" s="1"/>
  <c r="A86" i="63" s="1"/>
  <c r="A87" i="63" s="1"/>
  <c r="A88" i="63" s="1"/>
  <c r="A89" i="63" s="1"/>
  <c r="A90" i="63" s="1"/>
  <c r="A91" i="63" s="1"/>
  <c r="A92" i="63" s="1"/>
  <c r="A93" i="63" s="1"/>
  <c r="A94" i="63" s="1"/>
  <c r="A95" i="63" s="1"/>
  <c r="A96" i="63" s="1"/>
  <c r="A97" i="63" s="1"/>
  <c r="A98" i="63" s="1"/>
  <c r="A99" i="63" s="1"/>
  <c r="A100" i="63" s="1"/>
  <c r="A101" i="63" s="1"/>
  <c r="A102" i="63" s="1"/>
  <c r="A103" i="63" s="1"/>
  <c r="A104" i="63" s="1"/>
  <c r="A105" i="63" s="1"/>
  <c r="A106" i="63" s="1"/>
  <c r="A107" i="63" s="1"/>
  <c r="A108" i="63" s="1"/>
  <c r="A109" i="63" s="1"/>
  <c r="A110" i="63" s="1"/>
  <c r="A111" i="63" s="1"/>
  <c r="A112" i="63" s="1"/>
  <c r="A113" i="63" s="1"/>
  <c r="A114" i="63" s="1"/>
  <c r="A115" i="63" s="1"/>
  <c r="A116" i="63" s="1"/>
  <c r="A117" i="63" s="1"/>
  <c r="A118" i="63" s="1"/>
  <c r="A119" i="63" s="1"/>
  <c r="A120" i="63" s="1"/>
  <c r="A121" i="63" s="1"/>
  <c r="A122" i="63" s="1"/>
  <c r="A123" i="63" s="1"/>
  <c r="A124" i="63" s="1"/>
  <c r="A125" i="63" s="1"/>
  <c r="A126" i="63" s="1"/>
  <c r="A127" i="63" s="1"/>
  <c r="A128" i="63" s="1"/>
  <c r="A129" i="63" s="1"/>
  <c r="A130" i="63" s="1"/>
  <c r="A131" i="63" s="1"/>
  <c r="A132" i="63" s="1"/>
  <c r="A133" i="63" s="1"/>
  <c r="A134" i="63" s="1"/>
  <c r="A135" i="63" s="1"/>
  <c r="A136" i="63" s="1"/>
  <c r="A137" i="63" s="1"/>
  <c r="A138" i="63" s="1"/>
  <c r="A139" i="63" s="1"/>
  <c r="A140" i="63" s="1"/>
  <c r="A141" i="63" s="1"/>
  <c r="A142" i="63" s="1"/>
  <c r="A143" i="63" s="1"/>
  <c r="A144" i="63" s="1"/>
  <c r="A145" i="63" s="1"/>
  <c r="A146" i="63" s="1"/>
  <c r="A147" i="63" s="1"/>
  <c r="A148" i="63" s="1"/>
  <c r="A149" i="63" s="1"/>
  <c r="A150" i="63" s="1"/>
  <c r="A151" i="63" s="1"/>
  <c r="A152" i="63" s="1"/>
  <c r="A153" i="63" s="1"/>
  <c r="A154" i="63" s="1"/>
  <c r="A155" i="63" s="1"/>
  <c r="A156" i="63" s="1"/>
  <c r="A157" i="63" s="1"/>
  <c r="A158" i="63" s="1"/>
  <c r="A159" i="63" s="1"/>
  <c r="A160" i="63" s="1"/>
  <c r="A161" i="63" s="1"/>
  <c r="A162" i="63" s="1"/>
  <c r="A163" i="63" s="1"/>
  <c r="A164" i="63" s="1"/>
  <c r="A165" i="63" s="1"/>
  <c r="A166" i="63" s="1"/>
  <c r="A167" i="63" s="1"/>
  <c r="A168" i="63" s="1"/>
  <c r="A169" i="63" s="1"/>
  <c r="A170" i="63" s="1"/>
  <c r="A171" i="63" s="1"/>
  <c r="A172" i="63" s="1"/>
  <c r="A173" i="63" s="1"/>
  <c r="A174" i="63" s="1"/>
  <c r="A175" i="63" s="1"/>
  <c r="A176" i="63" s="1"/>
  <c r="A177" i="63" s="1"/>
  <c r="A178" i="63" s="1"/>
  <c r="A179" i="63" s="1"/>
  <c r="A180" i="63" s="1"/>
  <c r="A181" i="63" s="1"/>
  <c r="A182" i="63" s="1"/>
  <c r="A183" i="63" s="1"/>
  <c r="A184" i="63" s="1"/>
  <c r="A185" i="63" s="1"/>
  <c r="A186" i="63" s="1"/>
  <c r="A187" i="63" s="1"/>
  <c r="A188" i="63" s="1"/>
  <c r="A189" i="63" s="1"/>
  <c r="A190" i="63" s="1"/>
  <c r="A191" i="63" s="1"/>
  <c r="A192" i="63" s="1"/>
  <c r="A193" i="63" s="1"/>
  <c r="A194" i="63" s="1"/>
  <c r="A195" i="63" s="1"/>
  <c r="A196" i="63" s="1"/>
  <c r="A197" i="63" s="1"/>
  <c r="A198" i="63" s="1"/>
  <c r="A199" i="63" s="1"/>
  <c r="A200" i="63" s="1"/>
  <c r="A201" i="63" s="1"/>
  <c r="A202" i="63" s="1"/>
  <c r="A203" i="63" s="1"/>
  <c r="A204" i="63" s="1"/>
  <c r="A205" i="63" s="1"/>
  <c r="A206" i="63" s="1"/>
  <c r="A207" i="63" s="1"/>
  <c r="A208" i="63" s="1"/>
  <c r="A209" i="63" s="1"/>
  <c r="A210" i="63" s="1"/>
  <c r="A211" i="63" s="1"/>
  <c r="A212" i="63" s="1"/>
  <c r="A213" i="63" s="1"/>
  <c r="A214" i="63" s="1"/>
  <c r="A215" i="63" s="1"/>
  <c r="A216" i="63" s="1"/>
  <c r="A217" i="63" s="1"/>
  <c r="A218" i="63" s="1"/>
  <c r="A219" i="63" s="1"/>
  <c r="A220" i="63" s="1"/>
  <c r="A221" i="63" s="1"/>
  <c r="A222" i="63" s="1"/>
  <c r="A223" i="63" s="1"/>
  <c r="A224" i="63" s="1"/>
  <c r="A225" i="63" s="1"/>
  <c r="A226" i="63" s="1"/>
  <c r="A227" i="63" s="1"/>
  <c r="A228" i="63" s="1"/>
  <c r="A229" i="63" s="1"/>
  <c r="A230" i="63" s="1"/>
  <c r="A231" i="63" s="1"/>
  <c r="A232" i="63" s="1"/>
  <c r="A233" i="63" s="1"/>
  <c r="A234" i="63" s="1"/>
  <c r="A235" i="63" s="1"/>
  <c r="A236" i="63" s="1"/>
  <c r="A237" i="63" s="1"/>
  <c r="A238" i="63" s="1"/>
  <c r="A239" i="63" s="1"/>
  <c r="A240" i="63" s="1"/>
  <c r="A241" i="63" s="1"/>
  <c r="A242" i="63" s="1"/>
  <c r="A243" i="63" s="1"/>
  <c r="A244" i="63" s="1"/>
  <c r="A245" i="63" s="1"/>
  <c r="A246" i="63" s="1"/>
  <c r="A247" i="63" s="1"/>
  <c r="A248" i="63" s="1"/>
  <c r="A249" i="63" s="1"/>
  <c r="A250" i="63" s="1"/>
  <c r="A251" i="63" s="1"/>
  <c r="A252" i="63" s="1"/>
  <c r="A253" i="63" s="1"/>
  <c r="A254" i="63" s="1"/>
  <c r="A255" i="63" s="1"/>
  <c r="A256" i="63" s="1"/>
  <c r="A257" i="63" s="1"/>
  <c r="A258" i="63" s="1"/>
  <c r="A259" i="63" s="1"/>
  <c r="A260" i="63" s="1"/>
  <c r="A261" i="63" s="1"/>
  <c r="A262" i="63" s="1"/>
  <c r="A263" i="63" s="1"/>
  <c r="A264" i="63" s="1"/>
  <c r="A265" i="63" s="1"/>
  <c r="A266" i="63" s="1"/>
  <c r="A267" i="63" s="1"/>
  <c r="A268" i="63" s="1"/>
  <c r="A269" i="63" s="1"/>
  <c r="A270" i="63" s="1"/>
  <c r="A271" i="63" s="1"/>
  <c r="A272" i="63" s="1"/>
  <c r="A273" i="63" s="1"/>
  <c r="A274" i="63" s="1"/>
  <c r="A275" i="63" s="1"/>
  <c r="A276" i="63" s="1"/>
  <c r="A277" i="63" s="1"/>
  <c r="A278" i="63" s="1"/>
  <c r="A279" i="63" s="1"/>
  <c r="A280" i="63" s="1"/>
  <c r="A281" i="63" s="1"/>
  <c r="A282" i="63" s="1"/>
  <c r="A283" i="63" s="1"/>
  <c r="A284" i="63" s="1"/>
  <c r="A285" i="63" s="1"/>
  <c r="A286" i="63" s="1"/>
  <c r="A287" i="63" s="1"/>
  <c r="A288" i="63" s="1"/>
  <c r="A289" i="63" s="1"/>
  <c r="A290" i="63" s="1"/>
  <c r="A291" i="63" s="1"/>
  <c r="A292" i="63" s="1"/>
  <c r="A293" i="63" s="1"/>
  <c r="A294" i="63" s="1"/>
  <c r="A295" i="63" s="1"/>
  <c r="A296" i="63" s="1"/>
  <c r="A297" i="63" s="1"/>
  <c r="A298" i="63" s="1"/>
  <c r="A299" i="63" s="1"/>
  <c r="A300" i="63" s="1"/>
  <c r="A301" i="63" s="1"/>
  <c r="A302" i="63" s="1"/>
  <c r="A303" i="63" s="1"/>
  <c r="A304" i="63" s="1"/>
  <c r="A305" i="63" s="1"/>
  <c r="A306" i="63" s="1"/>
  <c r="A307" i="63" s="1"/>
  <c r="A308" i="63" s="1"/>
  <c r="N13" i="24"/>
  <c r="L10" i="24"/>
  <c r="B1" i="27"/>
  <c r="N8" i="24"/>
  <c r="N10" i="24"/>
  <c r="L59" i="23" l="1"/>
  <c r="D59" i="23"/>
  <c r="C59" i="23"/>
  <c r="B59" i="23"/>
  <c r="D58" i="23"/>
  <c r="L58" i="23" s="1"/>
  <c r="C58" i="23"/>
  <c r="B58" i="23"/>
  <c r="D57" i="23"/>
  <c r="C57" i="23"/>
  <c r="B57" i="23"/>
  <c r="D56" i="23"/>
  <c r="C56" i="23"/>
  <c r="B56" i="23"/>
  <c r="D55" i="23"/>
  <c r="C55" i="23"/>
  <c r="B55" i="23"/>
  <c r="J54" i="23"/>
  <c r="F54" i="23"/>
  <c r="D54" i="23"/>
  <c r="L54" i="23" s="1"/>
  <c r="C54" i="23"/>
  <c r="B54" i="23"/>
  <c r="D49" i="23"/>
  <c r="C49" i="23"/>
  <c r="B49" i="23"/>
  <c r="K48" i="23"/>
  <c r="D48" i="23"/>
  <c r="J48" i="23" s="1"/>
  <c r="C48" i="23"/>
  <c r="B48" i="23"/>
  <c r="F47" i="23"/>
  <c r="D47" i="23"/>
  <c r="K47" i="23" s="1"/>
  <c r="C47" i="23"/>
  <c r="B47" i="23"/>
  <c r="H46" i="23"/>
  <c r="F46" i="23"/>
  <c r="E46" i="23"/>
  <c r="D46" i="23"/>
  <c r="L46" i="23" s="1"/>
  <c r="C46" i="23"/>
  <c r="B46" i="23"/>
  <c r="D45" i="23"/>
  <c r="L45" i="23" s="1"/>
  <c r="C45" i="23"/>
  <c r="B45" i="23"/>
  <c r="G44" i="23"/>
  <c r="D44" i="23"/>
  <c r="L44" i="23" s="1"/>
  <c r="C44" i="23"/>
  <c r="B44" i="23"/>
  <c r="D39" i="23"/>
  <c r="K39" i="23" s="1"/>
  <c r="C39" i="23"/>
  <c r="B39" i="23"/>
  <c r="D38" i="23"/>
  <c r="L38" i="23" s="1"/>
  <c r="C38" i="23"/>
  <c r="B38" i="23"/>
  <c r="D37" i="23"/>
  <c r="C37" i="23"/>
  <c r="B37" i="23"/>
  <c r="K36" i="23"/>
  <c r="D36" i="23"/>
  <c r="J36" i="23" s="1"/>
  <c r="C36" i="23"/>
  <c r="B36" i="23"/>
  <c r="D35" i="23"/>
  <c r="L35" i="23" s="1"/>
  <c r="C35" i="23"/>
  <c r="B35" i="23"/>
  <c r="D34" i="23"/>
  <c r="C34" i="23"/>
  <c r="B34" i="23"/>
  <c r="D29" i="23"/>
  <c r="C29" i="23"/>
  <c r="B29" i="23"/>
  <c r="D28" i="23"/>
  <c r="I28" i="23" s="1"/>
  <c r="C28" i="23"/>
  <c r="B28" i="23"/>
  <c r="D27" i="23"/>
  <c r="L27" i="23" s="1"/>
  <c r="C27" i="23"/>
  <c r="B27" i="23"/>
  <c r="L26" i="23"/>
  <c r="J26" i="23"/>
  <c r="G26" i="23"/>
  <c r="D26" i="23"/>
  <c r="F26" i="23" s="1"/>
  <c r="C26" i="23"/>
  <c r="B26" i="23"/>
  <c r="D25" i="23"/>
  <c r="L25" i="23" s="1"/>
  <c r="C25" i="23"/>
  <c r="B25" i="23"/>
  <c r="D24" i="23"/>
  <c r="C24" i="23"/>
  <c r="B24" i="23"/>
  <c r="D19" i="23"/>
  <c r="C19" i="23"/>
  <c r="B19" i="23"/>
  <c r="D18" i="23"/>
  <c r="C18" i="23"/>
  <c r="B18" i="23"/>
  <c r="L17" i="23"/>
  <c r="K17" i="23"/>
  <c r="G17" i="23"/>
  <c r="F17" i="23"/>
  <c r="D17" i="23"/>
  <c r="H17" i="23" s="1"/>
  <c r="C17" i="23"/>
  <c r="B17" i="23"/>
  <c r="D16" i="23"/>
  <c r="G16" i="23" s="1"/>
  <c r="C16" i="23"/>
  <c r="B16" i="23"/>
  <c r="D15" i="23"/>
  <c r="C15" i="23"/>
  <c r="B15" i="23"/>
  <c r="D14" i="23"/>
  <c r="C14" i="23"/>
  <c r="B14" i="23"/>
  <c r="D9" i="23"/>
  <c r="C9" i="23"/>
  <c r="B9" i="23"/>
  <c r="D8" i="23"/>
  <c r="C8" i="23"/>
  <c r="B8" i="23"/>
  <c r="D7" i="23"/>
  <c r="L7" i="23" s="1"/>
  <c r="C7" i="23"/>
  <c r="B7" i="23"/>
  <c r="D6" i="23"/>
  <c r="C6" i="23"/>
  <c r="B6" i="23"/>
  <c r="D5" i="23"/>
  <c r="C5" i="23"/>
  <c r="B5" i="23"/>
  <c r="J4" i="23"/>
  <c r="F4" i="23"/>
  <c r="D4" i="23"/>
  <c r="G4" i="23" s="1"/>
  <c r="C4" i="23"/>
  <c r="B4" i="23"/>
  <c r="J30" i="22"/>
  <c r="J29" i="22"/>
  <c r="J28" i="22"/>
  <c r="I28" i="22"/>
  <c r="H28" i="22"/>
  <c r="G28" i="22"/>
  <c r="F28" i="22"/>
  <c r="E28" i="22"/>
  <c r="D28" i="22"/>
  <c r="C28" i="22"/>
  <c r="J25" i="22"/>
  <c r="I25" i="22"/>
  <c r="H25" i="22"/>
  <c r="G25" i="22"/>
  <c r="F25" i="22"/>
  <c r="E25" i="22"/>
  <c r="D25" i="22"/>
  <c r="C25" i="22"/>
  <c r="J22" i="22"/>
  <c r="I22" i="22"/>
  <c r="H22" i="22"/>
  <c r="G22" i="22"/>
  <c r="F22" i="22"/>
  <c r="E22" i="22"/>
  <c r="D22" i="22"/>
  <c r="C22" i="22"/>
  <c r="J19" i="22"/>
  <c r="I19" i="22"/>
  <c r="H19" i="22"/>
  <c r="G19" i="22"/>
  <c r="F19" i="22"/>
  <c r="E19" i="22"/>
  <c r="D19" i="22"/>
  <c r="C19" i="22"/>
  <c r="J16" i="22"/>
  <c r="I16" i="22"/>
  <c r="H16" i="22"/>
  <c r="G16" i="22"/>
  <c r="F16" i="22"/>
  <c r="E16" i="22"/>
  <c r="D16" i="22"/>
  <c r="C16" i="22"/>
  <c r="J15" i="22"/>
  <c r="J14" i="22"/>
  <c r="J13" i="22"/>
  <c r="I13" i="22"/>
  <c r="H13" i="22"/>
  <c r="G13" i="22"/>
  <c r="F13" i="22"/>
  <c r="E13" i="22"/>
  <c r="D13" i="22"/>
  <c r="C13" i="22"/>
  <c r="J12" i="22"/>
  <c r="J11" i="22"/>
  <c r="J10" i="22"/>
  <c r="I10" i="22"/>
  <c r="H10" i="22"/>
  <c r="G10" i="22"/>
  <c r="F10" i="22"/>
  <c r="E10" i="22"/>
  <c r="D10" i="22"/>
  <c r="C10" i="22"/>
  <c r="J9" i="22"/>
  <c r="J8" i="22"/>
  <c r="J7" i="22"/>
  <c r="I7" i="22"/>
  <c r="H7" i="22"/>
  <c r="G7" i="22"/>
  <c r="F7" i="22"/>
  <c r="E7" i="22"/>
  <c r="D7" i="22"/>
  <c r="C7" i="22"/>
  <c r="J6" i="22"/>
  <c r="J5" i="22"/>
  <c r="J4" i="22"/>
  <c r="I4" i="22"/>
  <c r="H4" i="22"/>
  <c r="G4" i="22"/>
  <c r="F4" i="22"/>
  <c r="E4" i="22"/>
  <c r="D4" i="22"/>
  <c r="C4" i="22"/>
  <c r="O6" i="24"/>
  <c r="O5" i="24"/>
  <c r="O4" i="24"/>
  <c r="O3" i="24"/>
  <c r="E16" i="23" l="1"/>
  <c r="L19" i="23"/>
  <c r="L36" i="23"/>
  <c r="E4" i="23"/>
  <c r="F16" i="23"/>
  <c r="E26" i="23"/>
  <c r="L37" i="23"/>
  <c r="G46" i="23"/>
  <c r="E47" i="23"/>
  <c r="E54" i="23"/>
  <c r="H4" i="23"/>
  <c r="L14" i="23"/>
  <c r="I16" i="23"/>
  <c r="H26" i="23"/>
  <c r="F36" i="23"/>
  <c r="I44" i="23"/>
  <c r="J46" i="23"/>
  <c r="G54" i="23"/>
  <c r="H16" i="23"/>
  <c r="I4" i="23"/>
  <c r="J16" i="23"/>
  <c r="I26" i="23"/>
  <c r="G36" i="23"/>
  <c r="K46" i="23"/>
  <c r="H54" i="23"/>
  <c r="K16" i="23"/>
  <c r="I36" i="23"/>
  <c r="K4" i="23"/>
  <c r="K26" i="23"/>
  <c r="K54" i="23"/>
  <c r="E28" i="23"/>
  <c r="J39" i="23"/>
  <c r="G39" i="23"/>
  <c r="I39" i="23"/>
  <c r="L39" i="23"/>
  <c r="F39" i="23"/>
  <c r="E39" i="23"/>
  <c r="J28" i="23"/>
  <c r="G28" i="23"/>
  <c r="L28" i="23"/>
  <c r="H28" i="23"/>
  <c r="F28" i="23"/>
  <c r="G7" i="23"/>
  <c r="H7" i="23"/>
  <c r="L29" i="23"/>
  <c r="J7" i="23"/>
  <c r="K28" i="23"/>
  <c r="H39" i="23"/>
  <c r="K7" i="23"/>
  <c r="F34" i="23"/>
  <c r="K34" i="23"/>
  <c r="L34" i="23"/>
  <c r="H34" i="23"/>
  <c r="G34" i="23"/>
  <c r="E34" i="23"/>
  <c r="L57" i="23"/>
  <c r="E17" i="23"/>
  <c r="J17" i="23"/>
  <c r="I17" i="23"/>
  <c r="I34" i="23"/>
  <c r="I7" i="23"/>
  <c r="F7" i="23"/>
  <c r="E7" i="23"/>
  <c r="J34" i="23"/>
  <c r="H44" i="23"/>
  <c r="E44" i="23"/>
  <c r="J44" i="23"/>
  <c r="I47" i="23"/>
  <c r="L55" i="23"/>
  <c r="L4" i="23"/>
  <c r="L8" i="23"/>
  <c r="L16" i="23"/>
  <c r="L24" i="23"/>
  <c r="F44" i="23"/>
  <c r="L49" i="23"/>
  <c r="H48" i="23"/>
  <c r="E48" i="23"/>
  <c r="L48" i="23"/>
  <c r="I48" i="23"/>
  <c r="K44" i="23"/>
  <c r="F48" i="23"/>
  <c r="J47" i="23"/>
  <c r="G47" i="23"/>
  <c r="L47" i="23"/>
  <c r="H47" i="23"/>
  <c r="G48" i="23"/>
  <c r="L56" i="23"/>
  <c r="H36" i="23"/>
  <c r="E36" i="23"/>
  <c r="I46" i="23"/>
  <c r="I54" i="23"/>
  <c r="O4" i="23"/>
  <c r="O5" i="23"/>
  <c r="O6" i="23"/>
  <c r="O9" i="23"/>
  <c r="O15" i="23"/>
  <c r="O16" i="23"/>
  <c r="C20" i="23"/>
  <c r="O18" i="23"/>
  <c r="O25" i="23"/>
  <c r="O26" i="23"/>
  <c r="O35" i="23"/>
  <c r="C40" i="23"/>
  <c r="O37" i="23"/>
  <c r="O39" i="23"/>
  <c r="O47" i="23"/>
  <c r="O49" i="23"/>
  <c r="O54" i="23"/>
  <c r="B60" i="23"/>
  <c r="O59" i="23"/>
  <c r="B99" i="22"/>
  <c r="O19" i="23" l="1"/>
  <c r="O45" i="23"/>
  <c r="L30" i="23"/>
  <c r="B40" i="23"/>
  <c r="O56" i="23"/>
  <c r="O58" i="23"/>
  <c r="O24" i="23"/>
  <c r="C60" i="23"/>
  <c r="C30" i="23"/>
  <c r="C50" i="23"/>
  <c r="B50" i="23"/>
  <c r="C10" i="23"/>
  <c r="O48" i="23"/>
  <c r="O14" i="23"/>
  <c r="O57" i="23"/>
  <c r="O38" i="23"/>
  <c r="O7" i="23"/>
  <c r="O34" i="23"/>
  <c r="O36" i="23"/>
  <c r="O55" i="23"/>
  <c r="O44" i="23"/>
  <c r="O29" i="23"/>
  <c r="O28" i="23"/>
  <c r="O17" i="23"/>
  <c r="O46" i="23"/>
  <c r="B30" i="23"/>
  <c r="B20" i="23"/>
  <c r="B10" i="23"/>
  <c r="O27" i="23"/>
  <c r="O8" i="23"/>
  <c r="B18" i="5"/>
  <c r="C18" i="5"/>
  <c r="D18" i="5"/>
  <c r="E18" i="5"/>
  <c r="F18" i="5"/>
  <c r="G18" i="5"/>
  <c r="K29" i="5"/>
  <c r="B30" i="5"/>
  <c r="B31" i="5" s="1"/>
  <c r="B32" i="5" s="1"/>
  <c r="C30" i="5"/>
  <c r="D30" i="5"/>
  <c r="D31" i="5" s="1"/>
  <c r="D32" i="5" s="1"/>
  <c r="E30" i="5"/>
  <c r="E31" i="5" s="1"/>
  <c r="F30" i="5"/>
  <c r="F31" i="5" s="1"/>
  <c r="F32" i="5" s="1"/>
  <c r="G30" i="5"/>
  <c r="G31" i="5" s="1"/>
  <c r="K30" i="5"/>
  <c r="C31" i="5"/>
  <c r="C32" i="5" s="1"/>
  <c r="K31" i="5"/>
  <c r="H32" i="5"/>
  <c r="K32" i="5"/>
  <c r="B33" i="5"/>
  <c r="H33" i="5"/>
  <c r="K33" i="5"/>
  <c r="K40" i="5"/>
  <c r="B41" i="5"/>
  <c r="C41" i="5"/>
  <c r="D41" i="5"/>
  <c r="D42" i="5" s="1"/>
  <c r="E41" i="5"/>
  <c r="E42" i="5" s="1"/>
  <c r="F41" i="5"/>
  <c r="F42" i="5" s="1"/>
  <c r="F44" i="5" s="1"/>
  <c r="G41" i="5"/>
  <c r="G42" i="5" s="1"/>
  <c r="K41" i="5"/>
  <c r="B42" i="5"/>
  <c r="B43" i="5" s="1"/>
  <c r="C42" i="5"/>
  <c r="K42" i="5"/>
  <c r="K43" i="5"/>
  <c r="K44" i="5"/>
  <c r="B45" i="5"/>
  <c r="K54" i="5"/>
  <c r="B55" i="5"/>
  <c r="B56" i="5" s="1"/>
  <c r="C55" i="5"/>
  <c r="C56" i="5" s="1"/>
  <c r="D55" i="5"/>
  <c r="D56" i="5" s="1"/>
  <c r="E55" i="5"/>
  <c r="F55" i="5"/>
  <c r="G55" i="5"/>
  <c r="G56" i="5" s="1"/>
  <c r="K55" i="5"/>
  <c r="E56" i="5"/>
  <c r="E58" i="5" s="1"/>
  <c r="F56" i="5"/>
  <c r="K56" i="5"/>
  <c r="F57" i="5"/>
  <c r="K57" i="5"/>
  <c r="F58" i="5"/>
  <c r="K58" i="5"/>
  <c r="K69" i="5"/>
  <c r="B70" i="5"/>
  <c r="B71" i="5" s="1"/>
  <c r="B72" i="5" s="1"/>
  <c r="C77" i="5" s="1"/>
  <c r="C70" i="5"/>
  <c r="C71" i="5" s="1"/>
  <c r="D70" i="5"/>
  <c r="D71" i="5" s="1"/>
  <c r="E70" i="5"/>
  <c r="F70" i="5"/>
  <c r="G70" i="5"/>
  <c r="G71" i="5" s="1"/>
  <c r="H70" i="5"/>
  <c r="K70" i="5"/>
  <c r="E71" i="5"/>
  <c r="F71" i="5"/>
  <c r="H71" i="5"/>
  <c r="H73" i="5" s="1"/>
  <c r="K71" i="5"/>
  <c r="K72" i="5"/>
  <c r="K73" i="5"/>
  <c r="B75" i="5"/>
  <c r="K84" i="5"/>
  <c r="B85" i="5"/>
  <c r="C85" i="5"/>
  <c r="C86" i="5" s="1"/>
  <c r="D85" i="5"/>
  <c r="D86" i="5" s="1"/>
  <c r="E85" i="5"/>
  <c r="F85" i="5"/>
  <c r="G85" i="5"/>
  <c r="H85" i="5"/>
  <c r="H86" i="5" s="1"/>
  <c r="K85" i="5"/>
  <c r="B86" i="5"/>
  <c r="B88" i="5" s="1"/>
  <c r="E86" i="5"/>
  <c r="F86" i="5"/>
  <c r="G86" i="5"/>
  <c r="K86" i="5"/>
  <c r="E87" i="5"/>
  <c r="K87" i="5"/>
  <c r="E88" i="5"/>
  <c r="K88" i="5"/>
  <c r="K100" i="5"/>
  <c r="B101" i="5"/>
  <c r="C101" i="5"/>
  <c r="C102" i="5" s="1"/>
  <c r="C20" i="5" s="1"/>
  <c r="D101" i="5"/>
  <c r="D19" i="5" s="1"/>
  <c r="E101" i="5"/>
  <c r="E19" i="5" s="1"/>
  <c r="E102" i="5"/>
  <c r="F101" i="5"/>
  <c r="F102" i="5" s="1"/>
  <c r="G101" i="5"/>
  <c r="K101" i="5"/>
  <c r="D102" i="5"/>
  <c r="K102" i="5"/>
  <c r="K103" i="5"/>
  <c r="D104" i="5"/>
  <c r="K104" i="5"/>
  <c r="B125" i="5"/>
  <c r="B126" i="5"/>
  <c r="B127" i="5"/>
  <c r="B128" i="5"/>
  <c r="B129" i="5"/>
  <c r="B130" i="5"/>
  <c r="L9" i="12"/>
  <c r="C10" i="12"/>
  <c r="D10" i="12"/>
  <c r="E10" i="12"/>
  <c r="E11" i="12"/>
  <c r="F10" i="12"/>
  <c r="G10" i="12"/>
  <c r="H10" i="12"/>
  <c r="I10" i="12"/>
  <c r="L10" i="12"/>
  <c r="I11" i="12"/>
  <c r="L11" i="12"/>
  <c r="L16" i="12"/>
  <c r="C17" i="12"/>
  <c r="D17" i="12"/>
  <c r="D18" i="12" s="1"/>
  <c r="E17" i="12"/>
  <c r="F17" i="12"/>
  <c r="G17" i="12"/>
  <c r="G18" i="12" s="1"/>
  <c r="H17" i="12"/>
  <c r="H18" i="12" s="1"/>
  <c r="I17" i="12"/>
  <c r="L17" i="12"/>
  <c r="I18" i="12"/>
  <c r="L18" i="12"/>
  <c r="L24" i="12"/>
  <c r="C25" i="12"/>
  <c r="D25" i="12"/>
  <c r="D11" i="22" s="1"/>
  <c r="D26" i="12"/>
  <c r="D12" i="22" s="1"/>
  <c r="E25" i="12"/>
  <c r="E11" i="22" s="1"/>
  <c r="F25" i="12"/>
  <c r="G25" i="12"/>
  <c r="G11" i="22" s="1"/>
  <c r="H25" i="12"/>
  <c r="H11" i="22" s="1"/>
  <c r="I25" i="12"/>
  <c r="I11" i="22" s="1"/>
  <c r="L25" i="12"/>
  <c r="K11" i="22" s="1"/>
  <c r="G26" i="12"/>
  <c r="G12" i="22" s="1"/>
  <c r="L26" i="12"/>
  <c r="K12" i="22" s="1"/>
  <c r="L32" i="12"/>
  <c r="K13" i="22" s="1"/>
  <c r="C33" i="12"/>
  <c r="C34" i="12" s="1"/>
  <c r="D33" i="12"/>
  <c r="D34" i="12"/>
  <c r="E33" i="12"/>
  <c r="F33" i="12"/>
  <c r="G33" i="12"/>
  <c r="H33" i="12"/>
  <c r="H34" i="12" s="1"/>
  <c r="I33" i="12"/>
  <c r="I34" i="12" s="1"/>
  <c r="L33" i="12"/>
  <c r="F34" i="12"/>
  <c r="G34" i="12"/>
  <c r="L34" i="12"/>
  <c r="L39" i="12"/>
  <c r="C40" i="12"/>
  <c r="C17" i="22" s="1"/>
  <c r="D40" i="12"/>
  <c r="E40" i="12"/>
  <c r="F40" i="12"/>
  <c r="G40" i="12"/>
  <c r="G17" i="22" s="1"/>
  <c r="H40" i="12"/>
  <c r="H17" i="22" s="1"/>
  <c r="I40" i="12"/>
  <c r="I17" i="22" s="1"/>
  <c r="J40" i="12"/>
  <c r="L40" i="12"/>
  <c r="K17" i="22" s="1"/>
  <c r="G41" i="12"/>
  <c r="L41" i="12"/>
  <c r="L46" i="12"/>
  <c r="K19" i="22" s="1"/>
  <c r="C47" i="12"/>
  <c r="D47" i="12"/>
  <c r="E47" i="12"/>
  <c r="F47" i="12"/>
  <c r="G47" i="12"/>
  <c r="H47" i="12"/>
  <c r="H48" i="12" s="1"/>
  <c r="H21" i="22" s="1"/>
  <c r="I47" i="12"/>
  <c r="I48" i="12" s="1"/>
  <c r="I21" i="22" s="1"/>
  <c r="J47" i="12"/>
  <c r="L47" i="12"/>
  <c r="F48" i="12"/>
  <c r="F21" i="22" s="1"/>
  <c r="G48" i="12"/>
  <c r="G21" i="22" s="1"/>
  <c r="L48" i="12"/>
  <c r="K21" i="22" s="1"/>
  <c r="L54" i="12"/>
  <c r="C55" i="12"/>
  <c r="C23" i="22" s="1"/>
  <c r="D55" i="12"/>
  <c r="D23" i="22" s="1"/>
  <c r="E55" i="12"/>
  <c r="E23" i="22" s="1"/>
  <c r="F55" i="12"/>
  <c r="G55" i="12"/>
  <c r="G23" i="22" s="1"/>
  <c r="H55" i="12"/>
  <c r="H23" i="22" s="1"/>
  <c r="I55" i="12"/>
  <c r="I23" i="22" s="1"/>
  <c r="J55" i="12"/>
  <c r="J23" i="22" s="1"/>
  <c r="L55" i="12"/>
  <c r="K23" i="22" s="1"/>
  <c r="C56" i="12"/>
  <c r="D56" i="12"/>
  <c r="H56" i="12"/>
  <c r="I56" i="12"/>
  <c r="L56" i="12"/>
  <c r="L61" i="12"/>
  <c r="K25" i="22" s="1"/>
  <c r="C62" i="12"/>
  <c r="D62" i="12"/>
  <c r="E62" i="12"/>
  <c r="F62" i="12"/>
  <c r="G62" i="12"/>
  <c r="H62" i="12"/>
  <c r="H26" i="22" s="1"/>
  <c r="I62" i="12"/>
  <c r="I26" i="22" s="1"/>
  <c r="J62" i="12"/>
  <c r="L62" i="12"/>
  <c r="K26" i="22" s="1"/>
  <c r="H63" i="12"/>
  <c r="L63" i="12"/>
  <c r="L68" i="12"/>
  <c r="C69" i="12"/>
  <c r="D69" i="12"/>
  <c r="E69" i="12"/>
  <c r="E29" i="22" s="1"/>
  <c r="F69" i="12"/>
  <c r="G69" i="12"/>
  <c r="H69" i="12"/>
  <c r="H29" i="22" s="1"/>
  <c r="I69" i="12"/>
  <c r="L69" i="12"/>
  <c r="K29" i="22" s="1"/>
  <c r="H70" i="12"/>
  <c r="H30" i="22" s="1"/>
  <c r="L70" i="12"/>
  <c r="K30" i="22" s="1"/>
  <c r="B139" i="12"/>
  <c r="B43" i="18"/>
  <c r="D43" i="18"/>
  <c r="F43" i="18"/>
  <c r="H43" i="18"/>
  <c r="L43" i="18"/>
  <c r="O43" i="18"/>
  <c r="P43" i="18"/>
  <c r="R43" i="18"/>
  <c r="S43" i="18"/>
  <c r="U43" i="18"/>
  <c r="V43" i="18"/>
  <c r="X43" i="18"/>
  <c r="B44" i="18"/>
  <c r="D44" i="18"/>
  <c r="F44" i="18"/>
  <c r="H44" i="18"/>
  <c r="L44" i="18"/>
  <c r="O44" i="18"/>
  <c r="P44" i="18"/>
  <c r="R44" i="18"/>
  <c r="S44" i="18"/>
  <c r="U44" i="18"/>
  <c r="V44" i="18"/>
  <c r="X44" i="18"/>
  <c r="B45" i="18"/>
  <c r="D45" i="18"/>
  <c r="F45" i="18"/>
  <c r="H45" i="18"/>
  <c r="L45" i="18"/>
  <c r="O45" i="18"/>
  <c r="P45" i="18"/>
  <c r="R45" i="18"/>
  <c r="S45" i="18"/>
  <c r="U45" i="18"/>
  <c r="V45" i="18"/>
  <c r="X45" i="18"/>
  <c r="B46" i="18"/>
  <c r="D46" i="18"/>
  <c r="F46" i="18"/>
  <c r="H46" i="18"/>
  <c r="L46" i="18"/>
  <c r="O46" i="18"/>
  <c r="P46" i="18"/>
  <c r="R46" i="18"/>
  <c r="S46" i="18"/>
  <c r="U46" i="18"/>
  <c r="V46" i="18"/>
  <c r="X46" i="18"/>
  <c r="B47" i="18"/>
  <c r="D47" i="18"/>
  <c r="F47" i="18"/>
  <c r="H47" i="18"/>
  <c r="L47" i="18"/>
  <c r="O47" i="18"/>
  <c r="P47" i="18"/>
  <c r="R47" i="18"/>
  <c r="S47" i="18"/>
  <c r="U47" i="18"/>
  <c r="V47" i="18"/>
  <c r="X47" i="18"/>
  <c r="B48" i="18"/>
  <c r="D48" i="18"/>
  <c r="F48" i="18"/>
  <c r="H48" i="18"/>
  <c r="L48" i="18"/>
  <c r="O48" i="18"/>
  <c r="P48" i="18"/>
  <c r="R48" i="18"/>
  <c r="S48" i="18"/>
  <c r="U48" i="18"/>
  <c r="V48" i="18"/>
  <c r="X48" i="18"/>
  <c r="B49" i="18"/>
  <c r="D49" i="18"/>
  <c r="F49" i="18"/>
  <c r="H49" i="18"/>
  <c r="L49" i="18"/>
  <c r="O49" i="18"/>
  <c r="P49" i="18"/>
  <c r="R49" i="18"/>
  <c r="S49" i="18"/>
  <c r="U49" i="18"/>
  <c r="V49" i="18"/>
  <c r="X49" i="18"/>
  <c r="B50" i="18"/>
  <c r="D50" i="18"/>
  <c r="F50" i="18"/>
  <c r="H50" i="18"/>
  <c r="L50" i="18"/>
  <c r="O50" i="18"/>
  <c r="P50" i="18"/>
  <c r="R50" i="18"/>
  <c r="S50" i="18"/>
  <c r="U50" i="18"/>
  <c r="V50" i="18"/>
  <c r="X50" i="18"/>
  <c r="B54" i="18"/>
  <c r="B55" i="18"/>
  <c r="B56" i="18"/>
  <c r="B57" i="18"/>
  <c r="B58" i="18"/>
  <c r="B59" i="18"/>
  <c r="B93" i="18"/>
  <c r="B99" i="18"/>
  <c r="D99" i="18"/>
  <c r="F99" i="18"/>
  <c r="B100" i="18"/>
  <c r="D100" i="18"/>
  <c r="F100" i="18"/>
  <c r="B101" i="18"/>
  <c r="D101" i="18"/>
  <c r="F101" i="18"/>
  <c r="B103" i="18"/>
  <c r="H100" i="18" s="1"/>
  <c r="D103" i="18"/>
  <c r="F103" i="18"/>
  <c r="B104" i="18"/>
  <c r="D104" i="18"/>
  <c r="F104" i="18"/>
  <c r="B105" i="18"/>
  <c r="D105" i="18"/>
  <c r="F105" i="18"/>
  <c r="H120" i="18" s="1"/>
  <c r="B107" i="18"/>
  <c r="D107" i="18"/>
  <c r="F107" i="18"/>
  <c r="B108" i="18"/>
  <c r="D108" i="18"/>
  <c r="F108" i="18"/>
  <c r="B109" i="18"/>
  <c r="D109" i="18"/>
  <c r="F109" i="18"/>
  <c r="B111" i="18"/>
  <c r="D111" i="18"/>
  <c r="H112" i="18"/>
  <c r="F111" i="18"/>
  <c r="B112" i="18"/>
  <c r="H102" i="18" s="1"/>
  <c r="D112" i="18"/>
  <c r="F112" i="18"/>
  <c r="B113" i="18"/>
  <c r="D113" i="18"/>
  <c r="F113" i="18"/>
  <c r="B115" i="18"/>
  <c r="D115" i="18"/>
  <c r="H113" i="18" s="1"/>
  <c r="F115" i="18"/>
  <c r="B116" i="18"/>
  <c r="D116" i="18"/>
  <c r="F116" i="18"/>
  <c r="B117" i="18"/>
  <c r="D117" i="18"/>
  <c r="F117" i="18"/>
  <c r="B119" i="18"/>
  <c r="H104" i="18" s="1"/>
  <c r="D119" i="18"/>
  <c r="F119" i="18"/>
  <c r="B120" i="18"/>
  <c r="D120" i="18"/>
  <c r="F120" i="18"/>
  <c r="B121" i="18"/>
  <c r="D121" i="18"/>
  <c r="F121" i="18"/>
  <c r="B125" i="18"/>
  <c r="D125" i="18"/>
  <c r="F125" i="18"/>
  <c r="B126" i="18"/>
  <c r="D126" i="18"/>
  <c r="F126" i="18"/>
  <c r="B127" i="18"/>
  <c r="D127" i="18"/>
  <c r="F127" i="18"/>
  <c r="B129" i="18"/>
  <c r="D129" i="18"/>
  <c r="F129" i="18"/>
  <c r="B130" i="18"/>
  <c r="D130" i="18"/>
  <c r="F130" i="18"/>
  <c r="H150" i="18" s="1"/>
  <c r="B131" i="18"/>
  <c r="D131" i="18"/>
  <c r="F131" i="18"/>
  <c r="B133" i="18"/>
  <c r="D133" i="18"/>
  <c r="F133" i="18"/>
  <c r="B134" i="18"/>
  <c r="H131" i="18" s="1"/>
  <c r="D134" i="18"/>
  <c r="F134" i="18"/>
  <c r="B135" i="18"/>
  <c r="D135" i="18"/>
  <c r="F135" i="18"/>
  <c r="B137" i="18"/>
  <c r="D137" i="18"/>
  <c r="F137" i="18"/>
  <c r="B138" i="18"/>
  <c r="D138" i="18"/>
  <c r="H142" i="18" s="1"/>
  <c r="F138" i="18"/>
  <c r="B139" i="18"/>
  <c r="D139" i="18"/>
  <c r="F139" i="18"/>
  <c r="B141" i="18"/>
  <c r="D141" i="18"/>
  <c r="F141" i="18"/>
  <c r="B142" i="18"/>
  <c r="D142" i="18"/>
  <c r="F142" i="18"/>
  <c r="B143" i="18"/>
  <c r="D143" i="18"/>
  <c r="F143" i="18"/>
  <c r="B145" i="18"/>
  <c r="D145" i="18"/>
  <c r="F145" i="18"/>
  <c r="B146" i="18"/>
  <c r="D146" i="18"/>
  <c r="F146" i="18"/>
  <c r="B147" i="18"/>
  <c r="D147" i="18"/>
  <c r="F147" i="18"/>
  <c r="B43" i="17"/>
  <c r="D43" i="17"/>
  <c r="F43" i="17"/>
  <c r="H43" i="17"/>
  <c r="L43" i="17"/>
  <c r="O43" i="17"/>
  <c r="P43" i="17"/>
  <c r="R43" i="17"/>
  <c r="S43" i="17"/>
  <c r="U43" i="17"/>
  <c r="V43" i="17"/>
  <c r="X43" i="17"/>
  <c r="B44" i="17"/>
  <c r="D44" i="17"/>
  <c r="F44" i="17"/>
  <c r="H44" i="17"/>
  <c r="L44" i="17"/>
  <c r="O44" i="17"/>
  <c r="P44" i="17"/>
  <c r="R44" i="17"/>
  <c r="S44" i="17"/>
  <c r="U44" i="17"/>
  <c r="V44" i="17"/>
  <c r="X44" i="17"/>
  <c r="B45" i="17"/>
  <c r="D45" i="17"/>
  <c r="F45" i="17"/>
  <c r="H45" i="17"/>
  <c r="L45" i="17"/>
  <c r="O45" i="17"/>
  <c r="P45" i="17"/>
  <c r="R45" i="17"/>
  <c r="S45" i="17"/>
  <c r="U45" i="17"/>
  <c r="V45" i="17"/>
  <c r="X45" i="17"/>
  <c r="B46" i="17"/>
  <c r="D46" i="17"/>
  <c r="F46" i="17"/>
  <c r="H46" i="17"/>
  <c r="L46" i="17"/>
  <c r="O46" i="17"/>
  <c r="P46" i="17"/>
  <c r="R46" i="17"/>
  <c r="S46" i="17"/>
  <c r="U46" i="17"/>
  <c r="V46" i="17"/>
  <c r="X46" i="17"/>
  <c r="B47" i="17"/>
  <c r="D47" i="17"/>
  <c r="F47" i="17"/>
  <c r="H47" i="17"/>
  <c r="L47" i="17"/>
  <c r="O47" i="17"/>
  <c r="P47" i="17"/>
  <c r="R47" i="17"/>
  <c r="S47" i="17"/>
  <c r="U47" i="17"/>
  <c r="V47" i="17"/>
  <c r="X47" i="17"/>
  <c r="B48" i="17"/>
  <c r="D48" i="17"/>
  <c r="F48" i="17"/>
  <c r="H48" i="17"/>
  <c r="L48" i="17"/>
  <c r="O48" i="17"/>
  <c r="P48" i="17"/>
  <c r="R48" i="17"/>
  <c r="S48" i="17"/>
  <c r="U48" i="17"/>
  <c r="V48" i="17"/>
  <c r="X48" i="17"/>
  <c r="B49" i="17"/>
  <c r="D49" i="17"/>
  <c r="F49" i="17"/>
  <c r="H49" i="17"/>
  <c r="L49" i="17"/>
  <c r="O49" i="17"/>
  <c r="P49" i="17"/>
  <c r="R49" i="17"/>
  <c r="S49" i="17"/>
  <c r="U49" i="17"/>
  <c r="V49" i="17"/>
  <c r="X49" i="17"/>
  <c r="B50" i="17"/>
  <c r="D50" i="17"/>
  <c r="F50" i="17"/>
  <c r="H50" i="17"/>
  <c r="L50" i="17"/>
  <c r="O50" i="17"/>
  <c r="P50" i="17"/>
  <c r="R50" i="17"/>
  <c r="S50" i="17"/>
  <c r="U50" i="17"/>
  <c r="V50" i="17"/>
  <c r="X50" i="17"/>
  <c r="B54" i="17"/>
  <c r="B55" i="17"/>
  <c r="B56" i="17"/>
  <c r="B57" i="17"/>
  <c r="B58" i="17"/>
  <c r="B59" i="17"/>
  <c r="B93" i="17"/>
  <c r="B99" i="17"/>
  <c r="H99" i="17" s="1"/>
  <c r="D99" i="17"/>
  <c r="F99" i="17"/>
  <c r="B100" i="17"/>
  <c r="D100" i="17"/>
  <c r="F100" i="17"/>
  <c r="B101" i="17"/>
  <c r="D101" i="17"/>
  <c r="F101" i="17"/>
  <c r="H119" i="17" s="1"/>
  <c r="B103" i="17"/>
  <c r="H100" i="17" s="1"/>
  <c r="D103" i="17"/>
  <c r="F103" i="17"/>
  <c r="B104" i="17"/>
  <c r="D104" i="17"/>
  <c r="F104" i="17"/>
  <c r="B105" i="17"/>
  <c r="D105" i="17"/>
  <c r="F105" i="17"/>
  <c r="B107" i="17"/>
  <c r="D107" i="17"/>
  <c r="F107" i="17"/>
  <c r="B108" i="17"/>
  <c r="D108" i="17"/>
  <c r="H111" i="17" s="1"/>
  <c r="F108" i="17"/>
  <c r="H121" i="17" s="1"/>
  <c r="B109" i="17"/>
  <c r="D109" i="17"/>
  <c r="F109" i="17"/>
  <c r="B111" i="17"/>
  <c r="D111" i="17"/>
  <c r="F111" i="17"/>
  <c r="B112" i="17"/>
  <c r="H102" i="17" s="1"/>
  <c r="D112" i="17"/>
  <c r="F112" i="17"/>
  <c r="B113" i="17"/>
  <c r="D113" i="17"/>
  <c r="F113" i="17"/>
  <c r="B115" i="17"/>
  <c r="D115" i="17"/>
  <c r="H113" i="17" s="1"/>
  <c r="F115" i="17"/>
  <c r="B116" i="17"/>
  <c r="D116" i="17"/>
  <c r="F116" i="17"/>
  <c r="B117" i="17"/>
  <c r="D117" i="17"/>
  <c r="F117" i="17"/>
  <c r="B119" i="17"/>
  <c r="H104" i="17" s="1"/>
  <c r="D119" i="17"/>
  <c r="F119" i="17"/>
  <c r="B120" i="17"/>
  <c r="D120" i="17"/>
  <c r="F120" i="17"/>
  <c r="B121" i="17"/>
  <c r="D121" i="17"/>
  <c r="F121" i="17"/>
  <c r="B125" i="17"/>
  <c r="D125" i="17"/>
  <c r="F125" i="17"/>
  <c r="B126" i="17"/>
  <c r="D126" i="17"/>
  <c r="F126" i="17"/>
  <c r="B127" i="17"/>
  <c r="D127" i="17"/>
  <c r="F127" i="17"/>
  <c r="B129" i="17"/>
  <c r="D129" i="17"/>
  <c r="F129" i="17"/>
  <c r="B130" i="17"/>
  <c r="D130" i="17"/>
  <c r="F130" i="17"/>
  <c r="H150" i="17" s="1"/>
  <c r="B131" i="17"/>
  <c r="D131" i="17"/>
  <c r="F131" i="17"/>
  <c r="B133" i="17"/>
  <c r="D133" i="17"/>
  <c r="F133" i="17"/>
  <c r="B134" i="17"/>
  <c r="H131" i="17"/>
  <c r="D134" i="17"/>
  <c r="H141" i="17" s="1"/>
  <c r="F134" i="17"/>
  <c r="B135" i="17"/>
  <c r="D135" i="17"/>
  <c r="F135" i="17"/>
  <c r="B137" i="17"/>
  <c r="D137" i="17"/>
  <c r="F137" i="17"/>
  <c r="H152" i="17" s="1"/>
  <c r="B138" i="17"/>
  <c r="D138" i="17"/>
  <c r="F138" i="17"/>
  <c r="B139" i="17"/>
  <c r="D139" i="17"/>
  <c r="F139" i="17"/>
  <c r="H139" i="17"/>
  <c r="H140" i="17"/>
  <c r="B141" i="17"/>
  <c r="D141" i="17"/>
  <c r="F141" i="17"/>
  <c r="B142" i="17"/>
  <c r="D142" i="17"/>
  <c r="F142" i="17"/>
  <c r="H153" i="17"/>
  <c r="H142" i="17"/>
  <c r="B143" i="17"/>
  <c r="D143" i="17"/>
  <c r="F143" i="17"/>
  <c r="B145" i="17"/>
  <c r="D145" i="17"/>
  <c r="F145" i="17"/>
  <c r="B146" i="17"/>
  <c r="H134" i="17" s="1"/>
  <c r="D146" i="17"/>
  <c r="F146" i="17"/>
  <c r="B147" i="17"/>
  <c r="D147" i="17"/>
  <c r="F147" i="17"/>
  <c r="H149" i="17"/>
  <c r="B43" i="16"/>
  <c r="D43" i="16"/>
  <c r="F43" i="16"/>
  <c r="H43" i="16"/>
  <c r="L43" i="16"/>
  <c r="O43" i="16"/>
  <c r="P43" i="16"/>
  <c r="R43" i="16"/>
  <c r="S43" i="16"/>
  <c r="U43" i="16"/>
  <c r="V43" i="16"/>
  <c r="X43" i="16"/>
  <c r="B44" i="16"/>
  <c r="D44" i="16"/>
  <c r="F44" i="16"/>
  <c r="H44" i="16"/>
  <c r="L44" i="16"/>
  <c r="O44" i="16"/>
  <c r="P44" i="16"/>
  <c r="R44" i="16"/>
  <c r="S44" i="16"/>
  <c r="U44" i="16"/>
  <c r="V44" i="16"/>
  <c r="X44" i="16"/>
  <c r="B45" i="16"/>
  <c r="D45" i="16"/>
  <c r="F45" i="16"/>
  <c r="H45" i="16"/>
  <c r="L45" i="16"/>
  <c r="O45" i="16"/>
  <c r="P45" i="16"/>
  <c r="R45" i="16"/>
  <c r="S45" i="16"/>
  <c r="U45" i="16"/>
  <c r="V45" i="16"/>
  <c r="X45" i="16"/>
  <c r="B46" i="16"/>
  <c r="D46" i="16"/>
  <c r="F46" i="16"/>
  <c r="H46" i="16"/>
  <c r="L46" i="16"/>
  <c r="O46" i="16"/>
  <c r="P46" i="16"/>
  <c r="R46" i="16"/>
  <c r="S46" i="16"/>
  <c r="U46" i="16"/>
  <c r="V46" i="16"/>
  <c r="X46" i="16"/>
  <c r="B47" i="16"/>
  <c r="D47" i="16"/>
  <c r="F47" i="16"/>
  <c r="H47" i="16"/>
  <c r="L47" i="16"/>
  <c r="O47" i="16"/>
  <c r="P47" i="16"/>
  <c r="R47" i="16"/>
  <c r="S47" i="16"/>
  <c r="U47" i="16"/>
  <c r="V47" i="16"/>
  <c r="X47" i="16"/>
  <c r="B48" i="16"/>
  <c r="D48" i="16"/>
  <c r="F48" i="16"/>
  <c r="H48" i="16"/>
  <c r="L48" i="16"/>
  <c r="O48" i="16"/>
  <c r="P48" i="16"/>
  <c r="R48" i="16"/>
  <c r="S48" i="16"/>
  <c r="U48" i="16"/>
  <c r="V48" i="16"/>
  <c r="X48" i="16"/>
  <c r="B49" i="16"/>
  <c r="D49" i="16"/>
  <c r="F49" i="16"/>
  <c r="H49" i="16"/>
  <c r="L49" i="16"/>
  <c r="O49" i="16"/>
  <c r="P49" i="16"/>
  <c r="R49" i="16"/>
  <c r="S49" i="16"/>
  <c r="U49" i="16"/>
  <c r="V49" i="16"/>
  <c r="X49" i="16"/>
  <c r="B50" i="16"/>
  <c r="D50" i="16"/>
  <c r="F50" i="16"/>
  <c r="H50" i="16"/>
  <c r="L50" i="16"/>
  <c r="O50" i="16"/>
  <c r="P50" i="16"/>
  <c r="R50" i="16"/>
  <c r="S50" i="16"/>
  <c r="U50" i="16"/>
  <c r="V50" i="16"/>
  <c r="X50" i="16"/>
  <c r="B54" i="16"/>
  <c r="B55" i="16"/>
  <c r="B56" i="16"/>
  <c r="B57" i="16"/>
  <c r="B58" i="16"/>
  <c r="B59" i="16"/>
  <c r="B93" i="16"/>
  <c r="B99" i="16"/>
  <c r="D99" i="16"/>
  <c r="F99" i="16"/>
  <c r="B100" i="16"/>
  <c r="D100" i="16"/>
  <c r="F100" i="16"/>
  <c r="B101" i="16"/>
  <c r="D101" i="16"/>
  <c r="F101" i="16"/>
  <c r="B103" i="16"/>
  <c r="D103" i="16"/>
  <c r="F103" i="16"/>
  <c r="B104" i="16"/>
  <c r="D104" i="16"/>
  <c r="F104" i="16"/>
  <c r="B105" i="16"/>
  <c r="D105" i="16"/>
  <c r="F105" i="16"/>
  <c r="B107" i="16"/>
  <c r="D107" i="16"/>
  <c r="F107" i="16"/>
  <c r="B108" i="16"/>
  <c r="D108" i="16"/>
  <c r="F108" i="16"/>
  <c r="B109" i="16"/>
  <c r="D109" i="16"/>
  <c r="F109" i="16"/>
  <c r="B111" i="16"/>
  <c r="D111" i="16"/>
  <c r="F111" i="16"/>
  <c r="B112" i="16"/>
  <c r="D112" i="16"/>
  <c r="F112" i="16"/>
  <c r="B113" i="16"/>
  <c r="D113" i="16"/>
  <c r="F113" i="16"/>
  <c r="B115" i="16"/>
  <c r="D115" i="16"/>
  <c r="F115" i="16"/>
  <c r="B116" i="16"/>
  <c r="D116" i="16"/>
  <c r="F116" i="16"/>
  <c r="B117" i="16"/>
  <c r="D117" i="16"/>
  <c r="F117" i="16"/>
  <c r="B119" i="16"/>
  <c r="D119" i="16"/>
  <c r="F119" i="16"/>
  <c r="B120" i="16"/>
  <c r="D120" i="16"/>
  <c r="F120" i="16"/>
  <c r="B121" i="16"/>
  <c r="D121" i="16"/>
  <c r="F121" i="16"/>
  <c r="B125" i="16"/>
  <c r="D125" i="16"/>
  <c r="F125" i="16"/>
  <c r="B126" i="16"/>
  <c r="D126" i="16"/>
  <c r="F126" i="16"/>
  <c r="B127" i="16"/>
  <c r="D127" i="16"/>
  <c r="F127" i="16"/>
  <c r="B129" i="16"/>
  <c r="D129" i="16"/>
  <c r="F129" i="16"/>
  <c r="B130" i="16"/>
  <c r="D130" i="16"/>
  <c r="F130" i="16"/>
  <c r="B131" i="16"/>
  <c r="D131" i="16"/>
  <c r="F131" i="16"/>
  <c r="B133" i="16"/>
  <c r="D133" i="16"/>
  <c r="F133" i="16"/>
  <c r="B134" i="16"/>
  <c r="D134" i="16"/>
  <c r="F134" i="16"/>
  <c r="B135" i="16"/>
  <c r="D135" i="16"/>
  <c r="F135" i="16"/>
  <c r="B137" i="16"/>
  <c r="D137" i="16"/>
  <c r="F137" i="16"/>
  <c r="B138" i="16"/>
  <c r="D138" i="16"/>
  <c r="F138" i="16"/>
  <c r="B139" i="16"/>
  <c r="D139" i="16"/>
  <c r="F139" i="16"/>
  <c r="B141" i="16"/>
  <c r="D141" i="16"/>
  <c r="F141" i="16"/>
  <c r="B142" i="16"/>
  <c r="D142" i="16"/>
  <c r="F142" i="16"/>
  <c r="B143" i="16"/>
  <c r="D143" i="16"/>
  <c r="F143" i="16"/>
  <c r="B145" i="16"/>
  <c r="D145" i="16"/>
  <c r="F145" i="16"/>
  <c r="B146" i="16"/>
  <c r="D146" i="16"/>
  <c r="F146" i="16"/>
  <c r="B147" i="16"/>
  <c r="D147" i="16"/>
  <c r="F147" i="16"/>
  <c r="B87" i="5"/>
  <c r="F33" i="5"/>
  <c r="F43" i="5"/>
  <c r="C72" i="5"/>
  <c r="C73" i="5"/>
  <c r="D33" i="5"/>
  <c r="H103" i="17"/>
  <c r="H111" i="18"/>
  <c r="G19" i="5"/>
  <c r="G102" i="5"/>
  <c r="G103" i="5" s="1"/>
  <c r="H123" i="17"/>
  <c r="H133" i="17"/>
  <c r="H124" i="18"/>
  <c r="H143" i="18"/>
  <c r="H130" i="17"/>
  <c r="S38" i="18"/>
  <c r="H39" i="16"/>
  <c r="O36" i="16"/>
  <c r="F35" i="16"/>
  <c r="H41" i="18"/>
  <c r="D37" i="16"/>
  <c r="H37" i="17"/>
  <c r="R39" i="17"/>
  <c r="P36" i="17"/>
  <c r="S35" i="18"/>
  <c r="D36" i="17"/>
  <c r="U37" i="16"/>
  <c r="U35" i="17"/>
  <c r="P40" i="17"/>
  <c r="D40" i="18"/>
  <c r="X39" i="16"/>
  <c r="U40" i="17"/>
  <c r="V40" i="16"/>
  <c r="L34" i="18"/>
  <c r="B36" i="17"/>
  <c r="H40" i="18"/>
  <c r="D41" i="17"/>
  <c r="B37" i="17"/>
  <c r="R35" i="16"/>
  <c r="B39" i="16"/>
  <c r="V34" i="18"/>
  <c r="F38" i="16"/>
  <c r="X34" i="17"/>
  <c r="R36" i="18"/>
  <c r="D37" i="18"/>
  <c r="X36" i="18"/>
  <c r="D35" i="18"/>
  <c r="V37" i="16"/>
  <c r="B36" i="16"/>
  <c r="R38" i="16"/>
  <c r="H36" i="16"/>
  <c r="F36" i="17"/>
  <c r="S38" i="16"/>
  <c r="V34" i="17"/>
  <c r="B41" i="16"/>
  <c r="V35" i="16"/>
  <c r="D38" i="16"/>
  <c r="P39" i="16"/>
  <c r="L34" i="16"/>
  <c r="U34" i="18"/>
  <c r="L38" i="18"/>
  <c r="U41" i="16"/>
  <c r="B39" i="18"/>
  <c r="P39" i="18"/>
  <c r="H37" i="18"/>
  <c r="P35" i="18"/>
  <c r="B38" i="16"/>
  <c r="S41" i="16"/>
  <c r="L40" i="17"/>
  <c r="B38" i="17"/>
  <c r="U38" i="16"/>
  <c r="B34" i="18"/>
  <c r="L39" i="17"/>
  <c r="F37" i="16"/>
  <c r="L36" i="16"/>
  <c r="D38" i="17"/>
  <c r="V39" i="16"/>
  <c r="S34" i="16"/>
  <c r="V40" i="17"/>
  <c r="S39" i="17"/>
  <c r="L35" i="17"/>
  <c r="U39" i="16"/>
  <c r="O36" i="18"/>
  <c r="F41" i="17"/>
  <c r="U36" i="16"/>
  <c r="U37" i="18"/>
  <c r="F39" i="18"/>
  <c r="D40" i="17"/>
  <c r="F34" i="17"/>
  <c r="B40" i="16"/>
  <c r="O34" i="16"/>
  <c r="X36" i="17"/>
  <c r="U40" i="18"/>
  <c r="L36" i="17"/>
  <c r="B35" i="18"/>
  <c r="R37" i="17"/>
  <c r="S40" i="18"/>
  <c r="P40" i="16"/>
  <c r="L38" i="16"/>
  <c r="D34" i="16"/>
  <c r="F40" i="17"/>
  <c r="S38" i="17"/>
  <c r="D39" i="18"/>
  <c r="X34" i="18"/>
  <c r="H35" i="18"/>
  <c r="O40" i="16"/>
  <c r="X41" i="16"/>
  <c r="P40" i="18"/>
  <c r="S39" i="18"/>
  <c r="B36" i="18"/>
  <c r="F35" i="17"/>
  <c r="O37" i="18"/>
  <c r="L37" i="18"/>
  <c r="D36" i="18"/>
  <c r="U36" i="17"/>
  <c r="V36" i="18"/>
  <c r="B41" i="18"/>
  <c r="R36" i="17"/>
  <c r="P34" i="16"/>
  <c r="U39" i="17"/>
  <c r="X41" i="18"/>
  <c r="S34" i="18"/>
  <c r="F40" i="18"/>
  <c r="O40" i="17"/>
  <c r="X39" i="18"/>
  <c r="X38" i="16"/>
  <c r="R34" i="16"/>
  <c r="D36" i="16"/>
  <c r="L39" i="18"/>
  <c r="D38" i="18"/>
  <c r="U34" i="16"/>
  <c r="D39" i="17"/>
  <c r="R34" i="18"/>
  <c r="R36" i="16"/>
  <c r="X40" i="18"/>
  <c r="D41" i="16"/>
  <c r="L38" i="17"/>
  <c r="R41" i="16"/>
  <c r="F37" i="17"/>
  <c r="S41" i="18"/>
  <c r="S36" i="16"/>
  <c r="O34" i="18"/>
  <c r="V41" i="17"/>
  <c r="L41" i="16"/>
  <c r="V40" i="18"/>
  <c r="H34" i="17"/>
  <c r="X35" i="18"/>
  <c r="R38" i="18"/>
  <c r="U37" i="17"/>
  <c r="H38" i="17"/>
  <c r="R34" i="17"/>
  <c r="B37" i="16"/>
  <c r="O38" i="18"/>
  <c r="L39" i="16"/>
  <c r="F37" i="18"/>
  <c r="P37" i="18"/>
  <c r="X37" i="17"/>
  <c r="F39" i="17"/>
  <c r="F36" i="16"/>
  <c r="O37" i="17"/>
  <c r="H39" i="17"/>
  <c r="O35" i="18"/>
  <c r="D34" i="18"/>
  <c r="F35" i="18"/>
  <c r="P36" i="16"/>
  <c r="R35" i="18"/>
  <c r="X37" i="16"/>
  <c r="H41" i="17"/>
  <c r="L34" i="17"/>
  <c r="H39" i="18"/>
  <c r="V36" i="17"/>
  <c r="O38" i="16"/>
  <c r="V35" i="18"/>
  <c r="O39" i="16"/>
  <c r="V39" i="18"/>
  <c r="X40" i="17"/>
  <c r="U41" i="17"/>
  <c r="F34" i="18"/>
  <c r="U35" i="18"/>
  <c r="H35" i="17"/>
  <c r="L40" i="16"/>
  <c r="D41" i="18"/>
  <c r="S37" i="16"/>
  <c r="P38" i="18"/>
  <c r="V35" i="17"/>
  <c r="O34" i="17"/>
  <c r="D35" i="17"/>
  <c r="X37" i="18"/>
  <c r="X35" i="16"/>
  <c r="R35" i="17"/>
  <c r="H40" i="17"/>
  <c r="B39" i="17"/>
  <c r="L35" i="16"/>
  <c r="U38" i="17"/>
  <c r="F40" i="16"/>
  <c r="U40" i="16"/>
  <c r="X41" i="17"/>
  <c r="R40" i="17"/>
  <c r="X40" i="16"/>
  <c r="L37" i="17"/>
  <c r="F36" i="18"/>
  <c r="L36" i="18"/>
  <c r="O41" i="16"/>
  <c r="B41" i="17"/>
  <c r="O39" i="17"/>
  <c r="S39" i="16"/>
  <c r="H37" i="16"/>
  <c r="V34" i="16"/>
  <c r="D40" i="16"/>
  <c r="B40" i="17"/>
  <c r="P41" i="18"/>
  <c r="F38" i="18"/>
  <c r="V39" i="17"/>
  <c r="B37" i="18"/>
  <c r="H36" i="18"/>
  <c r="O41" i="17"/>
  <c r="O35" i="17"/>
  <c r="F39" i="16"/>
  <c r="S35" i="16"/>
  <c r="R39" i="16"/>
  <c r="D37" i="17"/>
  <c r="P41" i="16"/>
  <c r="B35" i="16"/>
  <c r="V38" i="16"/>
  <c r="V37" i="17"/>
  <c r="B38" i="18"/>
  <c r="F34" i="16"/>
  <c r="X38" i="17"/>
  <c r="S40" i="17"/>
  <c r="R41" i="18"/>
  <c r="P38" i="16"/>
  <c r="O38" i="17"/>
  <c r="X36" i="16"/>
  <c r="P41" i="17"/>
  <c r="H34" i="18"/>
  <c r="F41" i="16"/>
  <c r="S37" i="17"/>
  <c r="P37" i="16"/>
  <c r="U41" i="18"/>
  <c r="H40" i="16"/>
  <c r="R38" i="17"/>
  <c r="U34" i="17"/>
  <c r="S41" i="17"/>
  <c r="V37" i="18"/>
  <c r="B34" i="16"/>
  <c r="D34" i="17"/>
  <c r="X38" i="18"/>
  <c r="P38" i="17"/>
  <c r="V41" i="18"/>
  <c r="X35" i="17"/>
  <c r="R40" i="18"/>
  <c r="S36" i="18"/>
  <c r="U38" i="18"/>
  <c r="R39" i="18"/>
  <c r="B40" i="18"/>
  <c r="S35" i="17"/>
  <c r="R37" i="18"/>
  <c r="B34" i="17"/>
  <c r="O39" i="18"/>
  <c r="P35" i="17"/>
  <c r="O37" i="16"/>
  <c r="U35" i="16"/>
  <c r="D39" i="16"/>
  <c r="P34" i="17"/>
  <c r="O35" i="16"/>
  <c r="H38" i="16"/>
  <c r="B35" i="17"/>
  <c r="V41" i="16"/>
  <c r="F38" i="17"/>
  <c r="S36" i="17"/>
  <c r="P34" i="18"/>
  <c r="L41" i="18"/>
  <c r="S34" i="17"/>
  <c r="V38" i="17"/>
  <c r="L41" i="17"/>
  <c r="S40" i="16"/>
  <c r="D35" i="16"/>
  <c r="O36" i="17"/>
  <c r="X39" i="17"/>
  <c r="L40" i="18"/>
  <c r="V36" i="16"/>
  <c r="X34" i="16"/>
  <c r="R41" i="17"/>
  <c r="H34" i="16"/>
  <c r="O41" i="18"/>
  <c r="U39" i="18"/>
  <c r="O40" i="18"/>
  <c r="U36" i="18"/>
  <c r="H38" i="18"/>
  <c r="V38" i="18"/>
  <c r="P39" i="17"/>
  <c r="H35" i="16"/>
  <c r="P37" i="17"/>
  <c r="F41" i="18"/>
  <c r="R37" i="16"/>
  <c r="H36" i="17"/>
  <c r="R40" i="16"/>
  <c r="P35" i="16"/>
  <c r="L35" i="18"/>
  <c r="L37" i="16"/>
  <c r="H41" i="16"/>
  <c r="P36" i="18"/>
  <c r="S37" i="18"/>
  <c r="G9" i="22" l="1"/>
  <c r="I56" i="23"/>
  <c r="I27" i="23"/>
  <c r="I24" i="23"/>
  <c r="I25" i="23"/>
  <c r="I49" i="23"/>
  <c r="I35" i="23"/>
  <c r="I8" i="23"/>
  <c r="G57" i="5"/>
  <c r="G58" i="5"/>
  <c r="F24" i="23"/>
  <c r="D9" i="22"/>
  <c r="F35" i="23"/>
  <c r="F8" i="23"/>
  <c r="F25" i="23"/>
  <c r="F27" i="23"/>
  <c r="F49" i="23"/>
  <c r="F56" i="23"/>
  <c r="D87" i="5"/>
  <c r="D88" i="5"/>
  <c r="C15" i="22"/>
  <c r="E38" i="23"/>
  <c r="G32" i="5"/>
  <c r="G33" i="5"/>
  <c r="I15" i="22"/>
  <c r="K38" i="23"/>
  <c r="G44" i="5"/>
  <c r="G43" i="5"/>
  <c r="H15" i="22"/>
  <c r="J38" i="23"/>
  <c r="J8" i="23"/>
  <c r="H9" i="22"/>
  <c r="J24" i="23"/>
  <c r="J27" i="23"/>
  <c r="J49" i="23"/>
  <c r="J56" i="23"/>
  <c r="J25" i="23"/>
  <c r="J35" i="23"/>
  <c r="H132" i="17"/>
  <c r="H134" i="18"/>
  <c r="H133" i="18"/>
  <c r="H151" i="18"/>
  <c r="E70" i="12"/>
  <c r="E30" i="22" s="1"/>
  <c r="C70" i="12"/>
  <c r="C30" i="22" s="1"/>
  <c r="C29" i="22"/>
  <c r="J56" i="12"/>
  <c r="K22" i="22"/>
  <c r="M36" i="23"/>
  <c r="K18" i="22"/>
  <c r="M5" i="23"/>
  <c r="F14" i="22"/>
  <c r="H37" i="23"/>
  <c r="I26" i="12"/>
  <c r="I12" i="22" s="1"/>
  <c r="E26" i="12"/>
  <c r="E12" i="22" s="1"/>
  <c r="K29" i="23"/>
  <c r="I5" i="22"/>
  <c r="K4" i="22"/>
  <c r="M17" i="23"/>
  <c r="M47" i="23"/>
  <c r="C19" i="5"/>
  <c r="H144" i="17"/>
  <c r="H143" i="17"/>
  <c r="H109" i="17"/>
  <c r="H152" i="18"/>
  <c r="H132" i="18"/>
  <c r="H141" i="18"/>
  <c r="AL29" i="22"/>
  <c r="AB29" i="22"/>
  <c r="L29" i="22"/>
  <c r="V29" i="22"/>
  <c r="AH29" i="22"/>
  <c r="AK29" i="22"/>
  <c r="O29" i="22"/>
  <c r="N29" i="22"/>
  <c r="W29" i="22"/>
  <c r="AF29" i="22"/>
  <c r="X29" i="22"/>
  <c r="R29" i="22"/>
  <c r="AC29" i="22"/>
  <c r="AA29" i="22"/>
  <c r="AI29" i="22"/>
  <c r="P29" i="22"/>
  <c r="AG29" i="22"/>
  <c r="M29" i="22"/>
  <c r="K28" i="22"/>
  <c r="M16" i="23"/>
  <c r="G63" i="12"/>
  <c r="G26" i="22"/>
  <c r="I24" i="22"/>
  <c r="K18" i="23"/>
  <c r="AE21" i="22"/>
  <c r="N21" i="22"/>
  <c r="S21" i="22"/>
  <c r="AC21" i="22"/>
  <c r="H20" i="22"/>
  <c r="J6" i="23"/>
  <c r="G18" i="22"/>
  <c r="I5" i="23"/>
  <c r="F41" i="12"/>
  <c r="F17" i="22"/>
  <c r="G15" i="22"/>
  <c r="I38" i="23"/>
  <c r="E34" i="12"/>
  <c r="G37" i="23"/>
  <c r="E14" i="22"/>
  <c r="H26" i="12"/>
  <c r="H12" i="22" s="1"/>
  <c r="D8" i="22"/>
  <c r="F58" i="23"/>
  <c r="F57" i="23"/>
  <c r="F45" i="23"/>
  <c r="F59" i="23"/>
  <c r="H5" i="22"/>
  <c r="J29" i="23"/>
  <c r="H154" i="17"/>
  <c r="H110" i="18"/>
  <c r="H99" i="18"/>
  <c r="I70" i="12"/>
  <c r="I30" i="22" s="1"/>
  <c r="I29" i="22"/>
  <c r="K27" i="22"/>
  <c r="M9" i="23"/>
  <c r="M15" i="23"/>
  <c r="F63" i="12"/>
  <c r="F26" i="22"/>
  <c r="H24" i="22"/>
  <c r="J18" i="23"/>
  <c r="G20" i="22"/>
  <c r="I6" i="23"/>
  <c r="N17" i="22"/>
  <c r="AB17" i="22"/>
  <c r="AL17" i="22"/>
  <c r="E41" i="12"/>
  <c r="E17" i="22"/>
  <c r="AF17" i="22" s="1"/>
  <c r="F15" i="22"/>
  <c r="H38" i="23"/>
  <c r="F38" i="23"/>
  <c r="F40" i="23" s="1"/>
  <c r="D15" i="22"/>
  <c r="K8" i="22"/>
  <c r="M59" i="23"/>
  <c r="M58" i="23"/>
  <c r="M57" i="23"/>
  <c r="M45" i="23"/>
  <c r="C18" i="12"/>
  <c r="C8" i="22"/>
  <c r="E58" i="23"/>
  <c r="E45" i="23"/>
  <c r="E57" i="23"/>
  <c r="E59" i="23"/>
  <c r="G11" i="12"/>
  <c r="G5" i="22"/>
  <c r="I29" i="23"/>
  <c r="H153" i="18"/>
  <c r="H130" i="18"/>
  <c r="H139" i="18"/>
  <c r="H119" i="18"/>
  <c r="I63" i="12"/>
  <c r="E63" i="12"/>
  <c r="E26" i="22"/>
  <c r="G56" i="12"/>
  <c r="F56" i="12"/>
  <c r="F23" i="22"/>
  <c r="F20" i="22"/>
  <c r="H6" i="23"/>
  <c r="J41" i="12"/>
  <c r="J17" i="22"/>
  <c r="D41" i="12"/>
  <c r="D17" i="22"/>
  <c r="K14" i="22"/>
  <c r="M37" i="23"/>
  <c r="D14" i="22"/>
  <c r="F37" i="23"/>
  <c r="AB11" i="22"/>
  <c r="L11" i="22"/>
  <c r="R11" i="22"/>
  <c r="T11" i="22"/>
  <c r="AF11" i="22"/>
  <c r="AC11" i="22"/>
  <c r="AK11" i="22"/>
  <c r="N11" i="22"/>
  <c r="V11" i="22"/>
  <c r="X11" i="22"/>
  <c r="AH11" i="22"/>
  <c r="M11" i="22"/>
  <c r="W11" i="22"/>
  <c r="S11" i="22"/>
  <c r="AL11" i="22"/>
  <c r="AA11" i="22"/>
  <c r="P11" i="22"/>
  <c r="Q11" i="22"/>
  <c r="O11" i="22"/>
  <c r="AG11" i="22"/>
  <c r="I8" i="22"/>
  <c r="K58" i="23"/>
  <c r="K59" i="23"/>
  <c r="K57" i="23"/>
  <c r="K45" i="23"/>
  <c r="K7" i="22"/>
  <c r="M54" i="23"/>
  <c r="M26" i="23"/>
  <c r="M34" i="23"/>
  <c r="M44" i="23"/>
  <c r="M48" i="23"/>
  <c r="F11" i="12"/>
  <c r="F5" i="22"/>
  <c r="H29" i="23"/>
  <c r="G20" i="5"/>
  <c r="H124" i="17"/>
  <c r="H112" i="17"/>
  <c r="H154" i="18"/>
  <c r="H149" i="18"/>
  <c r="H129" i="18"/>
  <c r="H114" i="18"/>
  <c r="H123" i="18"/>
  <c r="H121" i="18"/>
  <c r="G70" i="12"/>
  <c r="G30" i="22" s="1"/>
  <c r="G29" i="22"/>
  <c r="H27" i="22"/>
  <c r="J15" i="23"/>
  <c r="J9" i="23"/>
  <c r="D63" i="12"/>
  <c r="D26" i="22"/>
  <c r="L26" i="22" s="1"/>
  <c r="D24" i="22"/>
  <c r="F18" i="23"/>
  <c r="E56" i="12"/>
  <c r="K20" i="22"/>
  <c r="M6" i="23"/>
  <c r="E20" i="22"/>
  <c r="G6" i="23"/>
  <c r="I41" i="12"/>
  <c r="C41" i="12"/>
  <c r="C26" i="12"/>
  <c r="C12" i="22" s="1"/>
  <c r="C11" i="22"/>
  <c r="J58" i="23"/>
  <c r="H8" i="22"/>
  <c r="J59" i="23"/>
  <c r="J45" i="23"/>
  <c r="J57" i="23"/>
  <c r="K6" i="22"/>
  <c r="M14" i="23"/>
  <c r="M19" i="23"/>
  <c r="M55" i="23"/>
  <c r="E6" i="22"/>
  <c r="G14" i="23"/>
  <c r="G55" i="23"/>
  <c r="G19" i="23"/>
  <c r="H114" i="17"/>
  <c r="H144" i="18"/>
  <c r="H122" i="18"/>
  <c r="A8" i="27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7" i="27"/>
  <c r="A6" i="27"/>
  <c r="A5" i="27"/>
  <c r="A4" i="27"/>
  <c r="F70" i="12"/>
  <c r="F30" i="22" s="1"/>
  <c r="F29" i="22"/>
  <c r="S26" i="22"/>
  <c r="T26" i="22"/>
  <c r="Q26" i="22"/>
  <c r="Z26" i="22"/>
  <c r="V26" i="22"/>
  <c r="R26" i="22"/>
  <c r="W26" i="22"/>
  <c r="AA26" i="22"/>
  <c r="AF26" i="22"/>
  <c r="X26" i="22"/>
  <c r="AI26" i="22"/>
  <c r="C63" i="12"/>
  <c r="C26" i="22"/>
  <c r="C24" i="22"/>
  <c r="E18" i="23"/>
  <c r="J48" i="12"/>
  <c r="J21" i="22" s="1"/>
  <c r="J20" i="22"/>
  <c r="L6" i="23"/>
  <c r="D20" i="22"/>
  <c r="Q20" i="22" s="1"/>
  <c r="F6" i="23"/>
  <c r="I14" i="22"/>
  <c r="K37" i="23"/>
  <c r="C14" i="22"/>
  <c r="E37" i="23"/>
  <c r="M46" i="23"/>
  <c r="K10" i="22"/>
  <c r="M28" i="23"/>
  <c r="M7" i="23"/>
  <c r="G8" i="22"/>
  <c r="I59" i="23"/>
  <c r="I57" i="23"/>
  <c r="I45" i="23"/>
  <c r="I50" i="23" s="1"/>
  <c r="I58" i="23"/>
  <c r="I6" i="22"/>
  <c r="K19" i="23"/>
  <c r="K14" i="23"/>
  <c r="K55" i="23"/>
  <c r="E5" i="22"/>
  <c r="G29" i="23"/>
  <c r="E57" i="5"/>
  <c r="H103" i="18"/>
  <c r="AF30" i="22"/>
  <c r="W30" i="22"/>
  <c r="X30" i="22"/>
  <c r="M30" i="22"/>
  <c r="Z30" i="22"/>
  <c r="Q30" i="22"/>
  <c r="O30" i="22"/>
  <c r="AH30" i="22"/>
  <c r="AK30" i="22"/>
  <c r="N30" i="22"/>
  <c r="AG30" i="22"/>
  <c r="AA30" i="22"/>
  <c r="V30" i="22"/>
  <c r="L30" i="22"/>
  <c r="AL30" i="22"/>
  <c r="AC30" i="22"/>
  <c r="T30" i="22"/>
  <c r="AB30" i="22"/>
  <c r="P30" i="22"/>
  <c r="J63" i="12"/>
  <c r="J26" i="22"/>
  <c r="T25" i="22"/>
  <c r="W25" i="22"/>
  <c r="X25" i="22"/>
  <c r="N25" i="22"/>
  <c r="S25" i="22"/>
  <c r="L25" i="22"/>
  <c r="O25" i="22"/>
  <c r="AL25" i="22"/>
  <c r="AK25" i="22"/>
  <c r="V25" i="22"/>
  <c r="AG25" i="22"/>
  <c r="AC25" i="22"/>
  <c r="AH25" i="22"/>
  <c r="R25" i="22"/>
  <c r="Q25" i="22"/>
  <c r="M25" i="22"/>
  <c r="AF25" i="22"/>
  <c r="AA25" i="22"/>
  <c r="AJ25" i="22"/>
  <c r="P25" i="22"/>
  <c r="AB25" i="22"/>
  <c r="AG23" i="22"/>
  <c r="AF23" i="22"/>
  <c r="Q23" i="22"/>
  <c r="P23" i="22"/>
  <c r="X23" i="22"/>
  <c r="R23" i="22"/>
  <c r="Z23" i="22"/>
  <c r="L23" i="22"/>
  <c r="AB23" i="22"/>
  <c r="AK23" i="22"/>
  <c r="V23" i="22"/>
  <c r="AL23" i="22"/>
  <c r="N23" i="22"/>
  <c r="AH23" i="22"/>
  <c r="S23" i="22"/>
  <c r="AA23" i="22"/>
  <c r="M23" i="22"/>
  <c r="AD23" i="22"/>
  <c r="AC23" i="22"/>
  <c r="T23" i="22"/>
  <c r="O23" i="22"/>
  <c r="W23" i="22"/>
  <c r="C48" i="12"/>
  <c r="C21" i="22" s="1"/>
  <c r="C20" i="22"/>
  <c r="E6" i="23"/>
  <c r="H41" i="12"/>
  <c r="K16" i="22"/>
  <c r="M4" i="23"/>
  <c r="M39" i="23"/>
  <c r="H14" i="22"/>
  <c r="J37" i="23"/>
  <c r="AK13" i="22"/>
  <c r="W13" i="22"/>
  <c r="AH13" i="22"/>
  <c r="L13" i="22"/>
  <c r="T13" i="22"/>
  <c r="P13" i="22"/>
  <c r="AB13" i="22"/>
  <c r="O13" i="22"/>
  <c r="V13" i="22"/>
  <c r="AL13" i="22"/>
  <c r="AF13" i="22"/>
  <c r="S13" i="22"/>
  <c r="R13" i="22"/>
  <c r="AA13" i="22"/>
  <c r="X13" i="22"/>
  <c r="Q13" i="22"/>
  <c r="M13" i="22"/>
  <c r="AG13" i="22"/>
  <c r="AC13" i="22"/>
  <c r="N13" i="22"/>
  <c r="K9" i="22"/>
  <c r="M24" i="23"/>
  <c r="M35" i="23"/>
  <c r="M8" i="23"/>
  <c r="M25" i="23"/>
  <c r="M49" i="23"/>
  <c r="M56" i="23"/>
  <c r="M27" i="23"/>
  <c r="F18" i="12"/>
  <c r="F8" i="22"/>
  <c r="H59" i="23"/>
  <c r="H57" i="23"/>
  <c r="H58" i="23"/>
  <c r="H45" i="23"/>
  <c r="H11" i="12"/>
  <c r="D11" i="12"/>
  <c r="D5" i="22"/>
  <c r="F29" i="23"/>
  <c r="C33" i="5"/>
  <c r="D70" i="12"/>
  <c r="D30" i="22" s="1"/>
  <c r="R30" i="22" s="1"/>
  <c r="D29" i="22"/>
  <c r="T29" i="22" s="1"/>
  <c r="K24" i="22"/>
  <c r="M18" i="23"/>
  <c r="I20" i="22"/>
  <c r="K6" i="23"/>
  <c r="T19" i="22"/>
  <c r="AF19" i="22"/>
  <c r="P19" i="22"/>
  <c r="X19" i="22"/>
  <c r="AB19" i="22"/>
  <c r="AI19" i="22"/>
  <c r="O19" i="22"/>
  <c r="AH19" i="22"/>
  <c r="V19" i="22"/>
  <c r="M19" i="22"/>
  <c r="S19" i="22"/>
  <c r="L19" i="22"/>
  <c r="N19" i="22"/>
  <c r="AC19" i="22"/>
  <c r="AA19" i="22"/>
  <c r="AG19" i="22"/>
  <c r="Y19" i="22"/>
  <c r="Q19" i="22"/>
  <c r="R19" i="22"/>
  <c r="AL19" i="22"/>
  <c r="AK19" i="22"/>
  <c r="W19" i="22"/>
  <c r="K15" i="22"/>
  <c r="M38" i="23"/>
  <c r="G14" i="22"/>
  <c r="I37" i="23"/>
  <c r="Q12" i="22"/>
  <c r="U12" i="22"/>
  <c r="AL12" i="22"/>
  <c r="M12" i="22"/>
  <c r="V12" i="22"/>
  <c r="AI12" i="22"/>
  <c r="AA12" i="22"/>
  <c r="AH12" i="22"/>
  <c r="AK12" i="22"/>
  <c r="O12" i="22"/>
  <c r="Z12" i="22"/>
  <c r="AC12" i="22"/>
  <c r="R12" i="22"/>
  <c r="AJ12" i="22"/>
  <c r="AF12" i="22"/>
  <c r="S12" i="22"/>
  <c r="AB12" i="22"/>
  <c r="X12" i="22"/>
  <c r="AG12" i="22"/>
  <c r="T12" i="22"/>
  <c r="P12" i="22"/>
  <c r="L12" i="22"/>
  <c r="N12" i="22"/>
  <c r="W12" i="22"/>
  <c r="F26" i="12"/>
  <c r="F12" i="22" s="1"/>
  <c r="F11" i="22"/>
  <c r="K35" i="23"/>
  <c r="K40" i="23" s="1"/>
  <c r="I9" i="22"/>
  <c r="K8" i="23"/>
  <c r="K27" i="23"/>
  <c r="K49" i="23"/>
  <c r="K50" i="23" s="1"/>
  <c r="K24" i="23"/>
  <c r="K56" i="23"/>
  <c r="K25" i="23"/>
  <c r="E18" i="12"/>
  <c r="E8" i="22"/>
  <c r="G45" i="23"/>
  <c r="G57" i="23"/>
  <c r="G58" i="23"/>
  <c r="G59" i="23"/>
  <c r="K5" i="22"/>
  <c r="M29" i="23"/>
  <c r="C11" i="12"/>
  <c r="C5" i="22"/>
  <c r="E29" i="23"/>
  <c r="B73" i="5"/>
  <c r="AE29" i="22" s="1"/>
  <c r="E44" i="5"/>
  <c r="E43" i="5"/>
  <c r="D43" i="5"/>
  <c r="D44" i="5"/>
  <c r="D48" i="12"/>
  <c r="D21" i="22" s="1"/>
  <c r="C43" i="5"/>
  <c r="C44" i="5"/>
  <c r="G73" i="5"/>
  <c r="G72" i="5"/>
  <c r="C58" i="5"/>
  <c r="C57" i="5"/>
  <c r="E32" i="5"/>
  <c r="E33" i="5"/>
  <c r="C103" i="5"/>
  <c r="C104" i="5"/>
  <c r="G104" i="5"/>
  <c r="H122" i="17"/>
  <c r="E73" i="5"/>
  <c r="E72" i="5"/>
  <c r="E20" i="5"/>
  <c r="E104" i="5"/>
  <c r="E103" i="5"/>
  <c r="D58" i="5"/>
  <c r="D57" i="5"/>
  <c r="D73" i="5"/>
  <c r="D72" i="5"/>
  <c r="F73" i="5"/>
  <c r="F72" i="5"/>
  <c r="H151" i="17"/>
  <c r="H87" i="5"/>
  <c r="AI25" i="22" s="1"/>
  <c r="H88" i="5"/>
  <c r="AJ11" i="22" s="1"/>
  <c r="B57" i="5"/>
  <c r="Y23" i="22" s="1"/>
  <c r="B58" i="5"/>
  <c r="Z25" i="22" s="1"/>
  <c r="G88" i="5"/>
  <c r="G87" i="5"/>
  <c r="F104" i="5"/>
  <c r="F103" i="5"/>
  <c r="F20" i="5"/>
  <c r="F88" i="5"/>
  <c r="F87" i="5"/>
  <c r="H140" i="18"/>
  <c r="H109" i="18"/>
  <c r="B19" i="5"/>
  <c r="B102" i="5"/>
  <c r="AM21" i="22" s="1"/>
  <c r="C88" i="5"/>
  <c r="C87" i="5"/>
  <c r="H72" i="5"/>
  <c r="AD26" i="22" s="1"/>
  <c r="F19" i="5"/>
  <c r="K30" i="23"/>
  <c r="F30" i="23"/>
  <c r="L50" i="23"/>
  <c r="H129" i="17"/>
  <c r="H120" i="17"/>
  <c r="B44" i="5"/>
  <c r="U30" i="22" s="1"/>
  <c r="H101" i="17"/>
  <c r="H110" i="17"/>
  <c r="H101" i="18"/>
  <c r="D20" i="5"/>
  <c r="D103" i="5"/>
  <c r="E48" i="12"/>
  <c r="E21" i="22" s="1"/>
  <c r="AL21" i="22" s="1"/>
  <c r="F50" i="23"/>
  <c r="I40" i="23"/>
  <c r="K60" i="23"/>
  <c r="J30" i="23"/>
  <c r="J50" i="23"/>
  <c r="L60" i="23"/>
  <c r="J40" i="23"/>
  <c r="L40" i="23"/>
  <c r="H154" i="16"/>
  <c r="H134" i="16"/>
  <c r="H152" i="16"/>
  <c r="H130" i="16"/>
  <c r="H133" i="16"/>
  <c r="H99" i="16"/>
  <c r="H144" i="16"/>
  <c r="H153" i="16"/>
  <c r="H150" i="16"/>
  <c r="H114" i="16"/>
  <c r="H120" i="16"/>
  <c r="H121" i="16"/>
  <c r="H101" i="16"/>
  <c r="H140" i="16"/>
  <c r="H129" i="16"/>
  <c r="H149" i="16"/>
  <c r="H123" i="16"/>
  <c r="H102" i="16"/>
  <c r="H141" i="16"/>
  <c r="H119" i="16"/>
  <c r="H139" i="16"/>
  <c r="H122" i="16"/>
  <c r="H100" i="16"/>
  <c r="H131" i="16"/>
  <c r="H113" i="16"/>
  <c r="H110" i="16"/>
  <c r="H109" i="16"/>
  <c r="H143" i="16"/>
  <c r="H142" i="16"/>
  <c r="H151" i="16"/>
  <c r="H104" i="16"/>
  <c r="H103" i="16"/>
  <c r="H112" i="16"/>
  <c r="H132" i="16"/>
  <c r="H124" i="16"/>
  <c r="H111" i="16"/>
  <c r="Z29" i="23" l="1"/>
  <c r="AJ29" i="23"/>
  <c r="AN29" i="23"/>
  <c r="X29" i="23"/>
  <c r="R29" i="23"/>
  <c r="Y29" i="23"/>
  <c r="S29" i="23"/>
  <c r="V29" i="23"/>
  <c r="AM29" i="23"/>
  <c r="AQ29" i="23"/>
  <c r="AG29" i="23"/>
  <c r="AE29" i="23"/>
  <c r="AF29" i="23"/>
  <c r="AL29" i="23"/>
  <c r="W29" i="23"/>
  <c r="U29" i="23"/>
  <c r="Q29" i="23"/>
  <c r="AK29" i="23"/>
  <c r="AD29" i="23"/>
  <c r="AI29" i="23"/>
  <c r="AP29" i="23"/>
  <c r="AA29" i="23"/>
  <c r="AO29" i="23"/>
  <c r="AC29" i="23"/>
  <c r="AH29" i="23"/>
  <c r="P29" i="23"/>
  <c r="T29" i="23"/>
  <c r="AB29" i="23"/>
  <c r="E9" i="22"/>
  <c r="X9" i="22" s="1"/>
  <c r="G49" i="23"/>
  <c r="G50" i="23" s="1"/>
  <c r="G8" i="23"/>
  <c r="AE8" i="23" s="1"/>
  <c r="G25" i="23"/>
  <c r="G27" i="23"/>
  <c r="S27" i="23" s="1"/>
  <c r="G35" i="23"/>
  <c r="G24" i="23"/>
  <c r="G30" i="23" s="1"/>
  <c r="G56" i="23"/>
  <c r="G60" i="23" s="1"/>
  <c r="I18" i="22"/>
  <c r="K5" i="23"/>
  <c r="AE19" i="22"/>
  <c r="H6" i="22"/>
  <c r="J14" i="23"/>
  <c r="J20" i="23" s="1"/>
  <c r="J55" i="23"/>
  <c r="J60" i="23" s="1"/>
  <c r="J19" i="23"/>
  <c r="R56" i="23"/>
  <c r="X56" i="23"/>
  <c r="AM56" i="23"/>
  <c r="AO56" i="23"/>
  <c r="S56" i="23"/>
  <c r="AE56" i="23"/>
  <c r="AF56" i="23"/>
  <c r="T56" i="23"/>
  <c r="P56" i="23"/>
  <c r="AJ56" i="23"/>
  <c r="AN56" i="23"/>
  <c r="Z56" i="23"/>
  <c r="AI56" i="23"/>
  <c r="Q56" i="23"/>
  <c r="AP56" i="23"/>
  <c r="AQ56" i="23"/>
  <c r="AH56" i="23"/>
  <c r="Y56" i="23"/>
  <c r="AL56" i="23"/>
  <c r="AB56" i="23"/>
  <c r="AA56" i="23"/>
  <c r="C6" i="22"/>
  <c r="E55" i="23"/>
  <c r="E19" i="23"/>
  <c r="E14" i="23"/>
  <c r="AM12" i="22"/>
  <c r="AD19" i="22"/>
  <c r="AM25" i="23"/>
  <c r="AI25" i="23"/>
  <c r="S25" i="23"/>
  <c r="AP25" i="23"/>
  <c r="AD25" i="23"/>
  <c r="Y25" i="23"/>
  <c r="AG25" i="23"/>
  <c r="AH25" i="23"/>
  <c r="U25" i="23"/>
  <c r="P25" i="23"/>
  <c r="AF25" i="23"/>
  <c r="Z25" i="23"/>
  <c r="AO25" i="23"/>
  <c r="AC25" i="23"/>
  <c r="R25" i="23"/>
  <c r="AJ25" i="23"/>
  <c r="W25" i="23"/>
  <c r="AB25" i="23"/>
  <c r="AN25" i="23"/>
  <c r="AA25" i="23"/>
  <c r="AL25" i="23"/>
  <c r="AQ25" i="23"/>
  <c r="AE25" i="23"/>
  <c r="Q25" i="23"/>
  <c r="T25" i="23"/>
  <c r="X25" i="23"/>
  <c r="V25" i="23"/>
  <c r="AK25" i="23"/>
  <c r="AJ13" i="22"/>
  <c r="H18" i="22"/>
  <c r="J5" i="23"/>
  <c r="J10" i="23" s="1"/>
  <c r="U23" i="22"/>
  <c r="AM25" i="22"/>
  <c r="Y25" i="22"/>
  <c r="AJ30" i="22"/>
  <c r="M26" i="22"/>
  <c r="AM26" i="22"/>
  <c r="C18" i="22"/>
  <c r="E5" i="23"/>
  <c r="AK20" i="22"/>
  <c r="Y20" i="22"/>
  <c r="U20" i="22"/>
  <c r="T20" i="22"/>
  <c r="P20" i="22"/>
  <c r="V20" i="22"/>
  <c r="L20" i="22"/>
  <c r="AA20" i="22"/>
  <c r="S20" i="22"/>
  <c r="AL20" i="22"/>
  <c r="AM20" i="22"/>
  <c r="AH20" i="22"/>
  <c r="AI20" i="22"/>
  <c r="AE20" i="22"/>
  <c r="Z20" i="22"/>
  <c r="M20" i="22"/>
  <c r="N20" i="22"/>
  <c r="AG20" i="22"/>
  <c r="W20" i="22"/>
  <c r="R20" i="22"/>
  <c r="AC20" i="22"/>
  <c r="O20" i="22"/>
  <c r="AJ20" i="22"/>
  <c r="AF20" i="22"/>
  <c r="AB20" i="22"/>
  <c r="X20" i="22"/>
  <c r="AM11" i="22"/>
  <c r="AA17" i="22"/>
  <c r="AG17" i="22"/>
  <c r="AE17" i="22"/>
  <c r="V17" i="22"/>
  <c r="AG21" i="22"/>
  <c r="AA21" i="22"/>
  <c r="L21" i="22"/>
  <c r="W21" i="22"/>
  <c r="AC28" i="22"/>
  <c r="AD28" i="22"/>
  <c r="S28" i="22"/>
  <c r="AI28" i="22"/>
  <c r="M28" i="22"/>
  <c r="U28" i="22"/>
  <c r="AK28" i="22"/>
  <c r="AL28" i="22"/>
  <c r="W28" i="22"/>
  <c r="R28" i="22"/>
  <c r="O28" i="22"/>
  <c r="AJ28" i="22"/>
  <c r="AF28" i="22"/>
  <c r="AB28" i="22"/>
  <c r="X28" i="22"/>
  <c r="N28" i="22"/>
  <c r="Q28" i="22"/>
  <c r="T28" i="22"/>
  <c r="P28" i="22"/>
  <c r="AG28" i="22"/>
  <c r="L28" i="22"/>
  <c r="AA28" i="22"/>
  <c r="Y28" i="22"/>
  <c r="AM28" i="22"/>
  <c r="AH28" i="22"/>
  <c r="Z28" i="22"/>
  <c r="V28" i="22"/>
  <c r="AE28" i="22"/>
  <c r="U29" i="22"/>
  <c r="Z29" i="22"/>
  <c r="Y47" i="23"/>
  <c r="U47" i="23"/>
  <c r="Q47" i="23"/>
  <c r="AM47" i="23"/>
  <c r="AC47" i="23"/>
  <c r="AK47" i="23"/>
  <c r="V47" i="23"/>
  <c r="AN47" i="23"/>
  <c r="AJ47" i="23"/>
  <c r="Z47" i="23"/>
  <c r="AL47" i="23"/>
  <c r="AQ47" i="23"/>
  <c r="AB47" i="23"/>
  <c r="AI47" i="23"/>
  <c r="S47" i="23"/>
  <c r="AF47" i="23"/>
  <c r="T47" i="23"/>
  <c r="X47" i="23"/>
  <c r="AH47" i="23"/>
  <c r="AA47" i="23"/>
  <c r="AO47" i="23"/>
  <c r="AP47" i="23"/>
  <c r="R47" i="23"/>
  <c r="W47" i="23"/>
  <c r="AG47" i="23"/>
  <c r="AE47" i="23"/>
  <c r="AD47" i="23"/>
  <c r="P47" i="23"/>
  <c r="J24" i="22"/>
  <c r="L18" i="23"/>
  <c r="AM23" i="22"/>
  <c r="J27" i="22"/>
  <c r="L15" i="23"/>
  <c r="L9" i="23"/>
  <c r="AJ19" i="22"/>
  <c r="AD25" i="22"/>
  <c r="AJ29" i="22"/>
  <c r="S30" i="22"/>
  <c r="AM30" i="22"/>
  <c r="X7" i="23"/>
  <c r="Z7" i="23"/>
  <c r="AL7" i="23"/>
  <c r="P7" i="23"/>
  <c r="AK7" i="23"/>
  <c r="AQ7" i="23"/>
  <c r="AM7" i="23"/>
  <c r="T7" i="23"/>
  <c r="Y7" i="23"/>
  <c r="AI7" i="23"/>
  <c r="W7" i="23"/>
  <c r="AP7" i="23"/>
  <c r="AJ7" i="23"/>
  <c r="AA7" i="23"/>
  <c r="AE7" i="23"/>
  <c r="AC7" i="23"/>
  <c r="V7" i="23"/>
  <c r="S7" i="23"/>
  <c r="Q7" i="23"/>
  <c r="U7" i="23"/>
  <c r="AN7" i="23"/>
  <c r="AD7" i="23"/>
  <c r="AO7" i="23"/>
  <c r="AH7" i="23"/>
  <c r="AF7" i="23"/>
  <c r="R7" i="23"/>
  <c r="AB7" i="23"/>
  <c r="AG7" i="23"/>
  <c r="P26" i="22"/>
  <c r="AG26" i="22"/>
  <c r="Q55" i="23"/>
  <c r="S55" i="23"/>
  <c r="AI55" i="23"/>
  <c r="AF55" i="23"/>
  <c r="AQ55" i="23"/>
  <c r="AJ55" i="23"/>
  <c r="P55" i="23"/>
  <c r="AL55" i="23"/>
  <c r="AB55" i="23"/>
  <c r="AE55" i="23"/>
  <c r="AK55" i="23"/>
  <c r="T55" i="23"/>
  <c r="AH55" i="23"/>
  <c r="AC55" i="23"/>
  <c r="AA55" i="23"/>
  <c r="AO55" i="23"/>
  <c r="AP55" i="23"/>
  <c r="AG55" i="23"/>
  <c r="AN55" i="23"/>
  <c r="Z55" i="23"/>
  <c r="R55" i="23"/>
  <c r="AD55" i="23"/>
  <c r="AM55" i="23"/>
  <c r="AP48" i="23"/>
  <c r="AA48" i="23"/>
  <c r="AB48" i="23"/>
  <c r="Q48" i="23"/>
  <c r="AH48" i="23"/>
  <c r="P48" i="23"/>
  <c r="AO48" i="23"/>
  <c r="Z48" i="23"/>
  <c r="AJ48" i="23"/>
  <c r="X48" i="23"/>
  <c r="AL48" i="23"/>
  <c r="R48" i="23"/>
  <c r="Y48" i="23"/>
  <c r="AN48" i="23"/>
  <c r="AD48" i="23"/>
  <c r="AM48" i="23"/>
  <c r="AQ48" i="23"/>
  <c r="V48" i="23"/>
  <c r="AC48" i="23"/>
  <c r="AE48" i="23"/>
  <c r="AF48" i="23"/>
  <c r="AI48" i="23"/>
  <c r="T48" i="23"/>
  <c r="W48" i="23"/>
  <c r="U48" i="23"/>
  <c r="S48" i="23"/>
  <c r="AK48" i="23"/>
  <c r="AG48" i="23"/>
  <c r="U11" i="22"/>
  <c r="G24" i="22"/>
  <c r="I18" i="23"/>
  <c r="C9" i="22"/>
  <c r="E27" i="23"/>
  <c r="E24" i="23"/>
  <c r="E25" i="23"/>
  <c r="E35" i="23"/>
  <c r="E40" i="23" s="1"/>
  <c r="E8" i="23"/>
  <c r="E49" i="23"/>
  <c r="E56" i="23"/>
  <c r="AJ17" i="22"/>
  <c r="AK17" i="22"/>
  <c r="AI17" i="22"/>
  <c r="AH17" i="22"/>
  <c r="F27" i="22"/>
  <c r="H9" i="23"/>
  <c r="H15" i="23"/>
  <c r="Y21" i="22"/>
  <c r="AK21" i="22"/>
  <c r="AH21" i="22"/>
  <c r="Y29" i="22"/>
  <c r="AB4" i="22"/>
  <c r="AI4" i="22"/>
  <c r="AM4" i="22"/>
  <c r="R4" i="22"/>
  <c r="W4" i="22"/>
  <c r="Z4" i="22"/>
  <c r="AH4" i="22"/>
  <c r="AJ4" i="22"/>
  <c r="T4" i="22"/>
  <c r="U4" i="22"/>
  <c r="AE4" i="22"/>
  <c r="AF4" i="22"/>
  <c r="O4" i="22"/>
  <c r="L4" i="22"/>
  <c r="AL4" i="22"/>
  <c r="AC4" i="22"/>
  <c r="S4" i="22"/>
  <c r="AG4" i="22"/>
  <c r="AA4" i="22"/>
  <c r="Y4" i="22"/>
  <c r="M4" i="22"/>
  <c r="Q4" i="22"/>
  <c r="X4" i="22"/>
  <c r="N4" i="22"/>
  <c r="P4" i="22"/>
  <c r="AK4" i="22"/>
  <c r="V4" i="22"/>
  <c r="AD4" i="22"/>
  <c r="AJ8" i="23"/>
  <c r="AF8" i="23"/>
  <c r="AL8" i="23"/>
  <c r="Z8" i="23"/>
  <c r="AD8" i="23"/>
  <c r="R8" i="23"/>
  <c r="V8" i="23"/>
  <c r="T8" i="23"/>
  <c r="AQ8" i="23"/>
  <c r="AA8" i="23"/>
  <c r="AH8" i="23"/>
  <c r="S8" i="23"/>
  <c r="AO8" i="23"/>
  <c r="AK8" i="23"/>
  <c r="W8" i="23"/>
  <c r="AG8" i="23"/>
  <c r="AC8" i="23"/>
  <c r="P8" i="23"/>
  <c r="AI8" i="23"/>
  <c r="Q8" i="23"/>
  <c r="AN8" i="23"/>
  <c r="AP8" i="23"/>
  <c r="Y8" i="23"/>
  <c r="AM8" i="23"/>
  <c r="U8" i="23"/>
  <c r="AB8" i="23"/>
  <c r="AM13" i="22"/>
  <c r="AI35" i="23"/>
  <c r="T35" i="23"/>
  <c r="AL35" i="23"/>
  <c r="AB35" i="23"/>
  <c r="AJ35" i="23"/>
  <c r="AQ35" i="23"/>
  <c r="AE35" i="23"/>
  <c r="Q35" i="23"/>
  <c r="S35" i="23"/>
  <c r="AD35" i="23"/>
  <c r="P35" i="23"/>
  <c r="AM35" i="23"/>
  <c r="Y35" i="23"/>
  <c r="R35" i="23"/>
  <c r="V35" i="23"/>
  <c r="AN35" i="23"/>
  <c r="W35" i="23"/>
  <c r="AP35" i="23"/>
  <c r="AF35" i="23"/>
  <c r="AG35" i="23"/>
  <c r="U35" i="23"/>
  <c r="Z35" i="23"/>
  <c r="AA35" i="23"/>
  <c r="AC35" i="23"/>
  <c r="X35" i="23"/>
  <c r="AH35" i="23"/>
  <c r="AO35" i="23"/>
  <c r="AD13" i="22"/>
  <c r="AM19" i="22"/>
  <c r="AB24" i="23"/>
  <c r="Q24" i="23"/>
  <c r="AP24" i="23"/>
  <c r="T24" i="23"/>
  <c r="AO24" i="23"/>
  <c r="Y24" i="23"/>
  <c r="AC24" i="23"/>
  <c r="AD24" i="23"/>
  <c r="AK24" i="23"/>
  <c r="AF24" i="23"/>
  <c r="P24" i="23"/>
  <c r="AQ24" i="23"/>
  <c r="AA24" i="23"/>
  <c r="W24" i="23"/>
  <c r="AH24" i="23"/>
  <c r="R24" i="23"/>
  <c r="AE24" i="23"/>
  <c r="U24" i="23"/>
  <c r="AN24" i="23"/>
  <c r="AM24" i="23"/>
  <c r="AJ24" i="23"/>
  <c r="Z24" i="23"/>
  <c r="AG24" i="23"/>
  <c r="AL24" i="23"/>
  <c r="X24" i="23"/>
  <c r="AI24" i="23"/>
  <c r="V24" i="23"/>
  <c r="S24" i="23"/>
  <c r="AI23" i="22"/>
  <c r="AJ23" i="22"/>
  <c r="AE30" i="22"/>
  <c r="AK28" i="23"/>
  <c r="S28" i="23"/>
  <c r="AL28" i="23"/>
  <c r="AJ28" i="23"/>
  <c r="Z28" i="23"/>
  <c r="AD28" i="23"/>
  <c r="P28" i="23"/>
  <c r="AB28" i="23"/>
  <c r="AI28" i="23"/>
  <c r="AH28" i="23"/>
  <c r="T28" i="23"/>
  <c r="X28" i="23"/>
  <c r="W28" i="23"/>
  <c r="AC28" i="23"/>
  <c r="AO28" i="23"/>
  <c r="AP28" i="23"/>
  <c r="AQ28" i="23"/>
  <c r="AF28" i="23"/>
  <c r="AG28" i="23"/>
  <c r="AE28" i="23"/>
  <c r="V28" i="23"/>
  <c r="AA28" i="23"/>
  <c r="Y28" i="23"/>
  <c r="U28" i="23"/>
  <c r="AM28" i="23"/>
  <c r="Q28" i="23"/>
  <c r="AN28" i="23"/>
  <c r="R28" i="23"/>
  <c r="U26" i="22"/>
  <c r="Y26" i="22"/>
  <c r="O26" i="22"/>
  <c r="AB26" i="22"/>
  <c r="T19" i="23"/>
  <c r="P19" i="23"/>
  <c r="AP19" i="23"/>
  <c r="AQ19" i="23"/>
  <c r="AM19" i="23"/>
  <c r="Z19" i="23"/>
  <c r="AH19" i="23"/>
  <c r="AI19" i="23"/>
  <c r="AE19" i="23"/>
  <c r="AO19" i="23"/>
  <c r="R19" i="23"/>
  <c r="AA19" i="23"/>
  <c r="S19" i="23"/>
  <c r="AD19" i="23"/>
  <c r="AG19" i="23"/>
  <c r="AN19" i="23"/>
  <c r="Q19" i="23"/>
  <c r="AL19" i="23"/>
  <c r="AB19" i="23"/>
  <c r="AC19" i="23"/>
  <c r="AK19" i="23"/>
  <c r="AJ19" i="23"/>
  <c r="AF19" i="23"/>
  <c r="AD20" i="22"/>
  <c r="AM44" i="23"/>
  <c r="V44" i="23"/>
  <c r="U44" i="23"/>
  <c r="Q44" i="23"/>
  <c r="AE44" i="23"/>
  <c r="AQ44" i="23"/>
  <c r="T44" i="23"/>
  <c r="W44" i="23"/>
  <c r="AC44" i="23"/>
  <c r="AI44" i="23"/>
  <c r="AK44" i="23"/>
  <c r="AO44" i="23"/>
  <c r="AF44" i="23"/>
  <c r="AP44" i="23"/>
  <c r="AA44" i="23"/>
  <c r="AB44" i="23"/>
  <c r="S44" i="23"/>
  <c r="AH44" i="23"/>
  <c r="P44" i="23"/>
  <c r="AN44" i="23"/>
  <c r="AL44" i="23"/>
  <c r="Z44" i="23"/>
  <c r="R44" i="23"/>
  <c r="AG44" i="23"/>
  <c r="AJ44" i="23"/>
  <c r="X44" i="23"/>
  <c r="Y44" i="23"/>
  <c r="AD44" i="23"/>
  <c r="Y11" i="22"/>
  <c r="AD11" i="22"/>
  <c r="D18" i="22"/>
  <c r="F5" i="23"/>
  <c r="AJ26" i="22"/>
  <c r="AC45" i="23"/>
  <c r="AA45" i="23"/>
  <c r="R45" i="23"/>
  <c r="U45" i="23"/>
  <c r="AM45" i="23"/>
  <c r="AN45" i="23"/>
  <c r="AJ45" i="23"/>
  <c r="Y45" i="23"/>
  <c r="AD45" i="23"/>
  <c r="AF45" i="23"/>
  <c r="Z45" i="23"/>
  <c r="AL45" i="23"/>
  <c r="AP45" i="23"/>
  <c r="X45" i="23"/>
  <c r="AQ45" i="23"/>
  <c r="W45" i="23"/>
  <c r="AI45" i="23"/>
  <c r="P45" i="23"/>
  <c r="AG45" i="23"/>
  <c r="AH45" i="23"/>
  <c r="AK45" i="23"/>
  <c r="AO45" i="23"/>
  <c r="AE45" i="23"/>
  <c r="T45" i="23"/>
  <c r="V45" i="23"/>
  <c r="S45" i="23"/>
  <c r="AB45" i="23"/>
  <c r="Q45" i="23"/>
  <c r="M17" i="22"/>
  <c r="AD17" i="22"/>
  <c r="P17" i="22"/>
  <c r="P15" i="23"/>
  <c r="AA15" i="23"/>
  <c r="W15" i="23"/>
  <c r="U15" i="23"/>
  <c r="G38" i="23"/>
  <c r="AB38" i="23" s="1"/>
  <c r="E15" i="22"/>
  <c r="N15" i="22" s="1"/>
  <c r="U21" i="22"/>
  <c r="R21" i="22"/>
  <c r="P21" i="22"/>
  <c r="AF21" i="22"/>
  <c r="AD29" i="22"/>
  <c r="F6" i="22"/>
  <c r="H19" i="23"/>
  <c r="H55" i="23"/>
  <c r="H60" i="23" s="1"/>
  <c r="H14" i="23"/>
  <c r="AJ17" i="23"/>
  <c r="U17" i="23"/>
  <c r="AP17" i="23"/>
  <c r="X17" i="23"/>
  <c r="AB17" i="23"/>
  <c r="AO17" i="23"/>
  <c r="AD17" i="23"/>
  <c r="Y17" i="23"/>
  <c r="T17" i="23"/>
  <c r="AC17" i="23"/>
  <c r="Q17" i="23"/>
  <c r="AI17" i="23"/>
  <c r="P17" i="23"/>
  <c r="V17" i="23"/>
  <c r="AM17" i="23"/>
  <c r="S17" i="23"/>
  <c r="AH17" i="23"/>
  <c r="AN17" i="23"/>
  <c r="AE17" i="23"/>
  <c r="AQ17" i="23"/>
  <c r="Z17" i="23"/>
  <c r="W17" i="23"/>
  <c r="AA17" i="23"/>
  <c r="AF17" i="23"/>
  <c r="AL17" i="23"/>
  <c r="AG17" i="23"/>
  <c r="R17" i="23"/>
  <c r="AK17" i="23"/>
  <c r="V5" i="22"/>
  <c r="AI5" i="22"/>
  <c r="AG5" i="22"/>
  <c r="AC5" i="22"/>
  <c r="U5" i="22"/>
  <c r="AF5" i="22"/>
  <c r="P5" i="22"/>
  <c r="AM5" i="22"/>
  <c r="AA5" i="22"/>
  <c r="Q5" i="22"/>
  <c r="AJ5" i="22"/>
  <c r="AE5" i="22"/>
  <c r="AD5" i="22"/>
  <c r="AB5" i="22"/>
  <c r="W5" i="22"/>
  <c r="T5" i="22"/>
  <c r="O5" i="22"/>
  <c r="L5" i="22"/>
  <c r="X5" i="22"/>
  <c r="AH5" i="22"/>
  <c r="AK5" i="22"/>
  <c r="M5" i="22"/>
  <c r="Z5" i="22"/>
  <c r="Y5" i="22"/>
  <c r="R5" i="22"/>
  <c r="AL5" i="22"/>
  <c r="S5" i="22"/>
  <c r="N5" i="22"/>
  <c r="AD59" i="23"/>
  <c r="AD12" i="22"/>
  <c r="F9" i="22"/>
  <c r="H35" i="23"/>
  <c r="H40" i="23" s="1"/>
  <c r="H56" i="23"/>
  <c r="H8" i="23"/>
  <c r="H24" i="23"/>
  <c r="H30" i="23" s="1"/>
  <c r="H27" i="23"/>
  <c r="H25" i="23"/>
  <c r="H49" i="23"/>
  <c r="H50" i="23" s="1"/>
  <c r="AA9" i="22"/>
  <c r="N9" i="22"/>
  <c r="AI9" i="22"/>
  <c r="AM9" i="22"/>
  <c r="AB9" i="22"/>
  <c r="S9" i="22"/>
  <c r="AE9" i="22"/>
  <c r="P9" i="22"/>
  <c r="AJ9" i="22"/>
  <c r="W9" i="22"/>
  <c r="AL9" i="22"/>
  <c r="V9" i="22"/>
  <c r="O9" i="22"/>
  <c r="Z9" i="22"/>
  <c r="AK9" i="22"/>
  <c r="L9" i="22"/>
  <c r="AG9" i="22"/>
  <c r="AC9" i="22"/>
  <c r="AH9" i="22"/>
  <c r="AD9" i="22"/>
  <c r="Y9" i="22"/>
  <c r="U9" i="22"/>
  <c r="T9" i="22"/>
  <c r="Q9" i="22"/>
  <c r="R9" i="22"/>
  <c r="M9" i="22"/>
  <c r="AF9" i="22"/>
  <c r="U13" i="22"/>
  <c r="Z13" i="22"/>
  <c r="AE13" i="22"/>
  <c r="AB39" i="23"/>
  <c r="AQ39" i="23"/>
  <c r="AL39" i="23"/>
  <c r="AM39" i="23"/>
  <c r="T39" i="23"/>
  <c r="AF39" i="23"/>
  <c r="W39" i="23"/>
  <c r="AE39" i="23"/>
  <c r="AO39" i="23"/>
  <c r="V39" i="23"/>
  <c r="AI39" i="23"/>
  <c r="AA39" i="23"/>
  <c r="AG39" i="23"/>
  <c r="U39" i="23"/>
  <c r="AH39" i="23"/>
  <c r="Y39" i="23"/>
  <c r="AD39" i="23"/>
  <c r="X39" i="23"/>
  <c r="Q39" i="23"/>
  <c r="P39" i="23"/>
  <c r="AN39" i="23"/>
  <c r="AK39" i="23"/>
  <c r="AP39" i="23"/>
  <c r="S39" i="23"/>
  <c r="AJ39" i="23"/>
  <c r="Z39" i="23"/>
  <c r="AC39" i="23"/>
  <c r="R39" i="23"/>
  <c r="AE25" i="22"/>
  <c r="AD30" i="22"/>
  <c r="Y30" i="22"/>
  <c r="AI10" i="22"/>
  <c r="AK10" i="22"/>
  <c r="AG10" i="22"/>
  <c r="Q10" i="22"/>
  <c r="U10" i="22"/>
  <c r="Y10" i="22"/>
  <c r="AC10" i="22"/>
  <c r="AE10" i="22"/>
  <c r="S10" i="22"/>
  <c r="R10" i="22"/>
  <c r="N10" i="22"/>
  <c r="W10" i="22"/>
  <c r="AF10" i="22"/>
  <c r="AJ10" i="22"/>
  <c r="X10" i="22"/>
  <c r="L10" i="22"/>
  <c r="M10" i="22"/>
  <c r="P10" i="22"/>
  <c r="AA10" i="22"/>
  <c r="O10" i="22"/>
  <c r="AL10" i="22"/>
  <c r="AM10" i="22"/>
  <c r="AB10" i="22"/>
  <c r="AH10" i="22"/>
  <c r="AD10" i="22"/>
  <c r="Z10" i="22"/>
  <c r="V10" i="22"/>
  <c r="T10" i="22"/>
  <c r="AF14" i="23"/>
  <c r="P14" i="23"/>
  <c r="Z14" i="23"/>
  <c r="T14" i="23"/>
  <c r="AK14" i="23"/>
  <c r="AG14" i="23"/>
  <c r="AA14" i="23"/>
  <c r="X14" i="23"/>
  <c r="AI14" i="23"/>
  <c r="AM14" i="23"/>
  <c r="AE14" i="23"/>
  <c r="AL14" i="23"/>
  <c r="AO14" i="23"/>
  <c r="AN14" i="23"/>
  <c r="Q14" i="23"/>
  <c r="AR14" i="23"/>
  <c r="AP14" i="23"/>
  <c r="AQ14" i="23"/>
  <c r="R14" i="23"/>
  <c r="AJ14" i="23"/>
  <c r="AD14" i="23"/>
  <c r="AC14" i="23"/>
  <c r="AB14" i="23"/>
  <c r="S14" i="23"/>
  <c r="E24" i="22"/>
  <c r="AE24" i="22" s="1"/>
  <c r="G18" i="23"/>
  <c r="AN34" i="23"/>
  <c r="AJ34" i="23"/>
  <c r="AD34" i="23"/>
  <c r="AQ34" i="23"/>
  <c r="AF34" i="23"/>
  <c r="Z34" i="23"/>
  <c r="S34" i="23"/>
  <c r="V34" i="23"/>
  <c r="X34" i="23"/>
  <c r="AI34" i="23"/>
  <c r="AH34" i="23"/>
  <c r="AM34" i="23"/>
  <c r="P34" i="23"/>
  <c r="Y34" i="23"/>
  <c r="AA34" i="23"/>
  <c r="R34" i="23"/>
  <c r="AP34" i="23"/>
  <c r="AG34" i="23"/>
  <c r="Q34" i="23"/>
  <c r="AK34" i="23"/>
  <c r="AE34" i="23"/>
  <c r="AB34" i="23"/>
  <c r="AL34" i="23"/>
  <c r="AC34" i="23"/>
  <c r="T34" i="23"/>
  <c r="U34" i="23"/>
  <c r="AO34" i="23"/>
  <c r="W34" i="23"/>
  <c r="AE11" i="22"/>
  <c r="AJ37" i="23"/>
  <c r="AE37" i="23"/>
  <c r="Z37" i="23"/>
  <c r="S37" i="23"/>
  <c r="R37" i="23"/>
  <c r="AM37" i="23"/>
  <c r="AO37" i="23"/>
  <c r="AK37" i="23"/>
  <c r="W37" i="23"/>
  <c r="V37" i="23"/>
  <c r="AC37" i="23"/>
  <c r="AD37" i="23"/>
  <c r="AP37" i="23"/>
  <c r="U37" i="23"/>
  <c r="AQ37" i="23"/>
  <c r="AL37" i="23"/>
  <c r="AN37" i="23"/>
  <c r="AA37" i="23"/>
  <c r="T37" i="23"/>
  <c r="AG37" i="23"/>
  <c r="AF37" i="23"/>
  <c r="Q37" i="23"/>
  <c r="AI37" i="23"/>
  <c r="AB37" i="23"/>
  <c r="AH37" i="23"/>
  <c r="AR37" i="23"/>
  <c r="P37" i="23"/>
  <c r="X37" i="23"/>
  <c r="E27" i="22"/>
  <c r="R27" i="22" s="1"/>
  <c r="G9" i="23"/>
  <c r="R9" i="23" s="1"/>
  <c r="G15" i="23"/>
  <c r="AG15" i="23" s="1"/>
  <c r="G6" i="22"/>
  <c r="I55" i="23"/>
  <c r="I60" i="23" s="1"/>
  <c r="I19" i="23"/>
  <c r="I14" i="23"/>
  <c r="AG57" i="23"/>
  <c r="U57" i="23"/>
  <c r="Z57" i="23"/>
  <c r="R57" i="23"/>
  <c r="AN57" i="23"/>
  <c r="AI57" i="23"/>
  <c r="Q57" i="23"/>
  <c r="AF57" i="23"/>
  <c r="AJ57" i="23"/>
  <c r="V57" i="23"/>
  <c r="AL57" i="23"/>
  <c r="X57" i="23"/>
  <c r="AB57" i="23"/>
  <c r="AH57" i="23"/>
  <c r="Y57" i="23"/>
  <c r="P57" i="23"/>
  <c r="T57" i="23"/>
  <c r="AE57" i="23"/>
  <c r="AM57" i="23"/>
  <c r="AQ57" i="23"/>
  <c r="AD57" i="23"/>
  <c r="AO57" i="23"/>
  <c r="AC57" i="23"/>
  <c r="AP57" i="23"/>
  <c r="S57" i="23"/>
  <c r="AK57" i="23"/>
  <c r="AA57" i="23"/>
  <c r="W57" i="23"/>
  <c r="Q17" i="22"/>
  <c r="O17" i="22"/>
  <c r="Z17" i="22"/>
  <c r="Y9" i="23"/>
  <c r="AB9" i="23"/>
  <c r="T9" i="23"/>
  <c r="X9" i="23"/>
  <c r="V9" i="23"/>
  <c r="AC9" i="23"/>
  <c r="AA9" i="23"/>
  <c r="P9" i="23"/>
  <c r="W9" i="23"/>
  <c r="Z9" i="23"/>
  <c r="Q21" i="22"/>
  <c r="AB21" i="22"/>
  <c r="Z21" i="22"/>
  <c r="AE36" i="23"/>
  <c r="AO36" i="23"/>
  <c r="U36" i="23"/>
  <c r="W36" i="23"/>
  <c r="AA36" i="23"/>
  <c r="P36" i="23"/>
  <c r="AL36" i="23"/>
  <c r="AN36" i="23"/>
  <c r="AJ36" i="23"/>
  <c r="AP36" i="23"/>
  <c r="AB36" i="23"/>
  <c r="Y36" i="23"/>
  <c r="AQ36" i="23"/>
  <c r="AH36" i="23"/>
  <c r="Q36" i="23"/>
  <c r="AG36" i="23"/>
  <c r="AK36" i="23"/>
  <c r="Z36" i="23"/>
  <c r="T36" i="23"/>
  <c r="AD36" i="23"/>
  <c r="R36" i="23"/>
  <c r="AI36" i="23"/>
  <c r="AF36" i="23"/>
  <c r="V36" i="23"/>
  <c r="AM36" i="23"/>
  <c r="X36" i="23"/>
  <c r="S36" i="23"/>
  <c r="AC36" i="23"/>
  <c r="I30" i="23"/>
  <c r="Y12" i="22"/>
  <c r="Z19" i="22"/>
  <c r="D6" i="22"/>
  <c r="U6" i="22" s="1"/>
  <c r="F14" i="23"/>
  <c r="F19" i="23"/>
  <c r="W19" i="23" s="1"/>
  <c r="F55" i="23"/>
  <c r="F60" i="23" s="1"/>
  <c r="AK27" i="23"/>
  <c r="AO27" i="23"/>
  <c r="AQ27" i="23"/>
  <c r="T27" i="23"/>
  <c r="X27" i="23"/>
  <c r="R27" i="23"/>
  <c r="AI27" i="23"/>
  <c r="P27" i="23"/>
  <c r="U27" i="23"/>
  <c r="AG27" i="23"/>
  <c r="AA27" i="23"/>
  <c r="AE27" i="23"/>
  <c r="AP27" i="23"/>
  <c r="AJ27" i="23"/>
  <c r="AH27" i="23"/>
  <c r="Z27" i="23"/>
  <c r="AR27" i="23"/>
  <c r="AM27" i="23"/>
  <c r="AB27" i="23"/>
  <c r="W27" i="23"/>
  <c r="AL27" i="23"/>
  <c r="Y27" i="23"/>
  <c r="AC27" i="23"/>
  <c r="AF27" i="23"/>
  <c r="V27" i="23"/>
  <c r="AN27" i="23"/>
  <c r="Q27" i="23"/>
  <c r="AD27" i="23"/>
  <c r="Y13" i="22"/>
  <c r="AH4" i="23"/>
  <c r="U4" i="23"/>
  <c r="AG4" i="23"/>
  <c r="AK4" i="23"/>
  <c r="R4" i="23"/>
  <c r="AP4" i="23"/>
  <c r="Y4" i="23"/>
  <c r="Z4" i="23"/>
  <c r="AB4" i="23"/>
  <c r="T4" i="23"/>
  <c r="AJ4" i="23"/>
  <c r="Q4" i="23"/>
  <c r="AM4" i="23"/>
  <c r="P4" i="23"/>
  <c r="AF4" i="23"/>
  <c r="AL4" i="23"/>
  <c r="AA4" i="23"/>
  <c r="AD4" i="23"/>
  <c r="AN4" i="23"/>
  <c r="X4" i="23"/>
  <c r="V4" i="23"/>
  <c r="S4" i="23"/>
  <c r="AI4" i="23"/>
  <c r="AO4" i="23"/>
  <c r="AC4" i="23"/>
  <c r="AQ4" i="23"/>
  <c r="W4" i="23"/>
  <c r="AE4" i="23"/>
  <c r="AE23" i="22"/>
  <c r="AI30" i="22"/>
  <c r="AN46" i="23"/>
  <c r="W46" i="23"/>
  <c r="AO46" i="23"/>
  <c r="AP46" i="23"/>
  <c r="R46" i="23"/>
  <c r="AF46" i="23"/>
  <c r="P46" i="23"/>
  <c r="AB46" i="23"/>
  <c r="U46" i="23"/>
  <c r="S46" i="23"/>
  <c r="T46" i="23"/>
  <c r="Y46" i="23"/>
  <c r="AE46" i="23"/>
  <c r="AC46" i="23"/>
  <c r="X46" i="23"/>
  <c r="V46" i="23"/>
  <c r="Q46" i="23"/>
  <c r="Z46" i="23"/>
  <c r="AK46" i="23"/>
  <c r="AL46" i="23"/>
  <c r="AD46" i="23"/>
  <c r="AQ46" i="23"/>
  <c r="AI46" i="23"/>
  <c r="AH46" i="23"/>
  <c r="AA46" i="23"/>
  <c r="AM46" i="23"/>
  <c r="AJ46" i="23"/>
  <c r="AG46" i="23"/>
  <c r="AC26" i="22"/>
  <c r="N26" i="22"/>
  <c r="AH26" i="22"/>
  <c r="AH14" i="23"/>
  <c r="AJ6" i="22"/>
  <c r="W6" i="22"/>
  <c r="AH6" i="22"/>
  <c r="N6" i="22"/>
  <c r="V6" i="22"/>
  <c r="AD6" i="22"/>
  <c r="AB6" i="22"/>
  <c r="Q6" i="22"/>
  <c r="O6" i="22"/>
  <c r="AL6" i="22"/>
  <c r="AG6" i="22"/>
  <c r="Y6" i="22"/>
  <c r="T6" i="22"/>
  <c r="L6" i="22"/>
  <c r="AK6" i="22"/>
  <c r="R6" i="22"/>
  <c r="Z6" i="22"/>
  <c r="AE6" i="22"/>
  <c r="P6" i="22"/>
  <c r="AM6" i="22"/>
  <c r="X6" i="22"/>
  <c r="AF6" i="22"/>
  <c r="M6" i="22"/>
  <c r="S6" i="22"/>
  <c r="AA6" i="22"/>
  <c r="AC6" i="22"/>
  <c r="AI6" i="22"/>
  <c r="X26" i="23"/>
  <c r="Y26" i="23"/>
  <c r="AA26" i="23"/>
  <c r="AJ26" i="23"/>
  <c r="P26" i="23"/>
  <c r="AM26" i="23"/>
  <c r="AP26" i="23"/>
  <c r="R26" i="23"/>
  <c r="AD26" i="23"/>
  <c r="W26" i="23"/>
  <c r="AG26" i="23"/>
  <c r="AI26" i="23"/>
  <c r="U26" i="23"/>
  <c r="AO26" i="23"/>
  <c r="AE26" i="23"/>
  <c r="Z26" i="23"/>
  <c r="AC26" i="23"/>
  <c r="V26" i="23"/>
  <c r="Q26" i="23"/>
  <c r="AL26" i="23"/>
  <c r="AK26" i="23"/>
  <c r="AN26" i="23"/>
  <c r="AQ26" i="23"/>
  <c r="T26" i="23"/>
  <c r="S26" i="23"/>
  <c r="AF26" i="23"/>
  <c r="AH26" i="23"/>
  <c r="AB26" i="23"/>
  <c r="Z11" i="22"/>
  <c r="AI11" i="22"/>
  <c r="Y14" i="22"/>
  <c r="AM14" i="22"/>
  <c r="AF14" i="22"/>
  <c r="AE14" i="22"/>
  <c r="W14" i="22"/>
  <c r="M14" i="22"/>
  <c r="AI14" i="22"/>
  <c r="Q14" i="22"/>
  <c r="AG14" i="22"/>
  <c r="L14" i="22"/>
  <c r="AL14" i="22"/>
  <c r="AH14" i="22"/>
  <c r="O14" i="22"/>
  <c r="AD14" i="22"/>
  <c r="Z14" i="22"/>
  <c r="AA14" i="22"/>
  <c r="U14" i="22"/>
  <c r="V14" i="22"/>
  <c r="R14" i="22"/>
  <c r="P14" i="22"/>
  <c r="N14" i="22"/>
  <c r="X14" i="22"/>
  <c r="AC14" i="22"/>
  <c r="AJ14" i="22"/>
  <c r="AK14" i="22"/>
  <c r="AB14" i="22"/>
  <c r="T14" i="22"/>
  <c r="J18" i="22"/>
  <c r="L5" i="23"/>
  <c r="L10" i="23" s="1"/>
  <c r="I27" i="22"/>
  <c r="K15" i="23"/>
  <c r="K20" i="23" s="1"/>
  <c r="K9" i="23"/>
  <c r="U58" i="23"/>
  <c r="AJ58" i="23"/>
  <c r="T58" i="23"/>
  <c r="AM58" i="23"/>
  <c r="Y58" i="23"/>
  <c r="AN58" i="23"/>
  <c r="AP58" i="23"/>
  <c r="AQ58" i="23"/>
  <c r="AB58" i="23"/>
  <c r="Q58" i="23"/>
  <c r="P58" i="23"/>
  <c r="AO58" i="23"/>
  <c r="AH58" i="23"/>
  <c r="V58" i="23"/>
  <c r="X58" i="23"/>
  <c r="AD58" i="23"/>
  <c r="AG58" i="23"/>
  <c r="AL58" i="23"/>
  <c r="AF58" i="23"/>
  <c r="W58" i="23"/>
  <c r="AC58" i="23"/>
  <c r="AE58" i="23"/>
  <c r="AK58" i="23"/>
  <c r="S58" i="23"/>
  <c r="R58" i="23"/>
  <c r="AA58" i="23"/>
  <c r="Z58" i="23"/>
  <c r="AI58" i="23"/>
  <c r="U17" i="22"/>
  <c r="L17" i="22"/>
  <c r="S17" i="22"/>
  <c r="X17" i="22"/>
  <c r="L27" i="22"/>
  <c r="T27" i="22"/>
  <c r="Y27" i="22"/>
  <c r="W27" i="22"/>
  <c r="Q27" i="22"/>
  <c r="P27" i="22"/>
  <c r="V27" i="22"/>
  <c r="X27" i="22"/>
  <c r="U27" i="22"/>
  <c r="Z27" i="22"/>
  <c r="S27" i="22"/>
  <c r="M21" i="22"/>
  <c r="X21" i="22"/>
  <c r="AJ21" i="22"/>
  <c r="Q29" i="22"/>
  <c r="AK22" i="22"/>
  <c r="X22" i="22"/>
  <c r="W22" i="22"/>
  <c r="S22" i="22"/>
  <c r="AC22" i="22"/>
  <c r="M22" i="22"/>
  <c r="AM22" i="22"/>
  <c r="AF22" i="22"/>
  <c r="P22" i="22"/>
  <c r="AN22" i="22"/>
  <c r="AI22" i="22"/>
  <c r="AD22" i="22"/>
  <c r="Z22" i="22"/>
  <c r="V22" i="22"/>
  <c r="R22" i="22"/>
  <c r="N22" i="22"/>
  <c r="AA22" i="22"/>
  <c r="O22" i="22"/>
  <c r="AJ22" i="22"/>
  <c r="AE22" i="22"/>
  <c r="AG22" i="22"/>
  <c r="AB22" i="22"/>
  <c r="U22" i="22"/>
  <c r="Y22" i="22"/>
  <c r="T22" i="22"/>
  <c r="Q22" i="22"/>
  <c r="L22" i="22"/>
  <c r="AL22" i="22"/>
  <c r="AH22" i="22"/>
  <c r="AG16" i="22"/>
  <c r="AM16" i="22"/>
  <c r="AC16" i="22"/>
  <c r="W16" i="22"/>
  <c r="AI16" i="22"/>
  <c r="S16" i="22"/>
  <c r="AH16" i="22"/>
  <c r="Z16" i="22"/>
  <c r="AE16" i="22"/>
  <c r="M16" i="22"/>
  <c r="X16" i="22"/>
  <c r="T16" i="22"/>
  <c r="P16" i="22"/>
  <c r="L16" i="22"/>
  <c r="AL16" i="22"/>
  <c r="Y16" i="22"/>
  <c r="R16" i="22"/>
  <c r="AD16" i="22"/>
  <c r="AK16" i="22"/>
  <c r="U16" i="22"/>
  <c r="V16" i="22"/>
  <c r="O16" i="22"/>
  <c r="N16" i="22"/>
  <c r="AA16" i="22"/>
  <c r="Q16" i="22"/>
  <c r="AJ16" i="22"/>
  <c r="AF16" i="22"/>
  <c r="AB16" i="22"/>
  <c r="AR54" i="23"/>
  <c r="AP54" i="23"/>
  <c r="AG54" i="23"/>
  <c r="AF54" i="23"/>
  <c r="Z54" i="23"/>
  <c r="Q54" i="23"/>
  <c r="P54" i="23"/>
  <c r="AB54" i="23"/>
  <c r="W54" i="23"/>
  <c r="T54" i="23"/>
  <c r="AQ54" i="23"/>
  <c r="AN54" i="23"/>
  <c r="AC54" i="23"/>
  <c r="AE54" i="23"/>
  <c r="AI54" i="23"/>
  <c r="R54" i="23"/>
  <c r="AK54" i="23"/>
  <c r="AH54" i="23"/>
  <c r="Y54" i="23"/>
  <c r="U54" i="23"/>
  <c r="AL54" i="23"/>
  <c r="AD54" i="23"/>
  <c r="V54" i="23"/>
  <c r="AA54" i="23"/>
  <c r="S54" i="23"/>
  <c r="AO54" i="23"/>
  <c r="AJ54" i="23"/>
  <c r="X54" i="23"/>
  <c r="AM54" i="23"/>
  <c r="Y37" i="23"/>
  <c r="Q59" i="23"/>
  <c r="W59" i="23"/>
  <c r="AN59" i="23"/>
  <c r="P59" i="23"/>
  <c r="Z59" i="23"/>
  <c r="AR59" i="23"/>
  <c r="AI59" i="23"/>
  <c r="AJ59" i="23"/>
  <c r="S59" i="23"/>
  <c r="AO59" i="23"/>
  <c r="AM59" i="23"/>
  <c r="T59" i="23"/>
  <c r="AH59" i="23"/>
  <c r="AQ59" i="23"/>
  <c r="AB59" i="23"/>
  <c r="R59" i="23"/>
  <c r="AE59" i="23"/>
  <c r="AF59" i="23"/>
  <c r="AP59" i="23"/>
  <c r="U59" i="23"/>
  <c r="Y59" i="23"/>
  <c r="X59" i="23"/>
  <c r="AC59" i="23"/>
  <c r="AL59" i="23"/>
  <c r="AA59" i="23"/>
  <c r="AG59" i="23"/>
  <c r="AK59" i="23"/>
  <c r="Y17" i="22"/>
  <c r="W17" i="22"/>
  <c r="R17" i="22"/>
  <c r="O21" i="22"/>
  <c r="AD21" i="22"/>
  <c r="V21" i="22"/>
  <c r="G27" i="22"/>
  <c r="I9" i="23"/>
  <c r="I10" i="23" s="1"/>
  <c r="I15" i="23"/>
  <c r="S29" i="22"/>
  <c r="AM29" i="22"/>
  <c r="F24" i="22"/>
  <c r="H18" i="23"/>
  <c r="AM17" i="22"/>
  <c r="AO18" i="23"/>
  <c r="AA18" i="23"/>
  <c r="AE18" i="23"/>
  <c r="AK18" i="23"/>
  <c r="Y18" i="23"/>
  <c r="AM18" i="23"/>
  <c r="AF18" i="23"/>
  <c r="AC18" i="23"/>
  <c r="AG18" i="23"/>
  <c r="X18" i="23"/>
  <c r="S18" i="23"/>
  <c r="U18" i="23"/>
  <c r="Q18" i="23"/>
  <c r="AJ18" i="23"/>
  <c r="AP18" i="23"/>
  <c r="AQ18" i="23"/>
  <c r="AD18" i="23"/>
  <c r="P18" i="23"/>
  <c r="AH18" i="23"/>
  <c r="AB18" i="23"/>
  <c r="AI18" i="23"/>
  <c r="Z18" i="23"/>
  <c r="W18" i="23"/>
  <c r="V18" i="23"/>
  <c r="AL18" i="23"/>
  <c r="R18" i="23"/>
  <c r="AN18" i="23"/>
  <c r="T18" i="23"/>
  <c r="C27" i="22"/>
  <c r="E15" i="23"/>
  <c r="E9" i="23"/>
  <c r="AE12" i="22"/>
  <c r="AO38" i="23"/>
  <c r="AC38" i="23"/>
  <c r="AI38" i="23"/>
  <c r="W38" i="23"/>
  <c r="AM38" i="23"/>
  <c r="AA38" i="23"/>
  <c r="AF38" i="23"/>
  <c r="X38" i="23"/>
  <c r="S38" i="23"/>
  <c r="R38" i="23"/>
  <c r="AP38" i="23"/>
  <c r="AJ38" i="23"/>
  <c r="AH38" i="23"/>
  <c r="T38" i="23"/>
  <c r="AK38" i="23"/>
  <c r="AL38" i="23"/>
  <c r="Z38" i="23"/>
  <c r="AE38" i="23"/>
  <c r="AD38" i="23"/>
  <c r="P38" i="23"/>
  <c r="Q38" i="23"/>
  <c r="AQ38" i="23"/>
  <c r="AG38" i="23"/>
  <c r="Y38" i="23"/>
  <c r="V38" i="23"/>
  <c r="U38" i="23"/>
  <c r="AN38" i="23"/>
  <c r="U19" i="22"/>
  <c r="Z24" i="22"/>
  <c r="AG24" i="22"/>
  <c r="M24" i="22"/>
  <c r="AK24" i="22"/>
  <c r="AC24" i="22"/>
  <c r="Q24" i="22"/>
  <c r="Y24" i="22"/>
  <c r="AH24" i="22"/>
  <c r="U24" i="22"/>
  <c r="AM24" i="22"/>
  <c r="R24" i="22"/>
  <c r="AI24" i="22"/>
  <c r="AD24" i="22"/>
  <c r="W24" i="22"/>
  <c r="AL24" i="22"/>
  <c r="P24" i="22"/>
  <c r="X24" i="22"/>
  <c r="L24" i="22"/>
  <c r="AF24" i="22"/>
  <c r="T24" i="22"/>
  <c r="AB24" i="22"/>
  <c r="AJ24" i="22"/>
  <c r="N24" i="22"/>
  <c r="S24" i="22"/>
  <c r="V24" i="22"/>
  <c r="AA24" i="22"/>
  <c r="O24" i="22"/>
  <c r="AC49" i="23"/>
  <c r="T49" i="23"/>
  <c r="AL49" i="23"/>
  <c r="U49" i="23"/>
  <c r="AD49" i="23"/>
  <c r="S49" i="23"/>
  <c r="AN49" i="23"/>
  <c r="AJ49" i="23"/>
  <c r="R49" i="23"/>
  <c r="AF49" i="23"/>
  <c r="Z49" i="23"/>
  <c r="AB49" i="23"/>
  <c r="Q49" i="23"/>
  <c r="X49" i="23"/>
  <c r="AI49" i="23"/>
  <c r="AQ49" i="23"/>
  <c r="AO49" i="23"/>
  <c r="P49" i="23"/>
  <c r="Y49" i="23"/>
  <c r="AA49" i="23"/>
  <c r="AG49" i="23"/>
  <c r="AP49" i="23"/>
  <c r="AM49" i="23"/>
  <c r="AH49" i="23"/>
  <c r="AK49" i="23"/>
  <c r="AE49" i="23"/>
  <c r="V49" i="23"/>
  <c r="W49" i="23"/>
  <c r="AI13" i="22"/>
  <c r="U25" i="22"/>
  <c r="AL26" i="22"/>
  <c r="AK26" i="22"/>
  <c r="AE26" i="22"/>
  <c r="AE6" i="23"/>
  <c r="AJ6" i="23"/>
  <c r="Y6" i="23"/>
  <c r="Q6" i="23"/>
  <c r="AC6" i="23"/>
  <c r="P6" i="23"/>
  <c r="U6" i="23"/>
  <c r="AK6" i="23"/>
  <c r="AI6" i="23"/>
  <c r="AN6" i="23"/>
  <c r="V6" i="23"/>
  <c r="X6" i="23"/>
  <c r="Z6" i="23"/>
  <c r="AH6" i="23"/>
  <c r="AL6" i="23"/>
  <c r="AD6" i="23"/>
  <c r="AO6" i="23"/>
  <c r="AQ6" i="23"/>
  <c r="AB6" i="23"/>
  <c r="AP6" i="23"/>
  <c r="W6" i="23"/>
  <c r="R6" i="23"/>
  <c r="AF6" i="23"/>
  <c r="S6" i="23"/>
  <c r="AR6" i="23"/>
  <c r="AA6" i="23"/>
  <c r="AM6" i="23"/>
  <c r="T6" i="23"/>
  <c r="AG6" i="23"/>
  <c r="D27" i="22"/>
  <c r="AH27" i="22" s="1"/>
  <c r="F9" i="23"/>
  <c r="AJ9" i="23" s="1"/>
  <c r="F15" i="23"/>
  <c r="AE15" i="23" s="1"/>
  <c r="P7" i="22"/>
  <c r="AH7" i="22"/>
  <c r="AC7" i="22"/>
  <c r="W7" i="22"/>
  <c r="AI7" i="22"/>
  <c r="AF7" i="22"/>
  <c r="AN7" i="22"/>
  <c r="U7" i="22"/>
  <c r="S7" i="22"/>
  <c r="V7" i="22"/>
  <c r="Y7" i="22"/>
  <c r="M7" i="22"/>
  <c r="N7" i="22"/>
  <c r="Q7" i="22"/>
  <c r="Z7" i="22"/>
  <c r="O7" i="22"/>
  <c r="AJ7" i="22"/>
  <c r="X7" i="22"/>
  <c r="AM7" i="22"/>
  <c r="AA7" i="22"/>
  <c r="R7" i="22"/>
  <c r="AB7" i="22"/>
  <c r="AK7" i="22"/>
  <c r="AE7" i="22"/>
  <c r="T7" i="22"/>
  <c r="L7" i="22"/>
  <c r="AL7" i="22"/>
  <c r="AD7" i="22"/>
  <c r="AG7" i="22"/>
  <c r="S14" i="22"/>
  <c r="E50" i="23"/>
  <c r="V8" i="22"/>
  <c r="M8" i="22"/>
  <c r="AJ8" i="22"/>
  <c r="AM8" i="22"/>
  <c r="N8" i="22"/>
  <c r="AB8" i="22"/>
  <c r="AA8" i="22"/>
  <c r="AC8" i="22"/>
  <c r="AH8" i="22"/>
  <c r="R8" i="22"/>
  <c r="Q8" i="22"/>
  <c r="T8" i="22"/>
  <c r="W8" i="22"/>
  <c r="X8" i="22"/>
  <c r="AK8" i="22"/>
  <c r="S8" i="22"/>
  <c r="AN8" i="22"/>
  <c r="O8" i="22"/>
  <c r="Y8" i="22"/>
  <c r="L8" i="22"/>
  <c r="AI8" i="22"/>
  <c r="AL8" i="22"/>
  <c r="AF8" i="22"/>
  <c r="Z8" i="22"/>
  <c r="P8" i="22"/>
  <c r="AG8" i="22"/>
  <c r="U8" i="22"/>
  <c r="AD8" i="22"/>
  <c r="AE8" i="22"/>
  <c r="E18" i="22"/>
  <c r="AG18" i="22" s="1"/>
  <c r="G5" i="23"/>
  <c r="G10" i="23" s="1"/>
  <c r="AC17" i="22"/>
  <c r="T17" i="22"/>
  <c r="V59" i="23"/>
  <c r="F18" i="22"/>
  <c r="H5" i="23"/>
  <c r="H10" i="23" s="1"/>
  <c r="AI21" i="22"/>
  <c r="T21" i="22"/>
  <c r="AR16" i="23"/>
  <c r="AE16" i="23"/>
  <c r="V16" i="23"/>
  <c r="AQ16" i="23"/>
  <c r="P16" i="23"/>
  <c r="X16" i="23"/>
  <c r="AO16" i="23"/>
  <c r="AC16" i="23"/>
  <c r="AJ16" i="23"/>
  <c r="AN16" i="23"/>
  <c r="AG16" i="23"/>
  <c r="U16" i="23"/>
  <c r="AB16" i="23"/>
  <c r="S16" i="23"/>
  <c r="Y16" i="23"/>
  <c r="AK16" i="23"/>
  <c r="AP16" i="23"/>
  <c r="R16" i="23"/>
  <c r="AF16" i="23"/>
  <c r="Q16" i="23"/>
  <c r="AA16" i="23"/>
  <c r="AD16" i="23"/>
  <c r="AI16" i="23"/>
  <c r="AH16" i="23"/>
  <c r="AM16" i="23"/>
  <c r="AL16" i="23"/>
  <c r="T16" i="23"/>
  <c r="W16" i="23"/>
  <c r="Z16" i="23"/>
  <c r="AI5" i="23"/>
  <c r="AL5" i="23"/>
  <c r="AF5" i="23"/>
  <c r="AM5" i="23"/>
  <c r="S5" i="23"/>
  <c r="Y5" i="23"/>
  <c r="AP5" i="23"/>
  <c r="AE5" i="23"/>
  <c r="AQ5" i="23"/>
  <c r="AK5" i="23"/>
  <c r="AD5" i="23"/>
  <c r="W5" i="23"/>
  <c r="AA5" i="23"/>
  <c r="X5" i="23"/>
  <c r="Q5" i="23"/>
  <c r="AR5" i="23"/>
  <c r="AN5" i="23"/>
  <c r="V5" i="23"/>
  <c r="AO5" i="23"/>
  <c r="AJ5" i="23"/>
  <c r="Z5" i="23"/>
  <c r="AG5" i="23"/>
  <c r="P5" i="23"/>
  <c r="AB5" i="23"/>
  <c r="AH5" i="23"/>
  <c r="U5" i="23"/>
  <c r="R5" i="23"/>
  <c r="T5" i="23"/>
  <c r="AC5" i="23"/>
  <c r="X8" i="23"/>
  <c r="B104" i="5"/>
  <c r="AS7" i="23" s="1"/>
  <c r="B20" i="5"/>
  <c r="B103" i="5"/>
  <c r="AN18" i="22" s="1"/>
  <c r="AO8" i="22" l="1"/>
  <c r="AS5" i="23"/>
  <c r="AS4" i="23"/>
  <c r="F20" i="23"/>
  <c r="AM9" i="23"/>
  <c r="AK9" i="23"/>
  <c r="W14" i="23"/>
  <c r="AR17" i="23"/>
  <c r="AM15" i="23"/>
  <c r="AR35" i="23"/>
  <c r="AR8" i="23"/>
  <c r="AA18" i="22"/>
  <c r="V18" i="22"/>
  <c r="U18" i="22"/>
  <c r="Y18" i="22"/>
  <c r="AO28" i="22"/>
  <c r="AK15" i="22"/>
  <c r="AE15" i="22"/>
  <c r="V15" i="22"/>
  <c r="Z15" i="22"/>
  <c r="E60" i="23"/>
  <c r="AR29" i="23"/>
  <c r="AA27" i="22"/>
  <c r="AB27" i="22"/>
  <c r="AM27" i="22"/>
  <c r="AN6" i="22"/>
  <c r="AR46" i="23"/>
  <c r="AH9" i="23"/>
  <c r="AS9" i="23"/>
  <c r="Q9" i="23"/>
  <c r="I20" i="23"/>
  <c r="U14" i="23"/>
  <c r="AO10" i="22"/>
  <c r="AN15" i="23"/>
  <c r="AQ15" i="23"/>
  <c r="AS45" i="23"/>
  <c r="V19" i="23"/>
  <c r="U19" i="23"/>
  <c r="AS48" i="23"/>
  <c r="X55" i="23"/>
  <c r="L20" i="23"/>
  <c r="Z18" i="22"/>
  <c r="AB18" i="22"/>
  <c r="Q18" i="22"/>
  <c r="W15" i="22"/>
  <c r="AA15" i="22"/>
  <c r="P15" i="22"/>
  <c r="R15" i="22"/>
  <c r="AG56" i="23"/>
  <c r="AC56" i="23"/>
  <c r="AD56" i="23"/>
  <c r="AK35" i="23"/>
  <c r="G40" i="23"/>
  <c r="AS49" i="23"/>
  <c r="AO24" i="22"/>
  <c r="AS58" i="23"/>
  <c r="AN29" i="22"/>
  <c r="AN30" i="22"/>
  <c r="AN23" i="22"/>
  <c r="AN13" i="22"/>
  <c r="AN17" i="22"/>
  <c r="AN12" i="22"/>
  <c r="AN25" i="22"/>
  <c r="AN21" i="22"/>
  <c r="AN11" i="22"/>
  <c r="AN26" i="22"/>
  <c r="AN19" i="22"/>
  <c r="AO7" i="22"/>
  <c r="AN16" i="22"/>
  <c r="AK27" i="22"/>
  <c r="AI27" i="22"/>
  <c r="AO14" i="22"/>
  <c r="AR26" i="23"/>
  <c r="AS46" i="23"/>
  <c r="AS36" i="23"/>
  <c r="AO9" i="23"/>
  <c r="AN9" i="22"/>
  <c r="V15" i="23"/>
  <c r="AK15" i="23"/>
  <c r="AL15" i="23"/>
  <c r="AO15" i="23"/>
  <c r="AS19" i="23"/>
  <c r="AR19" i="23"/>
  <c r="AS6" i="23"/>
  <c r="AJ18" i="22"/>
  <c r="W18" i="22"/>
  <c r="X18" i="22"/>
  <c r="AO18" i="22"/>
  <c r="AR47" i="23"/>
  <c r="AR25" i="23"/>
  <c r="AS25" i="23"/>
  <c r="S15" i="22"/>
  <c r="AB15" i="22"/>
  <c r="AJ15" i="22"/>
  <c r="AD15" i="22"/>
  <c r="K10" i="23"/>
  <c r="AO16" i="22"/>
  <c r="AO22" i="22"/>
  <c r="O27" i="22"/>
  <c r="N27" i="22"/>
  <c r="AJ27" i="22"/>
  <c r="AS38" i="23"/>
  <c r="AS54" i="23"/>
  <c r="AO27" i="22"/>
  <c r="M27" i="22"/>
  <c r="AR58" i="23"/>
  <c r="AR36" i="23"/>
  <c r="AP9" i="23"/>
  <c r="AQ9" i="23"/>
  <c r="AG9" i="23"/>
  <c r="AR57" i="23"/>
  <c r="AR34" i="23"/>
  <c r="AS14" i="23"/>
  <c r="H20" i="23"/>
  <c r="AC15" i="23"/>
  <c r="R15" i="23"/>
  <c r="AR15" i="23"/>
  <c r="E30" i="23"/>
  <c r="U55" i="23"/>
  <c r="AI18" i="22"/>
  <c r="AD18" i="22"/>
  <c r="AC18" i="22"/>
  <c r="T15" i="22"/>
  <c r="O15" i="22"/>
  <c r="AL15" i="22"/>
  <c r="Q15" i="22"/>
  <c r="AF15" i="22"/>
  <c r="AL27" i="22"/>
  <c r="AR9" i="23"/>
  <c r="AE9" i="23"/>
  <c r="AS57" i="23"/>
  <c r="AR39" i="23"/>
  <c r="AO5" i="22"/>
  <c r="AJ15" i="23"/>
  <c r="AH15" i="23"/>
  <c r="F10" i="23"/>
  <c r="AR44" i="23"/>
  <c r="AS44" i="23"/>
  <c r="AS28" i="23"/>
  <c r="AS35" i="23"/>
  <c r="AN4" i="22"/>
  <c r="AR48" i="23"/>
  <c r="N18" i="22"/>
  <c r="AH18" i="22"/>
  <c r="L18" i="22"/>
  <c r="AN28" i="22"/>
  <c r="AO20" i="22"/>
  <c r="AC15" i="22"/>
  <c r="AN15" i="22"/>
  <c r="AS29" i="23"/>
  <c r="AS18" i="23"/>
  <c r="AF27" i="22"/>
  <c r="AE27" i="22"/>
  <c r="AS27" i="23"/>
  <c r="AF9" i="23"/>
  <c r="U9" i="23"/>
  <c r="AL9" i="23"/>
  <c r="AD9" i="23"/>
  <c r="G20" i="23"/>
  <c r="AS34" i="23"/>
  <c r="AN10" i="22"/>
  <c r="AS39" i="23"/>
  <c r="AO9" i="22"/>
  <c r="AN5" i="22"/>
  <c r="AO15" i="22"/>
  <c r="AF15" i="23"/>
  <c r="S15" i="23"/>
  <c r="AI15" i="23"/>
  <c r="Q15" i="23"/>
  <c r="AR45" i="23"/>
  <c r="O18" i="22"/>
  <c r="X19" i="23"/>
  <c r="W55" i="23"/>
  <c r="AS55" i="23"/>
  <c r="R18" i="22"/>
  <c r="AL18" i="22"/>
  <c r="AF18" i="22"/>
  <c r="U15" i="22"/>
  <c r="Y15" i="22"/>
  <c r="L15" i="22"/>
  <c r="I112" i="5"/>
  <c r="AO21" i="22"/>
  <c r="AO25" i="22"/>
  <c r="AO29" i="22"/>
  <c r="AO11" i="22"/>
  <c r="AO19" i="22"/>
  <c r="AO17" i="22"/>
  <c r="AO12" i="22"/>
  <c r="AO23" i="22"/>
  <c r="AO30" i="22"/>
  <c r="AO13" i="22"/>
  <c r="AO26" i="22"/>
  <c r="AS16" i="23"/>
  <c r="AR18" i="23"/>
  <c r="AS59" i="23"/>
  <c r="AN27" i="22"/>
  <c r="AC27" i="22"/>
  <c r="AN14" i="22"/>
  <c r="AS26" i="23"/>
  <c r="AO6" i="22"/>
  <c r="AR4" i="23"/>
  <c r="AN9" i="23"/>
  <c r="AS37" i="23"/>
  <c r="V14" i="23"/>
  <c r="AS17" i="23"/>
  <c r="Y15" i="23"/>
  <c r="Z15" i="23"/>
  <c r="AB15" i="23"/>
  <c r="AS15" i="23"/>
  <c r="Y19" i="23"/>
  <c r="AR28" i="23"/>
  <c r="AS8" i="23"/>
  <c r="Y55" i="23"/>
  <c r="AR55" i="23"/>
  <c r="AR7" i="23"/>
  <c r="AM18" i="22"/>
  <c r="M18" i="22"/>
  <c r="AK18" i="22"/>
  <c r="AS47" i="23"/>
  <c r="AN20" i="22"/>
  <c r="E10" i="23"/>
  <c r="M15" i="22"/>
  <c r="AH15" i="22"/>
  <c r="AG15" i="22"/>
  <c r="E20" i="23"/>
  <c r="V56" i="23"/>
  <c r="U56" i="23"/>
  <c r="W56" i="23"/>
  <c r="AK56" i="23"/>
  <c r="AR49" i="23"/>
  <c r="AN24" i="22"/>
  <c r="AR38" i="23"/>
  <c r="AG27" i="22"/>
  <c r="AD27" i="22"/>
  <c r="S9" i="23"/>
  <c r="AI9" i="23"/>
  <c r="Y14" i="23"/>
  <c r="AP15" i="23"/>
  <c r="AD15" i="23"/>
  <c r="T15" i="23"/>
  <c r="X15" i="23"/>
  <c r="AR24" i="23"/>
  <c r="AS24" i="23"/>
  <c r="AO4" i="22"/>
  <c r="V55" i="23"/>
  <c r="T18" i="22"/>
  <c r="S18" i="22"/>
  <c r="P18" i="22"/>
  <c r="AE18" i="22"/>
  <c r="AI15" i="22"/>
  <c r="AM15" i="22"/>
  <c r="X15" i="22"/>
  <c r="AS56" i="23"/>
  <c r="AR56" i="23"/>
</calcChain>
</file>

<file path=xl/comments1.xml><?xml version="1.0" encoding="utf-8"?>
<comments xmlns="http://schemas.openxmlformats.org/spreadsheetml/2006/main">
  <authors>
    <author>Nexo</author>
  </authors>
  <commentList>
    <comment ref="C8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8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8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8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15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15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5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5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15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15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2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2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2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31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1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1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38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38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8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38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38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45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45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45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45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45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5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5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5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5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60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60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60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0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0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60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60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67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67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67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7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7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67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67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67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</commentList>
</comments>
</file>

<file path=xl/comments2.xml><?xml version="1.0" encoding="utf-8"?>
<comments xmlns="http://schemas.openxmlformats.org/spreadsheetml/2006/main">
  <authors>
    <author>Nexo</author>
  </authors>
  <commentList>
    <comment ref="B28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28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8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28" authorId="0" shapeId="0">
      <text>
        <r>
          <rPr>
            <sz val="9"/>
            <color indexed="81"/>
            <rFont val="Tahoma"/>
            <family val="2"/>
          </rPr>
          <t xml:space="preserve">Reduces armor of the enemy. Damage calculation : Damages - (Armor - Armor Penetration) = Damages deal.
</t>
        </r>
      </text>
    </comment>
    <comment ref="I28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>
      <text>
        <r>
          <rPr>
            <sz val="9"/>
            <color indexed="81"/>
            <rFont val="Tahoma"/>
            <family val="2"/>
          </rPr>
          <t>Final upgrades possibilities.</t>
        </r>
      </text>
    </comment>
    <comment ref="B39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39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39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9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39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43" authorId="0" shapeId="0">
      <text>
        <r>
          <rPr>
            <sz val="9"/>
            <color indexed="81"/>
            <rFont val="Tahoma"/>
            <family val="2"/>
          </rPr>
          <t xml:space="preserve">Final upgrades possibilities.
</t>
        </r>
      </text>
    </comment>
    <comment ref="A44" authorId="0" shapeId="0">
      <text>
        <r>
          <rPr>
            <sz val="9"/>
            <color indexed="81"/>
            <rFont val="Tahoma"/>
            <family val="2"/>
          </rPr>
          <t xml:space="preserve">Final upgrades possibilities.
</t>
        </r>
      </text>
    </comment>
    <comment ref="C46" authorId="0" shapeId="0">
      <text>
        <r>
          <rPr>
            <sz val="9"/>
            <color indexed="81"/>
            <rFont val="Tahoma"/>
            <family val="2"/>
          </rPr>
          <t xml:space="preserve">Damages deal each seconds.
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 xml:space="preserve">Duration in seconds.
</t>
        </r>
      </text>
    </comment>
    <comment ref="C49" authorId="0" shapeId="0">
      <text>
        <r>
          <rPr>
            <b/>
            <sz val="9"/>
            <color indexed="81"/>
            <rFont val="Tahoma"/>
            <family val="2"/>
          </rPr>
          <t>Percent of armor reduction for all enemies in the splash area.</t>
        </r>
      </text>
    </comment>
    <comment ref="C50" authorId="0" shapeId="0">
      <text>
        <r>
          <rPr>
            <b/>
            <sz val="9"/>
            <color indexed="81"/>
            <rFont val="Tahoma"/>
            <family val="2"/>
          </rPr>
          <t>Duration of the armor reduction in seconds.</t>
        </r>
      </text>
    </comment>
    <comment ref="B53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53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53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53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3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53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53" authorId="0" shapeId="0">
      <text>
        <r>
          <rPr>
            <b/>
            <sz val="9"/>
            <color indexed="81"/>
            <rFont val="Tahoma"/>
            <family val="2"/>
          </rPr>
          <t>Percent of enemies' speed reduction.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57" authorId="0" shapeId="0">
      <text>
        <r>
          <rPr>
            <sz val="9"/>
            <color indexed="81"/>
            <rFont val="Tahoma"/>
            <family val="2"/>
          </rPr>
          <t xml:space="preserve">Final upgrades possibilities.
</t>
        </r>
      </text>
    </comment>
    <comment ref="A58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</text>
    </comment>
    <comment ref="C60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1" authorId="0" shapeId="0">
      <text>
        <r>
          <rPr>
            <b/>
            <sz val="9"/>
            <color indexed="81"/>
            <rFont val="Tahoma"/>
            <family val="2"/>
          </rPr>
          <t xml:space="preserve">Duration in seconds.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3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4" authorId="0" shapeId="0">
      <text>
        <r>
          <rPr>
            <b/>
            <sz val="9"/>
            <color indexed="81"/>
            <rFont val="Tahoma"/>
            <family val="2"/>
          </rPr>
          <t>Duration of the immobilize effect in seconds.</t>
        </r>
      </text>
    </comment>
    <comment ref="B68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68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68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8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68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68" authorId="0" shapeId="0">
      <text>
        <r>
          <rPr>
            <sz val="9"/>
            <color indexed="81"/>
            <rFont val="Tahoma"/>
            <family val="2"/>
          </rPr>
          <t xml:space="preserve">Reduces armor of the enemy. Damage calculation : Damages - (Armor - Armor Penetration) = Damages deal.
</t>
        </r>
      </text>
    </comment>
    <comment ref="I68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72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73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5" authorId="0" shapeId="0">
      <text>
        <r>
          <rPr>
            <b/>
            <sz val="9"/>
            <color indexed="81"/>
            <rFont val="Tahoma"/>
            <family val="2"/>
          </rPr>
          <t xml:space="preserve">Duration in seconds
</t>
        </r>
      </text>
    </comment>
    <comment ref="C77" authorId="0" shapeId="0">
      <text>
        <r>
          <rPr>
            <b/>
            <sz val="9"/>
            <color indexed="81"/>
            <rFont val="Tahoma"/>
            <family val="2"/>
          </rPr>
          <t>Damages on enemies close to the target.</t>
        </r>
      </text>
    </comment>
    <comment ref="C78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B83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83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83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3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83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83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83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I83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87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88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0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4" authorId="0" shapeId="0">
      <text>
        <r>
          <rPr>
            <b/>
            <sz val="9"/>
            <color indexed="81"/>
            <rFont val="Tahoma"/>
            <family val="2"/>
          </rPr>
          <t>Value in squares.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99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99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9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9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99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I99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103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04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6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F106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C107" authorId="0" shapeId="0">
      <text>
        <r>
          <rPr>
            <b/>
            <sz val="9"/>
            <color indexed="81"/>
            <rFont val="Tahoma"/>
            <family val="2"/>
          </rPr>
          <t>Percent of speed reduction.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</rPr>
          <t>Percent of speed reduction.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8" authorId="0" shapeId="0">
      <text>
        <r>
          <rPr>
            <b/>
            <sz val="9"/>
            <color indexed="81"/>
            <rFont val="Tahoma"/>
            <family val="2"/>
          </rPr>
          <t>In seconds.</t>
        </r>
      </text>
    </comment>
    <comment ref="F108" authorId="0" shapeId="0">
      <text>
        <r>
          <rPr>
            <b/>
            <sz val="9"/>
            <color indexed="81"/>
            <rFont val="Tahoma"/>
            <family val="2"/>
          </rPr>
          <t>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09" authorId="0" shapeId="0">
      <text>
        <r>
          <rPr>
            <b/>
            <sz val="9"/>
            <color indexed="81"/>
            <rFont val="Tahoma"/>
            <family val="2"/>
          </rPr>
          <t>Hit points of the barrier.</t>
        </r>
      </text>
    </comment>
    <comment ref="C111" authorId="0" shapeId="0">
      <text>
        <r>
          <rPr>
            <b/>
            <sz val="9"/>
            <color indexed="81"/>
            <rFont val="Tahoma"/>
            <family val="2"/>
          </rPr>
          <t>Speed in squares by seconds.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C112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F112" authorId="0" shapeId="0">
      <text>
        <r>
          <rPr>
            <b/>
            <sz val="9"/>
            <color indexed="81"/>
            <rFont val="Tahoma"/>
            <family val="2"/>
          </rPr>
          <t>Value in seconds.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</rPr>
          <t>Damages deal by the attack.</t>
        </r>
      </text>
    </comment>
    <comment ref="C113" authorId="0" shapeId="0">
      <text>
        <r>
          <rPr>
            <b/>
            <sz val="9"/>
            <color indexed="81"/>
            <rFont val="Tahoma"/>
            <family val="2"/>
          </rPr>
          <t>Percent of reduction of damage deal by the tower during a momevement.</t>
        </r>
      </text>
    </comment>
    <comment ref="F113" authorId="0" shapeId="0">
      <text>
        <r>
          <rPr>
            <b/>
            <sz val="9"/>
            <color indexed="81"/>
            <rFont val="Tahoma"/>
            <family val="2"/>
          </rPr>
          <t>Percent of speed reduction.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</rPr>
          <t>Size of the explosion in squares.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</rPr>
          <t xml:space="preserve">In squares.
</t>
        </r>
      </text>
    </comment>
  </commentList>
</comments>
</file>

<file path=xl/comments3.xml><?xml version="1.0" encoding="utf-8"?>
<comments xmlns="http://schemas.openxmlformats.org/spreadsheetml/2006/main">
  <authors>
    <author>Nexo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1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1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1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1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1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2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2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3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3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3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3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4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4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4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4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4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4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5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5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5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</commentList>
</comments>
</file>

<file path=xl/sharedStrings.xml><?xml version="1.0" encoding="utf-8"?>
<sst xmlns="http://schemas.openxmlformats.org/spreadsheetml/2006/main" count="1597" uniqueCount="317">
  <si>
    <t>Speed</t>
  </si>
  <si>
    <t>Tower Table</t>
  </si>
  <si>
    <t>Tower</t>
  </si>
  <si>
    <t>Damage</t>
  </si>
  <si>
    <t>HP</t>
  </si>
  <si>
    <t>Armor</t>
  </si>
  <si>
    <t>Range</t>
  </si>
  <si>
    <t>Fire Rate</t>
  </si>
  <si>
    <t>Cost</t>
  </si>
  <si>
    <t>Gain</t>
  </si>
  <si>
    <t>Mana</t>
  </si>
  <si>
    <t>Zombie</t>
  </si>
  <si>
    <t>Jogged Mickey</t>
  </si>
  <si>
    <t>Blind Tommy Science</t>
  </si>
  <si>
    <t>Frankensteam</t>
  </si>
  <si>
    <t>Sickly Sue Susie</t>
  </si>
  <si>
    <t>Shaman</t>
  </si>
  <si>
    <t>Mummy Dearest</t>
  </si>
  <si>
    <t>Rate of Fire</t>
  </si>
  <si>
    <t>Armor penetration</t>
  </si>
  <si>
    <t>Gun Tower LvL1</t>
  </si>
  <si>
    <t>Gun Tower LvL 2</t>
  </si>
  <si>
    <t>Gun Tower LvL 3</t>
  </si>
  <si>
    <t>Special Ability Shootgun Tower</t>
  </si>
  <si>
    <t>20% of chance to deal double damages</t>
  </si>
  <si>
    <t>Special Ability Railgun Tower</t>
  </si>
  <si>
    <t>20% of chance to shoot twice</t>
  </si>
  <si>
    <t>Splash Area</t>
  </si>
  <si>
    <t>2x2</t>
  </si>
  <si>
    <t>Damages</t>
  </si>
  <si>
    <t>Duration</t>
  </si>
  <si>
    <t>20% of chance to slow down enemies</t>
  </si>
  <si>
    <t>Slow Effect</t>
  </si>
  <si>
    <t>20% of chance to reduce enemies' armor</t>
  </si>
  <si>
    <t>Reduction</t>
  </si>
  <si>
    <t>20% of chance to immobilize a single enemy</t>
  </si>
  <si>
    <t>Electrical Tower LvL1</t>
  </si>
  <si>
    <t>Electrical Tower LvL 2</t>
  </si>
  <si>
    <t>Electrical Tower LvL 3</t>
  </si>
  <si>
    <t>Spread damages</t>
  </si>
  <si>
    <t>Spread Area</t>
  </si>
  <si>
    <t>Scythe Tower Stats</t>
  </si>
  <si>
    <t>Scythe Tower LvL1</t>
  </si>
  <si>
    <t>Scythe Tower LvL 2</t>
  </si>
  <si>
    <t>Scythe Tower LvL 3</t>
  </si>
  <si>
    <t>Blade Tower</t>
  </si>
  <si>
    <t>Saw Tower</t>
  </si>
  <si>
    <t>20% of chance to gain double money on enemies killed</t>
  </si>
  <si>
    <t>10% of chance to push back enemies</t>
  </si>
  <si>
    <t>Chance</t>
  </si>
  <si>
    <t>Effect</t>
  </si>
  <si>
    <t>Towernaut  Stats</t>
  </si>
  <si>
    <t>Towernaut LvL1</t>
  </si>
  <si>
    <t>Towernaut LvL 2</t>
  </si>
  <si>
    <t>Towernaut LvL 3</t>
  </si>
  <si>
    <t>Juggernaut</t>
  </si>
  <si>
    <t>Special Ability Fortress</t>
  </si>
  <si>
    <t>Cooldown</t>
  </si>
  <si>
    <t>Speed reduction</t>
  </si>
  <si>
    <t>Area effect</t>
  </si>
  <si>
    <t>3x1</t>
  </si>
  <si>
    <t>Special Ability Juggernaut</t>
  </si>
  <si>
    <t>Movement capacity</t>
  </si>
  <si>
    <t>5% of chance to freeze enemies</t>
  </si>
  <si>
    <t>Bomb drop</t>
  </si>
  <si>
    <t>Deployment time</t>
  </si>
  <si>
    <t>Damages reduction during movement</t>
  </si>
  <si>
    <t>Slow effect</t>
  </si>
  <si>
    <t>Area</t>
  </si>
  <si>
    <t>4x4</t>
  </si>
  <si>
    <t>Zombie Stats</t>
  </si>
  <si>
    <t>Tenacious Zombie</t>
  </si>
  <si>
    <t>Starving Zombie</t>
  </si>
  <si>
    <t>Running Mickey</t>
  </si>
  <si>
    <t>Sprinter Mickey</t>
  </si>
  <si>
    <t>Heavy Blind Tommy Science</t>
  </si>
  <si>
    <t>Armored Frankensteam</t>
  </si>
  <si>
    <t>Berzerk Frankensteam</t>
  </si>
  <si>
    <t>Witch Sickly Sue Susie</t>
  </si>
  <si>
    <t>Banshee Sickly Sue Susie</t>
  </si>
  <si>
    <t>Red Shaman</t>
  </si>
  <si>
    <t>Spirit Shaman</t>
  </si>
  <si>
    <t>Root Reggie</t>
  </si>
  <si>
    <t>Hungry Mummy</t>
  </si>
  <si>
    <t>Ancient Mummy</t>
  </si>
  <si>
    <t>Werefallo</t>
  </si>
  <si>
    <t>Zombie1</t>
  </si>
  <si>
    <t>Zombie2</t>
  </si>
  <si>
    <t>Zombie3</t>
  </si>
  <si>
    <t>Mickey1</t>
  </si>
  <si>
    <t>Mickey2</t>
  </si>
  <si>
    <t>Mickey3</t>
  </si>
  <si>
    <t>Tommy1</t>
  </si>
  <si>
    <t>Tommy2</t>
  </si>
  <si>
    <t>Tommy3</t>
  </si>
  <si>
    <t>Franken1</t>
  </si>
  <si>
    <t>Franken2</t>
  </si>
  <si>
    <t>Franken3</t>
  </si>
  <si>
    <t>Susie1</t>
  </si>
  <si>
    <t>Susie2</t>
  </si>
  <si>
    <t>Susie3</t>
  </si>
  <si>
    <t>Shaman1</t>
  </si>
  <si>
    <t>Shaman2</t>
  </si>
  <si>
    <t>Shaman3</t>
  </si>
  <si>
    <t>Reggie1</t>
  </si>
  <si>
    <t>Reggie2</t>
  </si>
  <si>
    <t>Reggie3</t>
  </si>
  <si>
    <t>Mummy1</t>
  </si>
  <si>
    <t>Mummy2</t>
  </si>
  <si>
    <t>Mummy3</t>
  </si>
  <si>
    <t>Wereffalo1</t>
  </si>
  <si>
    <t>Wereffalo2</t>
  </si>
  <si>
    <t>Wereffalo3</t>
  </si>
  <si>
    <t>LVL 2</t>
  </si>
  <si>
    <t>LVL 3</t>
  </si>
  <si>
    <t>Cannon Tower LvL1</t>
  </si>
  <si>
    <t>Cannon Tower LvL 2</t>
  </si>
  <si>
    <t>Cannon Tower LvL 3</t>
  </si>
  <si>
    <t>Tower Stats</t>
  </si>
  <si>
    <t>Gun (Sherrif) Tower Stats</t>
  </si>
  <si>
    <t>Air</t>
  </si>
  <si>
    <t>Shotgun Tower</t>
  </si>
  <si>
    <t>Gatling Tower</t>
  </si>
  <si>
    <t>Cannon (Blacksmith) Tower Stats</t>
  </si>
  <si>
    <t>Ground</t>
  </si>
  <si>
    <t>Molten Tower</t>
  </si>
  <si>
    <t>Rust Tower</t>
  </si>
  <si>
    <t>Special Ability 
Molten Tower</t>
  </si>
  <si>
    <t>Special Ability 
Rust Tower</t>
  </si>
  <si>
    <t>Poison (Saloon) Tower Stats</t>
  </si>
  <si>
    <t>Poison Tower LvL1</t>
  </si>
  <si>
    <t>Poison Tower LvL 3</t>
  </si>
  <si>
    <t>Red-Eye Tower</t>
  </si>
  <si>
    <t>Rot-Gut Tower</t>
  </si>
  <si>
    <t>Special Ability 
Red-Eye Tower</t>
  </si>
  <si>
    <t>Special Ability 
Rot-Gut Tower</t>
  </si>
  <si>
    <t>Electrical (Snake Oil) Tower Stats</t>
  </si>
  <si>
    <t>Snake Charmer Tower</t>
  </si>
  <si>
    <t>Snake Revival Tower</t>
  </si>
  <si>
    <t>Special Ability 
Snake Charmer</t>
  </si>
  <si>
    <t>Special Ability 
Snake Revival</t>
  </si>
  <si>
    <t>Special Ability 
Blade Tower</t>
  </si>
  <si>
    <t>Special Ability 
Saw Tower</t>
  </si>
  <si>
    <t>Seconds</t>
  </si>
  <si>
    <t>Amount</t>
  </si>
  <si>
    <t>wave1</t>
  </si>
  <si>
    <t>wave2</t>
  </si>
  <si>
    <t>wave 3</t>
  </si>
  <si>
    <t>wave4</t>
  </si>
  <si>
    <t>wave5</t>
  </si>
  <si>
    <t>wave6</t>
  </si>
  <si>
    <t>Reggie 2</t>
  </si>
  <si>
    <t>Y</t>
  </si>
  <si>
    <t>Rifle</t>
  </si>
  <si>
    <t>Cannon</t>
  </si>
  <si>
    <t>Snake</t>
  </si>
  <si>
    <t>Poison</t>
  </si>
  <si>
    <t>N</t>
  </si>
  <si>
    <t>Tnaut</t>
  </si>
  <si>
    <t>Scythe</t>
  </si>
  <si>
    <t>Monster's Path</t>
  </si>
  <si>
    <t>Map Iphone</t>
  </si>
  <si>
    <t>Indestructible Elements</t>
  </si>
  <si>
    <t>Width: 320px - 8 squares</t>
  </si>
  <si>
    <t>Destructible Elements</t>
  </si>
  <si>
    <t>Lenght: 480px -  12 squares</t>
  </si>
  <si>
    <t>Towers Placement</t>
  </si>
  <si>
    <t>Path Entrance</t>
  </si>
  <si>
    <t>Objective to defend</t>
  </si>
  <si>
    <t>Reggie 3</t>
  </si>
  <si>
    <t>Monsters Stats</t>
  </si>
  <si>
    <t>Reference</t>
  </si>
  <si>
    <t>Jagged Mickey Stats</t>
  </si>
  <si>
    <t>Blind Tommy Science Stats</t>
  </si>
  <si>
    <t>Frankensteam Stats</t>
  </si>
  <si>
    <t>Sickly Sue Susie Stats</t>
  </si>
  <si>
    <t>Special: Random Monster Generation</t>
  </si>
  <si>
    <t>Shaman Stats</t>
  </si>
  <si>
    <t>Special: Monster Health Regeneration</t>
  </si>
  <si>
    <t>Root Reggie Stats</t>
  </si>
  <si>
    <t>Special: Partial Underground Travel</t>
  </si>
  <si>
    <t>Mummy Dearest Stats</t>
  </si>
  <si>
    <t>Special: Monster Shielding</t>
  </si>
  <si>
    <t>Wereffalo Stats</t>
  </si>
  <si>
    <t>GunFlying</t>
  </si>
  <si>
    <t>CannonFlying</t>
  </si>
  <si>
    <t>PoisonFlying</t>
  </si>
  <si>
    <t>ElectricFlying</t>
  </si>
  <si>
    <t>ScytheFlying</t>
  </si>
  <si>
    <t>TowernautFlying</t>
  </si>
  <si>
    <t>NOTE: Down here, ExcelReader Cannot reliably read in columns A, C, E, G, I, J, K, M, N, Q, T, or W.  Columns beyond Y have not been tested</t>
  </si>
  <si>
    <t>Werefallo 2</t>
  </si>
  <si>
    <t>Werefallo 3</t>
  </si>
  <si>
    <t>Cat</t>
  </si>
  <si>
    <t>Group</t>
  </si>
  <si>
    <t>Lvl</t>
  </si>
  <si>
    <t>Advanced Blind Tommy Science</t>
  </si>
  <si>
    <t>wv 1</t>
  </si>
  <si>
    <t>m1</t>
  </si>
  <si>
    <t>m2</t>
  </si>
  <si>
    <t>m3</t>
  </si>
  <si>
    <t>m4</t>
  </si>
  <si>
    <t>m5</t>
  </si>
  <si>
    <t>m6</t>
  </si>
  <si>
    <t>wv 2</t>
  </si>
  <si>
    <t>wv 3</t>
  </si>
  <si>
    <t>wv 5</t>
  </si>
  <si>
    <t>wv 4</t>
  </si>
  <si>
    <t>wv 6</t>
  </si>
  <si>
    <t>DO NOT DELETE</t>
  </si>
  <si>
    <t>Towernaut</t>
  </si>
  <si>
    <t>Electric Tower</t>
  </si>
  <si>
    <t>Poison Tower</t>
  </si>
  <si>
    <t>Cannon Tower</t>
  </si>
  <si>
    <t>Gun Tower</t>
  </si>
  <si>
    <t>Scythe Tower</t>
  </si>
  <si>
    <t>DO NOT DELETE THIS ROW</t>
  </si>
  <si>
    <t>Number of Levels</t>
  </si>
  <si>
    <t>radius</t>
  </si>
  <si>
    <t>power</t>
  </si>
  <si>
    <t>cooldown</t>
  </si>
  <si>
    <t>strength</t>
  </si>
  <si>
    <t>Type</t>
  </si>
  <si>
    <t>PoisonTower LvL 2</t>
  </si>
  <si>
    <t>Reboot Time</t>
  </si>
  <si>
    <t>Bombs that immediatley detonate</t>
  </si>
  <si>
    <t>Walking time bombs</t>
  </si>
  <si>
    <t>Stun solid for x seconds</t>
  </si>
  <si>
    <t>15% of chance to temporarily stun several enemies</t>
  </si>
  <si>
    <t xml:space="preserve">Long range </t>
  </si>
  <si>
    <t>Immediate long range</t>
  </si>
  <si>
    <t>Laboratory</t>
  </si>
  <si>
    <t>Summon Icewyrm to go down path</t>
  </si>
  <si>
    <t xml:space="preserve">Summon Steamwyrm to go down path </t>
  </si>
  <si>
    <t>Soul Well  Stats</t>
  </si>
  <si>
    <t>Towernaut Regeneration</t>
  </si>
  <si>
    <t>Disperse Digested Ectoplasm</t>
  </si>
  <si>
    <t>Special Ability Waystation</t>
  </si>
  <si>
    <t>Special Ability Soul Well</t>
  </si>
  <si>
    <t>Time</t>
  </si>
  <si>
    <t>Enemy</t>
  </si>
  <si>
    <t>Gold</t>
  </si>
  <si>
    <t>Air?</t>
  </si>
  <si>
    <t>Max Distance</t>
  </si>
  <si>
    <t>Monster Air/Ground</t>
  </si>
  <si>
    <t>Monsters</t>
  </si>
  <si>
    <t>Tower Air/Gound</t>
  </si>
  <si>
    <t>Total</t>
  </si>
  <si>
    <t>3,4,35</t>
  </si>
  <si>
    <t>6,7</t>
  </si>
  <si>
    <t>1,1</t>
  </si>
  <si>
    <t>2,1</t>
  </si>
  <si>
    <t>3,3</t>
  </si>
  <si>
    <t>3,4</t>
  </si>
  <si>
    <t>3,5</t>
  </si>
  <si>
    <t>3,6</t>
  </si>
  <si>
    <t>4,6</t>
  </si>
  <si>
    <t>5,6</t>
  </si>
  <si>
    <t>6,6</t>
  </si>
  <si>
    <t>7,5</t>
  </si>
  <si>
    <t>7,3</t>
  </si>
  <si>
    <t>Level1</t>
  </si>
  <si>
    <t>1,2</t>
  </si>
  <si>
    <t>1,3</t>
  </si>
  <si>
    <t>2,3</t>
  </si>
  <si>
    <t>4,3</t>
  </si>
  <si>
    <t>5,3</t>
  </si>
  <si>
    <t>6,3</t>
  </si>
  <si>
    <t>6,4</t>
  </si>
  <si>
    <t>6,5</t>
  </si>
  <si>
    <t>5,7</t>
  </si>
  <si>
    <t>4,7</t>
  </si>
  <si>
    <t>3,7</t>
  </si>
  <si>
    <t>4,5</t>
  </si>
  <si>
    <t>5,5</t>
  </si>
  <si>
    <t>8,5</t>
  </si>
  <si>
    <t>8,6</t>
  </si>
  <si>
    <t>8,7</t>
  </si>
  <si>
    <t>8,8</t>
  </si>
  <si>
    <t>8,9</t>
  </si>
  <si>
    <t>8,10</t>
  </si>
  <si>
    <t>7,10</t>
  </si>
  <si>
    <t>6,10</t>
  </si>
  <si>
    <t>5,10</t>
  </si>
  <si>
    <t>4,10</t>
  </si>
  <si>
    <t>3,10</t>
  </si>
  <si>
    <t>2,10</t>
  </si>
  <si>
    <t>1,10</t>
  </si>
  <si>
    <t>1,9</t>
  </si>
  <si>
    <t>1,8</t>
  </si>
  <si>
    <t>1,7</t>
  </si>
  <si>
    <t>1,6</t>
  </si>
  <si>
    <t>Step</t>
  </si>
  <si>
    <t>Location</t>
  </si>
  <si>
    <t>Template
(Do Not Delete)</t>
  </si>
  <si>
    <t>4,4</t>
  </si>
  <si>
    <t>4,8</t>
  </si>
  <si>
    <t>7,9</t>
  </si>
  <si>
    <t>2,9</t>
  </si>
  <si>
    <t>4,11</t>
  </si>
  <si>
    <t>8,11</t>
  </si>
  <si>
    <t>10,20</t>
  </si>
  <si>
    <t>Shots Required to Kill Enemy</t>
  </si>
  <si>
    <t>Tower Locations</t>
  </si>
  <si>
    <t>Extra Locations</t>
  </si>
  <si>
    <t>Wave 1</t>
    <phoneticPr fontId="21" type="noConversion"/>
  </si>
  <si>
    <t>Wave 2</t>
    <phoneticPr fontId="21" type="noConversion"/>
  </si>
  <si>
    <t>Wave 5</t>
    <phoneticPr fontId="21" type="noConversion"/>
  </si>
  <si>
    <t>Wave 4</t>
    <phoneticPr fontId="21" type="noConversion"/>
  </si>
  <si>
    <t>Wave 3</t>
    <phoneticPr fontId="21" type="noConversion"/>
  </si>
  <si>
    <t>G:60%,A:340%</t>
    <phoneticPr fontId="21" type="noConversion"/>
  </si>
  <si>
    <t>Wave 6</t>
    <phoneticPr fontId="21" type="noConversion"/>
  </si>
  <si>
    <t>G:70%,A:3623%</t>
    <phoneticPr fontId="21" type="noConversion"/>
  </si>
  <si>
    <t>G:70%,A:100%</t>
    <phoneticPr fontId="21" type="noConversion"/>
  </si>
  <si>
    <t>G:161%,A:565%</t>
    <phoneticPr fontId="21" type="noConversion"/>
  </si>
  <si>
    <t>G:100%,A:2868%</t>
    <phoneticPr fontId="21" type="noConversion"/>
  </si>
  <si>
    <t>G:92%,A:2717%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</si>
</sst>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\ &quot;s&quot;"/>
  </numFmts>
  <fonts count="22" x14ac:knownFonts="1">
    <font>
      <sz val="11"/>
      <color theme="1"/>
      <name val="宋体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28"/>
      <name val="Arial"/>
      <family val="2"/>
    </font>
    <font>
      <sz val="10"/>
      <name val="Arial"/>
      <family val="2"/>
    </font>
    <font>
      <sz val="8"/>
      <name val="Agency FB"/>
      <family val="2"/>
    </font>
    <font>
      <sz val="8"/>
      <name val="Arial"/>
      <family val="2"/>
    </font>
    <font>
      <sz val="26"/>
      <name val="Arial"/>
      <family val="2"/>
    </font>
    <font>
      <b/>
      <sz val="10"/>
      <name val="Arial"/>
      <family val="2"/>
    </font>
    <font>
      <b/>
      <sz val="11"/>
      <color theme="1"/>
      <name val="宋体"/>
      <family val="2"/>
      <scheme val="minor"/>
    </font>
    <font>
      <i/>
      <sz val="11"/>
      <color theme="5" tint="-0.249977111117893"/>
      <name val="Arial"/>
      <family val="2"/>
    </font>
    <font>
      <sz val="11"/>
      <color rgb="FFC00000"/>
      <name val="Arial"/>
      <family val="2"/>
    </font>
    <font>
      <sz val="10"/>
      <color theme="1"/>
      <name val="Arial"/>
      <family val="2"/>
    </font>
    <font>
      <sz val="10"/>
      <color theme="1"/>
      <name val="宋体"/>
      <family val="2"/>
      <scheme val="minor"/>
    </font>
    <font>
      <sz val="10"/>
      <name val="Agency FB"/>
      <family val="2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sz val="9"/>
      <name val="宋体"/>
      <family val="3"/>
      <charset val="134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41A7C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0E05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028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D9B1D"/>
        <bgColor indexed="64"/>
      </patternFill>
    </fill>
    <fill>
      <patternFill patternType="solid">
        <fgColor rgb="FFD8450A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indexed="64"/>
      </top>
      <bottom style="medium">
        <color indexed="64"/>
      </bottom>
      <diagonal/>
    </border>
    <border>
      <left style="medium">
        <color rgb="FFC00000"/>
      </left>
      <right style="medium">
        <color indexed="64"/>
      </right>
      <top/>
      <bottom style="thin">
        <color indexed="64"/>
      </bottom>
      <diagonal/>
    </border>
    <border>
      <left style="medium">
        <color rgb="FFC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medium">
        <color indexed="64"/>
      </right>
      <top style="thin">
        <color indexed="64"/>
      </top>
      <bottom style="medium">
        <color theme="3" tint="-0.499984740745262"/>
      </bottom>
      <diagonal/>
    </border>
    <border>
      <left style="medium">
        <color theme="3" tint="-0.499984740745262"/>
      </left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3" tint="-0.499984740745262"/>
      </bottom>
      <diagonal/>
    </border>
    <border>
      <left style="medium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 style="medium">
        <color indexed="64"/>
      </left>
      <right style="medium">
        <color theme="3" tint="-0.499984740745262"/>
      </right>
      <top style="medium">
        <color indexed="64"/>
      </top>
      <bottom style="medium">
        <color indexed="64"/>
      </bottom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 style="medium">
        <color theme="3" tint="-0.499984740745262"/>
      </left>
      <right style="medium">
        <color theme="3" tint="-0.499984740745262"/>
      </right>
      <top style="medium">
        <color theme="3" tint="-0.499984740745262"/>
      </top>
      <bottom/>
      <diagonal/>
    </border>
    <border>
      <left style="medium">
        <color indexed="64"/>
      </left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 style="medium">
        <color theme="3" tint="-0.499984740745262"/>
      </left>
      <right/>
      <top style="medium">
        <color theme="3" tint="-0.499984740745262"/>
      </top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 style="medium">
        <color theme="3" tint="-0.499984740745262"/>
      </bottom>
      <diagonal/>
    </border>
    <border>
      <left style="medium">
        <color indexed="64"/>
      </left>
      <right/>
      <top style="medium">
        <color theme="3" tint="-0.499984740745262"/>
      </top>
      <bottom style="medium">
        <color theme="3" tint="-0.499984740745262"/>
      </bottom>
      <diagonal/>
    </border>
    <border>
      <left/>
      <right style="medium">
        <color indexed="64"/>
      </right>
      <top style="medium">
        <color theme="3" tint="-0.499984740745262"/>
      </top>
      <bottom style="medium">
        <color theme="3" tint="-0.499984740745262"/>
      </bottom>
      <diagonal/>
    </border>
    <border>
      <left style="medium">
        <color indexed="64"/>
      </left>
      <right/>
      <top style="medium">
        <color theme="3" tint="-0.499984740745262"/>
      </top>
      <bottom style="medium">
        <color indexed="64"/>
      </bottom>
      <diagonal/>
    </border>
    <border>
      <left/>
      <right style="medium">
        <color indexed="64"/>
      </right>
      <top style="medium">
        <color theme="3" tint="-0.499984740745262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/>
      <right/>
      <top/>
      <bottom style="medium">
        <color theme="3" tint="-0.499984740745262"/>
      </bottom>
      <diagonal/>
    </border>
    <border>
      <left style="medium">
        <color theme="3" tint="-0.499984740745262"/>
      </left>
      <right/>
      <top style="medium">
        <color indexed="64"/>
      </top>
      <bottom style="medium">
        <color theme="3" tint="-0.499984740745262"/>
      </bottom>
      <diagonal/>
    </border>
    <border>
      <left/>
      <right style="medium">
        <color indexed="64"/>
      </right>
      <top style="medium">
        <color indexed="64"/>
      </top>
      <bottom style="medium">
        <color theme="3" tint="-0.499984740745262"/>
      </bottom>
      <diagonal/>
    </border>
    <border>
      <left style="medium">
        <color theme="3" tint="-0.499984740745262"/>
      </left>
      <right/>
      <top style="medium">
        <color theme="3" tint="-0.499984740745262"/>
      </top>
      <bottom style="medium">
        <color indexed="64"/>
      </bottom>
      <diagonal/>
    </border>
    <border>
      <left/>
      <right/>
      <top style="medium">
        <color theme="3" tint="-0.499984740745262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theme="3" tint="-0.499984740745262"/>
      </bottom>
      <diagonal/>
    </border>
    <border>
      <left/>
      <right style="medium">
        <color theme="3" tint="-0.499984740745262"/>
      </right>
      <top style="medium">
        <color indexed="64"/>
      </top>
      <bottom style="medium">
        <color theme="3" tint="-0.499984740745262"/>
      </bottom>
      <diagonal/>
    </border>
    <border>
      <left style="medium">
        <color rgb="FFC00000"/>
      </left>
      <right/>
      <top style="medium">
        <color theme="3" tint="-0.499984740745262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theme="3" tint="-0.499984740745262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8" fillId="0" borderId="0"/>
    <xf numFmtId="0" fontId="1" fillId="0" borderId="0"/>
  </cellStyleXfs>
  <cellXfs count="469">
    <xf numFmtId="0" fontId="0" fillId="0" borderId="0" xfId="0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0" xfId="0" applyBorder="1"/>
    <xf numFmtId="0" fontId="1" fillId="2" borderId="38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9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1" fillId="3" borderId="41" xfId="0" applyFont="1" applyFill="1" applyBorder="1" applyAlignment="1">
      <alignment horizontal="center" vertical="center"/>
    </xf>
    <xf numFmtId="0" fontId="1" fillId="3" borderId="42" xfId="0" applyFont="1" applyFill="1" applyBorder="1" applyAlignment="1">
      <alignment horizontal="center" vertical="center"/>
    </xf>
    <xf numFmtId="0" fontId="1" fillId="6" borderId="37" xfId="0" applyFont="1" applyFill="1" applyBorder="1"/>
    <xf numFmtId="0" fontId="0" fillId="0" borderId="0" xfId="0" applyFill="1" applyBorder="1" applyAlignment="1">
      <alignment horizontal="center"/>
    </xf>
    <xf numFmtId="0" fontId="1" fillId="0" borderId="37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37" xfId="0" applyFill="1" applyBorder="1" applyAlignment="1">
      <alignment vertic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/>
    <xf numFmtId="0" fontId="1" fillId="0" borderId="0" xfId="0" applyFont="1" applyFill="1" applyBorder="1"/>
    <xf numFmtId="0" fontId="0" fillId="0" borderId="0" xfId="0" applyFill="1" applyBorder="1"/>
    <xf numFmtId="0" fontId="1" fillId="0" borderId="0" xfId="0" applyFont="1"/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0" borderId="0" xfId="0" applyFill="1"/>
    <xf numFmtId="0" fontId="0" fillId="0" borderId="0" xfId="0" applyAlignment="1">
      <alignment vertical="top" wrapText="1"/>
    </xf>
    <xf numFmtId="0" fontId="3" fillId="3" borderId="8" xfId="0" applyFont="1" applyFill="1" applyBorder="1" applyAlignment="1">
      <alignment horizontal="center" vertical="center"/>
    </xf>
    <xf numFmtId="0" fontId="14" fillId="8" borderId="4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 vertical="top" wrapText="1" indent="2"/>
    </xf>
    <xf numFmtId="0" fontId="3" fillId="9" borderId="6" xfId="0" applyFont="1" applyFill="1" applyBorder="1" applyAlignment="1">
      <alignment horizontal="center" vertical="center"/>
    </xf>
    <xf numFmtId="0" fontId="3" fillId="9" borderId="8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0" fontId="1" fillId="8" borderId="0" xfId="0" applyFont="1" applyFill="1" applyBorder="1" applyAlignment="1">
      <alignment horizontal="center" vertical="center"/>
    </xf>
    <xf numFmtId="0" fontId="1" fillId="10" borderId="44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3" fillId="11" borderId="6" xfId="0" applyFont="1" applyFill="1" applyBorder="1" applyAlignment="1">
      <alignment horizontal="center" vertical="center"/>
    </xf>
    <xf numFmtId="0" fontId="3" fillId="11" borderId="8" xfId="0" applyFont="1" applyFill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" fillId="0" borderId="0" xfId="0" applyNumberFormat="1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8" fillId="0" borderId="0" xfId="1" applyBorder="1"/>
    <xf numFmtId="0" fontId="8" fillId="0" borderId="0" xfId="1"/>
    <xf numFmtId="0" fontId="8" fillId="0" borderId="0" xfId="1" applyFill="1" applyBorder="1"/>
    <xf numFmtId="0" fontId="1" fillId="0" borderId="0" xfId="1" applyFont="1"/>
    <xf numFmtId="0" fontId="2" fillId="13" borderId="1" xfId="1" applyFont="1" applyFill="1" applyBorder="1" applyAlignment="1">
      <alignment horizontal="center" vertical="center"/>
    </xf>
    <xf numFmtId="0" fontId="8" fillId="0" borderId="0" xfId="1" applyFill="1" applyBorder="1" applyAlignment="1">
      <alignment horizontal="center" vertical="center"/>
    </xf>
    <xf numFmtId="0" fontId="1" fillId="2" borderId="1" xfId="1" applyFont="1" applyFill="1" applyBorder="1" applyAlignment="1">
      <alignment horizontal="center" vertical="center"/>
    </xf>
    <xf numFmtId="0" fontId="1" fillId="2" borderId="3" xfId="1" applyFont="1" applyFill="1" applyBorder="1" applyAlignment="1">
      <alignment horizontal="center" vertical="center"/>
    </xf>
    <xf numFmtId="0" fontId="1" fillId="2" borderId="4" xfId="1" applyFont="1" applyFill="1" applyBorder="1" applyAlignment="1">
      <alignment horizontal="center" vertical="center"/>
    </xf>
    <xf numFmtId="0" fontId="1" fillId="2" borderId="5" xfId="1" applyFont="1" applyFill="1" applyBorder="1" applyAlignment="1">
      <alignment horizontal="center" vertical="center"/>
    </xf>
    <xf numFmtId="0" fontId="3" fillId="3" borderId="6" xfId="1" applyFont="1" applyFill="1" applyBorder="1" applyAlignment="1">
      <alignment horizontal="center" vertical="center"/>
    </xf>
    <xf numFmtId="0" fontId="1" fillId="7" borderId="11" xfId="1" applyFont="1" applyFill="1" applyBorder="1" applyAlignment="1">
      <alignment horizontal="center" vertical="center"/>
    </xf>
    <xf numFmtId="0" fontId="8" fillId="7" borderId="7" xfId="1" applyFill="1" applyBorder="1" applyAlignment="1">
      <alignment horizontal="center" vertical="center"/>
    </xf>
    <xf numFmtId="0" fontId="8" fillId="7" borderId="12" xfId="1" applyFill="1" applyBorder="1" applyAlignment="1">
      <alignment horizontal="center" vertical="center"/>
    </xf>
    <xf numFmtId="0" fontId="8" fillId="7" borderId="13" xfId="1" applyFill="1" applyBorder="1" applyAlignment="1">
      <alignment horizontal="center" vertical="center"/>
    </xf>
    <xf numFmtId="0" fontId="8" fillId="7" borderId="10" xfId="1" applyFill="1" applyBorder="1" applyAlignment="1">
      <alignment horizontal="center" vertical="center"/>
    </xf>
    <xf numFmtId="0" fontId="8" fillId="7" borderId="14" xfId="1" applyFill="1" applyBorder="1" applyAlignment="1">
      <alignment horizontal="center" vertical="center"/>
    </xf>
    <xf numFmtId="0" fontId="4" fillId="12" borderId="45" xfId="1" applyFont="1" applyFill="1" applyBorder="1" applyAlignment="1">
      <alignment horizontal="center" vertical="center"/>
    </xf>
    <xf numFmtId="0" fontId="8" fillId="7" borderId="15" xfId="1" applyFill="1" applyBorder="1" applyAlignment="1">
      <alignment horizontal="center" vertical="center"/>
    </xf>
    <xf numFmtId="0" fontId="8" fillId="7" borderId="16" xfId="1" applyFill="1" applyBorder="1" applyAlignment="1">
      <alignment horizontal="center" vertical="center"/>
    </xf>
    <xf numFmtId="0" fontId="8" fillId="7" borderId="17" xfId="1" applyFill="1" applyBorder="1" applyAlignment="1">
      <alignment horizontal="center" vertical="center"/>
    </xf>
    <xf numFmtId="0" fontId="4" fillId="12" borderId="18" xfId="1" applyFont="1" applyFill="1" applyBorder="1" applyAlignment="1">
      <alignment horizontal="center" vertical="center"/>
    </xf>
    <xf numFmtId="0" fontId="8" fillId="7" borderId="19" xfId="1" applyFill="1" applyBorder="1" applyAlignment="1">
      <alignment horizontal="center" vertical="center"/>
    </xf>
    <xf numFmtId="0" fontId="8" fillId="7" borderId="20" xfId="1" applyFill="1" applyBorder="1" applyAlignment="1">
      <alignment horizontal="center" vertical="center"/>
    </xf>
    <xf numFmtId="0" fontId="14" fillId="8" borderId="43" xfId="1" applyFont="1" applyFill="1" applyBorder="1" applyAlignment="1">
      <alignment horizontal="center" vertical="center" wrapText="1"/>
    </xf>
    <xf numFmtId="0" fontId="2" fillId="14" borderId="1" xfId="1" applyFont="1" applyFill="1" applyBorder="1" applyAlignment="1">
      <alignment horizontal="center" vertical="center"/>
    </xf>
    <xf numFmtId="0" fontId="1" fillId="7" borderId="12" xfId="1" applyFont="1" applyFill="1" applyBorder="1" applyAlignment="1">
      <alignment horizontal="center" vertical="center"/>
    </xf>
    <xf numFmtId="0" fontId="1" fillId="7" borderId="14" xfId="1" applyFont="1" applyFill="1" applyBorder="1" applyAlignment="1">
      <alignment horizontal="center" vertical="center"/>
    </xf>
    <xf numFmtId="0" fontId="4" fillId="15" borderId="5" xfId="1" applyFont="1" applyFill="1" applyBorder="1" applyAlignment="1">
      <alignment horizontal="center" vertical="center"/>
    </xf>
    <xf numFmtId="0" fontId="4" fillId="15" borderId="9" xfId="1" applyFont="1" applyFill="1" applyBorder="1" applyAlignment="1">
      <alignment horizontal="center" vertical="center"/>
    </xf>
    <xf numFmtId="0" fontId="1" fillId="8" borderId="46" xfId="1" applyFont="1" applyFill="1" applyBorder="1" applyAlignment="1">
      <alignment horizontal="center" vertical="center"/>
    </xf>
    <xf numFmtId="0" fontId="1" fillId="8" borderId="43" xfId="1" applyFont="1" applyFill="1" applyBorder="1" applyAlignment="1">
      <alignment horizontal="center" vertical="center"/>
    </xf>
    <xf numFmtId="0" fontId="14" fillId="8" borderId="1" xfId="1" applyFont="1" applyFill="1" applyBorder="1" applyAlignment="1">
      <alignment horizontal="center" vertical="center" wrapText="1"/>
    </xf>
    <xf numFmtId="9" fontId="8" fillId="7" borderId="12" xfId="1" applyNumberFormat="1" applyFill="1" applyBorder="1" applyAlignment="1">
      <alignment horizontal="center" vertical="center"/>
    </xf>
    <xf numFmtId="9" fontId="8" fillId="7" borderId="14" xfId="1" applyNumberFormat="1" applyFill="1" applyBorder="1" applyAlignment="1">
      <alignment horizontal="center" vertical="center"/>
    </xf>
    <xf numFmtId="0" fontId="4" fillId="16" borderId="45" xfId="1" applyFont="1" applyFill="1" applyBorder="1" applyAlignment="1">
      <alignment horizontal="center" vertical="center"/>
    </xf>
    <xf numFmtId="9" fontId="8" fillId="7" borderId="17" xfId="1" applyNumberFormat="1" applyFill="1" applyBorder="1" applyAlignment="1">
      <alignment horizontal="center" vertical="center"/>
    </xf>
    <xf numFmtId="0" fontId="4" fillId="16" borderId="18" xfId="1" applyFont="1" applyFill="1" applyBorder="1" applyAlignment="1">
      <alignment horizontal="center" vertical="center"/>
    </xf>
    <xf numFmtId="9" fontId="8" fillId="7" borderId="20" xfId="1" applyNumberFormat="1" applyFill="1" applyBorder="1" applyAlignment="1">
      <alignment horizontal="center" vertical="center"/>
    </xf>
    <xf numFmtId="0" fontId="14" fillId="8" borderId="47" xfId="1" applyFont="1" applyFill="1" applyBorder="1" applyAlignment="1">
      <alignment horizontal="center" vertical="center" wrapText="1"/>
    </xf>
    <xf numFmtId="0" fontId="4" fillId="12" borderId="5" xfId="1" applyFont="1" applyFill="1" applyBorder="1" applyAlignment="1">
      <alignment horizontal="center" vertical="center"/>
    </xf>
    <xf numFmtId="0" fontId="4" fillId="12" borderId="9" xfId="1" applyFont="1" applyFill="1" applyBorder="1" applyAlignment="1">
      <alignment horizontal="center" vertical="center"/>
    </xf>
    <xf numFmtId="0" fontId="8" fillId="0" borderId="0" xfId="1" applyAlignment="1">
      <alignment wrapText="1"/>
    </xf>
    <xf numFmtId="0" fontId="1" fillId="7" borderId="7" xfId="1" applyFont="1" applyFill="1" applyBorder="1" applyAlignment="1">
      <alignment horizontal="center" vertical="center"/>
    </xf>
    <xf numFmtId="0" fontId="1" fillId="7" borderId="17" xfId="1" applyFont="1" applyFill="1" applyBorder="1" applyAlignment="1">
      <alignment horizontal="center" vertical="center"/>
    </xf>
    <xf numFmtId="0" fontId="1" fillId="7" borderId="20" xfId="1" applyFont="1" applyFill="1" applyBorder="1" applyAlignment="1">
      <alignment horizontal="center" vertical="center"/>
    </xf>
    <xf numFmtId="0" fontId="1" fillId="8" borderId="49" xfId="1" applyFont="1" applyFill="1" applyBorder="1" applyAlignment="1">
      <alignment horizontal="center" vertical="center"/>
    </xf>
    <xf numFmtId="0" fontId="1" fillId="8" borderId="1" xfId="1" applyFont="1" applyFill="1" applyBorder="1" applyAlignment="1">
      <alignment horizontal="center" vertical="center"/>
    </xf>
    <xf numFmtId="0" fontId="1" fillId="10" borderId="0" xfId="1" applyFont="1" applyFill="1" applyBorder="1" applyAlignment="1">
      <alignment horizontal="center" vertical="center"/>
    </xf>
    <xf numFmtId="0" fontId="1" fillId="8" borderId="50" xfId="1" applyFont="1" applyFill="1" applyBorder="1" applyAlignment="1">
      <alignment horizontal="center" vertical="center"/>
    </xf>
    <xf numFmtId="0" fontId="1" fillId="8" borderId="43" xfId="1" applyFont="1" applyFill="1" applyBorder="1" applyAlignment="1">
      <alignment horizontal="center" vertical="center" wrapText="1"/>
    </xf>
    <xf numFmtId="0" fontId="1" fillId="8" borderId="5" xfId="1" applyFont="1" applyFill="1" applyBorder="1" applyAlignment="1">
      <alignment horizontal="center" vertical="center"/>
    </xf>
    <xf numFmtId="0" fontId="1" fillId="8" borderId="47" xfId="1" applyFont="1" applyFill="1" applyBorder="1" applyAlignment="1">
      <alignment horizontal="center" vertical="center"/>
    </xf>
    <xf numFmtId="0" fontId="8" fillId="17" borderId="0" xfId="1" applyFill="1" applyAlignment="1">
      <alignment horizontal="left"/>
    </xf>
    <xf numFmtId="0" fontId="8" fillId="9" borderId="0" xfId="1" applyFill="1" applyAlignment="1">
      <alignment horizontal="left" vertical="center"/>
    </xf>
    <xf numFmtId="0" fontId="8" fillId="18" borderId="0" xfId="1" applyFill="1" applyAlignment="1">
      <alignment horizontal="left"/>
    </xf>
    <xf numFmtId="0" fontId="1" fillId="14" borderId="0" xfId="1" applyFont="1" applyFill="1" applyBorder="1" applyAlignment="1">
      <alignment horizontal="center" vertical="center"/>
    </xf>
    <xf numFmtId="0" fontId="9" fillId="14" borderId="4" xfId="1" applyFont="1" applyFill="1" applyBorder="1" applyAlignment="1">
      <alignment horizontal="center" vertical="center" textRotation="90"/>
    </xf>
    <xf numFmtId="0" fontId="9" fillId="14" borderId="24" xfId="1" applyFont="1" applyFill="1" applyBorder="1" applyAlignment="1">
      <alignment horizontal="center" vertical="center" textRotation="90"/>
    </xf>
    <xf numFmtId="0" fontId="1" fillId="14" borderId="3" xfId="1" applyFont="1" applyFill="1" applyBorder="1" applyAlignment="1">
      <alignment horizontal="center" vertical="center"/>
    </xf>
    <xf numFmtId="0" fontId="9" fillId="14" borderId="25" xfId="1" applyFont="1" applyFill="1" applyBorder="1" applyAlignment="1">
      <alignment horizontal="center" vertical="center" textRotation="90"/>
    </xf>
    <xf numFmtId="0" fontId="9" fillId="14" borderId="23" xfId="1" applyFont="1" applyFill="1" applyBorder="1" applyAlignment="1">
      <alignment horizontal="center" vertical="center" textRotation="90"/>
    </xf>
    <xf numFmtId="0" fontId="1" fillId="14" borderId="26" xfId="1" applyFont="1" applyFill="1" applyBorder="1" applyAlignment="1">
      <alignment horizontal="center" vertical="center"/>
    </xf>
    <xf numFmtId="0" fontId="1" fillId="19" borderId="11" xfId="1" applyFont="1" applyFill="1" applyBorder="1" applyAlignment="1">
      <alignment horizontal="center" vertical="center"/>
    </xf>
    <xf numFmtId="0" fontId="1" fillId="19" borderId="7" xfId="1" applyFont="1" applyFill="1" applyBorder="1" applyAlignment="1">
      <alignment horizontal="center" vertical="center"/>
    </xf>
    <xf numFmtId="0" fontId="1" fillId="19" borderId="12" xfId="1" applyFont="1" applyFill="1" applyBorder="1" applyAlignment="1">
      <alignment horizontal="center" vertical="center"/>
    </xf>
    <xf numFmtId="0" fontId="1" fillId="20" borderId="11" xfId="1" applyFont="1" applyFill="1" applyBorder="1" applyAlignment="1">
      <alignment horizontal="center" vertical="center"/>
    </xf>
    <xf numFmtId="0" fontId="1" fillId="20" borderId="7" xfId="1" applyFont="1" applyFill="1" applyBorder="1" applyAlignment="1">
      <alignment horizontal="center" vertical="center"/>
    </xf>
    <xf numFmtId="0" fontId="1" fillId="20" borderId="12" xfId="1" applyFont="1" applyFill="1" applyBorder="1" applyAlignment="1">
      <alignment horizontal="center" vertical="center"/>
    </xf>
    <xf numFmtId="0" fontId="1" fillId="8" borderId="11" xfId="1" applyFont="1" applyFill="1" applyBorder="1" applyAlignment="1">
      <alignment horizontal="center" vertical="center"/>
    </xf>
    <xf numFmtId="0" fontId="1" fillId="8" borderId="7" xfId="1" applyFont="1" applyFill="1" applyBorder="1" applyAlignment="1">
      <alignment horizontal="center" vertical="center"/>
    </xf>
    <xf numFmtId="0" fontId="1" fillId="8" borderId="12" xfId="1" applyFont="1" applyFill="1" applyBorder="1" applyAlignment="1">
      <alignment horizontal="center" vertical="center"/>
    </xf>
    <xf numFmtId="0" fontId="1" fillId="21" borderId="11" xfId="1" applyFont="1" applyFill="1" applyBorder="1" applyAlignment="1">
      <alignment horizontal="center" vertical="center"/>
    </xf>
    <xf numFmtId="0" fontId="1" fillId="21" borderId="7" xfId="1" applyFont="1" applyFill="1" applyBorder="1" applyAlignment="1">
      <alignment horizontal="center" vertical="center"/>
    </xf>
    <xf numFmtId="0" fontId="1" fillId="21" borderId="12" xfId="1" applyFont="1" applyFill="1" applyBorder="1" applyAlignment="1">
      <alignment horizontal="center" vertical="center"/>
    </xf>
    <xf numFmtId="0" fontId="1" fillId="13" borderId="11" xfId="1" applyFont="1" applyFill="1" applyBorder="1" applyAlignment="1">
      <alignment horizontal="center" vertical="center"/>
    </xf>
    <xf numFmtId="0" fontId="1" fillId="13" borderId="7" xfId="1" applyFont="1" applyFill="1" applyBorder="1" applyAlignment="1">
      <alignment horizontal="center" vertical="center"/>
    </xf>
    <xf numFmtId="0" fontId="1" fillId="13" borderId="12" xfId="1" applyFont="1" applyFill="1" applyBorder="1" applyAlignment="1">
      <alignment horizontal="center" vertical="center"/>
    </xf>
    <xf numFmtId="0" fontId="1" fillId="10" borderId="11" xfId="1" applyFont="1" applyFill="1" applyBorder="1" applyAlignment="1">
      <alignment horizontal="center" vertical="center"/>
    </xf>
    <xf numFmtId="0" fontId="1" fillId="10" borderId="7" xfId="1" applyFont="1" applyFill="1" applyBorder="1" applyAlignment="1">
      <alignment horizontal="center" vertical="center"/>
    </xf>
    <xf numFmtId="0" fontId="1" fillId="10" borderId="12" xfId="1" applyFont="1" applyFill="1" applyBorder="1" applyAlignment="1">
      <alignment horizontal="center" vertical="center"/>
    </xf>
    <xf numFmtId="0" fontId="1" fillId="19" borderId="13" xfId="1" applyFont="1" applyFill="1" applyBorder="1" applyAlignment="1">
      <alignment horizontal="center" vertical="center"/>
    </xf>
    <xf numFmtId="0" fontId="1" fillId="19" borderId="10" xfId="1" applyFont="1" applyFill="1" applyBorder="1" applyAlignment="1">
      <alignment horizontal="center" vertical="center"/>
    </xf>
    <xf numFmtId="0" fontId="1" fillId="19" borderId="14" xfId="1" applyFont="1" applyFill="1" applyBorder="1" applyAlignment="1">
      <alignment horizontal="center" vertical="center"/>
    </xf>
    <xf numFmtId="0" fontId="1" fillId="20" borderId="13" xfId="1" applyFont="1" applyFill="1" applyBorder="1" applyAlignment="1">
      <alignment horizontal="center" vertical="center"/>
    </xf>
    <xf numFmtId="0" fontId="1" fillId="20" borderId="10" xfId="1" applyFont="1" applyFill="1" applyBorder="1" applyAlignment="1">
      <alignment horizontal="center" vertical="center"/>
    </xf>
    <xf numFmtId="0" fontId="1" fillId="20" borderId="14" xfId="1" applyFont="1" applyFill="1" applyBorder="1" applyAlignment="1">
      <alignment horizontal="center" vertical="center"/>
    </xf>
    <xf numFmtId="0" fontId="1" fillId="8" borderId="13" xfId="1" applyFont="1" applyFill="1" applyBorder="1" applyAlignment="1">
      <alignment horizontal="center" vertical="center"/>
    </xf>
    <xf numFmtId="0" fontId="1" fillId="8" borderId="10" xfId="1" applyFont="1" applyFill="1" applyBorder="1" applyAlignment="1">
      <alignment horizontal="center" vertical="center"/>
    </xf>
    <xf numFmtId="0" fontId="1" fillId="8" borderId="14" xfId="1" applyFont="1" applyFill="1" applyBorder="1" applyAlignment="1">
      <alignment horizontal="center" vertical="center"/>
    </xf>
    <xf numFmtId="0" fontId="1" fillId="21" borderId="13" xfId="1" applyFont="1" applyFill="1" applyBorder="1" applyAlignment="1">
      <alignment horizontal="center" vertical="center"/>
    </xf>
    <xf numFmtId="0" fontId="1" fillId="21" borderId="10" xfId="1" applyFont="1" applyFill="1" applyBorder="1" applyAlignment="1">
      <alignment horizontal="center" vertical="center"/>
    </xf>
    <xf numFmtId="0" fontId="1" fillId="21" borderId="14" xfId="1" applyFont="1" applyFill="1" applyBorder="1" applyAlignment="1">
      <alignment horizontal="center" vertical="center"/>
    </xf>
    <xf numFmtId="0" fontId="1" fillId="13" borderId="13" xfId="1" applyFont="1" applyFill="1" applyBorder="1" applyAlignment="1">
      <alignment horizontal="center" vertical="center"/>
    </xf>
    <xf numFmtId="0" fontId="1" fillId="13" borderId="10" xfId="1" applyFont="1" applyFill="1" applyBorder="1" applyAlignment="1">
      <alignment horizontal="center" vertical="center"/>
    </xf>
    <xf numFmtId="0" fontId="1" fillId="13" borderId="14" xfId="1" applyFont="1" applyFill="1" applyBorder="1" applyAlignment="1">
      <alignment horizontal="center" vertical="center"/>
    </xf>
    <xf numFmtId="0" fontId="1" fillId="10" borderId="13" xfId="1" applyFont="1" applyFill="1" applyBorder="1" applyAlignment="1">
      <alignment horizontal="center" vertical="center"/>
    </xf>
    <xf numFmtId="0" fontId="1" fillId="10" borderId="10" xfId="1" applyFont="1" applyFill="1" applyBorder="1" applyAlignment="1">
      <alignment horizontal="center" vertical="center"/>
    </xf>
    <xf numFmtId="0" fontId="1" fillId="10" borderId="14" xfId="1" applyFont="1" applyFill="1" applyBorder="1" applyAlignment="1">
      <alignment horizontal="center" vertical="center"/>
    </xf>
    <xf numFmtId="0" fontId="1" fillId="19" borderId="9" xfId="1" applyFont="1" applyFill="1" applyBorder="1" applyAlignment="1">
      <alignment horizontal="center" vertical="center"/>
    </xf>
    <xf numFmtId="0" fontId="1" fillId="19" borderId="19" xfId="1" applyFont="1" applyFill="1" applyBorder="1" applyAlignment="1">
      <alignment horizontal="center" vertical="center"/>
    </xf>
    <xf numFmtId="0" fontId="1" fillId="19" borderId="20" xfId="1" applyFont="1" applyFill="1" applyBorder="1" applyAlignment="1">
      <alignment horizontal="center" vertical="center"/>
    </xf>
    <xf numFmtId="0" fontId="1" fillId="20" borderId="9" xfId="1" applyFont="1" applyFill="1" applyBorder="1" applyAlignment="1">
      <alignment horizontal="center" vertical="center"/>
    </xf>
    <xf numFmtId="0" fontId="1" fillId="20" borderId="19" xfId="1" applyFont="1" applyFill="1" applyBorder="1" applyAlignment="1">
      <alignment horizontal="center" vertical="center"/>
    </xf>
    <xf numFmtId="0" fontId="1" fillId="20" borderId="20" xfId="1" applyFont="1" applyFill="1" applyBorder="1" applyAlignment="1">
      <alignment horizontal="center" vertical="center"/>
    </xf>
    <xf numFmtId="0" fontId="1" fillId="8" borderId="9" xfId="1" applyFont="1" applyFill="1" applyBorder="1" applyAlignment="1">
      <alignment horizontal="center" vertical="center"/>
    </xf>
    <xf numFmtId="0" fontId="1" fillId="8" borderId="19" xfId="1" applyFont="1" applyFill="1" applyBorder="1" applyAlignment="1">
      <alignment horizontal="center" vertical="center"/>
    </xf>
    <xf numFmtId="0" fontId="1" fillId="8" borderId="20" xfId="1" applyFont="1" applyFill="1" applyBorder="1" applyAlignment="1">
      <alignment horizontal="center" vertical="center"/>
    </xf>
    <xf numFmtId="0" fontId="1" fillId="21" borderId="9" xfId="1" applyFont="1" applyFill="1" applyBorder="1" applyAlignment="1">
      <alignment horizontal="center" vertical="center"/>
    </xf>
    <xf numFmtId="0" fontId="1" fillId="21" borderId="19" xfId="1" applyFont="1" applyFill="1" applyBorder="1" applyAlignment="1">
      <alignment horizontal="center" vertical="center"/>
    </xf>
    <xf numFmtId="0" fontId="1" fillId="21" borderId="20" xfId="1" applyFont="1" applyFill="1" applyBorder="1" applyAlignment="1">
      <alignment horizontal="center" vertical="center"/>
    </xf>
    <xf numFmtId="0" fontId="1" fillId="13" borderId="9" xfId="1" applyFont="1" applyFill="1" applyBorder="1" applyAlignment="1">
      <alignment horizontal="center" vertical="center"/>
    </xf>
    <xf numFmtId="0" fontId="1" fillId="13" borderId="19" xfId="1" applyFont="1" applyFill="1" applyBorder="1" applyAlignment="1">
      <alignment horizontal="center" vertical="center"/>
    </xf>
    <xf numFmtId="0" fontId="1" fillId="13" borderId="20" xfId="1" applyFont="1" applyFill="1" applyBorder="1" applyAlignment="1">
      <alignment horizontal="center" vertical="center"/>
    </xf>
    <xf numFmtId="0" fontId="1" fillId="10" borderId="9" xfId="1" applyFont="1" applyFill="1" applyBorder="1" applyAlignment="1">
      <alignment horizontal="center" vertical="center"/>
    </xf>
    <xf numFmtId="0" fontId="1" fillId="10" borderId="19" xfId="1" applyFont="1" applyFill="1" applyBorder="1" applyAlignment="1">
      <alignment horizontal="center" vertical="center"/>
    </xf>
    <xf numFmtId="0" fontId="1" fillId="10" borderId="20" xfId="1" applyFont="1" applyFill="1" applyBorder="1" applyAlignment="1">
      <alignment horizontal="center" vertical="center"/>
    </xf>
    <xf numFmtId="0" fontId="8" fillId="0" borderId="0" xfId="1" applyAlignment="1">
      <alignment horizontal="left"/>
    </xf>
    <xf numFmtId="0" fontId="1" fillId="19" borderId="27" xfId="1" applyFont="1" applyFill="1" applyBorder="1" applyAlignment="1">
      <alignment horizontal="center" vertical="center"/>
    </xf>
    <xf numFmtId="0" fontId="10" fillId="20" borderId="10" xfId="1" applyFont="1" applyFill="1" applyBorder="1" applyAlignment="1">
      <alignment horizontal="center" vertical="center" wrapText="1"/>
    </xf>
    <xf numFmtId="0" fontId="8" fillId="0" borderId="0" xfId="1" applyAlignment="1">
      <alignment horizontal="left" vertical="center"/>
    </xf>
    <xf numFmtId="0" fontId="1" fillId="0" borderId="0" xfId="1" applyFont="1" applyAlignment="1">
      <alignment horizontal="left" vertical="center"/>
    </xf>
    <xf numFmtId="0" fontId="8" fillId="22" borderId="0" xfId="1" applyFill="1" applyAlignment="1">
      <alignment horizontal="left"/>
    </xf>
    <xf numFmtId="0" fontId="8" fillId="23" borderId="0" xfId="1" applyFill="1" applyAlignment="1">
      <alignment horizontal="left"/>
    </xf>
    <xf numFmtId="0" fontId="8" fillId="24" borderId="0" xfId="1" applyFill="1" applyAlignment="1">
      <alignment horizontal="left"/>
    </xf>
    <xf numFmtId="0" fontId="8" fillId="0" borderId="0" xfId="1" applyAlignment="1">
      <alignment horizontal="center"/>
    </xf>
    <xf numFmtId="0" fontId="8" fillId="2" borderId="1" xfId="1" applyFill="1" applyBorder="1" applyAlignment="1">
      <alignment horizontal="center"/>
    </xf>
    <xf numFmtId="0" fontId="8" fillId="7" borderId="28" xfId="1" applyFill="1" applyBorder="1" applyAlignment="1">
      <alignment horizontal="center" vertical="center"/>
    </xf>
    <xf numFmtId="0" fontId="8" fillId="0" borderId="29" xfId="1" applyBorder="1" applyAlignment="1">
      <alignment horizontal="center" vertical="center"/>
    </xf>
    <xf numFmtId="0" fontId="8" fillId="7" borderId="30" xfId="1" applyFill="1" applyBorder="1" applyAlignment="1">
      <alignment horizontal="center" vertical="center"/>
    </xf>
    <xf numFmtId="0" fontId="3" fillId="3" borderId="18" xfId="1" applyFont="1" applyFill="1" applyBorder="1" applyAlignment="1">
      <alignment horizontal="center" vertical="center"/>
    </xf>
    <xf numFmtId="0" fontId="8" fillId="7" borderId="9" xfId="1" applyFill="1" applyBorder="1" applyAlignment="1">
      <alignment horizontal="center" vertical="center"/>
    </xf>
    <xf numFmtId="0" fontId="8" fillId="7" borderId="31" xfId="1" applyFill="1" applyBorder="1" applyAlignment="1">
      <alignment horizontal="center" vertical="center"/>
    </xf>
    <xf numFmtId="0" fontId="8" fillId="0" borderId="32" xfId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8" fillId="25" borderId="1" xfId="1" applyFill="1" applyBorder="1" applyAlignment="1">
      <alignment horizontal="center"/>
    </xf>
    <xf numFmtId="0" fontId="3" fillId="3" borderId="6" xfId="1" applyFont="1" applyFill="1" applyBorder="1" applyAlignment="1">
      <alignment horizontal="center" vertical="center" wrapText="1"/>
    </xf>
    <xf numFmtId="0" fontId="3" fillId="3" borderId="18" xfId="1" applyFont="1" applyFill="1" applyBorder="1" applyAlignment="1">
      <alignment horizontal="center" vertical="center" wrapText="1"/>
    </xf>
    <xf numFmtId="0" fontId="15" fillId="0" borderId="1" xfId="1" applyFont="1" applyFill="1" applyBorder="1" applyAlignment="1">
      <alignment horizontal="center" vertical="center" wrapText="1"/>
    </xf>
    <xf numFmtId="0" fontId="1" fillId="8" borderId="23" xfId="1" applyFont="1" applyFill="1" applyBorder="1" applyAlignment="1">
      <alignment horizontal="center" vertical="center"/>
    </xf>
    <xf numFmtId="0" fontId="1" fillId="8" borderId="48" xfId="1" applyFont="1" applyFill="1" applyBorder="1" applyAlignment="1">
      <alignment horizontal="center" vertical="center"/>
    </xf>
    <xf numFmtId="0" fontId="8" fillId="8" borderId="21" xfId="1" applyFill="1" applyBorder="1" applyAlignment="1">
      <alignment horizontal="center" vertical="center"/>
    </xf>
    <xf numFmtId="0" fontId="8" fillId="8" borderId="22" xfId="1" applyFill="1" applyBorder="1" applyAlignment="1">
      <alignment horizontal="center" vertical="center"/>
    </xf>
    <xf numFmtId="0" fontId="0" fillId="17" borderId="0" xfId="0" applyFill="1" applyAlignment="1">
      <alignment horizontal="left"/>
    </xf>
    <xf numFmtId="0" fontId="0" fillId="9" borderId="0" xfId="0" applyFill="1" applyAlignment="1">
      <alignment horizontal="left" vertical="center"/>
    </xf>
    <xf numFmtId="0" fontId="0" fillId="26" borderId="0" xfId="0" applyFill="1"/>
    <xf numFmtId="0" fontId="0" fillId="18" borderId="0" xfId="0" applyFill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Border="1" applyAlignment="1"/>
    <xf numFmtId="0" fontId="1" fillId="0" borderId="0" xfId="0" applyNumberFormat="1" applyFont="1" applyFill="1" applyBorder="1"/>
    <xf numFmtId="0" fontId="0" fillId="0" borderId="0" xfId="0" applyNumberFormat="1" applyFill="1" applyBorder="1" applyAlignment="1">
      <alignment horizontal="center"/>
    </xf>
    <xf numFmtId="0" fontId="0" fillId="0" borderId="0" xfId="0" applyNumberFormat="1" applyFill="1"/>
    <xf numFmtId="0" fontId="0" fillId="0" borderId="0" xfId="0" applyNumberFormat="1" applyFill="1" applyBorder="1"/>
    <xf numFmtId="0" fontId="0" fillId="0" borderId="0" xfId="0" applyNumberFormat="1" applyFill="1" applyBorder="1" applyAlignment="1"/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/>
    <xf numFmtId="0" fontId="1" fillId="0" borderId="0" xfId="0" applyNumberFormat="1" applyFont="1" applyFill="1" applyBorder="1" applyAlignment="1">
      <alignment horizontal="center"/>
    </xf>
    <xf numFmtId="0" fontId="0" fillId="17" borderId="0" xfId="0" applyFill="1" applyAlignment="1">
      <alignment horizontal="left" vertical="center"/>
    </xf>
    <xf numFmtId="0" fontId="0" fillId="18" borderId="0" xfId="0" applyFill="1" applyAlignment="1">
      <alignment horizontal="left" vertical="center"/>
    </xf>
    <xf numFmtId="0" fontId="15" fillId="0" borderId="25" xfId="1" applyFont="1" applyFill="1" applyBorder="1" applyAlignment="1">
      <alignment horizontal="center" vertical="center" wrapText="1"/>
    </xf>
    <xf numFmtId="0" fontId="8" fillId="7" borderId="33" xfId="1" applyFill="1" applyBorder="1" applyAlignment="1">
      <alignment horizontal="center" vertical="center"/>
    </xf>
    <xf numFmtId="0" fontId="8" fillId="0" borderId="9" xfId="1" applyBorder="1"/>
    <xf numFmtId="0" fontId="8" fillId="0" borderId="19" xfId="1" applyBorder="1"/>
    <xf numFmtId="0" fontId="8" fillId="0" borderId="20" xfId="1" applyBorder="1"/>
    <xf numFmtId="0" fontId="15" fillId="0" borderId="0" xfId="1" applyFont="1" applyFill="1" applyBorder="1" applyAlignment="1">
      <alignment horizontal="center" vertical="center" wrapText="1"/>
    </xf>
    <xf numFmtId="0" fontId="12" fillId="10" borderId="11" xfId="1" applyFont="1" applyFill="1" applyBorder="1" applyAlignment="1">
      <alignment horizontal="center"/>
    </xf>
    <xf numFmtId="0" fontId="1" fillId="8" borderId="48" xfId="1" applyFont="1" applyFill="1" applyBorder="1" applyAlignment="1">
      <alignment horizontal="center" vertical="center"/>
    </xf>
    <xf numFmtId="0" fontId="1" fillId="8" borderId="18" xfId="1" applyFont="1" applyFill="1" applyBorder="1" applyAlignment="1">
      <alignment horizontal="left" vertical="center"/>
    </xf>
    <xf numFmtId="0" fontId="13" fillId="0" borderId="0" xfId="0" applyFont="1"/>
    <xf numFmtId="176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0" borderId="0" xfId="2" applyFont="1" applyBorder="1" applyAlignment="1">
      <alignment horizontal="left" wrapText="1"/>
    </xf>
    <xf numFmtId="0" fontId="1" fillId="0" borderId="0" xfId="2" applyFont="1" applyBorder="1" applyAlignment="1">
      <alignment horizontal="left"/>
    </xf>
    <xf numFmtId="0" fontId="0" fillId="0" borderId="20" xfId="0" applyBorder="1"/>
    <xf numFmtId="0" fontId="0" fillId="0" borderId="19" xfId="0" applyBorder="1"/>
    <xf numFmtId="0" fontId="0" fillId="0" borderId="9" xfId="0" applyBorder="1"/>
    <xf numFmtId="0" fontId="1" fillId="0" borderId="20" xfId="2" applyFont="1" applyFill="1" applyBorder="1" applyAlignment="1">
      <alignment horizontal="left" vertical="center" wrapText="1"/>
    </xf>
    <xf numFmtId="0" fontId="1" fillId="0" borderId="19" xfId="2" applyFont="1" applyFill="1" applyBorder="1" applyAlignment="1">
      <alignment horizontal="left" vertical="center"/>
    </xf>
    <xf numFmtId="0" fontId="1" fillId="0" borderId="9" xfId="2" applyFont="1" applyFill="1" applyBorder="1" applyAlignment="1">
      <alignment horizontal="left" vertical="center"/>
    </xf>
    <xf numFmtId="0" fontId="0" fillId="0" borderId="14" xfId="0" applyBorder="1"/>
    <xf numFmtId="0" fontId="0" fillId="0" borderId="10" xfId="0" applyBorder="1"/>
    <xf numFmtId="0" fontId="0" fillId="0" borderId="13" xfId="0" applyBorder="1"/>
    <xf numFmtId="0" fontId="1" fillId="0" borderId="14" xfId="2" applyFont="1" applyFill="1" applyBorder="1" applyAlignment="1">
      <alignment horizontal="left" vertical="center" wrapText="1"/>
    </xf>
    <xf numFmtId="0" fontId="1" fillId="0" borderId="10" xfId="2" applyFont="1" applyFill="1" applyBorder="1" applyAlignment="1">
      <alignment horizontal="left" vertical="center"/>
    </xf>
    <xf numFmtId="0" fontId="1" fillId="0" borderId="13" xfId="2" applyFont="1" applyFill="1" applyBorder="1" applyAlignment="1">
      <alignment horizontal="left" vertical="center"/>
    </xf>
    <xf numFmtId="0" fontId="1" fillId="0" borderId="13" xfId="2" applyFont="1" applyFill="1" applyBorder="1" applyAlignment="1">
      <alignment horizontal="left" vertical="center" wrapText="1"/>
    </xf>
    <xf numFmtId="0" fontId="1" fillId="0" borderId="13" xfId="2" applyFont="1" applyFill="1" applyBorder="1" applyAlignment="1">
      <alignment vertical="center" wrapText="1"/>
    </xf>
    <xf numFmtId="0" fontId="12" fillId="12" borderId="14" xfId="0" applyFont="1" applyFill="1" applyBorder="1" applyAlignment="1">
      <alignment horizontal="center" vertical="center" wrapText="1"/>
    </xf>
    <xf numFmtId="0" fontId="12" fillId="12" borderId="10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2" fillId="12" borderId="14" xfId="2" applyFont="1" applyFill="1" applyBorder="1" applyAlignment="1">
      <alignment horizontal="center" vertical="center" wrapText="1"/>
    </xf>
    <xf numFmtId="0" fontId="12" fillId="12" borderId="10" xfId="2" applyFont="1" applyFill="1" applyBorder="1" applyAlignment="1">
      <alignment horizontal="center" vertical="center" wrapText="1"/>
    </xf>
    <xf numFmtId="0" fontId="12" fillId="16" borderId="14" xfId="2" applyFont="1" applyFill="1" applyBorder="1" applyAlignment="1">
      <alignment horizontal="center" vertical="center" wrapText="1"/>
    </xf>
    <xf numFmtId="0" fontId="12" fillId="16" borderId="10" xfId="2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3" xfId="0" applyFont="1" applyFill="1" applyBorder="1" applyAlignment="1">
      <alignment horizontal="center" vertical="center" wrapText="1"/>
    </xf>
    <xf numFmtId="0" fontId="12" fillId="15" borderId="14" xfId="2" applyFont="1" applyFill="1" applyBorder="1" applyAlignment="1">
      <alignment horizontal="center" vertical="center" wrapText="1"/>
    </xf>
    <xf numFmtId="0" fontId="12" fillId="15" borderId="10" xfId="2" applyFont="1" applyFill="1" applyBorder="1" applyAlignment="1">
      <alignment horizontal="center" vertical="center" wrapText="1"/>
    </xf>
    <xf numFmtId="0" fontId="1" fillId="9" borderId="10" xfId="0" applyFont="1" applyFill="1" applyBorder="1" applyAlignment="1">
      <alignment horizontal="center" vertical="center" wrapText="1"/>
    </xf>
    <xf numFmtId="0" fontId="1" fillId="9" borderId="13" xfId="0" applyFont="1" applyFill="1" applyBorder="1" applyAlignment="1">
      <alignment horizontal="center" vertical="center" wrapText="1"/>
    </xf>
    <xf numFmtId="0" fontId="1" fillId="2" borderId="12" xfId="2" applyFont="1" applyFill="1" applyBorder="1" applyAlignment="1">
      <alignment horizontal="center" vertical="center" wrapText="1"/>
    </xf>
    <xf numFmtId="0" fontId="1" fillId="2" borderId="7" xfId="2" applyFont="1" applyFill="1" applyBorder="1" applyAlignment="1">
      <alignment horizontal="center" vertical="center"/>
    </xf>
    <xf numFmtId="0" fontId="1" fillId="2" borderId="11" xfId="2" applyFont="1" applyFill="1" applyBorder="1" applyAlignment="1">
      <alignment horizontal="left" vertical="center"/>
    </xf>
    <xf numFmtId="0" fontId="16" fillId="0" borderId="70" xfId="0" applyFont="1" applyBorder="1" applyAlignment="1">
      <alignment wrapText="1"/>
    </xf>
    <xf numFmtId="0" fontId="16" fillId="0" borderId="71" xfId="0" applyFont="1" applyBorder="1" applyAlignment="1">
      <alignment wrapText="1"/>
    </xf>
    <xf numFmtId="0" fontId="16" fillId="0" borderId="72" xfId="0" applyFont="1" applyBorder="1" applyAlignment="1">
      <alignment wrapText="1"/>
    </xf>
    <xf numFmtId="0" fontId="16" fillId="30" borderId="4" xfId="0" applyFont="1" applyFill="1" applyBorder="1" applyAlignment="1">
      <alignment wrapText="1"/>
    </xf>
    <xf numFmtId="0" fontId="16" fillId="0" borderId="0" xfId="0" applyFont="1" applyBorder="1" applyAlignment="1">
      <alignment horizontal="left"/>
    </xf>
    <xf numFmtId="0" fontId="17" fillId="0" borderId="0" xfId="0" applyFont="1"/>
    <xf numFmtId="0" fontId="16" fillId="0" borderId="0" xfId="0" applyFont="1" applyAlignment="1">
      <alignment wrapText="1"/>
    </xf>
    <xf numFmtId="0" fontId="1" fillId="0" borderId="0" xfId="2" applyFont="1" applyBorder="1"/>
    <xf numFmtId="0" fontId="1" fillId="0" borderId="73" xfId="2" applyFont="1" applyBorder="1"/>
    <xf numFmtId="0" fontId="1" fillId="0" borderId="74" xfId="2" applyFont="1" applyBorder="1"/>
    <xf numFmtId="0" fontId="1" fillId="0" borderId="74" xfId="2" applyFont="1" applyFill="1" applyBorder="1" applyAlignment="1">
      <alignment horizontal="center" vertical="center"/>
    </xf>
    <xf numFmtId="0" fontId="17" fillId="0" borderId="74" xfId="0" applyFont="1" applyBorder="1"/>
    <xf numFmtId="0" fontId="1" fillId="0" borderId="75" xfId="2" applyFont="1" applyBorder="1"/>
    <xf numFmtId="0" fontId="16" fillId="0" borderId="20" xfId="0" applyFont="1" applyBorder="1" applyAlignment="1">
      <alignment wrapText="1"/>
    </xf>
    <xf numFmtId="0" fontId="16" fillId="0" borderId="19" xfId="0" applyFont="1" applyBorder="1" applyAlignment="1">
      <alignment wrapText="1"/>
    </xf>
    <xf numFmtId="0" fontId="16" fillId="0" borderId="9" xfId="0" applyFont="1" applyBorder="1" applyAlignment="1">
      <alignment wrapText="1"/>
    </xf>
    <xf numFmtId="0" fontId="16" fillId="0" borderId="31" xfId="0" applyFont="1" applyBorder="1" applyAlignment="1">
      <alignment wrapText="1"/>
    </xf>
    <xf numFmtId="0" fontId="1" fillId="10" borderId="32" xfId="2" applyFont="1" applyFill="1" applyBorder="1" applyAlignment="1">
      <alignment horizontal="center" vertical="center"/>
    </xf>
    <xf numFmtId="0" fontId="17" fillId="0" borderId="32" xfId="0" applyFont="1" applyBorder="1"/>
    <xf numFmtId="0" fontId="17" fillId="0" borderId="20" xfId="0" applyFont="1" applyBorder="1"/>
    <xf numFmtId="0" fontId="17" fillId="0" borderId="19" xfId="0" applyFont="1" applyBorder="1"/>
    <xf numFmtId="0" fontId="17" fillId="0" borderId="9" xfId="0" applyFont="1" applyBorder="1"/>
    <xf numFmtId="0" fontId="1" fillId="10" borderId="20" xfId="2" applyFont="1" applyFill="1" applyBorder="1" applyAlignment="1">
      <alignment horizontal="center" vertical="center"/>
    </xf>
    <xf numFmtId="0" fontId="1" fillId="10" borderId="19" xfId="2" applyFont="1" applyFill="1" applyBorder="1" applyAlignment="1">
      <alignment horizontal="center" vertical="center"/>
    </xf>
    <xf numFmtId="0" fontId="1" fillId="10" borderId="9" xfId="2" applyFont="1" applyFill="1" applyBorder="1" applyAlignment="1">
      <alignment horizontal="center" vertical="center"/>
    </xf>
    <xf numFmtId="0" fontId="16" fillId="0" borderId="14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6" fillId="0" borderId="13" xfId="0" applyFont="1" applyBorder="1" applyAlignment="1">
      <alignment wrapText="1"/>
    </xf>
    <xf numFmtId="0" fontId="16" fillId="0" borderId="30" xfId="0" applyFont="1" applyBorder="1" applyAlignment="1">
      <alignment wrapText="1"/>
    </xf>
    <xf numFmtId="0" fontId="1" fillId="10" borderId="29" xfId="2" applyFont="1" applyFill="1" applyBorder="1" applyAlignment="1">
      <alignment horizontal="center" vertical="center"/>
    </xf>
    <xf numFmtId="0" fontId="17" fillId="0" borderId="29" xfId="0" applyFont="1" applyBorder="1"/>
    <xf numFmtId="0" fontId="17" fillId="0" borderId="14" xfId="0" applyFont="1" applyBorder="1"/>
    <xf numFmtId="0" fontId="17" fillId="0" borderId="10" xfId="0" applyFont="1" applyBorder="1"/>
    <xf numFmtId="0" fontId="17" fillId="0" borderId="13" xfId="0" applyFont="1" applyBorder="1"/>
    <xf numFmtId="0" fontId="1" fillId="10" borderId="14" xfId="2" applyFont="1" applyFill="1" applyBorder="1" applyAlignment="1">
      <alignment horizontal="center" vertical="center"/>
    </xf>
    <xf numFmtId="0" fontId="1" fillId="10" borderId="10" xfId="2" applyFont="1" applyFill="1" applyBorder="1" applyAlignment="1">
      <alignment horizontal="center" vertical="center"/>
    </xf>
    <xf numFmtId="0" fontId="1" fillId="10" borderId="13" xfId="2" applyFont="1" applyFill="1" applyBorder="1" applyAlignment="1">
      <alignment horizontal="center" vertical="center"/>
    </xf>
    <xf numFmtId="0" fontId="1" fillId="10" borderId="76" xfId="2" applyFont="1" applyFill="1" applyBorder="1" applyAlignment="1">
      <alignment horizontal="center" vertical="center"/>
    </xf>
    <xf numFmtId="0" fontId="1" fillId="10" borderId="12" xfId="2" applyFont="1" applyFill="1" applyBorder="1" applyAlignment="1">
      <alignment horizontal="center" vertical="center"/>
    </xf>
    <xf numFmtId="0" fontId="1" fillId="10" borderId="7" xfId="2" applyFont="1" applyFill="1" applyBorder="1" applyAlignment="1">
      <alignment horizontal="center" vertical="center"/>
    </xf>
    <xf numFmtId="0" fontId="1" fillId="10" borderId="11" xfId="2" applyFont="1" applyFill="1" applyBorder="1" applyAlignment="1">
      <alignment horizontal="center" vertical="center"/>
    </xf>
    <xf numFmtId="0" fontId="12" fillId="12" borderId="12" xfId="0" applyFont="1" applyFill="1" applyBorder="1" applyAlignment="1">
      <alignment horizontal="center" vertical="center" wrapText="1"/>
    </xf>
    <xf numFmtId="0" fontId="12" fillId="12" borderId="7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2" fillId="12" borderId="12" xfId="2" applyFont="1" applyFill="1" applyBorder="1" applyAlignment="1">
      <alignment horizontal="center" vertical="center" wrapText="1"/>
    </xf>
    <xf numFmtId="0" fontId="12" fillId="12" borderId="7" xfId="2" applyFont="1" applyFill="1" applyBorder="1" applyAlignment="1">
      <alignment horizontal="center" vertical="center" wrapText="1"/>
    </xf>
    <xf numFmtId="0" fontId="12" fillId="16" borderId="12" xfId="2" applyFont="1" applyFill="1" applyBorder="1" applyAlignment="1">
      <alignment horizontal="center" vertical="center" wrapText="1"/>
    </xf>
    <xf numFmtId="0" fontId="12" fillId="16" borderId="7" xfId="2" applyFont="1" applyFill="1" applyBorder="1" applyAlignment="1">
      <alignment horizontal="center" vertical="center" wrapText="1"/>
    </xf>
    <xf numFmtId="0" fontId="1" fillId="11" borderId="7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2" fillId="15" borderId="12" xfId="2" applyFont="1" applyFill="1" applyBorder="1" applyAlignment="1">
      <alignment horizontal="center" vertical="center" wrapText="1"/>
    </xf>
    <xf numFmtId="0" fontId="12" fillId="15" borderId="7" xfId="2" applyFont="1" applyFill="1" applyBorder="1" applyAlignment="1">
      <alignment horizontal="center" vertical="center" wrapText="1"/>
    </xf>
    <xf numFmtId="0" fontId="1" fillId="9" borderId="7" xfId="0" applyFont="1" applyFill="1" applyBorder="1" applyAlignment="1">
      <alignment horizontal="center" vertical="center" wrapText="1"/>
    </xf>
    <xf numFmtId="0" fontId="1" fillId="9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2" borderId="76" xfId="2" applyFont="1" applyFill="1" applyBorder="1" applyAlignment="1">
      <alignment horizontal="center" vertical="center" wrapText="1"/>
    </xf>
    <xf numFmtId="0" fontId="1" fillId="2" borderId="12" xfId="2" applyFont="1" applyFill="1" applyBorder="1" applyAlignment="1">
      <alignment horizontal="center" vertical="center"/>
    </xf>
    <xf numFmtId="0" fontId="1" fillId="2" borderId="11" xfId="2" applyFont="1" applyFill="1" applyBorder="1" applyAlignment="1">
      <alignment horizontal="center" vertical="center"/>
    </xf>
    <xf numFmtId="0" fontId="1" fillId="14" borderId="26" xfId="2" applyFont="1" applyFill="1" applyBorder="1" applyAlignment="1">
      <alignment horizontal="center" vertical="center"/>
    </xf>
    <xf numFmtId="0" fontId="18" fillId="14" borderId="23" xfId="2" applyFont="1" applyFill="1" applyBorder="1" applyAlignment="1">
      <alignment horizontal="center" vertical="center" textRotation="90"/>
    </xf>
    <xf numFmtId="0" fontId="18" fillId="14" borderId="25" xfId="2" applyFont="1" applyFill="1" applyBorder="1" applyAlignment="1">
      <alignment horizontal="center" vertical="center" textRotation="90"/>
    </xf>
    <xf numFmtId="0" fontId="1" fillId="13" borderId="32" xfId="2" applyFont="1" applyFill="1" applyBorder="1" applyAlignment="1">
      <alignment horizontal="center" vertical="center"/>
    </xf>
    <xf numFmtId="0" fontId="1" fillId="13" borderId="20" xfId="2" applyFont="1" applyFill="1" applyBorder="1" applyAlignment="1">
      <alignment horizontal="center" vertical="center"/>
    </xf>
    <xf numFmtId="0" fontId="1" fillId="13" borderId="19" xfId="2" applyFont="1" applyFill="1" applyBorder="1" applyAlignment="1">
      <alignment horizontal="center" vertical="center"/>
    </xf>
    <xf numFmtId="0" fontId="1" fillId="13" borderId="9" xfId="2" applyFont="1" applyFill="1" applyBorder="1" applyAlignment="1">
      <alignment horizontal="center" vertical="center"/>
    </xf>
    <xf numFmtId="0" fontId="1" fillId="13" borderId="29" xfId="2" applyFont="1" applyFill="1" applyBorder="1" applyAlignment="1">
      <alignment horizontal="center" vertical="center"/>
    </xf>
    <xf numFmtId="0" fontId="1" fillId="13" borderId="14" xfId="2" applyFont="1" applyFill="1" applyBorder="1" applyAlignment="1">
      <alignment horizontal="center" vertical="center"/>
    </xf>
    <xf numFmtId="0" fontId="1" fillId="13" borderId="10" xfId="2" applyFont="1" applyFill="1" applyBorder="1" applyAlignment="1">
      <alignment horizontal="center" vertical="center"/>
    </xf>
    <xf numFmtId="0" fontId="1" fillId="13" borderId="13" xfId="2" applyFont="1" applyFill="1" applyBorder="1" applyAlignment="1">
      <alignment horizontal="center" vertical="center"/>
    </xf>
    <xf numFmtId="0" fontId="1" fillId="13" borderId="76" xfId="2" applyFont="1" applyFill="1" applyBorder="1" applyAlignment="1">
      <alignment horizontal="center" vertical="center"/>
    </xf>
    <xf numFmtId="0" fontId="1" fillId="13" borderId="12" xfId="2" applyFont="1" applyFill="1" applyBorder="1" applyAlignment="1">
      <alignment horizontal="center" vertical="center"/>
    </xf>
    <xf numFmtId="0" fontId="1" fillId="13" borderId="7" xfId="2" applyFont="1" applyFill="1" applyBorder="1" applyAlignment="1">
      <alignment horizontal="center" vertical="center"/>
    </xf>
    <xf numFmtId="0" fontId="1" fillId="13" borderId="11" xfId="2" applyFont="1" applyFill="1" applyBorder="1" applyAlignment="1">
      <alignment horizontal="center" vertical="center"/>
    </xf>
    <xf numFmtId="0" fontId="1" fillId="21" borderId="32" xfId="2" applyFont="1" applyFill="1" applyBorder="1" applyAlignment="1">
      <alignment horizontal="center" vertical="center"/>
    </xf>
    <xf numFmtId="0" fontId="1" fillId="21" borderId="20" xfId="2" applyFont="1" applyFill="1" applyBorder="1" applyAlignment="1">
      <alignment horizontal="center" vertical="center"/>
    </xf>
    <xf numFmtId="0" fontId="1" fillId="21" borderId="19" xfId="2" applyFont="1" applyFill="1" applyBorder="1" applyAlignment="1">
      <alignment horizontal="center" vertical="center"/>
    </xf>
    <xf numFmtId="0" fontId="1" fillId="21" borderId="9" xfId="2" applyFont="1" applyFill="1" applyBorder="1" applyAlignment="1">
      <alignment horizontal="center" vertical="center"/>
    </xf>
    <xf numFmtId="0" fontId="1" fillId="21" borderId="29" xfId="2" applyFont="1" applyFill="1" applyBorder="1" applyAlignment="1">
      <alignment horizontal="center" vertical="center"/>
    </xf>
    <xf numFmtId="0" fontId="1" fillId="21" borderId="14" xfId="2" applyFont="1" applyFill="1" applyBorder="1" applyAlignment="1">
      <alignment horizontal="center" vertical="center"/>
    </xf>
    <xf numFmtId="0" fontId="1" fillId="21" borderId="10" xfId="2" applyFont="1" applyFill="1" applyBorder="1" applyAlignment="1">
      <alignment horizontal="center" vertical="center"/>
    </xf>
    <xf numFmtId="0" fontId="1" fillId="21" borderId="13" xfId="2" applyFont="1" applyFill="1" applyBorder="1" applyAlignment="1">
      <alignment horizontal="center" vertical="center"/>
    </xf>
    <xf numFmtId="0" fontId="1" fillId="21" borderId="76" xfId="2" applyFont="1" applyFill="1" applyBorder="1" applyAlignment="1">
      <alignment horizontal="center" vertical="center"/>
    </xf>
    <xf numFmtId="0" fontId="1" fillId="21" borderId="12" xfId="2" applyFont="1" applyFill="1" applyBorder="1" applyAlignment="1">
      <alignment horizontal="center" vertical="center"/>
    </xf>
    <xf numFmtId="0" fontId="1" fillId="21" borderId="7" xfId="2" applyFont="1" applyFill="1" applyBorder="1" applyAlignment="1">
      <alignment horizontal="center" vertical="center"/>
    </xf>
    <xf numFmtId="0" fontId="1" fillId="21" borderId="11" xfId="2" applyFont="1" applyFill="1" applyBorder="1" applyAlignment="1">
      <alignment horizontal="center" vertical="center"/>
    </xf>
    <xf numFmtId="0" fontId="1" fillId="8" borderId="32" xfId="2" applyFont="1" applyFill="1" applyBorder="1" applyAlignment="1">
      <alignment horizontal="center" vertical="center"/>
    </xf>
    <xf numFmtId="0" fontId="1" fillId="8" borderId="20" xfId="2" applyFont="1" applyFill="1" applyBorder="1" applyAlignment="1">
      <alignment horizontal="center" vertical="center"/>
    </xf>
    <xf numFmtId="0" fontId="1" fillId="8" borderId="19" xfId="2" applyFont="1" applyFill="1" applyBorder="1" applyAlignment="1">
      <alignment horizontal="center" vertical="center"/>
    </xf>
    <xf numFmtId="0" fontId="1" fillId="8" borderId="9" xfId="2" applyFont="1" applyFill="1" applyBorder="1" applyAlignment="1">
      <alignment horizontal="center" vertical="center"/>
    </xf>
    <xf numFmtId="0" fontId="1" fillId="8" borderId="29" xfId="2" applyFont="1" applyFill="1" applyBorder="1" applyAlignment="1">
      <alignment horizontal="center" vertical="center"/>
    </xf>
    <xf numFmtId="0" fontId="1" fillId="8" borderId="14" xfId="2" applyFont="1" applyFill="1" applyBorder="1" applyAlignment="1">
      <alignment horizontal="center" vertical="center"/>
    </xf>
    <xf numFmtId="0" fontId="1" fillId="8" borderId="10" xfId="2" applyFont="1" applyFill="1" applyBorder="1" applyAlignment="1">
      <alignment horizontal="center" vertical="center"/>
    </xf>
    <xf numFmtId="0" fontId="1" fillId="8" borderId="13" xfId="2" applyFont="1" applyFill="1" applyBorder="1" applyAlignment="1">
      <alignment horizontal="center" vertical="center"/>
    </xf>
    <xf numFmtId="0" fontId="1" fillId="8" borderId="76" xfId="2" applyFont="1" applyFill="1" applyBorder="1" applyAlignment="1">
      <alignment horizontal="center" vertical="center"/>
    </xf>
    <xf numFmtId="0" fontId="1" fillId="8" borderId="12" xfId="2" applyFont="1" applyFill="1" applyBorder="1" applyAlignment="1">
      <alignment horizontal="center" vertical="center"/>
    </xf>
    <xf numFmtId="0" fontId="1" fillId="8" borderId="7" xfId="2" applyFont="1" applyFill="1" applyBorder="1" applyAlignment="1">
      <alignment horizontal="center" vertical="center"/>
    </xf>
    <xf numFmtId="0" fontId="1" fillId="8" borderId="11" xfId="2" applyFont="1" applyFill="1" applyBorder="1" applyAlignment="1">
      <alignment horizontal="center" vertical="center"/>
    </xf>
    <xf numFmtId="0" fontId="1" fillId="20" borderId="32" xfId="2" applyFont="1" applyFill="1" applyBorder="1" applyAlignment="1">
      <alignment horizontal="center" vertical="center"/>
    </xf>
    <xf numFmtId="0" fontId="1" fillId="20" borderId="20" xfId="2" applyFont="1" applyFill="1" applyBorder="1" applyAlignment="1">
      <alignment horizontal="center" vertical="center"/>
    </xf>
    <xf numFmtId="0" fontId="1" fillId="20" borderId="19" xfId="2" applyFont="1" applyFill="1" applyBorder="1" applyAlignment="1">
      <alignment horizontal="center" vertical="center"/>
    </xf>
    <xf numFmtId="0" fontId="1" fillId="20" borderId="9" xfId="2" applyFont="1" applyFill="1" applyBorder="1" applyAlignment="1">
      <alignment horizontal="center" vertical="center"/>
    </xf>
    <xf numFmtId="0" fontId="1" fillId="20" borderId="29" xfId="2" applyFont="1" applyFill="1" applyBorder="1" applyAlignment="1">
      <alignment horizontal="center" vertical="center"/>
    </xf>
    <xf numFmtId="0" fontId="1" fillId="20" borderId="14" xfId="2" applyFont="1" applyFill="1" applyBorder="1" applyAlignment="1">
      <alignment horizontal="center" vertical="center"/>
    </xf>
    <xf numFmtId="0" fontId="1" fillId="20" borderId="10" xfId="2" applyFont="1" applyFill="1" applyBorder="1" applyAlignment="1">
      <alignment horizontal="center" vertical="center"/>
    </xf>
    <xf numFmtId="0" fontId="1" fillId="20" borderId="13" xfId="2" applyFont="1" applyFill="1" applyBorder="1" applyAlignment="1">
      <alignment horizontal="center" vertical="center"/>
    </xf>
    <xf numFmtId="0" fontId="1" fillId="20" borderId="76" xfId="2" applyFont="1" applyFill="1" applyBorder="1" applyAlignment="1">
      <alignment horizontal="center" vertical="center"/>
    </xf>
    <xf numFmtId="0" fontId="1" fillId="20" borderId="12" xfId="2" applyFont="1" applyFill="1" applyBorder="1" applyAlignment="1">
      <alignment horizontal="center" vertical="center"/>
    </xf>
    <xf numFmtId="0" fontId="1" fillId="20" borderId="7" xfId="2" applyFont="1" applyFill="1" applyBorder="1" applyAlignment="1">
      <alignment horizontal="center" vertical="center"/>
    </xf>
    <xf numFmtId="0" fontId="1" fillId="20" borderId="11" xfId="2" applyFont="1" applyFill="1" applyBorder="1" applyAlignment="1">
      <alignment horizontal="center" vertical="center"/>
    </xf>
    <xf numFmtId="0" fontId="1" fillId="14" borderId="5" xfId="2" applyFont="1" applyFill="1" applyBorder="1" applyAlignment="1">
      <alignment horizontal="center" vertical="center"/>
    </xf>
    <xf numFmtId="0" fontId="1" fillId="19" borderId="32" xfId="2" applyFont="1" applyFill="1" applyBorder="1" applyAlignment="1">
      <alignment horizontal="center" vertical="center"/>
    </xf>
    <xf numFmtId="0" fontId="1" fillId="19" borderId="77" xfId="2" applyFont="1" applyFill="1" applyBorder="1" applyAlignment="1">
      <alignment horizontal="center" vertical="center"/>
    </xf>
    <xf numFmtId="0" fontId="1" fillId="19" borderId="16" xfId="2" applyFont="1" applyFill="1" applyBorder="1" applyAlignment="1">
      <alignment horizontal="center" vertical="center"/>
    </xf>
    <xf numFmtId="0" fontId="1" fillId="19" borderId="33" xfId="2" applyFont="1" applyFill="1" applyBorder="1" applyAlignment="1">
      <alignment horizontal="center" vertical="center"/>
    </xf>
    <xf numFmtId="0" fontId="1" fillId="19" borderId="29" xfId="2" applyFont="1" applyFill="1" applyBorder="1" applyAlignment="1">
      <alignment horizontal="center" vertical="center"/>
    </xf>
    <xf numFmtId="0" fontId="1" fillId="19" borderId="30" xfId="2" applyFont="1" applyFill="1" applyBorder="1" applyAlignment="1">
      <alignment horizontal="center" vertical="center"/>
    </xf>
    <xf numFmtId="0" fontId="1" fillId="19" borderId="10" xfId="2" applyFont="1" applyFill="1" applyBorder="1" applyAlignment="1">
      <alignment horizontal="center" vertical="center"/>
    </xf>
    <xf numFmtId="0" fontId="1" fillId="19" borderId="13" xfId="2" applyFont="1" applyFill="1" applyBorder="1" applyAlignment="1">
      <alignment horizontal="center" vertical="center"/>
    </xf>
    <xf numFmtId="0" fontId="1" fillId="19" borderId="76" xfId="2" applyFont="1" applyFill="1" applyBorder="1" applyAlignment="1">
      <alignment horizontal="center" vertical="center"/>
    </xf>
    <xf numFmtId="0" fontId="1" fillId="19" borderId="28" xfId="2" applyFont="1" applyFill="1" applyBorder="1" applyAlignment="1">
      <alignment horizontal="center" vertical="center"/>
    </xf>
    <xf numFmtId="0" fontId="1" fillId="19" borderId="7" xfId="2" applyFont="1" applyFill="1" applyBorder="1" applyAlignment="1">
      <alignment horizontal="center" vertical="center"/>
    </xf>
    <xf numFmtId="0" fontId="1" fillId="19" borderId="11" xfId="2" applyFont="1" applyFill="1" applyBorder="1" applyAlignment="1">
      <alignment horizontal="center" vertical="center"/>
    </xf>
    <xf numFmtId="0" fontId="12" fillId="12" borderId="28" xfId="2" applyFont="1" applyFill="1" applyBorder="1" applyAlignment="1">
      <alignment horizontal="center" vertical="center" wrapText="1"/>
    </xf>
    <xf numFmtId="0" fontId="1" fillId="14" borderId="24" xfId="2" applyFont="1" applyFill="1" applyBorder="1" applyAlignment="1">
      <alignment horizontal="center" vertical="center"/>
    </xf>
    <xf numFmtId="0" fontId="18" fillId="14" borderId="24" xfId="2" applyFont="1" applyFill="1" applyBorder="1" applyAlignment="1">
      <alignment horizontal="center" vertical="center" textRotation="90"/>
    </xf>
    <xf numFmtId="0" fontId="18" fillId="14" borderId="4" xfId="2" applyFont="1" applyFill="1" applyBorder="1" applyAlignment="1">
      <alignment horizontal="center" vertical="center" textRotation="90"/>
    </xf>
    <xf numFmtId="0" fontId="16" fillId="0" borderId="73" xfId="0" applyFont="1" applyBorder="1" applyAlignment="1">
      <alignment wrapText="1"/>
    </xf>
    <xf numFmtId="0" fontId="16" fillId="0" borderId="74" xfId="0" applyFont="1" applyBorder="1" applyAlignment="1">
      <alignment wrapText="1"/>
    </xf>
    <xf numFmtId="0" fontId="16" fillId="0" borderId="75" xfId="0" applyFont="1" applyBorder="1" applyAlignment="1">
      <alignment wrapText="1"/>
    </xf>
    <xf numFmtId="0" fontId="16" fillId="30" borderId="25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textRotation="75" wrapText="1"/>
    </xf>
    <xf numFmtId="0" fontId="12" fillId="0" borderId="0" xfId="2" applyFont="1" applyBorder="1" applyAlignment="1">
      <alignment horizontal="left"/>
    </xf>
    <xf numFmtId="10" fontId="0" fillId="0" borderId="0" xfId="0" applyNumberFormat="1"/>
    <xf numFmtId="10" fontId="8" fillId="0" borderId="0" xfId="1" applyNumberFormat="1"/>
    <xf numFmtId="0" fontId="11" fillId="10" borderId="4" xfId="1" applyFont="1" applyFill="1" applyBorder="1" applyAlignment="1">
      <alignment horizontal="center" vertical="center"/>
    </xf>
    <xf numFmtId="0" fontId="11" fillId="10" borderId="24" xfId="1" applyFont="1" applyFill="1" applyBorder="1" applyAlignment="1">
      <alignment horizontal="center" vertical="center"/>
    </xf>
    <xf numFmtId="0" fontId="11" fillId="10" borderId="3" xfId="1" applyFont="1" applyFill="1" applyBorder="1" applyAlignment="1">
      <alignment horizontal="center" vertical="center"/>
    </xf>
    <xf numFmtId="0" fontId="11" fillId="10" borderId="8" xfId="1" applyFont="1" applyFill="1" applyBorder="1" applyAlignment="1">
      <alignment horizontal="center" vertical="center"/>
    </xf>
    <xf numFmtId="0" fontId="11" fillId="10" borderId="0" xfId="1" applyFont="1" applyFill="1" applyBorder="1" applyAlignment="1">
      <alignment horizontal="center" vertical="center"/>
    </xf>
    <xf numFmtId="0" fontId="11" fillId="10" borderId="34" xfId="1" applyFont="1" applyFill="1" applyBorder="1" applyAlignment="1">
      <alignment horizontal="center" vertical="center"/>
    </xf>
    <xf numFmtId="0" fontId="11" fillId="10" borderId="18" xfId="1" applyFont="1" applyFill="1" applyBorder="1" applyAlignment="1">
      <alignment horizontal="center" vertical="center"/>
    </xf>
    <xf numFmtId="0" fontId="11" fillId="10" borderId="21" xfId="1" applyFont="1" applyFill="1" applyBorder="1" applyAlignment="1">
      <alignment horizontal="center" vertical="center"/>
    </xf>
    <xf numFmtId="0" fontId="11" fillId="10" borderId="22" xfId="1" applyFont="1" applyFill="1" applyBorder="1" applyAlignment="1">
      <alignment horizontal="center" vertical="center"/>
    </xf>
    <xf numFmtId="0" fontId="2" fillId="27" borderId="25" xfId="1" applyFont="1" applyFill="1" applyBorder="1" applyAlignment="1">
      <alignment horizontal="center" vertical="center"/>
    </xf>
    <xf numFmtId="0" fontId="2" fillId="27" borderId="23" xfId="1" applyFont="1" applyFill="1" applyBorder="1" applyAlignment="1">
      <alignment horizontal="center" vertical="center"/>
    </xf>
    <xf numFmtId="0" fontId="2" fillId="27" borderId="26" xfId="1" applyFont="1" applyFill="1" applyBorder="1" applyAlignment="1">
      <alignment horizontal="center" vertical="center"/>
    </xf>
    <xf numFmtId="0" fontId="1" fillId="10" borderId="51" xfId="1" applyNumberFormat="1" applyFont="1" applyFill="1" applyBorder="1" applyAlignment="1">
      <alignment horizontal="center" vertical="center"/>
    </xf>
    <xf numFmtId="0" fontId="1" fillId="10" borderId="26" xfId="1" applyNumberFormat="1" applyFont="1" applyFill="1" applyBorder="1" applyAlignment="1">
      <alignment horizontal="center" vertical="center"/>
    </xf>
    <xf numFmtId="0" fontId="1" fillId="10" borderId="48" xfId="1" applyFont="1" applyFill="1" applyBorder="1" applyAlignment="1">
      <alignment horizontal="center" vertical="center"/>
    </xf>
    <xf numFmtId="0" fontId="1" fillId="10" borderId="52" xfId="1" applyFont="1" applyFill="1" applyBorder="1" applyAlignment="1">
      <alignment horizontal="center" vertical="center"/>
    </xf>
    <xf numFmtId="9" fontId="1" fillId="10" borderId="53" xfId="1" applyNumberFormat="1" applyFont="1" applyFill="1" applyBorder="1" applyAlignment="1">
      <alignment horizontal="center" vertical="center"/>
    </xf>
    <xf numFmtId="0" fontId="1" fillId="10" borderId="54" xfId="1" applyFont="1" applyFill="1" applyBorder="1" applyAlignment="1">
      <alignment horizontal="center" vertical="center"/>
    </xf>
    <xf numFmtId="0" fontId="1" fillId="10" borderId="61" xfId="1" applyNumberFormat="1" applyFont="1" applyFill="1" applyBorder="1" applyAlignment="1">
      <alignment horizontal="center" vertical="center"/>
    </xf>
    <xf numFmtId="0" fontId="1" fillId="10" borderId="62" xfId="1" applyNumberFormat="1" applyFont="1" applyFill="1" applyBorder="1" applyAlignment="1">
      <alignment horizontal="center" vertical="center"/>
    </xf>
    <xf numFmtId="0" fontId="1" fillId="10" borderId="53" xfId="1" applyFont="1" applyFill="1" applyBorder="1" applyAlignment="1">
      <alignment horizontal="center" vertical="center"/>
    </xf>
    <xf numFmtId="0" fontId="1" fillId="10" borderId="55" xfId="1" applyNumberFormat="1" applyFont="1" applyFill="1" applyBorder="1" applyAlignment="1">
      <alignment horizontal="center" vertical="center"/>
    </xf>
    <xf numFmtId="0" fontId="1" fillId="10" borderId="56" xfId="1" applyNumberFormat="1" applyFont="1" applyFill="1" applyBorder="1" applyAlignment="1">
      <alignment horizontal="center" vertical="center"/>
    </xf>
    <xf numFmtId="0" fontId="1" fillId="8" borderId="51" xfId="1" applyFont="1" applyFill="1" applyBorder="1" applyAlignment="1">
      <alignment horizontal="center" vertical="center"/>
    </xf>
    <xf numFmtId="0" fontId="8" fillId="8" borderId="23" xfId="1" applyFill="1" applyBorder="1" applyAlignment="1">
      <alignment horizontal="center" vertical="center"/>
    </xf>
    <xf numFmtId="0" fontId="8" fillId="8" borderId="26" xfId="1" applyFill="1" applyBorder="1" applyAlignment="1">
      <alignment horizontal="center" vertical="center"/>
    </xf>
    <xf numFmtId="0" fontId="1" fillId="8" borderId="60" xfId="1" applyFont="1" applyFill="1" applyBorder="1" applyAlignment="1">
      <alignment horizontal="center" vertical="center"/>
    </xf>
    <xf numFmtId="0" fontId="8" fillId="8" borderId="60" xfId="1" applyFill="1" applyBorder="1" applyAlignment="1">
      <alignment horizontal="center" vertical="center"/>
    </xf>
    <xf numFmtId="0" fontId="1" fillId="8" borderId="25" xfId="1" applyFont="1" applyFill="1" applyBorder="1" applyAlignment="1">
      <alignment horizontal="center" vertical="center"/>
    </xf>
    <xf numFmtId="0" fontId="1" fillId="8" borderId="23" xfId="1" applyFont="1" applyFill="1" applyBorder="1" applyAlignment="1">
      <alignment horizontal="center" vertical="center"/>
    </xf>
    <xf numFmtId="0" fontId="1" fillId="8" borderId="26" xfId="1" applyFont="1" applyFill="1" applyBorder="1" applyAlignment="1">
      <alignment horizontal="center" vertical="center"/>
    </xf>
    <xf numFmtId="9" fontId="1" fillId="10" borderId="48" xfId="1" applyNumberFormat="1" applyFont="1" applyFill="1" applyBorder="1" applyAlignment="1">
      <alignment horizontal="center" vertical="center"/>
    </xf>
    <xf numFmtId="0" fontId="1" fillId="10" borderId="57" xfId="1" applyFont="1" applyFill="1" applyBorder="1" applyAlignment="1">
      <alignment horizontal="center" vertical="center"/>
    </xf>
    <xf numFmtId="0" fontId="1" fillId="10" borderId="58" xfId="1" applyFont="1" applyFill="1" applyBorder="1" applyAlignment="1">
      <alignment horizontal="center" vertical="center"/>
    </xf>
    <xf numFmtId="9" fontId="1" fillId="10" borderId="54" xfId="1" applyNumberFormat="1" applyFont="1" applyFill="1" applyBorder="1" applyAlignment="1">
      <alignment horizontal="center" vertical="center"/>
    </xf>
    <xf numFmtId="0" fontId="1" fillId="10" borderId="59" xfId="1" applyFont="1" applyFill="1" applyBorder="1" applyAlignment="1">
      <alignment horizontal="center" vertical="center"/>
    </xf>
    <xf numFmtId="0" fontId="2" fillId="27" borderId="63" xfId="0" applyFont="1" applyFill="1" applyBorder="1" applyAlignment="1">
      <alignment horizontal="center" vertical="center"/>
    </xf>
    <xf numFmtId="0" fontId="2" fillId="27" borderId="64" xfId="0" applyFont="1" applyFill="1" applyBorder="1" applyAlignment="1">
      <alignment horizontal="center" vertical="center"/>
    </xf>
    <xf numFmtId="0" fontId="2" fillId="27" borderId="68" xfId="0" applyFont="1" applyFill="1" applyBorder="1" applyAlignment="1">
      <alignment horizontal="center" vertical="center"/>
    </xf>
    <xf numFmtId="0" fontId="1" fillId="8" borderId="48" xfId="1" applyFont="1" applyFill="1" applyBorder="1" applyAlignment="1">
      <alignment horizontal="center" vertical="center"/>
    </xf>
    <xf numFmtId="0" fontId="8" fillId="8" borderId="52" xfId="1" applyFill="1" applyBorder="1" applyAlignment="1">
      <alignment horizontal="center" vertical="center"/>
    </xf>
    <xf numFmtId="0" fontId="1" fillId="8" borderId="61" xfId="1" applyFont="1" applyFill="1" applyBorder="1" applyAlignment="1">
      <alignment horizontal="center" vertical="center" wrapText="1"/>
    </xf>
    <xf numFmtId="0" fontId="8" fillId="8" borderId="65" xfId="1" applyFill="1" applyBorder="1" applyAlignment="1">
      <alignment horizontal="center" vertical="center" wrapText="1"/>
    </xf>
    <xf numFmtId="0" fontId="8" fillId="8" borderId="66" xfId="1" applyFill="1" applyBorder="1" applyAlignment="1">
      <alignment horizontal="center" vertical="center" wrapText="1"/>
    </xf>
    <xf numFmtId="0" fontId="1" fillId="10" borderId="53" xfId="1" applyNumberFormat="1" applyFont="1" applyFill="1" applyBorder="1" applyAlignment="1">
      <alignment horizontal="center" vertical="center"/>
    </xf>
    <xf numFmtId="0" fontId="1" fillId="10" borderId="59" xfId="1" applyNumberFormat="1" applyFont="1" applyFill="1" applyBorder="1" applyAlignment="1">
      <alignment horizontal="center" vertical="center"/>
    </xf>
    <xf numFmtId="0" fontId="1" fillId="10" borderId="18" xfId="1" applyFont="1" applyFill="1" applyBorder="1" applyAlignment="1">
      <alignment horizontal="center" vertical="center"/>
    </xf>
    <xf numFmtId="0" fontId="1" fillId="10" borderId="21" xfId="1" applyFont="1" applyFill="1" applyBorder="1" applyAlignment="1">
      <alignment horizontal="center" vertical="center"/>
    </xf>
    <xf numFmtId="0" fontId="1" fillId="10" borderId="22" xfId="1" applyFont="1" applyFill="1" applyBorder="1" applyAlignment="1">
      <alignment horizontal="center" vertical="center"/>
    </xf>
    <xf numFmtId="0" fontId="8" fillId="8" borderId="48" xfId="1" applyFill="1" applyBorder="1" applyAlignment="1">
      <alignment horizontal="center" vertical="center"/>
    </xf>
    <xf numFmtId="0" fontId="2" fillId="27" borderId="63" xfId="1" applyFont="1" applyFill="1" applyBorder="1" applyAlignment="1">
      <alignment horizontal="center" vertical="center"/>
    </xf>
    <xf numFmtId="0" fontId="2" fillId="27" borderId="64" xfId="1" applyFont="1" applyFill="1" applyBorder="1" applyAlignment="1">
      <alignment horizontal="center" vertical="center"/>
    </xf>
    <xf numFmtId="0" fontId="2" fillId="27" borderId="58" xfId="1" applyFont="1" applyFill="1" applyBorder="1" applyAlignment="1">
      <alignment horizontal="center" vertical="center"/>
    </xf>
    <xf numFmtId="0" fontId="1" fillId="8" borderId="18" xfId="1" applyFont="1" applyFill="1" applyBorder="1" applyAlignment="1">
      <alignment horizontal="center" vertical="center"/>
    </xf>
    <xf numFmtId="0" fontId="8" fillId="8" borderId="21" xfId="1" applyFill="1" applyBorder="1" applyAlignment="1">
      <alignment horizontal="center" vertical="center"/>
    </xf>
    <xf numFmtId="0" fontId="8" fillId="8" borderId="22" xfId="1" applyFill="1" applyBorder="1" applyAlignment="1">
      <alignment horizontal="center" vertical="center"/>
    </xf>
    <xf numFmtId="0" fontId="8" fillId="8" borderId="51" xfId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60" xfId="0" applyFill="1" applyBorder="1" applyAlignment="1">
      <alignment horizontal="center" vertical="center"/>
    </xf>
    <xf numFmtId="0" fontId="0" fillId="8" borderId="5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7" fillId="28" borderId="4" xfId="0" applyFont="1" applyFill="1" applyBorder="1" applyAlignment="1">
      <alignment horizontal="center" vertical="center"/>
    </xf>
    <xf numFmtId="0" fontId="0" fillId="28" borderId="24" xfId="0" applyFill="1" applyBorder="1" applyAlignment="1">
      <alignment horizontal="center" vertical="center"/>
    </xf>
    <xf numFmtId="0" fontId="0" fillId="28" borderId="3" xfId="0" applyFill="1" applyBorder="1" applyAlignment="1">
      <alignment horizontal="center" vertical="center"/>
    </xf>
    <xf numFmtId="0" fontId="0" fillId="28" borderId="8" xfId="0" applyFill="1" applyBorder="1" applyAlignment="1">
      <alignment horizontal="center" vertical="center"/>
    </xf>
    <xf numFmtId="0" fontId="0" fillId="28" borderId="0" xfId="0" applyFill="1" applyBorder="1" applyAlignment="1">
      <alignment horizontal="center" vertical="center"/>
    </xf>
    <xf numFmtId="0" fontId="0" fillId="28" borderId="34" xfId="0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28" borderId="21" xfId="0" applyFill="1" applyBorder="1" applyAlignment="1">
      <alignment horizontal="center" vertical="center"/>
    </xf>
    <xf numFmtId="0" fontId="0" fillId="28" borderId="22" xfId="0" applyFill="1" applyBorder="1" applyAlignment="1">
      <alignment horizontal="center" vertical="center"/>
    </xf>
    <xf numFmtId="0" fontId="1" fillId="29" borderId="67" xfId="0" applyFont="1" applyFill="1" applyBorder="1" applyAlignment="1">
      <alignment horizontal="center" vertical="center"/>
    </xf>
    <xf numFmtId="0" fontId="1" fillId="29" borderId="64" xfId="0" applyFont="1" applyFill="1" applyBorder="1" applyAlignment="1">
      <alignment horizontal="center" vertical="center"/>
    </xf>
    <xf numFmtId="0" fontId="1" fillId="29" borderId="68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8" fillId="8" borderId="24" xfId="1" applyFill="1" applyBorder="1" applyAlignment="1">
      <alignment horizontal="center" vertical="center" wrapText="1"/>
    </xf>
    <xf numFmtId="0" fontId="8" fillId="8" borderId="69" xfId="1" applyFill="1" applyBorder="1" applyAlignment="1">
      <alignment horizontal="center" vertical="center" wrapText="1"/>
    </xf>
    <xf numFmtId="9" fontId="1" fillId="10" borderId="25" xfId="1" applyNumberFormat="1" applyFont="1" applyFill="1" applyBorder="1" applyAlignment="1">
      <alignment horizontal="center" vertical="center"/>
    </xf>
    <xf numFmtId="0" fontId="1" fillId="10" borderId="26" xfId="1" applyFont="1" applyFill="1" applyBorder="1" applyAlignment="1">
      <alignment horizontal="center" vertical="center"/>
    </xf>
  </cellXfs>
  <cellStyles count="3">
    <cellStyle name="Normal" xfId="0" builtinId="0"/>
    <cellStyle name="Normal 2" xfId="1"/>
    <cellStyle name="Normal 2 2" xfId="2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checked="Checked" firstButton="1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Radio" checked="Checked" firstButton="1" lockText="1" noThreeD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10</xdr:row>
          <xdr:rowOff>19050</xdr:rowOff>
        </xdr:from>
        <xdr:to>
          <xdr:col>10</xdr:col>
          <xdr:colOff>314325</xdr:colOff>
          <xdr:row>10</xdr:row>
          <xdr:rowOff>238125</xdr:rowOff>
        </xdr:to>
        <xdr:sp macro="" textlink="">
          <xdr:nvSpPr>
            <xdr:cNvPr id="16385" name="Option 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Validate Waypoints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12</xdr:row>
          <xdr:rowOff>28575</xdr:rowOff>
        </xdr:from>
        <xdr:to>
          <xdr:col>6</xdr:col>
          <xdr:colOff>381000</xdr:colOff>
          <xdr:row>14</xdr:row>
          <xdr:rowOff>161925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9</xdr:row>
          <xdr:rowOff>104775</xdr:rowOff>
        </xdr:from>
        <xdr:to>
          <xdr:col>13</xdr:col>
          <xdr:colOff>285750</xdr:colOff>
          <xdr:row>11</xdr:row>
          <xdr:rowOff>85725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difficulty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10</xdr:row>
          <xdr:rowOff>19050</xdr:rowOff>
        </xdr:from>
        <xdr:to>
          <xdr:col>10</xdr:col>
          <xdr:colOff>323850</xdr:colOff>
          <xdr:row>11</xdr:row>
          <xdr:rowOff>38100</xdr:rowOff>
        </xdr:to>
        <xdr:sp macro="" textlink="">
          <xdr:nvSpPr>
            <xdr:cNvPr id="17409" name="Option 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Validate Waypoints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28575</xdr:rowOff>
        </xdr:from>
        <xdr:to>
          <xdr:col>7</xdr:col>
          <xdr:colOff>0</xdr:colOff>
          <xdr:row>14</xdr:row>
          <xdr:rowOff>161925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10</xdr:row>
          <xdr:rowOff>19050</xdr:rowOff>
        </xdr:from>
        <xdr:to>
          <xdr:col>10</xdr:col>
          <xdr:colOff>314325</xdr:colOff>
          <xdr:row>10</xdr:row>
          <xdr:rowOff>238125</xdr:rowOff>
        </xdr:to>
        <xdr:sp macro="" textlink="">
          <xdr:nvSpPr>
            <xdr:cNvPr id="20481" name="Option 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Validate Waypoints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12</xdr:row>
          <xdr:rowOff>9525</xdr:rowOff>
        </xdr:from>
        <xdr:to>
          <xdr:col>6</xdr:col>
          <xdr:colOff>381000</xdr:colOff>
          <xdr:row>14</xdr:row>
          <xdr:rowOff>152400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F175"/>
  <sheetViews>
    <sheetView tabSelected="1" zoomScale="84" zoomScaleNormal="84" workbookViewId="0">
      <selection activeCell="P5" sqref="P5"/>
    </sheetView>
  </sheetViews>
  <sheetFormatPr defaultColWidth="11.375" defaultRowHeight="12.75" x14ac:dyDescent="0.2"/>
  <cols>
    <col min="1" max="12" width="5.75" style="50" customWidth="1" collapsed="1"/>
    <col min="13" max="13" width="5.375" style="50" customWidth="1" collapsed="1"/>
    <col min="14" max="14" width="4.25" style="50" customWidth="1" collapsed="1"/>
    <col min="15" max="16" width="3.75" style="50" customWidth="1" collapsed="1"/>
    <col min="17" max="17" width="25.25" style="50" customWidth="1" collapsed="1"/>
    <col min="18" max="19" width="3" style="50" customWidth="1" collapsed="1"/>
    <col min="20" max="20" width="11.875" style="166" customWidth="1" collapsed="1"/>
    <col min="21" max="22" width="3.375" style="50" customWidth="1" collapsed="1"/>
    <col min="23" max="23" width="10.375" style="50" customWidth="1" collapsed="1"/>
    <col min="24" max="25" width="3.625" style="50" customWidth="1" collapsed="1"/>
    <col min="26" max="26" width="9.25" style="50" customWidth="1" collapsed="1"/>
    <col min="27" max="28" width="3.25" style="50" customWidth="1" collapsed="1"/>
    <col min="29" max="29" width="8.625" style="50" customWidth="1" collapsed="1"/>
    <col min="30" max="31" width="3.25" style="50" customWidth="1" collapsed="1"/>
    <col min="32" max="32" width="9.625" style="50" customWidth="1" collapsed="1"/>
    <col min="33" max="33" width="5.75" style="50" customWidth="1" collapsed="1"/>
    <col min="34" max="16384" width="11.375" style="50" collapsed="1"/>
  </cols>
  <sheetData>
    <row r="1" spans="1:32" ht="26.25" customHeight="1" thickBot="1" x14ac:dyDescent="0.25">
      <c r="A1" s="206"/>
      <c r="B1" s="193"/>
      <c r="C1" s="193">
        <v>1</v>
      </c>
      <c r="D1" s="171"/>
      <c r="E1" s="171"/>
      <c r="F1" s="207"/>
      <c r="G1" s="193"/>
      <c r="H1" s="193"/>
      <c r="I1" s="193"/>
      <c r="J1" s="193">
        <v>8</v>
      </c>
      <c r="K1" s="171"/>
      <c r="L1" s="194"/>
      <c r="N1" s="105">
        <v>6</v>
      </c>
      <c r="O1" s="106" t="s">
        <v>143</v>
      </c>
      <c r="P1" s="107" t="s">
        <v>144</v>
      </c>
      <c r="Q1" s="108" t="s">
        <v>145</v>
      </c>
      <c r="R1" s="109" t="s">
        <v>143</v>
      </c>
      <c r="S1" s="110" t="s">
        <v>144</v>
      </c>
      <c r="T1" s="111" t="s">
        <v>146</v>
      </c>
      <c r="U1" s="109" t="s">
        <v>143</v>
      </c>
      <c r="V1" s="110" t="s">
        <v>144</v>
      </c>
      <c r="W1" s="111" t="s">
        <v>147</v>
      </c>
      <c r="X1" s="109" t="s">
        <v>143</v>
      </c>
      <c r="Y1" s="110" t="s">
        <v>144</v>
      </c>
      <c r="Z1" s="111" t="s">
        <v>148</v>
      </c>
      <c r="AA1" s="109" t="s">
        <v>143</v>
      </c>
      <c r="AB1" s="110" t="s">
        <v>144</v>
      </c>
      <c r="AC1" s="111" t="s">
        <v>149</v>
      </c>
      <c r="AD1" s="109" t="s">
        <v>143</v>
      </c>
      <c r="AE1" s="110" t="s">
        <v>144</v>
      </c>
      <c r="AF1" s="111" t="s">
        <v>150</v>
      </c>
    </row>
    <row r="2" spans="1:32" ht="30" customHeight="1" x14ac:dyDescent="0.2">
      <c r="A2" s="173"/>
      <c r="B2" s="194"/>
      <c r="C2" s="193"/>
      <c r="D2" s="194"/>
      <c r="E2" s="194"/>
      <c r="F2" s="194"/>
      <c r="G2" s="194"/>
      <c r="H2" s="194"/>
      <c r="I2" s="173"/>
      <c r="J2" s="193"/>
      <c r="K2" s="194"/>
      <c r="L2" s="194"/>
      <c r="O2" s="112">
        <v>2</v>
      </c>
      <c r="P2" s="113">
        <v>6</v>
      </c>
      <c r="Q2" s="114" t="s">
        <v>15</v>
      </c>
      <c r="R2" s="115">
        <v>3</v>
      </c>
      <c r="S2" s="116">
        <v>3</v>
      </c>
      <c r="T2" s="117" t="s">
        <v>72</v>
      </c>
      <c r="U2" s="118">
        <v>5</v>
      </c>
      <c r="V2" s="119">
        <v>2</v>
      </c>
      <c r="W2" s="120" t="s">
        <v>74</v>
      </c>
      <c r="X2" s="121">
        <v>2</v>
      </c>
      <c r="Y2" s="122">
        <v>2</v>
      </c>
      <c r="Z2" s="123" t="s">
        <v>12</v>
      </c>
      <c r="AA2" s="124">
        <v>2</v>
      </c>
      <c r="AB2" s="125">
        <v>2</v>
      </c>
      <c r="AC2" s="126" t="s">
        <v>12</v>
      </c>
      <c r="AD2" s="127">
        <v>2</v>
      </c>
      <c r="AE2" s="128">
        <v>2</v>
      </c>
      <c r="AF2" s="129" t="s">
        <v>12</v>
      </c>
    </row>
    <row r="3" spans="1:32" ht="30" customHeight="1" x14ac:dyDescent="0.2">
      <c r="A3" s="194"/>
      <c r="B3" s="194"/>
      <c r="C3" s="193"/>
      <c r="D3" s="172"/>
      <c r="E3" s="193">
        <v>5</v>
      </c>
      <c r="F3" s="193"/>
      <c r="G3" s="193">
        <v>4</v>
      </c>
      <c r="H3" s="194"/>
      <c r="I3" s="194"/>
      <c r="J3" s="193"/>
      <c r="K3" s="194"/>
      <c r="L3" s="194"/>
      <c r="N3" s="49"/>
      <c r="O3" s="130">
        <v>9</v>
      </c>
      <c r="P3" s="131">
        <v>3</v>
      </c>
      <c r="Q3" s="132" t="s">
        <v>79</v>
      </c>
      <c r="R3" s="133">
        <v>6</v>
      </c>
      <c r="S3" s="134">
        <v>6</v>
      </c>
      <c r="T3" s="135" t="s">
        <v>84</v>
      </c>
      <c r="U3" s="136">
        <v>3</v>
      </c>
      <c r="V3" s="137">
        <v>3</v>
      </c>
      <c r="W3" s="138" t="s">
        <v>74</v>
      </c>
      <c r="X3" s="139">
        <v>3</v>
      </c>
      <c r="Y3" s="140">
        <v>3</v>
      </c>
      <c r="Z3" s="141" t="s">
        <v>74</v>
      </c>
      <c r="AA3" s="142">
        <v>5</v>
      </c>
      <c r="AB3" s="143">
        <v>5</v>
      </c>
      <c r="AC3" s="144" t="s">
        <v>73</v>
      </c>
      <c r="AD3" s="145">
        <v>6</v>
      </c>
      <c r="AE3" s="146">
        <v>6</v>
      </c>
      <c r="AF3" s="147" t="s">
        <v>72</v>
      </c>
    </row>
    <row r="4" spans="1:32" ht="30" customHeight="1" x14ac:dyDescent="0.2">
      <c r="A4" s="194"/>
      <c r="B4" s="194"/>
      <c r="C4" s="193"/>
      <c r="D4" s="173"/>
      <c r="E4" s="193"/>
      <c r="F4" s="172"/>
      <c r="G4" s="193"/>
      <c r="H4" s="173"/>
      <c r="I4" s="194"/>
      <c r="J4" s="193"/>
      <c r="K4" s="173"/>
      <c r="L4" s="194"/>
      <c r="N4" s="49"/>
      <c r="O4" s="130">
        <v>5</v>
      </c>
      <c r="P4" s="131">
        <v>19</v>
      </c>
      <c r="Q4" s="132" t="s">
        <v>80</v>
      </c>
      <c r="R4" s="133">
        <v>4</v>
      </c>
      <c r="S4" s="134">
        <v>4</v>
      </c>
      <c r="T4" s="135" t="s">
        <v>85</v>
      </c>
      <c r="U4" s="136">
        <v>1</v>
      </c>
      <c r="V4" s="137">
        <v>1</v>
      </c>
      <c r="W4" s="138" t="s">
        <v>12</v>
      </c>
      <c r="X4" s="139">
        <v>2</v>
      </c>
      <c r="Y4" s="140">
        <v>2</v>
      </c>
      <c r="Z4" s="141" t="s">
        <v>82</v>
      </c>
      <c r="AA4" s="142">
        <v>4</v>
      </c>
      <c r="AB4" s="143">
        <v>4</v>
      </c>
      <c r="AC4" s="144" t="s">
        <v>13</v>
      </c>
      <c r="AD4" s="145">
        <v>1</v>
      </c>
      <c r="AE4" s="146">
        <v>6</v>
      </c>
      <c r="AF4" s="147" t="s">
        <v>74</v>
      </c>
    </row>
    <row r="5" spans="1:32" ht="30" customHeight="1" x14ac:dyDescent="0.2">
      <c r="A5" s="194"/>
      <c r="B5" s="194"/>
      <c r="C5" s="193"/>
      <c r="D5" s="194"/>
      <c r="E5" s="193"/>
      <c r="F5" s="172"/>
      <c r="G5" s="193"/>
      <c r="H5" s="194"/>
      <c r="I5" s="194"/>
      <c r="J5" s="193"/>
      <c r="K5" s="194"/>
      <c r="L5" s="194"/>
      <c r="N5" s="49"/>
      <c r="O5" s="130">
        <v>9</v>
      </c>
      <c r="P5" s="131">
        <v>1</v>
      </c>
      <c r="Q5" s="132" t="s">
        <v>13</v>
      </c>
      <c r="R5" s="133">
        <v>6</v>
      </c>
      <c r="S5" s="134">
        <v>3</v>
      </c>
      <c r="T5" s="135" t="s">
        <v>11</v>
      </c>
      <c r="U5" s="136">
        <v>4</v>
      </c>
      <c r="V5" s="137">
        <v>4</v>
      </c>
      <c r="W5" s="138" t="s">
        <v>74</v>
      </c>
      <c r="X5" s="139">
        <v>6</v>
      </c>
      <c r="Y5" s="140">
        <v>20</v>
      </c>
      <c r="Z5" s="141" t="s">
        <v>76</v>
      </c>
      <c r="AA5" s="142">
        <v>2</v>
      </c>
      <c r="AB5" s="143">
        <v>2</v>
      </c>
      <c r="AC5" s="144" t="s">
        <v>11</v>
      </c>
      <c r="AD5" s="145">
        <v>5</v>
      </c>
      <c r="AE5" s="146">
        <v>6</v>
      </c>
      <c r="AF5" s="147" t="s">
        <v>73</v>
      </c>
    </row>
    <row r="6" spans="1:32" ht="30" customHeight="1" x14ac:dyDescent="0.2">
      <c r="A6" s="194"/>
      <c r="B6" s="171"/>
      <c r="C6" s="193">
        <v>2</v>
      </c>
      <c r="D6" s="193"/>
      <c r="E6" s="193"/>
      <c r="F6" s="193"/>
      <c r="G6" s="193">
        <v>3</v>
      </c>
      <c r="H6" s="194"/>
      <c r="I6" s="194"/>
      <c r="J6" s="193"/>
      <c r="K6" s="194"/>
      <c r="L6" s="194"/>
      <c r="N6" s="49"/>
      <c r="O6" s="130">
        <v>4</v>
      </c>
      <c r="P6" s="131">
        <v>3</v>
      </c>
      <c r="Q6" s="132" t="s">
        <v>74</v>
      </c>
      <c r="R6" s="133">
        <v>3</v>
      </c>
      <c r="S6" s="134">
        <v>7</v>
      </c>
      <c r="T6" s="135" t="s">
        <v>169</v>
      </c>
      <c r="U6" s="136">
        <v>5</v>
      </c>
      <c r="V6" s="137">
        <v>4</v>
      </c>
      <c r="W6" s="138" t="s">
        <v>13</v>
      </c>
      <c r="X6" s="139">
        <v>26</v>
      </c>
      <c r="Y6" s="140">
        <v>2</v>
      </c>
      <c r="Z6" s="141" t="s">
        <v>77</v>
      </c>
      <c r="AA6" s="142">
        <v>1</v>
      </c>
      <c r="AB6" s="143">
        <v>4</v>
      </c>
      <c r="AC6" s="144" t="s">
        <v>12</v>
      </c>
      <c r="AD6" s="145">
        <v>2</v>
      </c>
      <c r="AE6" s="146">
        <v>1</v>
      </c>
      <c r="AF6" s="147" t="s">
        <v>73</v>
      </c>
    </row>
    <row r="7" spans="1:32" ht="30" customHeight="1" thickBot="1" x14ac:dyDescent="0.25">
      <c r="A7" s="194"/>
      <c r="B7" s="194"/>
      <c r="C7" s="173"/>
      <c r="D7" s="194"/>
      <c r="E7" s="193"/>
      <c r="F7" s="194"/>
      <c r="G7" s="194"/>
      <c r="H7" s="194"/>
      <c r="I7" s="173"/>
      <c r="J7" s="193"/>
      <c r="K7" s="194"/>
      <c r="L7" s="194"/>
      <c r="N7" s="49"/>
      <c r="O7" s="148">
        <v>2</v>
      </c>
      <c r="P7" s="149">
        <v>3</v>
      </c>
      <c r="Q7" s="150" t="s">
        <v>84</v>
      </c>
      <c r="R7" s="151">
        <v>6</v>
      </c>
      <c r="S7" s="152">
        <v>2</v>
      </c>
      <c r="T7" s="153" t="s">
        <v>72</v>
      </c>
      <c r="U7" s="154">
        <v>6</v>
      </c>
      <c r="V7" s="155">
        <v>1</v>
      </c>
      <c r="W7" s="156" t="s">
        <v>71</v>
      </c>
      <c r="X7" s="157">
        <v>5</v>
      </c>
      <c r="Y7" s="158">
        <v>3</v>
      </c>
      <c r="Z7" s="159" t="s">
        <v>15</v>
      </c>
      <c r="AA7" s="160">
        <v>4</v>
      </c>
      <c r="AB7" s="161">
        <v>6</v>
      </c>
      <c r="AC7" s="162" t="s">
        <v>74</v>
      </c>
      <c r="AD7" s="163">
        <v>7</v>
      </c>
      <c r="AE7" s="164">
        <v>4</v>
      </c>
      <c r="AF7" s="165" t="s">
        <v>73</v>
      </c>
    </row>
    <row r="8" spans="1:32" ht="30" customHeight="1" thickBot="1" x14ac:dyDescent="0.25">
      <c r="A8" s="194"/>
      <c r="B8" s="194"/>
      <c r="C8" s="194"/>
      <c r="D8" s="194"/>
      <c r="E8" s="193">
        <v>6</v>
      </c>
      <c r="F8" s="193"/>
      <c r="G8" s="193"/>
      <c r="H8" s="193"/>
      <c r="I8" s="193"/>
      <c r="J8" s="193">
        <v>7</v>
      </c>
      <c r="K8" s="173"/>
      <c r="L8" s="194"/>
    </row>
    <row r="9" spans="1:32" ht="18" hidden="1" customHeight="1" thickBot="1" x14ac:dyDescent="0.25">
      <c r="A9" s="50">
        <v>1</v>
      </c>
      <c r="B9" s="50">
        <v>1</v>
      </c>
      <c r="C9" s="50">
        <v>1</v>
      </c>
      <c r="D9" s="50">
        <v>1</v>
      </c>
      <c r="E9" s="50">
        <v>1</v>
      </c>
      <c r="F9" s="50">
        <v>1</v>
      </c>
      <c r="G9" s="50">
        <v>1</v>
      </c>
      <c r="H9" s="50">
        <v>1</v>
      </c>
      <c r="I9" s="50">
        <v>1</v>
      </c>
      <c r="J9" s="50">
        <v>1</v>
      </c>
      <c r="K9" s="50">
        <v>1</v>
      </c>
      <c r="L9" s="50">
        <v>1</v>
      </c>
      <c r="N9" s="50" t="s">
        <v>216</v>
      </c>
      <c r="T9" s="50"/>
    </row>
    <row r="10" spans="1:32" ht="15" customHeight="1" thickBot="1" x14ac:dyDescent="0.25">
      <c r="A10" s="167" t="s">
        <v>152</v>
      </c>
      <c r="B10" s="168" t="s">
        <v>153</v>
      </c>
      <c r="Q10" s="50" t="s">
        <v>305</v>
      </c>
      <c r="T10" s="50" t="s">
        <v>306</v>
      </c>
      <c r="W10" s="50" t="s">
        <v>309</v>
      </c>
      <c r="Z10" s="50" t="s">
        <v>308</v>
      </c>
      <c r="AC10" s="50" t="s">
        <v>307</v>
      </c>
      <c r="AF10" s="91" t="s">
        <v>311</v>
      </c>
    </row>
    <row r="11" spans="1:32" ht="23.25" customHeight="1" thickBot="1" x14ac:dyDescent="0.25">
      <c r="A11" s="167" t="s">
        <v>152</v>
      </c>
      <c r="B11" s="168" t="s">
        <v>154</v>
      </c>
      <c r="Q11" s="388" t="s">
        <v>314</v>
      </c>
      <c r="T11" s="389" t="s">
        <v>310</v>
      </c>
      <c r="W11" s="389" t="s">
        <v>315</v>
      </c>
      <c r="Z11" s="389" t="s">
        <v>312</v>
      </c>
      <c r="AC11" s="389" t="s">
        <v>316</v>
      </c>
      <c r="AF11" s="389" t="s">
        <v>313</v>
      </c>
    </row>
    <row r="12" spans="1:32" ht="14.25" customHeight="1" thickBot="1" x14ac:dyDescent="0.25">
      <c r="A12" s="167" t="s">
        <v>152</v>
      </c>
      <c r="B12" s="168" t="s">
        <v>155</v>
      </c>
      <c r="R12"/>
      <c r="T12" s="50"/>
    </row>
    <row r="13" spans="1:32" ht="12" customHeight="1" thickBot="1" x14ac:dyDescent="0.25">
      <c r="A13" s="167" t="s">
        <v>152</v>
      </c>
      <c r="B13" s="168" t="s">
        <v>156</v>
      </c>
    </row>
    <row r="14" spans="1:32" ht="14.25" customHeight="1" thickBot="1" x14ac:dyDescent="0.25">
      <c r="A14" s="167" t="s">
        <v>157</v>
      </c>
      <c r="B14" s="168" t="s">
        <v>159</v>
      </c>
    </row>
    <row r="15" spans="1:32" ht="13.5" thickBot="1" x14ac:dyDescent="0.25">
      <c r="A15" s="167" t="s">
        <v>157</v>
      </c>
      <c r="B15" s="168" t="s">
        <v>158</v>
      </c>
      <c r="W15" s="169"/>
    </row>
    <row r="17" spans="1:10" x14ac:dyDescent="0.2">
      <c r="A17" s="103"/>
      <c r="B17" s="170" t="s">
        <v>160</v>
      </c>
      <c r="C17" s="166"/>
      <c r="G17" s="166" t="s">
        <v>161</v>
      </c>
      <c r="H17" s="166"/>
      <c r="I17" s="166"/>
      <c r="J17" s="166"/>
    </row>
    <row r="18" spans="1:10" x14ac:dyDescent="0.2">
      <c r="A18" s="171"/>
      <c r="B18" s="170" t="s">
        <v>162</v>
      </c>
      <c r="C18" s="166"/>
      <c r="G18" s="166" t="s">
        <v>163</v>
      </c>
      <c r="J18" s="166"/>
    </row>
    <row r="19" spans="1:10" x14ac:dyDescent="0.2">
      <c r="A19" s="172"/>
      <c r="B19" s="170" t="s">
        <v>164</v>
      </c>
      <c r="C19" s="166"/>
      <c r="F19" s="166"/>
      <c r="G19" s="166" t="s">
        <v>165</v>
      </c>
      <c r="H19" s="166"/>
      <c r="I19" s="166"/>
      <c r="J19" s="166"/>
    </row>
    <row r="20" spans="1:10" x14ac:dyDescent="0.2">
      <c r="A20" s="173"/>
      <c r="B20" s="170" t="s">
        <v>166</v>
      </c>
      <c r="C20" s="166"/>
      <c r="F20" s="166"/>
    </row>
    <row r="21" spans="1:10" x14ac:dyDescent="0.2">
      <c r="A21" s="102"/>
      <c r="B21" s="170" t="s">
        <v>167</v>
      </c>
      <c r="C21" s="166"/>
      <c r="F21" s="166"/>
    </row>
    <row r="22" spans="1:10" x14ac:dyDescent="0.2">
      <c r="A22" s="104"/>
      <c r="B22" s="170" t="s">
        <v>168</v>
      </c>
      <c r="C22" s="166"/>
      <c r="F22" s="166"/>
    </row>
    <row r="23" spans="1:10" x14ac:dyDescent="0.2">
      <c r="G23" s="166"/>
      <c r="H23" s="166"/>
    </row>
    <row r="27" spans="1:10" x14ac:dyDescent="0.2">
      <c r="G27" s="166"/>
      <c r="H27" s="166"/>
    </row>
    <row r="28" spans="1:10" x14ac:dyDescent="0.2">
      <c r="F28" s="166"/>
      <c r="G28" s="166"/>
      <c r="H28" s="166"/>
    </row>
    <row r="30" spans="1:10" x14ac:dyDescent="0.2">
      <c r="D30" s="166"/>
    </row>
    <row r="31" spans="1:10" x14ac:dyDescent="0.2">
      <c r="D31" s="166"/>
    </row>
    <row r="32" spans="1:10" x14ac:dyDescent="0.2">
      <c r="D32" s="166"/>
    </row>
    <row r="33" spans="1:24" x14ac:dyDescent="0.2">
      <c r="A33" s="50" t="s">
        <v>190</v>
      </c>
    </row>
    <row r="34" spans="1:24" x14ac:dyDescent="0.2">
      <c r="B34" s="50">
        <f t="shared" ref="B34:B41" ca="1" si="0">COLORINDEXOFONECELL(A1,FALSE,1)</f>
        <v>47</v>
      </c>
      <c r="D34" s="50">
        <f t="shared" ref="D34:D41" ca="1" si="1">COLORINDEXOFONECELL(B1,FALSE,1)</f>
        <v>40</v>
      </c>
      <c r="F34" s="50">
        <f t="shared" ref="F34:F41" ca="1" si="2">COLORINDEXOFONECELL(C1,FALSE,1)</f>
        <v>40</v>
      </c>
      <c r="H34" s="50">
        <f t="shared" ref="H34:H41" ca="1" si="3">COLORINDEXOFONECELL(D1,FALSE,1)</f>
        <v>3</v>
      </c>
      <c r="L34" s="50">
        <f t="shared" ref="L34:L41" ca="1" si="4">COLORINDEXOFONECELL(E1,FALSE,1)</f>
        <v>3</v>
      </c>
      <c r="O34" s="50">
        <f t="shared" ref="O34:P41" ca="1" si="5">COLORINDEXOFONECELL(F1,FALSE,1)</f>
        <v>14</v>
      </c>
      <c r="P34" s="50">
        <f t="shared" ca="1" si="5"/>
        <v>40</v>
      </c>
      <c r="R34" s="50">
        <f t="shared" ref="R34:S41" ca="1" si="6">COLORINDEXOFONECELL(H1,FALSE,1)</f>
        <v>40</v>
      </c>
      <c r="S34" s="50">
        <f t="shared" ca="1" si="6"/>
        <v>40</v>
      </c>
      <c r="U34" s="50">
        <f t="shared" ref="U34:V41" ca="1" si="7">COLORINDEXOFONECELL(J1,FALSE,1)</f>
        <v>40</v>
      </c>
      <c r="V34" s="50">
        <f t="shared" ca="1" si="7"/>
        <v>3</v>
      </c>
      <c r="X34" s="50">
        <f t="shared" ref="X34:X41" ca="1" si="8">COLORINDEXOFONECELL(L1,FALSE,1)</f>
        <v>15</v>
      </c>
    </row>
    <row r="35" spans="1:24" x14ac:dyDescent="0.2">
      <c r="B35" s="50">
        <f t="shared" ca="1" si="0"/>
        <v>33</v>
      </c>
      <c r="D35" s="50">
        <f t="shared" ca="1" si="1"/>
        <v>15</v>
      </c>
      <c r="F35" s="50">
        <f t="shared" ca="1" si="2"/>
        <v>40</v>
      </c>
      <c r="H35" s="50">
        <f t="shared" ca="1" si="3"/>
        <v>15</v>
      </c>
      <c r="L35" s="50">
        <f t="shared" ca="1" si="4"/>
        <v>15</v>
      </c>
      <c r="O35" s="50">
        <f t="shared" ca="1" si="5"/>
        <v>15</v>
      </c>
      <c r="P35" s="50">
        <f t="shared" ca="1" si="5"/>
        <v>15</v>
      </c>
      <c r="R35" s="50">
        <f t="shared" ca="1" si="6"/>
        <v>15</v>
      </c>
      <c r="S35" s="50">
        <f t="shared" ca="1" si="6"/>
        <v>33</v>
      </c>
      <c r="U35" s="50">
        <f t="shared" ca="1" si="7"/>
        <v>40</v>
      </c>
      <c r="V35" s="50">
        <f t="shared" ca="1" si="7"/>
        <v>15</v>
      </c>
      <c r="X35" s="50">
        <f t="shared" ca="1" si="8"/>
        <v>15</v>
      </c>
    </row>
    <row r="36" spans="1:24" x14ac:dyDescent="0.2">
      <c r="B36" s="50">
        <f t="shared" ca="1" si="0"/>
        <v>15</v>
      </c>
      <c r="D36" s="50">
        <f t="shared" ca="1" si="1"/>
        <v>15</v>
      </c>
      <c r="F36" s="50">
        <f t="shared" ca="1" si="2"/>
        <v>40</v>
      </c>
      <c r="H36" s="50">
        <f t="shared" ca="1" si="3"/>
        <v>6</v>
      </c>
      <c r="L36" s="50">
        <f t="shared" ca="1" si="4"/>
        <v>40</v>
      </c>
      <c r="O36" s="50">
        <f t="shared" ca="1" si="5"/>
        <v>40</v>
      </c>
      <c r="P36" s="50">
        <f t="shared" ca="1" si="5"/>
        <v>40</v>
      </c>
      <c r="R36" s="50">
        <f t="shared" ca="1" si="6"/>
        <v>15</v>
      </c>
      <c r="S36" s="50">
        <f t="shared" ca="1" si="6"/>
        <v>15</v>
      </c>
      <c r="U36" s="50">
        <f t="shared" ca="1" si="7"/>
        <v>40</v>
      </c>
      <c r="V36" s="50">
        <f t="shared" ca="1" si="7"/>
        <v>15</v>
      </c>
      <c r="X36" s="50">
        <f t="shared" ca="1" si="8"/>
        <v>15</v>
      </c>
    </row>
    <row r="37" spans="1:24" x14ac:dyDescent="0.2">
      <c r="B37" s="50">
        <f t="shared" ca="1" si="0"/>
        <v>15</v>
      </c>
      <c r="D37" s="50">
        <f t="shared" ca="1" si="1"/>
        <v>15</v>
      </c>
      <c r="F37" s="50">
        <f t="shared" ca="1" si="2"/>
        <v>40</v>
      </c>
      <c r="H37" s="50">
        <f t="shared" ca="1" si="3"/>
        <v>33</v>
      </c>
      <c r="L37" s="50">
        <f t="shared" ca="1" si="4"/>
        <v>40</v>
      </c>
      <c r="O37" s="50">
        <f t="shared" ca="1" si="5"/>
        <v>6</v>
      </c>
      <c r="P37" s="50">
        <f t="shared" ca="1" si="5"/>
        <v>40</v>
      </c>
      <c r="R37" s="50">
        <f t="shared" ca="1" si="6"/>
        <v>33</v>
      </c>
      <c r="S37" s="50">
        <f t="shared" ca="1" si="6"/>
        <v>15</v>
      </c>
      <c r="U37" s="50">
        <f t="shared" ca="1" si="7"/>
        <v>40</v>
      </c>
      <c r="V37" s="50">
        <f t="shared" ca="1" si="7"/>
        <v>33</v>
      </c>
      <c r="X37" s="50">
        <f t="shared" ca="1" si="8"/>
        <v>15</v>
      </c>
    </row>
    <row r="38" spans="1:24" x14ac:dyDescent="0.2">
      <c r="B38" s="50">
        <f t="shared" ca="1" si="0"/>
        <v>15</v>
      </c>
      <c r="D38" s="50">
        <f t="shared" ca="1" si="1"/>
        <v>15</v>
      </c>
      <c r="F38" s="50">
        <f t="shared" ca="1" si="2"/>
        <v>40</v>
      </c>
      <c r="H38" s="50">
        <f t="shared" ca="1" si="3"/>
        <v>15</v>
      </c>
      <c r="L38" s="50">
        <f t="shared" ca="1" si="4"/>
        <v>40</v>
      </c>
      <c r="O38" s="50">
        <f t="shared" ca="1" si="5"/>
        <v>6</v>
      </c>
      <c r="P38" s="50">
        <f t="shared" ca="1" si="5"/>
        <v>40</v>
      </c>
      <c r="R38" s="50">
        <f t="shared" ca="1" si="6"/>
        <v>15</v>
      </c>
      <c r="S38" s="50">
        <f t="shared" ca="1" si="6"/>
        <v>15</v>
      </c>
      <c r="U38" s="50">
        <f t="shared" ca="1" si="7"/>
        <v>40</v>
      </c>
      <c r="V38" s="50">
        <f t="shared" ca="1" si="7"/>
        <v>15</v>
      </c>
      <c r="X38" s="50">
        <f t="shared" ca="1" si="8"/>
        <v>15</v>
      </c>
    </row>
    <row r="39" spans="1:24" x14ac:dyDescent="0.2">
      <c r="B39" s="50">
        <f t="shared" ca="1" si="0"/>
        <v>15</v>
      </c>
      <c r="D39" s="50">
        <f t="shared" ca="1" si="1"/>
        <v>3</v>
      </c>
      <c r="F39" s="50">
        <f t="shared" ca="1" si="2"/>
        <v>40</v>
      </c>
      <c r="H39" s="50">
        <f t="shared" ca="1" si="3"/>
        <v>40</v>
      </c>
      <c r="L39" s="50">
        <f t="shared" ca="1" si="4"/>
        <v>40</v>
      </c>
      <c r="O39" s="50">
        <f t="shared" ca="1" si="5"/>
        <v>40</v>
      </c>
      <c r="P39" s="50">
        <f t="shared" ca="1" si="5"/>
        <v>40</v>
      </c>
      <c r="R39" s="50">
        <f t="shared" ca="1" si="6"/>
        <v>15</v>
      </c>
      <c r="S39" s="50">
        <f t="shared" ca="1" si="6"/>
        <v>15</v>
      </c>
      <c r="U39" s="50">
        <f t="shared" ca="1" si="7"/>
        <v>40</v>
      </c>
      <c r="V39" s="50">
        <f t="shared" ca="1" si="7"/>
        <v>15</v>
      </c>
      <c r="X39" s="50">
        <f t="shared" ca="1" si="8"/>
        <v>15</v>
      </c>
    </row>
    <row r="40" spans="1:24" x14ac:dyDescent="0.2">
      <c r="B40" s="50">
        <f t="shared" ca="1" si="0"/>
        <v>15</v>
      </c>
      <c r="D40" s="50">
        <f t="shared" ca="1" si="1"/>
        <v>15</v>
      </c>
      <c r="F40" s="50">
        <f t="shared" ca="1" si="2"/>
        <v>33</v>
      </c>
      <c r="H40" s="50">
        <f t="shared" ca="1" si="3"/>
        <v>15</v>
      </c>
      <c r="L40" s="50">
        <f t="shared" ca="1" si="4"/>
        <v>40</v>
      </c>
      <c r="O40" s="50">
        <f t="shared" ca="1" si="5"/>
        <v>15</v>
      </c>
      <c r="P40" s="50">
        <f t="shared" ca="1" si="5"/>
        <v>15</v>
      </c>
      <c r="R40" s="50">
        <f t="shared" ca="1" si="6"/>
        <v>15</v>
      </c>
      <c r="S40" s="50">
        <f t="shared" ca="1" si="6"/>
        <v>33</v>
      </c>
      <c r="U40" s="50">
        <f t="shared" ca="1" si="7"/>
        <v>40</v>
      </c>
      <c r="V40" s="50">
        <f t="shared" ca="1" si="7"/>
        <v>15</v>
      </c>
      <c r="X40" s="50">
        <f t="shared" ca="1" si="8"/>
        <v>15</v>
      </c>
    </row>
    <row r="41" spans="1:24" x14ac:dyDescent="0.2">
      <c r="B41" s="50">
        <f t="shared" ca="1" si="0"/>
        <v>15</v>
      </c>
      <c r="D41" s="50">
        <f t="shared" ca="1" si="1"/>
        <v>15</v>
      </c>
      <c r="F41" s="50">
        <f t="shared" ca="1" si="2"/>
        <v>15</v>
      </c>
      <c r="H41" s="50">
        <f t="shared" ca="1" si="3"/>
        <v>15</v>
      </c>
      <c r="L41" s="50">
        <f t="shared" ca="1" si="4"/>
        <v>40</v>
      </c>
      <c r="O41" s="50">
        <f t="shared" ca="1" si="5"/>
        <v>40</v>
      </c>
      <c r="P41" s="50">
        <f t="shared" ca="1" si="5"/>
        <v>40</v>
      </c>
      <c r="R41" s="50">
        <f t="shared" ca="1" si="6"/>
        <v>40</v>
      </c>
      <c r="S41" s="50">
        <f t="shared" ca="1" si="6"/>
        <v>40</v>
      </c>
      <c r="U41" s="50">
        <f t="shared" ca="1" si="7"/>
        <v>40</v>
      </c>
      <c r="V41" s="50">
        <f t="shared" ca="1" si="7"/>
        <v>33</v>
      </c>
      <c r="X41" s="50">
        <f t="shared" ca="1" si="8"/>
        <v>15</v>
      </c>
    </row>
    <row r="43" spans="1:24" x14ac:dyDescent="0.2">
      <c r="B43" s="50">
        <f t="shared" ref="B43:B50" si="9">A1</f>
        <v>0</v>
      </c>
      <c r="D43" s="50">
        <f t="shared" ref="D43:D50" si="10">B1</f>
        <v>0</v>
      </c>
      <c r="F43" s="50">
        <f t="shared" ref="F43:F50" si="11">C1</f>
        <v>1</v>
      </c>
      <c r="H43" s="50">
        <f t="shared" ref="H43:H50" si="12">D1</f>
        <v>0</v>
      </c>
      <c r="L43" s="50">
        <f t="shared" ref="L43:L50" si="13">E1</f>
        <v>0</v>
      </c>
      <c r="O43" s="50">
        <f t="shared" ref="O43:P50" si="14">F1</f>
        <v>0</v>
      </c>
      <c r="P43" s="50">
        <f t="shared" si="14"/>
        <v>0</v>
      </c>
      <c r="R43" s="50">
        <f t="shared" ref="R43:S50" si="15">H1</f>
        <v>0</v>
      </c>
      <c r="S43" s="50">
        <f t="shared" si="15"/>
        <v>0</v>
      </c>
      <c r="U43" s="50">
        <f t="shared" ref="U43:V50" si="16">J1</f>
        <v>8</v>
      </c>
      <c r="V43" s="50">
        <f t="shared" si="16"/>
        <v>0</v>
      </c>
      <c r="X43" s="50">
        <f t="shared" ref="X43:X50" si="17">L1</f>
        <v>0</v>
      </c>
    </row>
    <row r="44" spans="1:24" x14ac:dyDescent="0.2">
      <c r="B44" s="50">
        <f t="shared" si="9"/>
        <v>0</v>
      </c>
      <c r="D44" s="50">
        <f t="shared" si="10"/>
        <v>0</v>
      </c>
      <c r="F44" s="50">
        <f t="shared" si="11"/>
        <v>0</v>
      </c>
      <c r="H44" s="50">
        <f t="shared" si="12"/>
        <v>0</v>
      </c>
      <c r="L44" s="50">
        <f t="shared" si="13"/>
        <v>0</v>
      </c>
      <c r="O44" s="50">
        <f t="shared" si="14"/>
        <v>0</v>
      </c>
      <c r="P44" s="50">
        <f t="shared" si="14"/>
        <v>0</v>
      </c>
      <c r="R44" s="50">
        <f t="shared" si="15"/>
        <v>0</v>
      </c>
      <c r="S44" s="50">
        <f t="shared" si="15"/>
        <v>0</v>
      </c>
      <c r="U44" s="50">
        <f t="shared" si="16"/>
        <v>0</v>
      </c>
      <c r="V44" s="50">
        <f t="shared" si="16"/>
        <v>0</v>
      </c>
      <c r="X44" s="50">
        <f t="shared" si="17"/>
        <v>0</v>
      </c>
    </row>
    <row r="45" spans="1:24" x14ac:dyDescent="0.2">
      <c r="B45" s="50">
        <f t="shared" si="9"/>
        <v>0</v>
      </c>
      <c r="D45" s="50">
        <f t="shared" si="10"/>
        <v>0</v>
      </c>
      <c r="F45" s="50">
        <f t="shared" si="11"/>
        <v>0</v>
      </c>
      <c r="H45" s="50">
        <f t="shared" si="12"/>
        <v>0</v>
      </c>
      <c r="L45" s="50">
        <f t="shared" si="13"/>
        <v>5</v>
      </c>
      <c r="O45" s="50">
        <f t="shared" si="14"/>
        <v>0</v>
      </c>
      <c r="P45" s="50">
        <f t="shared" si="14"/>
        <v>4</v>
      </c>
      <c r="R45" s="50">
        <f t="shared" si="15"/>
        <v>0</v>
      </c>
      <c r="S45" s="50">
        <f t="shared" si="15"/>
        <v>0</v>
      </c>
      <c r="U45" s="50">
        <f t="shared" si="16"/>
        <v>0</v>
      </c>
      <c r="V45" s="50">
        <f t="shared" si="16"/>
        <v>0</v>
      </c>
      <c r="X45" s="50">
        <f t="shared" si="17"/>
        <v>0</v>
      </c>
    </row>
    <row r="46" spans="1:24" x14ac:dyDescent="0.2">
      <c r="B46" s="50">
        <f t="shared" si="9"/>
        <v>0</v>
      </c>
      <c r="D46" s="50">
        <f t="shared" si="10"/>
        <v>0</v>
      </c>
      <c r="F46" s="50">
        <f t="shared" si="11"/>
        <v>0</v>
      </c>
      <c r="H46" s="50">
        <f t="shared" si="12"/>
        <v>0</v>
      </c>
      <c r="L46" s="50">
        <f t="shared" si="13"/>
        <v>0</v>
      </c>
      <c r="O46" s="50">
        <f t="shared" si="14"/>
        <v>0</v>
      </c>
      <c r="P46" s="50">
        <f t="shared" si="14"/>
        <v>0</v>
      </c>
      <c r="R46" s="50">
        <f t="shared" si="15"/>
        <v>0</v>
      </c>
      <c r="S46" s="50">
        <f t="shared" si="15"/>
        <v>0</v>
      </c>
      <c r="U46" s="50">
        <f t="shared" si="16"/>
        <v>0</v>
      </c>
      <c r="V46" s="50">
        <f t="shared" si="16"/>
        <v>0</v>
      </c>
      <c r="X46" s="50">
        <f t="shared" si="17"/>
        <v>0</v>
      </c>
    </row>
    <row r="47" spans="1:24" x14ac:dyDescent="0.2">
      <c r="B47" s="50">
        <f t="shared" si="9"/>
        <v>0</v>
      </c>
      <c r="D47" s="50">
        <f t="shared" si="10"/>
        <v>0</v>
      </c>
      <c r="F47" s="50">
        <f t="shared" si="11"/>
        <v>0</v>
      </c>
      <c r="H47" s="50">
        <f t="shared" si="12"/>
        <v>0</v>
      </c>
      <c r="L47" s="50">
        <f t="shared" si="13"/>
        <v>0</v>
      </c>
      <c r="O47" s="50">
        <f t="shared" si="14"/>
        <v>0</v>
      </c>
      <c r="P47" s="50">
        <f t="shared" si="14"/>
        <v>0</v>
      </c>
      <c r="R47" s="50">
        <f t="shared" si="15"/>
        <v>0</v>
      </c>
      <c r="S47" s="50">
        <f t="shared" si="15"/>
        <v>0</v>
      </c>
      <c r="U47" s="50">
        <f t="shared" si="16"/>
        <v>0</v>
      </c>
      <c r="V47" s="50">
        <f t="shared" si="16"/>
        <v>0</v>
      </c>
      <c r="X47" s="50">
        <f t="shared" si="17"/>
        <v>0</v>
      </c>
    </row>
    <row r="48" spans="1:24" x14ac:dyDescent="0.2">
      <c r="B48" s="50">
        <f t="shared" si="9"/>
        <v>0</v>
      </c>
      <c r="D48" s="50">
        <f t="shared" si="10"/>
        <v>0</v>
      </c>
      <c r="F48" s="50">
        <f t="shared" si="11"/>
        <v>2</v>
      </c>
      <c r="H48" s="50">
        <f t="shared" si="12"/>
        <v>0</v>
      </c>
      <c r="L48" s="50">
        <f t="shared" si="13"/>
        <v>0</v>
      </c>
      <c r="O48" s="50">
        <f t="shared" si="14"/>
        <v>0</v>
      </c>
      <c r="P48" s="50">
        <f t="shared" si="14"/>
        <v>3</v>
      </c>
      <c r="R48" s="50">
        <f t="shared" si="15"/>
        <v>0</v>
      </c>
      <c r="S48" s="50">
        <f t="shared" si="15"/>
        <v>0</v>
      </c>
      <c r="U48" s="50">
        <f t="shared" si="16"/>
        <v>0</v>
      </c>
      <c r="V48" s="50">
        <f t="shared" si="16"/>
        <v>0</v>
      </c>
      <c r="X48" s="50">
        <f t="shared" si="17"/>
        <v>0</v>
      </c>
    </row>
    <row r="49" spans="2:24" x14ac:dyDescent="0.2">
      <c r="B49" s="50">
        <f t="shared" si="9"/>
        <v>0</v>
      </c>
      <c r="D49" s="50">
        <f t="shared" si="10"/>
        <v>0</v>
      </c>
      <c r="F49" s="50">
        <f t="shared" si="11"/>
        <v>0</v>
      </c>
      <c r="H49" s="50">
        <f t="shared" si="12"/>
        <v>0</v>
      </c>
      <c r="L49" s="50">
        <f t="shared" si="13"/>
        <v>0</v>
      </c>
      <c r="O49" s="50">
        <f t="shared" si="14"/>
        <v>0</v>
      </c>
      <c r="P49" s="50">
        <f t="shared" si="14"/>
        <v>0</v>
      </c>
      <c r="R49" s="50">
        <f t="shared" si="15"/>
        <v>0</v>
      </c>
      <c r="S49" s="50">
        <f t="shared" si="15"/>
        <v>0</v>
      </c>
      <c r="U49" s="50">
        <f t="shared" si="16"/>
        <v>0</v>
      </c>
      <c r="V49" s="50">
        <f t="shared" si="16"/>
        <v>0</v>
      </c>
      <c r="X49" s="50">
        <f t="shared" si="17"/>
        <v>0</v>
      </c>
    </row>
    <row r="50" spans="2:24" x14ac:dyDescent="0.2">
      <c r="B50" s="50">
        <f t="shared" si="9"/>
        <v>0</v>
      </c>
      <c r="D50" s="50">
        <f t="shared" si="10"/>
        <v>0</v>
      </c>
      <c r="F50" s="50">
        <f t="shared" si="11"/>
        <v>0</v>
      </c>
      <c r="H50" s="50">
        <f t="shared" si="12"/>
        <v>0</v>
      </c>
      <c r="L50" s="50">
        <f t="shared" si="13"/>
        <v>6</v>
      </c>
      <c r="O50" s="50">
        <f t="shared" si="14"/>
        <v>0</v>
      </c>
      <c r="P50" s="50">
        <f t="shared" si="14"/>
        <v>0</v>
      </c>
      <c r="R50" s="50">
        <f t="shared" si="15"/>
        <v>0</v>
      </c>
      <c r="S50" s="50">
        <f t="shared" si="15"/>
        <v>0</v>
      </c>
      <c r="U50" s="50">
        <f t="shared" si="16"/>
        <v>7</v>
      </c>
      <c r="V50" s="50">
        <f t="shared" si="16"/>
        <v>0</v>
      </c>
      <c r="X50" s="50">
        <f t="shared" si="17"/>
        <v>0</v>
      </c>
    </row>
    <row r="54" spans="2:24" x14ac:dyDescent="0.2">
      <c r="B54" s="50">
        <f t="shared" ref="B54:B59" si="18">IF(A10="Y",1,0)</f>
        <v>1</v>
      </c>
    </row>
    <row r="55" spans="2:24" x14ac:dyDescent="0.2">
      <c r="B55" s="50">
        <f t="shared" si="18"/>
        <v>1</v>
      </c>
    </row>
    <row r="56" spans="2:24" x14ac:dyDescent="0.2">
      <c r="B56" s="50">
        <f t="shared" si="18"/>
        <v>1</v>
      </c>
    </row>
    <row r="57" spans="2:24" x14ac:dyDescent="0.2">
      <c r="B57" s="50">
        <f t="shared" si="18"/>
        <v>1</v>
      </c>
    </row>
    <row r="58" spans="2:24" x14ac:dyDescent="0.2">
      <c r="B58" s="50">
        <f t="shared" si="18"/>
        <v>0</v>
      </c>
    </row>
    <row r="59" spans="2:24" x14ac:dyDescent="0.2">
      <c r="B59" s="50">
        <f t="shared" si="18"/>
        <v>0</v>
      </c>
    </row>
    <row r="93" spans="2:6" x14ac:dyDescent="0.2">
      <c r="B93" s="50">
        <f>N1</f>
        <v>6</v>
      </c>
    </row>
    <row r="96" spans="2:6" x14ac:dyDescent="0.2">
      <c r="B96" s="52" t="s">
        <v>197</v>
      </c>
      <c r="D96" s="52" t="s">
        <v>204</v>
      </c>
      <c r="F96" s="52" t="s">
        <v>205</v>
      </c>
    </row>
    <row r="98" spans="1:22" x14ac:dyDescent="0.2">
      <c r="B98" s="52" t="s">
        <v>198</v>
      </c>
      <c r="D98" s="52" t="s">
        <v>198</v>
      </c>
      <c r="F98" s="52" t="s">
        <v>198</v>
      </c>
      <c r="G98" s="52"/>
      <c r="H98" s="52" t="s">
        <v>197</v>
      </c>
      <c r="T98" s="166">
        <v>0</v>
      </c>
    </row>
    <row r="99" spans="1:22" x14ac:dyDescent="0.2">
      <c r="A99" s="52" t="s">
        <v>194</v>
      </c>
      <c r="B99" s="50">
        <f>IF(OR(Q2=$Q$99,Q2=$Q$100,Q2=$Q$101,Q2=$Q$102,Q2=$Q$103,Q2=$Q$104,Q2=$Q$105,Q2=$Q$106,Q2=$Q$107),1,IF(OR(Q2=$Q$108,Q2=$Q$109,Q2=$Q$110,Q2=$Q$111,Q2=$Q$112,Q2=$Q$113,Q2=$Q$114,Q2=$Q$115,Q2=$Q$116),2,IF(OR(Q2=$Q$117,Q2=$Q$118,Q2=$Q$119,Q2=$Q$120,Q2=$Q$121,Q2=$Q$122,Q2=$Q$123,Q2=$Q$124,Q2=$Q$125),3,0)))</f>
        <v>2</v>
      </c>
      <c r="C99" s="52"/>
      <c r="D99" s="50">
        <f>IF(OR(T2=$Q$99,T2=$Q$100,T2=$Q$101,T2=$Q$102,T2=$Q$103,T2=$Q$104,T2=$Q$105,T2=$Q$106,T2=$Q$107),1,IF(OR(T2=$Q$108,T2=$Q$109,T2=$Q$110,T2=$Q$111,T2=$Q$112,T2=$Q$113,T2=$Q$114,T2=$Q$115,T2=$Q$116),2,IF(OR(T2=$Q$117,T2=$Q$118,T2=$Q$119,T2=$Q$120,T2=$Q$121,T2=$Q$122,T2=$Q$123,T2=$Q$124,T2=$Q$125),3,0)))</f>
        <v>1</v>
      </c>
      <c r="F99" s="50">
        <f>IF(OR(W2=$Q$99,W2=$Q$100,W2=$Q$101,W2=$Q$102,W2=$Q$103,W2=$Q$104,W2=$Q$105,W2=$Q$106,W2=$Q$107),1,IF(OR(W2=$Q$108,W2=$Q$109,W2=$Q$110,W2=$Q$111,W2=$Q$112,W2=$Q$113,W2=$Q$114,W2=$Q$115,W2=$Q$116),2,IF(OR(W2=$Q$117,W2=$Q$118,W2=$Q$119,W2=$Q$120,W2=$Q$121,W2=$Q$122,W2=$Q$123,W2=$Q$124,W2=$Q$125),3,0)))</f>
        <v>1</v>
      </c>
      <c r="G99" s="52"/>
      <c r="H99" s="50">
        <f>(100*B99)+(10*B100)+B101</f>
        <v>221</v>
      </c>
      <c r="Q99" s="52" t="s">
        <v>11</v>
      </c>
      <c r="T99" s="166">
        <v>1</v>
      </c>
      <c r="U99" s="50" t="s">
        <v>152</v>
      </c>
      <c r="V99" s="50" t="s">
        <v>152</v>
      </c>
    </row>
    <row r="100" spans="1:22" x14ac:dyDescent="0.2">
      <c r="A100" s="52" t="s">
        <v>193</v>
      </c>
      <c r="B100" s="50">
        <f>IF(OR(Q2=$Q$99,Q2=$Q$100,Q2=$Q$101,Q2=$Q$108,Q2=$Q$109,Q2=$Q$110,Q2=$Q$117,Q2=$Q$118,Q2=$Q$119),1,IF(OR(Q2=$Q$102,Q2=$Q$103,Q2=$Q$104,Q2=$Q$111,Q2=$Q$112,Q2=$Q$113,Q2=$Q$120,Q2=$Q$121,Q2=$Q$122),2,IF(OR(Q2=$Q$105,Q2=$Q$106,Q2=$Q$107,Q2=$Q$114,Q2=$Q$115,Q2=$Q$116,Q2=$Q$123,Q2=$Q$124,Q2=$Q$125),3,0)))</f>
        <v>2</v>
      </c>
      <c r="D100" s="50">
        <f>IF(OR(T2=$Q$99,T2=$Q$100,T2=$Q$101,T2=$Q$108,T2=$Q$109,T2=$Q$110,T2=$Q$117,T2=$Q$118,T2=$Q$119),1,IF(OR(T2=$Q$102,T2=$Q$103,T2=$Q$104,T2=$Q$111,T2=$Q$112,T2=$Q$113,T2=$Q$120,T2=$Q$121,T2=$Q$122),2,IF(OR(T2=$Q$105,T2=$Q$106,T2=$Q$107,T2=$Q$114,T2=$Q$115,T2=$Q$116,T2=$Q$123,T2=$Q$124,T2=$Q$125),3,0)))</f>
        <v>1</v>
      </c>
      <c r="F100" s="50">
        <f>IF(OR(W2=$Q$99,W2=$Q$100,W2=$Q$101,W2=$Q$108,W2=$Q$109,W2=$Q$110,W2=$Q$117,W2=$Q$118,W2=$Q$119),1,IF(OR(W2=$Q$102,W2=$Q$103,W2=$Q$104,W2=$Q$111,W2=$Q$112,W2=$Q$113,W2=$Q$120,W2=$Q$121,W2=$Q$122),2,IF(OR(W2=$Q$105,W2=$Q$106,W2=$Q$107,W2=$Q$114,W2=$Q$115,W2=$Q$116,W2=$Q$123,W2=$Q$124,W2=$Q$125),3,0)))</f>
        <v>2</v>
      </c>
      <c r="G100" s="52"/>
      <c r="H100" s="50">
        <f>100*B103+10*B104+B105</f>
        <v>223</v>
      </c>
      <c r="Q100" s="52" t="s">
        <v>71</v>
      </c>
      <c r="T100" s="166">
        <v>2</v>
      </c>
      <c r="U100" s="50" t="s">
        <v>157</v>
      </c>
      <c r="V100" s="50" t="s">
        <v>157</v>
      </c>
    </row>
    <row r="101" spans="1:22" x14ac:dyDescent="0.2">
      <c r="A101" s="52" t="s">
        <v>195</v>
      </c>
      <c r="B101" s="50">
        <f>IF(OR(Q2=$Q$99,Q2=$Q$102,Q2=$Q$105,Q2=$Q$108,Q2=$Q$111,Q2=$Q$114,Q2=$Q$117,Q2=$Q$120,Q2=$Q$123),1,IF(OR(Q2=$Q$100,Q2=$Q$103,Q2=$Q$106,Q2=$Q$109,Q2=$Q$112,Q2=$Q$115,Q2=$Q$118,Q2=$Q$121,Q2=$Q$124),2,IF(OR(Q2=$Q$101,Q2=$Q$104,Q2=$Q$107,Q2=$Q$110,Q2=$Q$113,Q2=$Q$116,Q2=$Q$119,Q2=$Q$122,Q2=$Q$125),3,0)))</f>
        <v>1</v>
      </c>
      <c r="D101" s="50">
        <f>IF(OR(T2=$Q$99,T2=$Q$102,T2=$Q$105,T2=$Q$108,T2=$Q$111,T2=$Q$114,T2=$Q$117,T2=$Q$120,T2=$Q$123),1,IF(OR(T2=$Q$100,T2=$Q$103,T2=$Q$106,T2=$Q$109,T2=$Q$112,T2=$Q$115,T2=$Q$118,T2=$Q$121,T2=$Q$124),2,IF(OR(T2=$Q$101,T2=$Q$104,T2=$Q$107,T2=$Q$110,T2=$Q$113,T2=$Q$116,T2=$Q$119,T2=$Q$122,T2=$Q$125),3,0)))</f>
        <v>3</v>
      </c>
      <c r="F101" s="50">
        <f>IF(OR(W2=$Q$99,W2=$Q$102,W2=$Q$105,W2=$Q$108,W2=$Q$111,W2=$Q$114,W2=$Q$117,W2=$Q$120,W2=$Q$123),1,IF(OR(W2=$Q$100,W2=$Q$103,W2=$Q$106,W2=$Q$109,W2=$Q$112,W2=$Q$115,W2=$Q$118,W2=$Q$121,W2=$Q$124),2,IF(OR(W2=$Q$101,W2=$Q$104,W2=$Q$107,W2=$Q$110,W2=$Q$113,W2=$Q$116,W2=$Q$119,W2=$Q$122,W2=$Q$125),3,0)))</f>
        <v>3</v>
      </c>
      <c r="H101" s="50">
        <f>100*B107+10*B108+B109</f>
        <v>232</v>
      </c>
      <c r="Q101" s="52" t="s">
        <v>72</v>
      </c>
      <c r="T101" s="166">
        <v>3</v>
      </c>
    </row>
    <row r="102" spans="1:22" x14ac:dyDescent="0.2">
      <c r="B102" s="52" t="s">
        <v>199</v>
      </c>
      <c r="D102" s="52" t="s">
        <v>199</v>
      </c>
      <c r="F102" s="52" t="s">
        <v>199</v>
      </c>
      <c r="G102" s="52"/>
      <c r="H102" s="50">
        <f>100*B111+10*B112+B113</f>
        <v>131</v>
      </c>
      <c r="Q102" s="52" t="s">
        <v>12</v>
      </c>
      <c r="T102" s="166">
        <v>4</v>
      </c>
    </row>
    <row r="103" spans="1:22" x14ac:dyDescent="0.2">
      <c r="A103" s="52" t="s">
        <v>194</v>
      </c>
      <c r="B103" s="50">
        <f>IF(OR(Q3=$Q$99,Q3=$Q$100,Q3=$Q$101,Q3=$Q$102,Q3=$Q$103,Q3=$Q$104,Q3=$Q$105,Q3=$Q$106,Q3=$Q$107),1,IF(OR(Q3=$Q$108,Q3=$Q$109,Q3=$Q$110,Q3=$Q$111,Q3=$Q$112,Q3=$Q$113,Q3=$Q$114,Q3=$Q$115,Q3=$Q$116),2,IF(OR(Q3=$Q$117,Q3=$Q$118,Q3=$Q$119,Q3=$Q$120,Q3=$Q$121,Q3=$Q$122,Q3=$Q$123,Q3=$Q$124,Q3=$Q$125),3,0)))</f>
        <v>2</v>
      </c>
      <c r="D103" s="50">
        <f>IF(OR(T3=$Q$99,T3=$Q$100,T3=$Q$101,T3=$Q$102,T3=$Q$103,T3=$Q$104,T3=$Q$105,T3=$Q$106,T3=$Q$107),1,IF(OR(T3=$Q$108,T3=$Q$109,T3=$Q$110,T3=$Q$111,T3=$Q$112,T3=$Q$113,T3=$Q$114,T3=$Q$115,T3=$Q$116),2,IF(OR(T3=$Q$117,T3=$Q$118,T3=$Q$119,T3=$Q$120,T3=$Q$121,T3=$Q$122,T3=$Q$123,T3=$Q$124,T3=$Q$125),3,0)))</f>
        <v>3</v>
      </c>
      <c r="F103" s="50">
        <f>IF(OR(W3=$Q$99,W3=$Q$100,W3=$Q$101,W3=$Q$102,W3=$Q$103,W3=$Q$104,W3=$Q$105,W3=$Q$106,W3=$Q$107),1,IF(OR(W3=$Q$108,W3=$Q$109,W3=$Q$110,W3=$Q$111,W3=$Q$112,W3=$Q$113,W3=$Q$114,W3=$Q$115,W3=$Q$116),2,IF(OR(W3=$Q$117,W3=$Q$118,W3=$Q$119,W3=$Q$120,W3=$Q$121,W3=$Q$122,W3=$Q$123,W3=$Q$124,W3=$Q$125),3,0)))</f>
        <v>1</v>
      </c>
      <c r="G103" s="52"/>
      <c r="H103" s="50">
        <f>100*B115+10*B116+B117</f>
        <v>123</v>
      </c>
      <c r="Q103" s="52" t="s">
        <v>73</v>
      </c>
      <c r="T103" s="166">
        <v>5</v>
      </c>
    </row>
    <row r="104" spans="1:22" x14ac:dyDescent="0.2">
      <c r="A104" s="52" t="s">
        <v>193</v>
      </c>
      <c r="B104" s="50">
        <f>IF(OR(Q3=$Q$99,Q3=$Q$100,Q3=$Q$101,Q3=$Q$108,Q3=$Q$109,Q3=$Q$110,Q3=$Q$117,Q3=$Q$118,Q3=$Q$119),1,IF(OR(Q3=$Q$102,Q3=$Q$103,Q3=$Q$104,Q3=$Q$111,Q3=$Q$112,Q3=$Q$113,Q3=$Q$120,Q3=$Q$121,Q3=$Q$122),2,IF(OR(Q3=$Q$105,Q3=$Q$106,Q3=$Q$107,Q3=$Q$114,Q3=$Q$115,Q3=$Q$116,Q3=$Q$123,Q3=$Q$124,Q3=$Q$125),3,0)))</f>
        <v>2</v>
      </c>
      <c r="D104" s="50">
        <f>IF(OR(T3=$Q$99,T3=$Q$100,T3=$Q$101,T3=$Q$108,T3=$Q$109,T3=$Q$110,T3=$Q$117,T3=$Q$118,T3=$Q$119),1,IF(OR(T3=$Q$102,T3=$Q$103,T3=$Q$104,T3=$Q$111,T3=$Q$112,T3=$Q$113,T3=$Q$120,T3=$Q$121,T3=$Q$122),2,IF(OR(T3=$Q$105,T3=$Q$106,T3=$Q$107,T3=$Q$114,T3=$Q$115,T3=$Q$116,T3=$Q$123,T3=$Q$124,T3=$Q$125),3,0)))</f>
        <v>2</v>
      </c>
      <c r="F104" s="50">
        <f>IF(OR(W3=$Q$99,W3=$Q$100,W3=$Q$101,W3=$Q$108,W3=$Q$109,W3=$Q$110,W3=$Q$117,W3=$Q$118,W3=$Q$119),1,IF(OR(W3=$Q$102,W3=$Q$103,W3=$Q$104,W3=$Q$111,W3=$Q$112,W3=$Q$113,W3=$Q$120,W3=$Q$121,W3=$Q$122),2,IF(OR(W3=$Q$105,W3=$Q$106,W3=$Q$107,W3=$Q$114,W3=$Q$115,W3=$Q$116,W3=$Q$123,W3=$Q$124,W3=$Q$125),3,0)))</f>
        <v>2</v>
      </c>
      <c r="G104" s="52"/>
      <c r="H104" s="50">
        <f>100*B119+10*B120+B121</f>
        <v>323</v>
      </c>
      <c r="Q104" s="52" t="s">
        <v>74</v>
      </c>
      <c r="T104" s="166">
        <v>6</v>
      </c>
    </row>
    <row r="105" spans="1:22" x14ac:dyDescent="0.2">
      <c r="A105" s="52" t="s">
        <v>195</v>
      </c>
      <c r="B105" s="50">
        <f>IF(OR(Q3=$Q$99,Q3=$Q$102,Q3=$Q$105,Q3=$Q$108,Q3=$Q$111,Q3=$Q$114,Q3=$Q$117,Q3=$Q$120,Q3=$Q$123),1,IF(OR(Q3=$Q$100,Q3=$Q$103,Q3=$Q$106,Q3=$Q$109,Q3=$Q$112,Q3=$Q$115,Q3=$Q$118,Q3=$Q$121,Q3=$Q$124),2,IF(OR(Q3=$Q$101,Q3=$Q$104,Q3=$Q$107,Q3=$Q$110,Q3=$Q$113,Q3=$Q$116,Q3=$Q$119,Q3=$Q$122,Q3=$Q$125),3,0)))</f>
        <v>3</v>
      </c>
      <c r="D105" s="50">
        <f>IF(OR(T3=$Q$99,T3=$Q$102,T3=$Q$105,T3=$Q$108,T3=$Q$111,T3=$Q$114,T3=$Q$117,T3=$Q$120,T3=$Q$123),1,IF(OR(T3=$Q$100,T3=$Q$103,T3=$Q$106,T3=$Q$109,T3=$Q$112,T3=$Q$115,T3=$Q$118,T3=$Q$121,T3=$Q$124),2,IF(OR(T3=$Q$101,T3=$Q$104,T3=$Q$107,T3=$Q$110,T3=$Q$113,T3=$Q$116,T3=$Q$119,T3=$Q$122,T3=$Q$125),3,0)))</f>
        <v>3</v>
      </c>
      <c r="F105" s="50">
        <f>IF(OR(W3=$Q$99,W3=$Q$102,W3=$Q$105,W3=$Q$108,W3=$Q$111,W3=$Q$114,W3=$Q$117,W3=$Q$120,W3=$Q$123),1,IF(OR(W3=$Q$100,W3=$Q$103,W3=$Q$106,W3=$Q$109,W3=$Q$112,W3=$Q$115,W3=$Q$118,W3=$Q$121,W3=$Q$124),2,IF(OR(W3=$Q$101,W3=$Q$104,W3=$Q$107,W3=$Q$110,W3=$Q$113,W3=$Q$116,W3=$Q$119,W3=$Q$122,W3=$Q$125),3,0)))</f>
        <v>3</v>
      </c>
      <c r="Q105" s="52" t="s">
        <v>13</v>
      </c>
      <c r="T105" s="166">
        <v>7</v>
      </c>
    </row>
    <row r="106" spans="1:22" x14ac:dyDescent="0.2">
      <c r="B106" s="52" t="s">
        <v>200</v>
      </c>
      <c r="D106" s="52" t="s">
        <v>200</v>
      </c>
      <c r="F106" s="52" t="s">
        <v>200</v>
      </c>
      <c r="G106" s="52"/>
      <c r="Q106" s="52" t="s">
        <v>196</v>
      </c>
      <c r="T106" s="166">
        <v>8</v>
      </c>
    </row>
    <row r="107" spans="1:22" x14ac:dyDescent="0.2">
      <c r="A107" s="52" t="s">
        <v>194</v>
      </c>
      <c r="B107" s="50">
        <f>IF(OR(Q4=$Q$99,Q4=$Q$100,Q4=$Q$101,Q4=$Q$102,Q4=$Q$103,Q4=$Q$104,Q4=$Q$105,Q4=$Q$106,Q4=$Q$107),1,IF(OR(Q4=$Q$108,Q4=$Q$109,Q4=$Q$110,Q4=$Q$111,Q4=$Q$112,Q4=$Q$113,Q4=$Q$114,Q4=$Q$115,Q4=$Q$116),2,IF(OR(Q4=$Q$117,Q4=$Q$118,Q4=$Q$119,Q4=$Q$120,Q4=$Q$121,Q4=$Q$122,Q4=$Q$123,Q4=$Q$124,Q4=$Q$125),3,0)))</f>
        <v>2</v>
      </c>
      <c r="D107" s="50">
        <f>IF(OR(T4=$Q$99,T4=$Q$100,T4=$Q$101,T4=$Q$102,T4=$Q$103,T4=$Q$104,T4=$Q$105,T4=$Q$106,T4=$Q$107),1,IF(OR(T4=$Q$108,T4=$Q$109,T4=$Q$110,T4=$Q$111,T4=$Q$112,T4=$Q$113,T4=$Q$114,T4=$Q$115,T4=$Q$116),2,IF(OR(T4=$Q$117,T4=$Q$118,T4=$Q$119,T4=$Q$120,T4=$Q$121,T4=$Q$122,T4=$Q$123,T4=$Q$124,T4=$Q$125),3,0)))</f>
        <v>3</v>
      </c>
      <c r="F107" s="50">
        <f>IF(OR(W4=$Q$99,W4=$Q$100,W4=$Q$101,W4=$Q$102,W4=$Q$103,W4=$Q$104,W4=$Q$105,W4=$Q$106,W4=$Q$107),1,IF(OR(W4=$Q$108,W4=$Q$109,W4=$Q$110,W4=$Q$111,W4=$Q$112,W4=$Q$113,W4=$Q$114,W4=$Q$115,W4=$Q$116),2,IF(OR(W4=$Q$117,W4=$Q$118,W4=$Q$119,W4=$Q$120,W4=$Q$121,W4=$Q$122,W4=$Q$123,W4=$Q$124,W4=$Q$125),3,0)))</f>
        <v>1</v>
      </c>
      <c r="G107" s="52"/>
      <c r="Q107" s="52" t="s">
        <v>75</v>
      </c>
      <c r="T107" s="166">
        <v>9</v>
      </c>
    </row>
    <row r="108" spans="1:22" x14ac:dyDescent="0.2">
      <c r="A108" s="52" t="s">
        <v>193</v>
      </c>
      <c r="B108" s="50">
        <f>IF(OR(Q4=$Q$99,Q4=$Q$100,Q4=$Q$101,Q4=$Q$108,Q4=$Q$109,Q4=$Q$110,Q4=$Q$117,Q4=$Q$118,Q4=$Q$119),1,IF(OR(Q4=$Q$102,Q4=$Q$103,Q4=$Q$104,Q4=$Q$111,Q4=$Q$112,Q4=$Q$113,Q4=$Q$120,Q4=$Q$121,Q4=$Q$122),2,IF(OR(Q4=$Q$105,Q4=$Q$106,Q4=$Q$107,Q4=$Q$114,Q4=$Q$115,Q4=$Q$116,Q4=$Q$123,Q4=$Q$124,Q4=$Q$125),3,0)))</f>
        <v>3</v>
      </c>
      <c r="D108" s="50">
        <f>IF(OR(T4=$Q$99,T4=$Q$100,T4=$Q$101,T4=$Q$108,T4=$Q$109,T4=$Q$110,T4=$Q$117,T4=$Q$118,T4=$Q$119),1,IF(OR(T4=$Q$102,T4=$Q$103,T4=$Q$104,T4=$Q$111,T4=$Q$112,T4=$Q$113,T4=$Q$120,T4=$Q$121,T4=$Q$122),2,IF(OR(T4=$Q$105,T4=$Q$106,T4=$Q$107,T4=$Q$114,T4=$Q$115,T4=$Q$116,T4=$Q$123,T4=$Q$124,T4=$Q$125),3,0)))</f>
        <v>3</v>
      </c>
      <c r="F108" s="50">
        <f>IF(OR(W4=$Q$99,W4=$Q$100,W4=$Q$101,W4=$Q$108,W4=$Q$109,W4=$Q$110,W4=$Q$117,W4=$Q$118,W4=$Q$119),1,IF(OR(W4=$Q$102,W4=$Q$103,W4=$Q$104,W4=$Q$111,W4=$Q$112,W4=$Q$113,W4=$Q$120,W4=$Q$121,W4=$Q$122),2,IF(OR(W4=$Q$105,W4=$Q$106,W4=$Q$107,W4=$Q$114,W4=$Q$115,W4=$Q$116,W4=$Q$123,W4=$Q$124,W4=$Q$125),3,0)))</f>
        <v>2</v>
      </c>
      <c r="G108" s="52"/>
      <c r="H108" s="52" t="s">
        <v>204</v>
      </c>
      <c r="Q108" s="52" t="s">
        <v>14</v>
      </c>
      <c r="T108" s="166">
        <v>10</v>
      </c>
    </row>
    <row r="109" spans="1:22" x14ac:dyDescent="0.2">
      <c r="A109" s="52" t="s">
        <v>195</v>
      </c>
      <c r="B109" s="50">
        <f>IF(OR(Q4=$Q$99,Q4=$Q$102,Q4=$Q$105,Q4=$Q$108,Q4=$Q$111,Q4=$Q$114,Q4=$Q$117,Q4=$Q$120,Q4=$Q$123),1,IF(OR(Q4=$Q$100,Q4=$Q$103,Q4=$Q$106,Q4=$Q$109,Q4=$Q$112,Q4=$Q$115,Q4=$Q$118,Q4=$Q$121,Q4=$Q$124),2,IF(OR(Q4=$Q$101,Q4=$Q$104,Q4=$Q$107,Q4=$Q$110,Q4=$Q$113,Q4=$Q$116,Q4=$Q$119,Q4=$Q$122,Q4=$Q$125),3,0)))</f>
        <v>2</v>
      </c>
      <c r="D109" s="50">
        <f>IF(OR(T4=$Q$99,T4=$Q$102,T4=$Q$105,T4=$Q$108,T4=$Q$111,T4=$Q$114,T4=$Q$117,T4=$Q$120,T4=$Q$123),1,IF(OR(T4=$Q$100,T4=$Q$103,T4=$Q$106,T4=$Q$109,T4=$Q$112,T4=$Q$115,T4=$Q$118,T4=$Q$121,T4=$Q$124),2,IF(OR(T4=$Q$101,T4=$Q$104,T4=$Q$107,T4=$Q$110,T4=$Q$113,T4=$Q$116,T4=$Q$119,T4=$Q$122,T4=$Q$125),3,0)))</f>
        <v>1</v>
      </c>
      <c r="F109" s="50">
        <f>IF(OR(W4=$Q$99,W4=$Q$102,W4=$Q$105,W4=$Q$108,W4=$Q$111,W4=$Q$114,W4=$Q$117,W4=$Q$120,W4=$Q$123),1,IF(OR(W4=$Q$100,W4=$Q$103,W4=$Q$106,W4=$Q$109,W4=$Q$112,W4=$Q$115,W4=$Q$118,W4=$Q$121,W4=$Q$124),2,IF(OR(W4=$Q$101,W4=$Q$104,W4=$Q$107,W4=$Q$110,W4=$Q$113,W4=$Q$116,W4=$Q$119,W4=$Q$122,W4=$Q$125),3,0)))</f>
        <v>1</v>
      </c>
      <c r="H109" s="50">
        <f>(100*D99)+(10*D100)+D101</f>
        <v>113</v>
      </c>
      <c r="Q109" s="52" t="s">
        <v>76</v>
      </c>
      <c r="T109" s="166">
        <v>11</v>
      </c>
    </row>
    <row r="110" spans="1:22" x14ac:dyDescent="0.2">
      <c r="B110" s="52" t="s">
        <v>201</v>
      </c>
      <c r="D110" s="52" t="s">
        <v>201</v>
      </c>
      <c r="F110" s="52" t="s">
        <v>201</v>
      </c>
      <c r="G110" s="52"/>
      <c r="H110" s="50">
        <f>(100*D103)+(10*D104)+D105</f>
        <v>323</v>
      </c>
      <c r="Q110" s="52" t="s">
        <v>77</v>
      </c>
      <c r="T110" s="166">
        <v>12</v>
      </c>
    </row>
    <row r="111" spans="1:22" x14ac:dyDescent="0.2">
      <c r="A111" s="52" t="s">
        <v>194</v>
      </c>
      <c r="B111" s="50">
        <f>IF(OR(Q5=$Q$99,Q5=$Q$100,Q5=$Q$101,Q5=$Q$102,Q5=$Q$103,Q5=$Q$104,Q5=$Q$105,Q5=$Q$106,Q5=$Q$107),1,IF(OR(Q5=$Q$108,Q5=$Q$109,Q5=$Q$110,Q5=$Q$111,Q5=$Q$112,Q5=$Q$113,Q5=$Q$114,Q5=$Q$115,Q5=$Q$116),2,IF(OR(Q5=$Q$117,Q5=$Q$118,Q5=$Q$119,Q5=$Q$120,Q5=$Q$121,Q5=$Q$122,Q5=$Q$123,Q5=$Q$124,Q5=$Q$125),3,0)))</f>
        <v>1</v>
      </c>
      <c r="D111" s="50">
        <f>IF(OR(T5=$Q$99,T5=$Q$100,T5=$Q$101,T5=$Q$102,T5=$Q$103,T5=$Q$104,T5=$Q$105,T5=$Q$106,T5=$Q$107),1,IF(OR(T5=$Q$108,T5=$Q$109,T5=$Q$110,T5=$Q$111,T5=$Q$112,T5=$Q$113,T5=$Q$114,T5=$Q$115,T5=$Q$116),2,IF(OR(T5=$Q$117,T5=$Q$118,T5=$Q$119,T5=$Q$120,T5=$Q$121,T5=$Q$122,T5=$Q$123,T5=$Q$124,T5=$Q$125),3,0)))</f>
        <v>1</v>
      </c>
      <c r="F111" s="50">
        <f>IF(OR(W5=$Q$99,W5=$Q$100,W5=$Q$101,W5=$Q$102,W5=$Q$103,W5=$Q$104,W5=$Q$105,W5=$Q$106,W5=$Q$107),1,IF(OR(W5=$Q$108,W5=$Q$109,W5=$Q$110,W5=$Q$111,W5=$Q$112,W5=$Q$113,W5=$Q$114,W5=$Q$115,W5=$Q$116),2,IF(OR(W5=$Q$117,W5=$Q$118,W5=$Q$119,W5=$Q$120,W5=$Q$121,W5=$Q$122,W5=$Q$123,W5=$Q$124,W5=$Q$125),3,0)))</f>
        <v>1</v>
      </c>
      <c r="G111" s="52"/>
      <c r="H111" s="50">
        <f>100*D107+10*D108+D109</f>
        <v>331</v>
      </c>
      <c r="Q111" s="52" t="s">
        <v>15</v>
      </c>
      <c r="T111" s="166">
        <v>13</v>
      </c>
    </row>
    <row r="112" spans="1:22" x14ac:dyDescent="0.2">
      <c r="A112" s="52" t="s">
        <v>193</v>
      </c>
      <c r="B112" s="50">
        <f>IF(OR(Q5=$Q$99,Q5=$Q$100,Q5=$Q$101,Q5=$Q$108,Q5=$Q$109,Q5=$Q$110,Q5=$Q$117,Q5=$Q$118,Q5=$Q$119),1,IF(OR(Q5=$Q$102,Q5=$Q$103,Q5=$Q$104,Q5=$Q$111,Q5=$Q$112,Q5=$Q$113,Q5=$Q$120,Q5=$Q$121,Q5=$Q$122),2,IF(OR(Q5=$Q$105,Q5=$Q$106,Q5=$Q$107,Q5=$Q$114,Q5=$Q$115,Q5=$Q$116,Q5=$Q$123,Q5=$Q$124,Q5=$Q$125),3,0)))</f>
        <v>3</v>
      </c>
      <c r="D112" s="50">
        <f>IF(OR(T5=$Q$99,T5=$Q$100,T5=$Q$101,T5=$Q$108,T5=$Q$109,T5=$Q$110,T5=$Q$117,T5=$Q$118,T5=$Q$119),1,IF(OR(T5=$Q$102,T5=$Q$103,T5=$Q$104,T5=$Q$111,T5=$Q$112,T5=$Q$113,T5=$Q$120,T5=$Q$121,T5=$Q$122),2,IF(OR(T5=$Q$105,T5=$Q$106,T5=$Q$107,T5=$Q$114,T5=$Q$115,T5=$Q$116,T5=$Q$123,T5=$Q$124,T5=$Q$125),3,0)))</f>
        <v>1</v>
      </c>
      <c r="F112" s="50">
        <f>IF(OR(W5=$Q$99,W5=$Q$100,W5=$Q$101,W5=$Q$108,W5=$Q$109,W5=$Q$110,W5=$Q$117,W5=$Q$118,W5=$Q$119),1,IF(OR(W5=$Q$102,W5=$Q$103,W5=$Q$104,W5=$Q$111,W5=$Q$112,W5=$Q$113,W5=$Q$120,W5=$Q$121,W5=$Q$122),2,IF(OR(W5=$Q$105,W5=$Q$106,W5=$Q$107,W5=$Q$114,W5=$Q$115,W5=$Q$116,W5=$Q$123,W5=$Q$124,W5=$Q$125),3,0)))</f>
        <v>2</v>
      </c>
      <c r="G112" s="52"/>
      <c r="H112" s="50">
        <f>(100*D111)+(10*D112)+D113</f>
        <v>111</v>
      </c>
      <c r="Q112" s="52" t="s">
        <v>78</v>
      </c>
      <c r="T112" s="166">
        <v>14</v>
      </c>
    </row>
    <row r="113" spans="1:20" x14ac:dyDescent="0.2">
      <c r="A113" s="52" t="s">
        <v>195</v>
      </c>
      <c r="B113" s="50">
        <f>IF(OR(Q5=$Q$99,Q5=$Q$102,Q5=$Q$105,Q5=$Q$108,Q5=$Q$111,Q5=$Q$114,Q5=$Q$117,Q5=$Q$120,Q5=$Q$123),1,IF(OR(Q5=$Q$100,Q5=$Q$103,Q5=$Q$106,Q5=$Q$109,Q5=$Q$112,Q5=$Q$115,Q5=$Q$118,Q5=$Q$121,Q5=$Q$124),2,IF(OR(Q5=$Q$101,Q5=$Q$104,Q5=$Q$107,Q5=$Q$110,Q5=$Q$113,Q5=$Q$116,Q5=$Q$119,Q5=$Q$122,Q5=$Q$125),3,0)))</f>
        <v>1</v>
      </c>
      <c r="D113" s="50">
        <f>IF(OR(T5=$Q$99,T5=$Q$102,T5=$Q$105,T5=$Q$108,T5=$Q$111,T5=$Q$114,T5=$Q$117,T5=$Q$120,T5=$Q$123),1,IF(OR(T5=$Q$100,T5=$Q$103,T5=$Q$106,T5=$Q$109,T5=$Q$112,T5=$Q$115,T5=$Q$118,T5=$Q$121,T5=$Q$124),2,IF(OR(T5=$Q$101,T5=$Q$104,T5=$Q$107,T5=$Q$110,T5=$Q$113,T5=$Q$116,T5=$Q$119,T5=$Q$122,T5=$Q$125),3,0)))</f>
        <v>1</v>
      </c>
      <c r="F113" s="50">
        <f>IF(OR(W5=$Q$99,W5=$Q$102,W5=$Q$105,W5=$Q$108,W5=$Q$111,W5=$Q$114,W5=$Q$117,W5=$Q$120,W5=$Q$123),1,IF(OR(W5=$Q$100,W5=$Q$103,W5=$Q$106,W5=$Q$109,W5=$Q$112,W5=$Q$115,W5=$Q$118,W5=$Q$121,W5=$Q$124),2,IF(OR(W5=$Q$101,W5=$Q$104,W5=$Q$107,W5=$Q$110,W5=$Q$113,W5=$Q$116,W5=$Q$119,W5=$Q$122,W5=$Q$125),3,0)))</f>
        <v>3</v>
      </c>
      <c r="H113" s="50">
        <f>(100*D115)+(10*D116)+D117</f>
        <v>313</v>
      </c>
      <c r="Q113" s="52" t="s">
        <v>79</v>
      </c>
      <c r="T113" s="166">
        <v>15</v>
      </c>
    </row>
    <row r="114" spans="1:20" x14ac:dyDescent="0.2">
      <c r="B114" s="52" t="s">
        <v>202</v>
      </c>
      <c r="D114" s="52" t="s">
        <v>202</v>
      </c>
      <c r="F114" s="52" t="s">
        <v>202</v>
      </c>
      <c r="G114" s="52"/>
      <c r="H114" s="50">
        <f>100*D119+10*D120+D121</f>
        <v>113</v>
      </c>
      <c r="Q114" s="52" t="s">
        <v>16</v>
      </c>
      <c r="T114" s="166">
        <v>16</v>
      </c>
    </row>
    <row r="115" spans="1:20" x14ac:dyDescent="0.2">
      <c r="A115" s="52" t="s">
        <v>194</v>
      </c>
      <c r="B115" s="50">
        <f>IF(OR(Q6=$Q$99,Q6=$Q$100,Q6=$Q$101,Q6=$Q$102,Q6=$Q$103,Q6=$Q$104,Q6=$Q$105,Q6=$Q$106,Q6=$Q$107),1,IF(OR(Q6=$Q$108,Q6=$Q$109,Q6=$Q$110,Q6=$Q$111,Q6=$Q$112,Q6=$Q$113,Q6=$Q$114,Q6=$Q$115,Q6=$Q$116),2,IF(OR(Q6=$Q$117,Q6=$Q$118,Q6=$Q$119,Q6=$Q$120,Q6=$Q$121,Q6=$Q$122,Q6=$Q$123,Q6=$Q$124,Q6=$Q$125),3,0)))</f>
        <v>1</v>
      </c>
      <c r="D115" s="50">
        <f>IF(OR(T6=$Q$99,T6=$Q$100,T6=$Q$101,T6=$Q$102,T6=$Q$103,T6=$Q$104,T6=$Q$105,T6=$Q$106,T6=$Q$107),1,IF(OR(T6=$Q$108,T6=$Q$109,T6=$Q$110,T6=$Q$111,T6=$Q$112,T6=$Q$113,T6=$Q$114,T6=$Q$115,T6=$Q$116),2,IF(OR(T6=$Q$117,T6=$Q$118,T6=$Q$119,T6=$Q$120,T6=$Q$121,T6=$Q$122,T6=$Q$123,T6=$Q$124,T6=$Q$125),3,0)))</f>
        <v>3</v>
      </c>
      <c r="F115" s="50">
        <f>IF(OR(W6=$Q$99,W6=$Q$100,W6=$Q$101,W6=$Q$102,W6=$Q$103,W6=$Q$104,W6=$Q$105,W6=$Q$106,W6=$Q$107),1,IF(OR(W6=$Q$108,W6=$Q$109,W6=$Q$110,W6=$Q$111,W6=$Q$112,W6=$Q$113,W6=$Q$114,W6=$Q$115,W6=$Q$116),2,IF(OR(W6=$Q$117,W6=$Q$118,W6=$Q$119,W6=$Q$120,W6=$Q$121,W6=$Q$122,W6=$Q$123,W6=$Q$124,W6=$Q$125),3,0)))</f>
        <v>1</v>
      </c>
      <c r="G115" s="52"/>
      <c r="Q115" s="52" t="s">
        <v>80</v>
      </c>
      <c r="T115" s="166">
        <v>17</v>
      </c>
    </row>
    <row r="116" spans="1:20" x14ac:dyDescent="0.2">
      <c r="A116" s="52" t="s">
        <v>193</v>
      </c>
      <c r="B116" s="50">
        <f>IF(OR(Q6=$Q$99,Q6=$Q$100,Q6=$Q$101,Q6=$Q$108,Q6=$Q$109,Q6=$Q$110,Q6=$Q$117,Q6=$Q$118,Q6=$Q$119),1,IF(OR(Q6=$Q$102,Q6=$Q$103,Q6=$Q$104,Q6=$Q$111,Q6=$Q$112,Q6=$Q$113,Q6=$Q$120,Q6=$Q$121,Q6=$Q$122),2,IF(OR(Q6=$Q$105,Q6=$Q$106,Q6=$Q$107,Q6=$Q$114,Q6=$Q$115,Q6=$Q$116,Q6=$Q$123,Q6=$Q$124,Q6=$Q$125),3,0)))</f>
        <v>2</v>
      </c>
      <c r="D116" s="50">
        <f>IF(OR(T6=$Q$99,T6=$Q$100,T6=$Q$101,T6=$Q$108,T6=$Q$109,T6=$Q$110,T6=$Q$117,T6=$Q$118,T6=$Q$119),1,IF(OR(T6=$Q$102,T6=$Q$103,T6=$Q$104,T6=$Q$111,T6=$Q$112,T6=$Q$113,T6=$Q$120,T6=$Q$121,T6=$Q$122),2,IF(OR(T6=$Q$105,T6=$Q$106,T6=$Q$107,T6=$Q$114,T6=$Q$115,T6=$Q$116,T6=$Q$123,T6=$Q$124,T6=$Q$125),3,0)))</f>
        <v>1</v>
      </c>
      <c r="F116" s="50">
        <f>IF(OR(W6=$Q$99,W6=$Q$100,W6=$Q$101,W6=$Q$108,W6=$Q$109,W6=$Q$110,W6=$Q$117,W6=$Q$118,W6=$Q$119),1,IF(OR(W6=$Q$102,W6=$Q$103,W6=$Q$104,W6=$Q$111,W6=$Q$112,W6=$Q$113,W6=$Q$120,W6=$Q$121,W6=$Q$122),2,IF(OR(W6=$Q$105,W6=$Q$106,W6=$Q$107,W6=$Q$114,W6=$Q$115,W6=$Q$116,W6=$Q$123,W6=$Q$124,W6=$Q$125),3,0)))</f>
        <v>3</v>
      </c>
      <c r="G116" s="52"/>
      <c r="Q116" s="52" t="s">
        <v>81</v>
      </c>
      <c r="T116" s="166">
        <v>18</v>
      </c>
    </row>
    <row r="117" spans="1:20" x14ac:dyDescent="0.2">
      <c r="A117" s="52" t="s">
        <v>195</v>
      </c>
      <c r="B117" s="50">
        <f>IF(OR(Q6=$Q$99,Q6=$Q$102,Q6=$Q$105,Q6=$Q$108,Q6=$Q$111,Q6=$Q$114,Q6=$Q$117,Q6=$Q$120,Q6=$Q$123),1,IF(OR(Q6=$Q$100,Q6=$Q$103,Q6=$Q$106,Q6=$Q$109,Q6=$Q$112,Q6=$Q$115,Q6=$Q$118,Q6=$Q$121,Q6=$Q$124),2,IF(OR(Q6=$Q$101,Q6=$Q$104,Q6=$Q$107,Q6=$Q$110,Q6=$Q$113,Q6=$Q$116,Q6=$Q$119,Q6=$Q$122,Q6=$Q$125),3,0)))</f>
        <v>3</v>
      </c>
      <c r="D117" s="50">
        <f>IF(OR(T6=$Q$99,T6=$Q$102,T6=$Q$105,T6=$Q$108,T6=$Q$111,T6=$Q$114,T6=$Q$117,T6=$Q$120,T6=$Q$123),1,IF(OR(T6=$Q$100,T6=$Q$103,T6=$Q$106,T6=$Q$109,T6=$Q$112,T6=$Q$115,T6=$Q$118,T6=$Q$121,T6=$Q$124),2,IF(OR(T6=$Q$101,T6=$Q$104,T6=$Q$107,T6=$Q$110,T6=$Q$113,T6=$Q$116,T6=$Q$119,T6=$Q$122,T6=$Q$125),3,0)))</f>
        <v>3</v>
      </c>
      <c r="F117" s="50">
        <f>IF(OR(W6=$Q$99,W6=$Q$102,W6=$Q$105,W6=$Q$108,W6=$Q$111,W6=$Q$114,W6=$Q$117,W6=$Q$120,W6=$Q$123),1,IF(OR(W6=$Q$100,W6=$Q$103,W6=$Q$106,W6=$Q$109,W6=$Q$112,W6=$Q$115,W6=$Q$118,W6=$Q$121,W6=$Q$124),2,IF(OR(W6=$Q$101,W6=$Q$104,W6=$Q$107,W6=$Q$110,W6=$Q$113,W6=$Q$116,W6=$Q$119,W6=$Q$122,W6=$Q$125),3,0)))</f>
        <v>1</v>
      </c>
      <c r="Q117" s="52" t="s">
        <v>82</v>
      </c>
      <c r="T117" s="166">
        <v>19</v>
      </c>
    </row>
    <row r="118" spans="1:20" x14ac:dyDescent="0.2">
      <c r="B118" s="52" t="s">
        <v>203</v>
      </c>
      <c r="D118" s="52" t="s">
        <v>203</v>
      </c>
      <c r="F118" s="52" t="s">
        <v>203</v>
      </c>
      <c r="G118" s="52"/>
      <c r="H118" s="52" t="s">
        <v>205</v>
      </c>
      <c r="Q118" s="52" t="s">
        <v>151</v>
      </c>
      <c r="T118" s="166">
        <v>20</v>
      </c>
    </row>
    <row r="119" spans="1:20" x14ac:dyDescent="0.2">
      <c r="A119" s="52" t="s">
        <v>194</v>
      </c>
      <c r="B119" s="50">
        <f>IF(OR(Q7=$Q$99,Q7=$Q$100,Q7=$Q$101,Q7=$Q$102,Q7=$Q$103,Q7=$Q$104,Q7=$Q$105,Q7=$Q$106,Q7=$Q$107),1,IF(OR(Q7=$Q$108,Q7=$Q$109,Q7=$Q$110,Q7=$Q$111,Q7=$Q$112,Q7=$Q$113,Q7=$Q$114,Q7=$Q$115,Q7=$Q$116),2,IF(OR(Q7=$Q$117,Q7=$Q$118,Q7=$Q$119,Q7=$Q$120,Q7=$Q$121,Q7=$Q$122,Q7=$Q$123,Q7=$Q$124,Q7=$Q$125),3,0)))</f>
        <v>3</v>
      </c>
      <c r="D119" s="50">
        <f>IF(OR(T7=$Q$99,T7=$Q$100,T7=$Q$101,T7=$Q$102,T7=$Q$103,T7=$Q$104,T7=$Q$105,T7=$Q$106,T7=$Q$107),1,IF(OR(T7=$Q$108,T7=$Q$109,T7=$Q$110,T7=$Q$111,T7=$Q$112,T7=$Q$113,T7=$Q$114,T7=$Q$115,T7=$Q$116),2,IF(OR(T7=$Q$117,T7=$Q$118,T7=$Q$119,T7=$Q$120,T7=$Q$121,T7=$Q$122,T7=$Q$123,T7=$Q$124,T7=$Q$125),3,0)))</f>
        <v>1</v>
      </c>
      <c r="F119" s="50">
        <f>IF(OR(W7=$Q$99,W7=$Q$100,W7=$Q$101,W7=$Q$102,W7=$Q$103,W7=$Q$104,W7=$Q$105,W7=$Q$106,W7=$Q$107),1,IF(OR(W7=$Q$108,W7=$Q$109,W7=$Q$110,W7=$Q$111,W7=$Q$112,W7=$Q$113,W7=$Q$114,W7=$Q$115,W7=$Q$116),2,IF(OR(W7=$Q$117,W7=$Q$118,W7=$Q$119,W7=$Q$120,W7=$Q$121,W7=$Q$122,W7=$Q$123,W7=$Q$124,W7=$Q$125),3,0)))</f>
        <v>1</v>
      </c>
      <c r="G119" s="52"/>
      <c r="H119" s="50">
        <f>(100*F99)+(10*F100)+F101</f>
        <v>123</v>
      </c>
      <c r="Q119" s="52" t="s">
        <v>169</v>
      </c>
      <c r="T119" s="166">
        <v>21</v>
      </c>
    </row>
    <row r="120" spans="1:20" x14ac:dyDescent="0.2">
      <c r="A120" s="52" t="s">
        <v>193</v>
      </c>
      <c r="B120" s="50">
        <f>IF(OR(Q7=$Q$99,Q7=$Q$100,Q7=$Q$101,Q7=$Q$108,Q7=$Q$109,Q7=$Q$110,Q7=$Q$117,Q7=$Q$118,Q7=$Q$119),1,IF(OR(Q7=$Q$102,Q7=$Q$103,Q7=$Q$104,Q7=$Q$111,Q7=$Q$112,Q7=$Q$113,Q7=$Q$120,Q7=$Q$121,Q7=$Q$122),2,IF(OR(Q7=$Q$105,Q7=$Q$106,Q7=$Q$107,Q7=$Q$114,Q7=$Q$115,Q7=$Q$116,Q7=$Q$123,Q7=$Q$124,Q7=$Q$125),3,0)))</f>
        <v>2</v>
      </c>
      <c r="D120" s="50">
        <f>IF(OR(T7=$Q$99,T7=$Q$100,T7=$Q$101,T7=$Q$108,T7=$Q$109,T7=$Q$110,T7=$Q$117,T7=$Q$118,T7=$Q$119),1,IF(OR(T7=$Q$102,T7=$Q$103,T7=$Q$104,T7=$Q$111,T7=$Q$112,T7=$Q$113,T7=$Q$120,T7=$Q$121,T7=$Q$122),2,IF(OR(T7=$Q$105,T7=$Q$106,T7=$Q$107,T7=$Q$114,T7=$Q$115,T7=$Q$116,T7=$Q$123,T7=$Q$124,T7=$Q$125),3,0)))</f>
        <v>1</v>
      </c>
      <c r="F120" s="50">
        <f>IF(OR(W7=$Q$99,W7=$Q$100,W7=$Q$101,W7=$Q$108,W7=$Q$109,W7=$Q$110,W7=$Q$117,W7=$Q$118,W7=$Q$119),1,IF(OR(W7=$Q$102,W7=$Q$103,W7=$Q$104,W7=$Q$111,W7=$Q$112,W7=$Q$113,W7=$Q$120,W7=$Q$121,W7=$Q$122),2,IF(OR(W7=$Q$105,W7=$Q$106,W7=$Q$107,W7=$Q$114,W7=$Q$115,W7=$Q$116,W7=$Q$123,W7=$Q$124,W7=$Q$125),3,0)))</f>
        <v>1</v>
      </c>
      <c r="G120" s="52"/>
      <c r="H120" s="50">
        <f>(100*F103)+(10*F104)+F105</f>
        <v>123</v>
      </c>
      <c r="Q120" s="52" t="s">
        <v>17</v>
      </c>
      <c r="T120" s="166">
        <v>22</v>
      </c>
    </row>
    <row r="121" spans="1:20" x14ac:dyDescent="0.2">
      <c r="A121" s="52" t="s">
        <v>195</v>
      </c>
      <c r="B121" s="50">
        <f>IF(OR(Q7=$Q$99,Q7=$Q$102,Q7=$Q$105,Q7=$Q$108,Q7=$Q$111,Q7=$Q$114,Q7=$Q$117,Q7=$Q$120,Q7=$Q$123),1,IF(OR(Q7=$Q$100,Q7=$Q$103,Q7=$Q$106,Q7=$Q$109,Q7=$Q$112,Q7=$Q$115,Q7=$Q$118,Q7=$Q$121,Q7=$Q$124),2,IF(OR(Q7=$Q$101,Q7=$Q$104,Q7=$Q$107,Q7=$Q$110,Q7=$Q$113,Q7=$Q$116,Q7=$Q$119,Q7=$Q$122,Q7=$Q$125),3,0)))</f>
        <v>3</v>
      </c>
      <c r="D121" s="50">
        <f>IF(OR(T7=$Q$99,T7=$Q$102,T7=$Q$105,T7=$Q$108,T7=$Q$111,T7=$Q$114,T7=$Q$117,T7=$Q$120,T7=$Q$123),1,IF(OR(T7=$Q$100,T7=$Q$103,T7=$Q$106,T7=$Q$109,T7=$Q$112,T7=$Q$115,T7=$Q$118,T7=$Q$121,T7=$Q$124),2,IF(OR(T7=$Q$101,T7=$Q$104,T7=$Q$107,T7=$Q$110,T7=$Q$113,T7=$Q$116,T7=$Q$119,T7=$Q$122,T7=$Q$125),3,0)))</f>
        <v>3</v>
      </c>
      <c r="F121" s="50">
        <f>IF(OR(W7=$Q$99,W7=$Q$102,W7=$Q$105,W7=$Q$108,W7=$Q$111,W7=$Q$114,W7=$Q$117,W7=$Q$120,W7=$Q$123),1,IF(OR(W7=$Q$100,W7=$Q$103,W7=$Q$106,W7=$Q$109,W7=$Q$112,W7=$Q$115,W7=$Q$118,W7=$Q$121,W7=$Q$124),2,IF(OR(W7=$Q$101,W7=$Q$104,W7=$Q$107,W7=$Q$110,W7=$Q$113,W7=$Q$116,W7=$Q$119,W7=$Q$122,W7=$Q$125),3,0)))</f>
        <v>2</v>
      </c>
      <c r="H121" s="50">
        <f>100*F107+10*F108+F109</f>
        <v>121</v>
      </c>
      <c r="Q121" s="52" t="s">
        <v>83</v>
      </c>
      <c r="T121" s="166">
        <v>23</v>
      </c>
    </row>
    <row r="122" spans="1:20" x14ac:dyDescent="0.2">
      <c r="H122" s="50">
        <f>(100*F111)+(10*F112)+F113</f>
        <v>123</v>
      </c>
      <c r="Q122" s="52" t="s">
        <v>84</v>
      </c>
      <c r="T122" s="166">
        <v>24</v>
      </c>
    </row>
    <row r="123" spans="1:20" x14ac:dyDescent="0.2">
      <c r="B123" s="52" t="s">
        <v>207</v>
      </c>
      <c r="D123" s="52" t="s">
        <v>206</v>
      </c>
      <c r="F123" s="52" t="s">
        <v>208</v>
      </c>
      <c r="H123" s="50">
        <f>(100*F115)+(10*F116)+F117</f>
        <v>131</v>
      </c>
      <c r="Q123" s="50" t="s">
        <v>85</v>
      </c>
      <c r="T123" s="166">
        <v>25</v>
      </c>
    </row>
    <row r="124" spans="1:20" x14ac:dyDescent="0.2">
      <c r="B124" s="52" t="s">
        <v>198</v>
      </c>
      <c r="D124" s="52" t="s">
        <v>198</v>
      </c>
      <c r="F124" s="52" t="s">
        <v>198</v>
      </c>
      <c r="H124" s="50">
        <f>100*F119+10*F120+F121</f>
        <v>112</v>
      </c>
      <c r="Q124" s="52" t="s">
        <v>191</v>
      </c>
      <c r="T124" s="166">
        <v>26</v>
      </c>
    </row>
    <row r="125" spans="1:20" x14ac:dyDescent="0.2">
      <c r="A125" s="52" t="s">
        <v>194</v>
      </c>
      <c r="B125" s="50">
        <f>IF(OR(Z2=$Q$99,Z2=$Q$100,Z2=$Q$101,Z2=$Q$102,Z2=$Q$103,Z2=$Q$104,Z2=$Q$105,Z2=$Q$106,Z2=$Q$107),1,IF(OR(Z2=$Q$108,Z2=$Q$109,Z2=$Q$110,Z2=$Q$111,Z2=$Q$112,Z2=$Q$113,Z2=$Q$114,Z2=$Q$115,Z2=$Q$116),2,IF(OR(Z2=$Q$117,Z2=$Q$118,Z2=$Q$119,Z2=$Q$120,Z2=$Q$121,Z2=$Q$122,Z2=$Q$123,Z2=$Q$124,Z2=$Q$125),3,0)))</f>
        <v>1</v>
      </c>
      <c r="C125" s="52"/>
      <c r="D125" s="50">
        <f>IF(OR(AC2=$Q$99,AC2=$Q$100,AC2=$Q$101,AC2=$Q$102,AC2=$Q$103,AC2=$Q$104,AC2=$Q$105,AC2=$Q$106,AC2=$Q$107),1,IF(OR(AC2=$Q$108,AC2=$Q$109,AC2=$Q$110,AC2=$Q$111,AC2=$Q$112,AC2=$Q$113,AC2=$Q$114,AC2=$Q$115,AC2=$Q$116),2,IF(OR(AC2=$Q$117,AC2=$Q$118,AC2=$Q$119,AC2=$Q$120,AC2=$Q$121,AC2=$Q$122,AC2=$Q$123,AC2=$Q$124,AC2=$Q$125),3,0)))</f>
        <v>1</v>
      </c>
      <c r="F125" s="50">
        <f>IF(OR(AF2=$Q$99,AF2=$Q$100,AF2=$Q$101,AF2=$Q$102,AF2=$Q$103,AF2=$Q$104,AF2=$Q$105,AF2=$Q$106,AF2=$Q$107),1,IF(OR(AF2=$Q$108,AF2=$Q$109,AF2=$Q$110,AF2=$Q$111,AF2=$Q$112,AF2=$Q$113,AF2=$Q$114,AF2=$Q$115,AF2=$Q$116),2,IF(OR(AF2=$Q$117,AF2=$Q$118,AF2=$Q$119,AF2=$Q$120,AF2=$Q$121,AF2=$Q$122,AF2=$Q$123,AF2=$Q$124,AF2=$Q$125),3,0)))</f>
        <v>1</v>
      </c>
      <c r="Q125" s="52" t="s">
        <v>192</v>
      </c>
      <c r="T125" s="166">
        <v>27</v>
      </c>
    </row>
    <row r="126" spans="1:20" x14ac:dyDescent="0.2">
      <c r="A126" s="52" t="s">
        <v>193</v>
      </c>
      <c r="B126" s="50">
        <f>IF(OR(Z2=$Q$99,Z2=$Q$100,Z2=$Q$101,Z2=$Q$108,Z2=$Q$109,Z2=$Q$110,Z2=$Q$117,Z2=$Q$118,Z2=$Q$119),1,IF(OR(Z2=$Q$102,Z2=$Q$103,Z2=$Q$104,Z2=$Q$111,Z2=$Q$112,Z2=$Q$113,Z2=$Q$120,Z2=$Q$121,Z2=$Q$122),2,IF(OR(Z2=$Q$105,Z2=$Q$106,Z2=$Q$107,Z2=$Q$114,Z2=$Q$115,Z2=$Q$116,Z2=$Q$123,Z2=$Q$124,Z2=$Q$125),3,0)))</f>
        <v>2</v>
      </c>
      <c r="D126" s="50">
        <f>IF(OR(AC2=$Q$99,AC2=$Q$100,AC2=$Q$101,AC2=$Q$108,AC2=$Q$109,AC2=$Q$110,AC2=$Q$117,AC2=$Q$118,AC2=$Q$119),1,IF(OR(AC2=$Q$102,AC2=$Q$103,AC2=$Q$104,AC2=$Q$111,AC2=$Q$112,AC2=$Q$113,AC2=$Q$120,AC2=$Q$121,AC2=$Q$122),2,IF(OR(AC2=$Q$105,AC2=$Q$106,AC2=$Q$107,AC2=$Q$114,AC2=$Q$115,AC2=$Q$116,AC2=$Q$123,AC2=$Q$124,AC2=$Q$125),3,0)))</f>
        <v>2</v>
      </c>
      <c r="F126" s="50">
        <f>IF(OR(AF2=$Q$99,AF2=$Q$100,AF2=$Q$101,AF2=$Q$108,AF2=$Q$109,AF2=$Q$110,AF2=$Q$117,AF2=$Q$118,AF2=$Q$119),1,IF(OR(AF2=$Q$102,AF2=$Q$103,AF2=$Q$104,AF2=$Q$111,AF2=$Q$112,AF2=$Q$113,AF2=$Q$120,AF2=$Q$121,AF2=$Q$122),2,IF(OR(AF2=$Q$105,AF2=$Q$106,AF2=$Q$107,AF2=$Q$114,AF2=$Q$115,AF2=$Q$116,AF2=$Q$123,AF2=$Q$124,AF2=$Q$125),3,0)))</f>
        <v>2</v>
      </c>
    </row>
    <row r="127" spans="1:20" x14ac:dyDescent="0.2">
      <c r="A127" s="52" t="s">
        <v>195</v>
      </c>
      <c r="B127" s="50">
        <f>IF(OR(Z2=$Q$99,Z2=$Q$102,Z2=$Q$105,Z2=$Q$108,Z2=$Q$111,Z2=$Q$114,Z2=$Q$117,Z2=$Q$120,Z2=$Q$123),1,IF(OR(Z2=$Q$100,Z2=$Q$103,Z2=$Q$106,Z2=$Q$109,Z2=$Q$112,Z2=$Q$115,Z2=$Q$118,Z2=$Q$121,Z2=$Q$124),2,IF(OR(Z2=$Q$101,Z2=$Q$104,Z2=$Q$107,Z2=$Q$110,Z2=$Q$113,Z2=$Q$116,Z2=$Q$119,Z2=$Q$122,Z2=$Q$125),3,0)))</f>
        <v>1</v>
      </c>
      <c r="D127" s="50">
        <f>IF(OR(AC2=$Q$99,AC2=$Q$102,AC2=$Q$105,AC2=$Q$108,AC2=$Q$111,AC2=$Q$114,AC2=$Q$117,AC2=$Q$120,AC2=$Q$123),1,IF(OR(AC2=$Q$100,AC2=$Q$103,AC2=$Q$106,AC2=$Q$109,AC2=$Q$112,AC2=$Q$115,AC2=$Q$118,AC2=$Q$121,AC2=$Q$124),2,IF(OR(AC2=$Q$101,AC2=$Q$104,AC2=$Q$107,AC2=$Q$110,AC2=$Q$113,AC2=$Q$116,AC2=$Q$119,AC2=$Q$122,AC2=$Q$125),3,0)))</f>
        <v>1</v>
      </c>
      <c r="F127" s="50">
        <f>IF(OR(AF2=$Q$99,AF2=$Q$102,AF2=$Q$105,AF2=$Q$108,AF2=$Q$111,AF2=$Q$114,AF2=$Q$117,AF2=$Q$120,AF2=$Q$123),1,IF(OR(AF2=$Q$100,AF2=$Q$103,AF2=$Q$106,AF2=$Q$109,AF2=$Q$112,AF2=$Q$115,AF2=$Q$118,AF2=$Q$121,AF2=$Q$124),2,IF(OR(AF2=$Q$101,AF2=$Q$104,AF2=$Q$107,AF2=$Q$110,AF2=$Q$113,AF2=$Q$116,AF2=$Q$119,AF2=$Q$122,AF2=$Q$125),3,0)))</f>
        <v>1</v>
      </c>
    </row>
    <row r="128" spans="1:20" x14ac:dyDescent="0.2">
      <c r="B128" s="52" t="s">
        <v>199</v>
      </c>
      <c r="D128" s="52" t="s">
        <v>199</v>
      </c>
      <c r="F128" s="52" t="s">
        <v>199</v>
      </c>
      <c r="G128" s="52"/>
      <c r="H128" s="52" t="s">
        <v>207</v>
      </c>
    </row>
    <row r="129" spans="1:8" x14ac:dyDescent="0.2">
      <c r="A129" s="52" t="s">
        <v>194</v>
      </c>
      <c r="B129" s="50">
        <f>IF(OR(Z3=$Q$99,Z3=$Q$100,Z3=$Q$101,Z3=$Q$102,Z3=$Q$103,Z3=$Q$104,Z3=$Q$105,Z3=$Q$106,Z3=$Q$107),1,IF(OR(Z3=$Q$108,Z3=$Q$109,Z3=$Q$110,Z3=$Q$111,Z3=$Q$112,Z3=$Q$113,Z3=$Q$114,Z3=$Q$115,Z3=$Q$116),2,IF(OR(Z3=$Q$117,Z3=$Q$118,Z3=$Q$119,Z3=$Q$120,Z3=$Q$121,Z3=$Q$122,Z3=$Q$123,Z3=$Q$124,Z3=$Q$125),3,0)))</f>
        <v>1</v>
      </c>
      <c r="D129" s="50">
        <f>IF(OR(AC3=$Q$99,AC3=$Q$100,AC3=$Q$101,AC3=$Q$102,AC3=$Q$103,AC3=$Q$104,AC3=$Q$105,AC3=$Q$106,AC3=$Q$107),1,IF(OR(AC3=$Q$108,AC3=$Q$109,AC3=$Q$110,AC3=$Q$111,AC3=$Q$112,AC3=$Q$113,AC3=$Q$114,AC3=$Q$115,AC3=$Q$116),2,IF(OR(AC3=$Q$117,AC3=$Q$118,AC3=$Q$119,AC3=$Q$120,AC3=$Q$121,AC3=$Q$122,AC3=$Q$123,AC3=$Q$124,AC3=$Q$125),3,0)))</f>
        <v>1</v>
      </c>
      <c r="F129" s="50">
        <f>IF(OR(AF3=$Q$99,AF3=$Q$100,AF3=$Q$101,AF3=$Q$102,AF3=$Q$103,AF3=$Q$104,AF3=$Q$105,AF3=$Q$106,AF3=$Q$107),1,IF(OR(AF3=$Q$108,AF3=$Q$109,AF3=$Q$110,AF3=$Q$111,AF3=$Q$112,AF3=$Q$113,AF3=$Q$114,AF3=$Q$115,AF3=$Q$116),2,IF(OR(AF3=$Q$117,AF3=$Q$118,AF3=$Q$119,AF3=$Q$120,AF3=$Q$121,AF3=$Q$122,AF3=$Q$123,AF3=$Q$124,AF3=$Q$125),3,0)))</f>
        <v>1</v>
      </c>
      <c r="G129" s="52"/>
      <c r="H129" s="50">
        <f>(100*B125)+(10*B126)+B127</f>
        <v>121</v>
      </c>
    </row>
    <row r="130" spans="1:8" x14ac:dyDescent="0.2">
      <c r="A130" s="52" t="s">
        <v>193</v>
      </c>
      <c r="B130" s="50">
        <f>IF(OR(Z3=$Q$99,Z3=$Q$100,Z3=$Q$101,Z3=$Q$108,Z3=$Q$109,Z3=$Q$110,Z3=$Q$117,Z3=$Q$118,Z3=$Q$119),1,IF(OR(Z3=$Q$102,Z3=$Q$103,Z3=$Q$104,Z3=$Q$111,Z3=$Q$112,Z3=$Q$113,Z3=$Q$120,Z3=$Q$121,Z3=$Q$122),2,IF(OR(Z3=$Q$105,Z3=$Q$106,Z3=$Q$107,Z3=$Q$114,Z3=$Q$115,Z3=$Q$116,Z3=$Q$123,Z3=$Q$124,Z3=$Q$125),3,0)))</f>
        <v>2</v>
      </c>
      <c r="D130" s="50">
        <f>IF(OR(AC3=$Q$99,AC3=$Q$100,AC3=$Q$101,AC3=$Q$108,AC3=$Q$109,AC3=$Q$110,AC3=$Q$117,AC3=$Q$118,AC3=$Q$119),1,IF(OR(AC3=$Q$102,AC3=$Q$103,AC3=$Q$104,AC3=$Q$111,AC3=$Q$112,AC3=$Q$113,AC3=$Q$120,AC3=$Q$121,AC3=$Q$122),2,IF(OR(AC3=$Q$105,AC3=$Q$106,AC3=$Q$107,AC3=$Q$114,AC3=$Q$115,AC3=$Q$116,AC3=$Q$123,AC3=$Q$124,AC3=$Q$125),3,0)))</f>
        <v>2</v>
      </c>
      <c r="F130" s="50">
        <f>IF(OR(AF3=$Q$99,AF3=$Q$100,AF3=$Q$101,AF3=$Q$108,AF3=$Q$109,AF3=$Q$110,AF3=$Q$117,AF3=$Q$118,AF3=$Q$119),1,IF(OR(AF3=$Q$102,AF3=$Q$103,AF3=$Q$104,AF3=$Q$111,AF3=$Q$112,AF3=$Q$113,AF3=$Q$120,AF3=$Q$121,AF3=$Q$122),2,IF(OR(AF3=$Q$105,AF3=$Q$106,AF3=$Q$107,AF3=$Q$114,AF3=$Q$115,AF3=$Q$116,AF3=$Q$123,AF3=$Q$124,AF3=$Q$125),3,0)))</f>
        <v>1</v>
      </c>
      <c r="G130" s="52"/>
      <c r="H130" s="50">
        <f>(100*B129)+(10*B130)+B131</f>
        <v>123</v>
      </c>
    </row>
    <row r="131" spans="1:8" x14ac:dyDescent="0.2">
      <c r="A131" s="52" t="s">
        <v>195</v>
      </c>
      <c r="B131" s="50">
        <f>IF(OR(Z3=$Q$99,Z3=$Q$102,Z3=$Q$105,Z3=$Q$108,Z3=$Q$111,Z3=$Q$114,Z3=$Q$117,Z3=$Q$120,Z3=$Q$123),1,IF(OR(Z3=$Q$100,Z3=$Q$103,Z3=$Q$106,Z3=$Q$109,Z3=$Q$112,Z3=$Q$115,Z3=$Q$118,Z3=$Q$121,Z3=$Q$124),2,IF(OR(Z3=$Q$101,Z3=$Q$104,Z3=$Q$107,Z3=$Q$110,Z3=$Q$113,Z3=$Q$116,Z3=$Q$119,Z3=$Q$122,Z3=$Q$125),3,0)))</f>
        <v>3</v>
      </c>
      <c r="D131" s="50">
        <f>IF(OR(AC3=$Q$99,AC3=$Q$102,AC3=$Q$105,AC3=$Q$108,AC3=$Q$111,AC3=$Q$114,AC3=$Q$117,AC3=$Q$120,AC3=$Q$123),1,IF(OR(AC3=$Q$100,AC3=$Q$103,AC3=$Q$106,AC3=$Q$109,AC3=$Q$112,AC3=$Q$115,AC3=$Q$118,AC3=$Q$121,AC3=$Q$124),2,IF(OR(AC3=$Q$101,AC3=$Q$104,AC3=$Q$107,AC3=$Q$110,AC3=$Q$113,AC3=$Q$116,AC3=$Q$119,AC3=$Q$122,AC3=$Q$125),3,0)))</f>
        <v>2</v>
      </c>
      <c r="F131" s="50">
        <f>IF(OR(AF3=$Q$99,AF3=$Q$102,AF3=$Q$105,AF3=$Q$108,AF3=$Q$111,AF3=$Q$114,AF3=$Q$117,AF3=$Q$120,AF3=$Q$123),1,IF(OR(AF3=$Q$100,AF3=$Q$103,AF3=$Q$106,AF3=$Q$109,AF3=$Q$112,AF3=$Q$115,AF3=$Q$118,AF3=$Q$121,AF3=$Q$124),2,IF(OR(AF3=$Q$101,AF3=$Q$104,AF3=$Q$107,AF3=$Q$110,AF3=$Q$113,AF3=$Q$116,AF3=$Q$119,AF3=$Q$122,AF3=$Q$125),3,0)))</f>
        <v>3</v>
      </c>
      <c r="H131" s="50">
        <f>(100*B133)+(10*B134)+B135</f>
        <v>311</v>
      </c>
    </row>
    <row r="132" spans="1:8" x14ac:dyDescent="0.2">
      <c r="B132" s="52" t="s">
        <v>200</v>
      </c>
      <c r="D132" s="52" t="s">
        <v>200</v>
      </c>
      <c r="F132" s="52" t="s">
        <v>200</v>
      </c>
      <c r="G132" s="52"/>
      <c r="H132" s="50">
        <f>(100*B137)+(10*B138)+B139</f>
        <v>212</v>
      </c>
    </row>
    <row r="133" spans="1:8" x14ac:dyDescent="0.2">
      <c r="A133" s="52" t="s">
        <v>194</v>
      </c>
      <c r="B133" s="50">
        <f>IF(OR(Z4=$Q$99,Z4=$Q$100,Z4=$Q$101,Z4=$Q$102,Z4=$Q$103,Z4=$Q$104,Z4=$Q$105,Z4=$Q$106,Z4=$Q$107),1,IF(OR(Z4=$Q$108,Z4=$Q$109,Z4=$Q$110,Z4=$Q$111,Z4=$Q$112,Z4=$Q$113,Z4=$Q$114,Z4=$Q$115,Z4=$Q$116),2,IF(OR(Z4=$Q$117,Z4=$Q$118,Z4=$Q$119,Z4=$Q$120,Z4=$Q$121,Z4=$Q$122,Z4=$Q$123,Z4=$Q$124,Z4=$Q$125),3,0)))</f>
        <v>3</v>
      </c>
      <c r="D133" s="50">
        <f>IF(OR(AC4=$Q$99,AC4=$Q$100,AC4=$Q$101,AC4=$Q$102,AC4=$Q$103,AC4=$Q$104,AC4=$Q$105,AC4=$Q$106,AC4=$Q$107),1,IF(OR(AC4=$Q$108,AC4=$Q$109,AC4=$Q$110,AC4=$Q$111,AC4=$Q$112,AC4=$Q$113,AC4=$Q$114,AC4=$Q$115,AC4=$Q$116),2,IF(OR(AC4=$Q$117,AC4=$Q$118,AC4=$Q$119,AC4=$Q$120,AC4=$Q$121,AC4=$Q$122,AC4=$Q$123,AC4=$Q$124,AC4=$Q$125),3,0)))</f>
        <v>1</v>
      </c>
      <c r="F133" s="50">
        <f>IF(OR(AF4=$Q$99,AF4=$Q$100,AF4=$Q$101,AF4=$Q$102,AF4=$Q$103,AF4=$Q$104,AF4=$Q$105,AF4=$Q$106,AF4=$Q$107),1,IF(OR(AF4=$Q$108,AF4=$Q$109,AF4=$Q$110,AF4=$Q$111,AF4=$Q$112,AF4=$Q$113,AF4=$Q$114,AF4=$Q$115,AF4=$Q$116),2,IF(OR(AF4=$Q$117,AF4=$Q$118,AF4=$Q$119,AF4=$Q$120,AF4=$Q$121,AF4=$Q$122,AF4=$Q$123,AF4=$Q$124,AF4=$Q$125),3,0)))</f>
        <v>1</v>
      </c>
      <c r="G133" s="52"/>
      <c r="H133" s="50">
        <f>(100*B141)+(10*B142)+B143</f>
        <v>213</v>
      </c>
    </row>
    <row r="134" spans="1:8" x14ac:dyDescent="0.2">
      <c r="A134" s="52" t="s">
        <v>193</v>
      </c>
      <c r="B134" s="50">
        <f>IF(OR(Z4=$Q$99,Z4=$Q$100,Z4=$Q$101,Z4=$Q$108,Z4=$Q$109,Z4=$Q$110,Z4=$Q$117,Z4=$Q$118,Z4=$Q$119),1,IF(OR(Z4=$Q$102,Z4=$Q$103,Z4=$Q$104,Z4=$Q$111,Z4=$Q$112,Z4=$Q$113,Z4=$Q$120,Z4=$Q$121,Z4=$Q$122),2,IF(OR(Z4=$Q$105,Z4=$Q$106,Z4=$Q$107,Z4=$Q$114,Z4=$Q$115,Z4=$Q$116,Z4=$Q$123,Z4=$Q$124,Z4=$Q$125),3,0)))</f>
        <v>1</v>
      </c>
      <c r="D134" s="50">
        <f>IF(OR(AC4=$Q$99,AC4=$Q$100,AC4=$Q$101,AC4=$Q$108,AC4=$Q$109,AC4=$Q$110,AC4=$Q$117,AC4=$Q$118,AC4=$Q$119),1,IF(OR(AC4=$Q$102,AC4=$Q$103,AC4=$Q$104,AC4=$Q$111,AC4=$Q$112,AC4=$Q$113,AC4=$Q$120,AC4=$Q$121,AC4=$Q$122),2,IF(OR(AC4=$Q$105,AC4=$Q$106,AC4=$Q$107,AC4=$Q$114,AC4=$Q$115,AC4=$Q$116,AC4=$Q$123,AC4=$Q$124,AC4=$Q$125),3,0)))</f>
        <v>3</v>
      </c>
      <c r="F134" s="50">
        <f>IF(OR(AF4=$Q$99,AF4=$Q$100,AF4=$Q$101,AF4=$Q$108,AF4=$Q$109,AF4=$Q$110,AF4=$Q$117,AF4=$Q$118,AF4=$Q$119),1,IF(OR(AF4=$Q$102,AF4=$Q$103,AF4=$Q$104,AF4=$Q$111,AF4=$Q$112,AF4=$Q$113,AF4=$Q$120,AF4=$Q$121,AF4=$Q$122),2,IF(OR(AF4=$Q$105,AF4=$Q$106,AF4=$Q$107,AF4=$Q$114,AF4=$Q$115,AF4=$Q$116,AF4=$Q$123,AF4=$Q$124,AF4=$Q$125),3,0)))</f>
        <v>2</v>
      </c>
      <c r="G134" s="52"/>
      <c r="H134" s="50">
        <f>100*B145+10*B146+B147</f>
        <v>221</v>
      </c>
    </row>
    <row r="135" spans="1:8" x14ac:dyDescent="0.2">
      <c r="A135" s="52" t="s">
        <v>195</v>
      </c>
      <c r="B135" s="50">
        <f>IF(OR(Z4=$Q$99,Z4=$Q$102,Z4=$Q$105,Z4=$Q$108,Z4=$Q$111,Z4=$Q$114,Z4=$Q$117,Z4=$Q$120,Z4=$Q$123),1,IF(OR(Z4=$Q$100,Z4=$Q$103,Z4=$Q$106,Z4=$Q$109,Z4=$Q$112,Z4=$Q$115,Z4=$Q$118,Z4=$Q$121,Z4=$Q$124),2,IF(OR(Z4=$Q$101,Z4=$Q$104,Z4=$Q$107,Z4=$Q$110,Z4=$Q$113,Z4=$Q$116,Z4=$Q$119,Z4=$Q$122,Z4=$Q$125),3,0)))</f>
        <v>1</v>
      </c>
      <c r="D135" s="50">
        <f>IF(OR(AC4=$Q$99,AC4=$Q$102,AC4=$Q$105,AC4=$Q$108,AC4=$Q$111,AC4=$Q$114,AC4=$Q$117,AC4=$Q$120,AC4=$Q$123),1,IF(OR(AC4=$Q$100,AC4=$Q$103,AC4=$Q$106,AC4=$Q$109,AC4=$Q$112,AC4=$Q$115,AC4=$Q$118,AC4=$Q$121,AC4=$Q$124),2,IF(OR(AC4=$Q$101,AC4=$Q$104,AC4=$Q$107,AC4=$Q$110,AC4=$Q$113,AC4=$Q$116,AC4=$Q$119,AC4=$Q$122,AC4=$Q$125),3,0)))</f>
        <v>1</v>
      </c>
      <c r="F135" s="50">
        <f>IF(OR(AF4=$Q$99,AF4=$Q$102,AF4=$Q$105,AF4=$Q$108,AF4=$Q$111,AF4=$Q$114,AF4=$Q$117,AF4=$Q$120,AF4=$Q$123),1,IF(OR(AF4=$Q$100,AF4=$Q$103,AF4=$Q$106,AF4=$Q$109,AF4=$Q$112,AF4=$Q$115,AF4=$Q$118,AF4=$Q$121,AF4=$Q$124),2,IF(OR(AF4=$Q$101,AF4=$Q$104,AF4=$Q$107,AF4=$Q$110,AF4=$Q$113,AF4=$Q$116,AF4=$Q$119,AF4=$Q$122,AF4=$Q$125),3,0)))</f>
        <v>3</v>
      </c>
    </row>
    <row r="136" spans="1:8" x14ac:dyDescent="0.2">
      <c r="B136" s="52" t="s">
        <v>201</v>
      </c>
      <c r="D136" s="52" t="s">
        <v>201</v>
      </c>
      <c r="F136" s="52" t="s">
        <v>201</v>
      </c>
      <c r="G136" s="52"/>
    </row>
    <row r="137" spans="1:8" x14ac:dyDescent="0.2">
      <c r="A137" s="52" t="s">
        <v>194</v>
      </c>
      <c r="B137" s="50">
        <f>IF(OR(Z5=$Q$99,Z5=$Q$100,Z5=$Q$101,Z5=$Q$102,Z5=$Q$103,Z5=$Q$104,Z5=$Q$105,Z5=$Q$106,Z5=$Q$107),1,IF(OR(Z5=$Q$108,Z5=$Q$109,Z5=$Q$110,Z5=$Q$111,Z5=$Q$112,Z5=$Q$113,Z5=$Q$114,Z5=$Q$115,Z5=$Q$116),2,IF(OR(Z5=$Q$117,Z5=$Q$118,Z5=$Q$119,Z5=$Q$120,Z5=$Q$121,Z5=$Q$122,Z5=$Q$123,Z5=$Q$124,Z5=$Q$125),3,0)))</f>
        <v>2</v>
      </c>
      <c r="D137" s="50">
        <f>IF(OR(AC5=$Q$99,AC5=$Q$100,AC5=$Q$101,AC5=$Q$102,AC5=$Q$103,AC5=$Q$104,AC5=$Q$105,AC5=$Q$106,AC5=$Q$107),1,IF(OR(AC5=$Q$108,AC5=$Q$109,AC5=$Q$110,AC5=$Q$111,AC5=$Q$112,AC5=$Q$113,AC5=$Q$114,AC5=$Q$115,AC5=$Q$116),2,IF(OR(AC5=$Q$117,AC5=$Q$118,AC5=$Q$119,AC5=$Q$120,AC5=$Q$121,AC5=$Q$122,AC5=$Q$123,AC5=$Q$124,AC5=$Q$125),3,0)))</f>
        <v>1</v>
      </c>
      <c r="F137" s="50">
        <f>IF(OR(AF5=$Q$99,AF5=$Q$100,AF5=$Q$101,AF5=$Q$102,AF5=$Q$103,AF5=$Q$104,AF5=$Q$105,AF5=$Q$106,AF5=$Q$107),1,IF(OR(AF5=$Q$108,AF5=$Q$109,AF5=$Q$110,AF5=$Q$111,AF5=$Q$112,AF5=$Q$113,AF5=$Q$114,AF5=$Q$115,AF5=$Q$116),2,IF(OR(AF5=$Q$117,AF5=$Q$118,AF5=$Q$119,AF5=$Q$120,AF5=$Q$121,AF5=$Q$122,AF5=$Q$123,AF5=$Q$124,AF5=$Q$125),3,0)))</f>
        <v>1</v>
      </c>
      <c r="G137" s="52"/>
    </row>
    <row r="138" spans="1:8" x14ac:dyDescent="0.2">
      <c r="A138" s="52" t="s">
        <v>193</v>
      </c>
      <c r="B138" s="50">
        <f>IF(OR(Z5=$Q$99,Z5=$Q$100,Z5=$Q$101,Z5=$Q$108,Z5=$Q$109,Z5=$Q$110,Z5=$Q$117,Z5=$Q$118,Z5=$Q$119),1,IF(OR(Z5=$Q$102,Z5=$Q$103,Z5=$Q$104,Z5=$Q$111,Z5=$Q$112,Z5=$Q$113,Z5=$Q$120,Z5=$Q$121,Z5=$Q$122),2,IF(OR(Z5=$Q$105,Z5=$Q$106,Z5=$Q$107,Z5=$Q$114,Z5=$Q$115,Z5=$Q$116,Z5=$Q$123,Z5=$Q$124,Z5=$Q$125),3,0)))</f>
        <v>1</v>
      </c>
      <c r="D138" s="50">
        <f>IF(OR(AC5=$Q$99,AC5=$Q$100,AC5=$Q$101,AC5=$Q$108,AC5=$Q$109,AC5=$Q$110,AC5=$Q$117,AC5=$Q$118,AC5=$Q$119),1,IF(OR(AC5=$Q$102,AC5=$Q$103,AC5=$Q$104,AC5=$Q$111,AC5=$Q$112,AC5=$Q$113,AC5=$Q$120,AC5=$Q$121,AC5=$Q$122),2,IF(OR(AC5=$Q$105,AC5=$Q$106,AC5=$Q$107,AC5=$Q$114,AC5=$Q$115,AC5=$Q$116,AC5=$Q$123,AC5=$Q$124,AC5=$Q$125),3,0)))</f>
        <v>1</v>
      </c>
      <c r="F138" s="50">
        <f>IF(OR(AF5=$Q$99,AF5=$Q$100,AF5=$Q$101,AF5=$Q$108,AF5=$Q$109,AF5=$Q$110,AF5=$Q$117,AF5=$Q$118,AF5=$Q$119),1,IF(OR(AF5=$Q$102,AF5=$Q$103,AF5=$Q$104,AF5=$Q$111,AF5=$Q$112,AF5=$Q$113,AF5=$Q$120,AF5=$Q$121,AF5=$Q$122),2,IF(OR(AF5=$Q$105,AF5=$Q$106,AF5=$Q$107,AF5=$Q$114,AF5=$Q$115,AF5=$Q$116,AF5=$Q$123,AF5=$Q$124,AF5=$Q$125),3,0)))</f>
        <v>2</v>
      </c>
      <c r="G138" s="52"/>
      <c r="H138" s="52" t="s">
        <v>206</v>
      </c>
    </row>
    <row r="139" spans="1:8" x14ac:dyDescent="0.2">
      <c r="A139" s="52" t="s">
        <v>195</v>
      </c>
      <c r="B139" s="50">
        <f>IF(OR(Z5=$Q$99,Z5=$Q$102,Z5=$Q$105,Z5=$Q$108,Z5=$Q$111,Z5=$Q$114,Z5=$Q$117,Z5=$Q$120,Z5=$Q$123),1,IF(OR(Z5=$Q$100,Z5=$Q$103,Z5=$Q$106,Z5=$Q$109,Z5=$Q$112,Z5=$Q$115,Z5=$Q$118,Z5=$Q$121,Z5=$Q$124),2,IF(OR(Z5=$Q$101,Z5=$Q$104,Z5=$Q$107,Z5=$Q$110,Z5=$Q$113,Z5=$Q$116,Z5=$Q$119,Z5=$Q$122,Z5=$Q$125),3,0)))</f>
        <v>2</v>
      </c>
      <c r="D139" s="50">
        <f>IF(OR(AC5=$Q$99,AC5=$Q$102,AC5=$Q$105,AC5=$Q$108,AC5=$Q$111,AC5=$Q$114,AC5=$Q$117,AC5=$Q$120,AC5=$Q$123),1,IF(OR(AC5=$Q$100,AC5=$Q$103,AC5=$Q$106,AC5=$Q$109,AC5=$Q$112,AC5=$Q$115,AC5=$Q$118,AC5=$Q$121,AC5=$Q$124),2,IF(OR(AC5=$Q$101,AC5=$Q$104,AC5=$Q$107,AC5=$Q$110,AC5=$Q$113,AC5=$Q$116,AC5=$Q$119,AC5=$Q$122,AC5=$Q$125),3,0)))</f>
        <v>1</v>
      </c>
      <c r="F139" s="50">
        <f>IF(OR(AF5=$Q$99,AF5=$Q$102,AF5=$Q$105,AF5=$Q$108,AF5=$Q$111,AF5=$Q$114,AF5=$Q$117,AF5=$Q$120,AF5=$Q$123),1,IF(OR(AF5=$Q$100,AF5=$Q$103,AF5=$Q$106,AF5=$Q$109,AF5=$Q$112,AF5=$Q$115,AF5=$Q$118,AF5=$Q$121,AF5=$Q$124),2,IF(OR(AF5=$Q$101,AF5=$Q$104,AF5=$Q$107,AF5=$Q$110,AF5=$Q$113,AF5=$Q$116,AF5=$Q$119,AF5=$Q$122,AF5=$Q$125),3,0)))</f>
        <v>2</v>
      </c>
      <c r="H139" s="50">
        <f>(100*D125)+(10*D126)+D127</f>
        <v>121</v>
      </c>
    </row>
    <row r="140" spans="1:8" x14ac:dyDescent="0.2">
      <c r="B140" s="52" t="s">
        <v>202</v>
      </c>
      <c r="D140" s="52" t="s">
        <v>202</v>
      </c>
      <c r="F140" s="52" t="s">
        <v>202</v>
      </c>
      <c r="G140" s="52"/>
      <c r="H140" s="50">
        <f>(100*D129)+(10*D130)+D131</f>
        <v>122</v>
      </c>
    </row>
    <row r="141" spans="1:8" x14ac:dyDescent="0.2">
      <c r="A141" s="52" t="s">
        <v>194</v>
      </c>
      <c r="B141" s="50">
        <f>IF(OR(Z6=$Q$99,Z6=$Q$100,Z6=$Q$101,Z6=$Q$102,Z6=$Q$103,Z6=$Q$104,Z6=$Q$105,Z6=$Q$106,Z6=$Q$107),1,IF(OR(Z6=$Q$108,Z6=$Q$109,Z6=$Q$110,Z6=$Q$111,Z6=$Q$112,Z6=$Q$113,Z6=$Q$114,Z6=$Q$115,Z6=$Q$116),2,IF(OR(Z6=$Q$117,Z6=$Q$118,Z6=$Q$119,Z6=$Q$120,Z6=$Q$121,Z6=$Q$122,Z6=$Q$123,Z6=$Q$124,Z6=$Q$125),3,0)))</f>
        <v>2</v>
      </c>
      <c r="D141" s="50">
        <f>IF(OR(AC6=$Q$99,AC6=$Q$100,AC6=$Q$101,AC6=$Q$102,AC6=$Q$103,AC6=$Q$104,AC6=$Q$105,AC6=$Q$106,AC6=$Q$107),1,IF(OR(AC6=$Q$108,AC6=$Q$109,AC6=$Q$110,AC6=$Q$111,AC6=$Q$112,AC6=$Q$113,AC6=$Q$114,AC6=$Q$115,AC6=$Q$116),2,IF(OR(AC6=$Q$117,AC6=$Q$118,AC6=$Q$119,AC6=$Q$120,AC6=$Q$121,AC6=$Q$122,AC6=$Q$123,AC6=$Q$124,AC6=$Q$125),3,0)))</f>
        <v>1</v>
      </c>
      <c r="F141" s="50">
        <f>IF(OR(AF6=$Q$99,AF6=$Q$100,AF6=$Q$101,AF6=$Q$102,AF6=$Q$103,AF6=$Q$104,AF6=$Q$105,AF6=$Q$106,AF6=$Q$107),1,IF(OR(AF6=$Q$108,AF6=$Q$109,AF6=$Q$110,AF6=$Q$111,AF6=$Q$112,AF6=$Q$113,AF6=$Q$114,AF6=$Q$115,AF6=$Q$116),2,IF(OR(AF6=$Q$117,AF6=$Q$118,AF6=$Q$119,AF6=$Q$120,AF6=$Q$121,AF6=$Q$122,AF6=$Q$123,AF6=$Q$124,AF6=$Q$125),3,0)))</f>
        <v>1</v>
      </c>
      <c r="G141" s="52"/>
      <c r="H141" s="50">
        <f>(100*D133)+(10*D134)+D135</f>
        <v>131</v>
      </c>
    </row>
    <row r="142" spans="1:8" x14ac:dyDescent="0.2">
      <c r="A142" s="52" t="s">
        <v>193</v>
      </c>
      <c r="B142" s="50">
        <f>IF(OR(Z6=$Q$99,Z6=$Q$100,Z6=$Q$101,Z6=$Q$108,Z6=$Q$109,Z6=$Q$110,Z6=$Q$117,Z6=$Q$118,Z6=$Q$119),1,IF(OR(Z6=$Q$102,Z6=$Q$103,Z6=$Q$104,Z6=$Q$111,Z6=$Q$112,Z6=$Q$113,Z6=$Q$120,Z6=$Q$121,Z6=$Q$122),2,IF(OR(Z6=$Q$105,Z6=$Q$106,Z6=$Q$107,Z6=$Q$114,Z6=$Q$115,Z6=$Q$116,Z6=$Q$123,Z6=$Q$124,Z6=$Q$125),3,0)))</f>
        <v>1</v>
      </c>
      <c r="D142" s="50">
        <f>IF(OR(AC6=$Q$99,AC6=$Q$100,AC6=$Q$101,AC6=$Q$108,AC6=$Q$109,AC6=$Q$110,AC6=$Q$117,AC6=$Q$118,AC6=$Q$119),1,IF(OR(AC6=$Q$102,AC6=$Q$103,AC6=$Q$104,AC6=$Q$111,AC6=$Q$112,AC6=$Q$113,AC6=$Q$120,AC6=$Q$121,AC6=$Q$122),2,IF(OR(AC6=$Q$105,AC6=$Q$106,AC6=$Q$107,AC6=$Q$114,AC6=$Q$115,AC6=$Q$116,AC6=$Q$123,AC6=$Q$124,AC6=$Q$125),3,0)))</f>
        <v>2</v>
      </c>
      <c r="F142" s="50">
        <f>IF(OR(AF6=$Q$99,AF6=$Q$100,AF6=$Q$101,AF6=$Q$108,AF6=$Q$109,AF6=$Q$110,AF6=$Q$117,AF6=$Q$118,AF6=$Q$119),1,IF(OR(AF6=$Q$102,AF6=$Q$103,AF6=$Q$104,AF6=$Q$111,AF6=$Q$112,AF6=$Q$113,AF6=$Q$120,AF6=$Q$121,AF6=$Q$122),2,IF(OR(AF6=$Q$105,AF6=$Q$106,AF6=$Q$107,AF6=$Q$114,AF6=$Q$115,AF6=$Q$116,AF6=$Q$123,AF6=$Q$124,AF6=$Q$125),3,0)))</f>
        <v>2</v>
      </c>
      <c r="G142" s="52"/>
      <c r="H142" s="50">
        <f>(100*D137)+(10*D138)+D139</f>
        <v>111</v>
      </c>
    </row>
    <row r="143" spans="1:8" x14ac:dyDescent="0.2">
      <c r="A143" s="52" t="s">
        <v>195</v>
      </c>
      <c r="B143" s="50">
        <f>IF(OR(Z6=$Q$99,Z6=$Q$102,Z6=$Q$105,Z6=$Q$108,Z6=$Q$111,Z6=$Q$114,Z6=$Q$117,Z6=$Q$120,Z6=$Q$123),1,IF(OR(Z6=$Q$100,Z6=$Q$103,Z6=$Q$106,Z6=$Q$109,Z6=$Q$112,Z6=$Q$115,Z6=$Q$118,Z6=$Q$121,Z6=$Q$124),2,IF(OR(Z6=$Q$101,Z6=$Q$104,Z6=$Q$107,Z6=$Q$110,Z6=$Q$113,Z6=$Q$116,Z6=$Q$119,Z6=$Q$122,Z6=$Q$125),3,0)))</f>
        <v>3</v>
      </c>
      <c r="D143" s="50">
        <f>IF(OR(AC6=$Q$99,AC6=$Q$102,AC6=$Q$105,AC6=$Q$108,AC6=$Q$111,AC6=$Q$114,AC6=$Q$117,AC6=$Q$120,AC6=$Q$123),1,IF(OR(AC6=$Q$100,AC6=$Q$103,AC6=$Q$106,AC6=$Q$109,AC6=$Q$112,AC6=$Q$115,AC6=$Q$118,AC6=$Q$121,AC6=$Q$124),2,IF(OR(AC6=$Q$101,AC6=$Q$104,AC6=$Q$107,AC6=$Q$110,AC6=$Q$113,AC6=$Q$116,AC6=$Q$119,AC6=$Q$122,AC6=$Q$125),3,0)))</f>
        <v>1</v>
      </c>
      <c r="F143" s="50">
        <f>IF(OR(AF6=$Q$99,AF6=$Q$102,AF6=$Q$105,AF6=$Q$108,AF6=$Q$111,AF6=$Q$114,AF6=$Q$117,AF6=$Q$120,AF6=$Q$123),1,IF(OR(AF6=$Q$100,AF6=$Q$103,AF6=$Q$106,AF6=$Q$109,AF6=$Q$112,AF6=$Q$115,AF6=$Q$118,AF6=$Q$121,AF6=$Q$124),2,IF(OR(AF6=$Q$101,AF6=$Q$104,AF6=$Q$107,AF6=$Q$110,AF6=$Q$113,AF6=$Q$116,AF6=$Q$119,AF6=$Q$122,AF6=$Q$125),3,0)))</f>
        <v>2</v>
      </c>
      <c r="H143" s="50">
        <f>(100*D141)+(10*D142)+D143</f>
        <v>121</v>
      </c>
    </row>
    <row r="144" spans="1:8" x14ac:dyDescent="0.2">
      <c r="B144" s="52" t="s">
        <v>203</v>
      </c>
      <c r="D144" s="52" t="s">
        <v>203</v>
      </c>
      <c r="F144" s="52" t="s">
        <v>203</v>
      </c>
      <c r="G144" s="52"/>
      <c r="H144" s="50">
        <f>(100*D145)+(10*D146)+D147</f>
        <v>123</v>
      </c>
    </row>
    <row r="145" spans="1:8" x14ac:dyDescent="0.2">
      <c r="A145" s="52" t="s">
        <v>194</v>
      </c>
      <c r="B145" s="50">
        <f>IF(OR(Z7=$Q$99,Z7=$Q$100,Z7=$Q$101,Z7=$Q$102,Z7=$Q$103,Z7=$Q$104,Z7=$Q$105,Z7=$Q$106,Z7=$Q$107),1,IF(OR(Z7=$Q$108,Z7=$Q$109,Z7=$Q$110,Z7=$Q$111,Z7=$Q$112,Z7=$Q$113,Z7=$Q$114,Z7=$Q$115,Z7=$Q$116),2,IF(OR(Z7=$Q$117,Z7=$Q$118,Z7=$Q$119,Z7=$Q$120,Z7=$Q$121,Z7=$Q$122,Z7=$Q$123,Z7=$Q$124,Z7=$Q$125),3,0)))</f>
        <v>2</v>
      </c>
      <c r="D145" s="50">
        <f>IF(OR(AC7=$Q$99,AC7=$Q$100,AC7=$Q$101,AC7=$Q$102,AC7=$Q$103,AC7=$Q$104,AC7=$Q$105,AC7=$Q$106,AC7=$Q$107),1,IF(OR(AC7=$Q$108,AC7=$Q$109,AC7=$Q$110,AC7=$Q$111,AC7=$Q$112,AC7=$Q$113,AC7=$Q$114,AC7=$Q$115,AC7=$Q$116),2,IF(OR(AC7=$Q$117,AC7=$Q$118,AC7=$Q$119,AC7=$Q$120,AC7=$Q$121,AC7=$Q$122,AC7=$Q$123,AC7=$Q$124,AC7=$Q$125),3,0)))</f>
        <v>1</v>
      </c>
      <c r="F145" s="50">
        <f>IF(OR(AF7=$Q$99,AF7=$Q$100,AF7=$Q$101,AF7=$Q$102,AF7=$Q$103,AF7=$Q$104,AF7=$Q$105,AF7=$Q$106,AF7=$Q$107),1,IF(OR(AF7=$Q$108,AF7=$Q$109,AF7=$Q$110,AF7=$Q$111,AF7=$Q$112,AF7=$Q$113,AF7=$Q$114,AF7=$Q$115,AF7=$Q$116),2,IF(OR(AF7=$Q$117,AF7=$Q$118,AF7=$Q$119,AF7=$Q$120,AF7=$Q$121,AF7=$Q$122,AF7=$Q$123,AF7=$Q$124,AF7=$Q$125),3,0)))</f>
        <v>1</v>
      </c>
      <c r="G145" s="52"/>
    </row>
    <row r="146" spans="1:8" x14ac:dyDescent="0.2">
      <c r="A146" s="52" t="s">
        <v>193</v>
      </c>
      <c r="B146" s="50">
        <f>IF(OR(Z7=$Q$99,Z7=$Q$100,Z7=$Q$101,Z7=$Q$108,Z7=$Q$109,Z7=$Q$110,Z7=$Q$117,Z7=$Q$118,Z7=$Q$119),1,IF(OR(Z7=$Q$102,Z7=$Q$103,Z7=$Q$104,Z7=$Q$111,Z7=$Q$112,Z7=$Q$113,Z7=$Q$120,Z7=$Q$121,Z7=$Q$122),2,IF(OR(Z7=$Q$105,Z7=$Q$106,Z7=$Q$107,Z7=$Q$114,Z7=$Q$115,Z7=$Q$116,Z7=$Q$123,Z7=$Q$124,Z7=$Q$125),3,0)))</f>
        <v>2</v>
      </c>
      <c r="D146" s="50">
        <f>IF(OR(AC7=$Q$99,AC7=$Q$100,AC7=$Q$101,AC7=$Q$108,AC7=$Q$109,AC7=$Q$110,AC7=$Q$117,AC7=$Q$118,AC7=$Q$119),1,IF(OR(AC7=$Q$102,AC7=$Q$103,AC7=$Q$104,AC7=$Q$111,AC7=$Q$112,AC7=$Q$113,AC7=$Q$120,AC7=$Q$121,AC7=$Q$122),2,IF(OR(AC7=$Q$105,AC7=$Q$106,AC7=$Q$107,AC7=$Q$114,AC7=$Q$115,AC7=$Q$116,AC7=$Q$123,AC7=$Q$124,AC7=$Q$125),3,0)))</f>
        <v>2</v>
      </c>
      <c r="F146" s="50">
        <f>IF(OR(AF7=$Q$99,AF7=$Q$100,AF7=$Q$101,AF7=$Q$108,AF7=$Q$109,AF7=$Q$110,AF7=$Q$117,AF7=$Q$118,AF7=$Q$119),1,IF(OR(AF7=$Q$102,AF7=$Q$103,AF7=$Q$104,AF7=$Q$111,AF7=$Q$112,AF7=$Q$113,AF7=$Q$120,AF7=$Q$121,AF7=$Q$122),2,IF(OR(AF7=$Q$105,AF7=$Q$106,AF7=$Q$107,AF7=$Q$114,AF7=$Q$115,AF7=$Q$116,AF7=$Q$123,AF7=$Q$124,AF7=$Q$125),3,0)))</f>
        <v>2</v>
      </c>
      <c r="G146" s="52"/>
    </row>
    <row r="147" spans="1:8" x14ac:dyDescent="0.2">
      <c r="A147" s="52" t="s">
        <v>195</v>
      </c>
      <c r="B147" s="50">
        <f>IF(OR(Z7=$Q$99,Z7=$Q$102,Z7=$Q$105,Z7=$Q$108,Z7=$Q$111,Z7=$Q$114,Z7=$Q$117,Z7=$Q$120,Z7=$Q$123),1,IF(OR(Z7=$Q$100,Z7=$Q$103,Z7=$Q$106,Z7=$Q$109,Z7=$Q$112,Z7=$Q$115,Z7=$Q$118,Z7=$Q$121,Z7=$Q$124),2,IF(OR(Z7=$Q$101,Z7=$Q$104,Z7=$Q$107,Z7=$Q$110,Z7=$Q$113,Z7=$Q$116,Z7=$Q$119,Z7=$Q$122,Z7=$Q$125),3,0)))</f>
        <v>1</v>
      </c>
      <c r="D147" s="50">
        <f>IF(OR(AC7=$Q$99,AC7=$Q$102,AC7=$Q$105,AC7=$Q$108,AC7=$Q$111,AC7=$Q$114,AC7=$Q$117,AC7=$Q$120,AC7=$Q$123),1,IF(OR(AC7=$Q$100,AC7=$Q$103,AC7=$Q$106,AC7=$Q$109,AC7=$Q$112,AC7=$Q$115,AC7=$Q$118,AC7=$Q$121,AC7=$Q$124),2,IF(OR(AC7=$Q$101,AC7=$Q$104,AC7=$Q$107,AC7=$Q$110,AC7=$Q$113,AC7=$Q$116,AC7=$Q$119,AC7=$Q$122,AC7=$Q$125),3,0)))</f>
        <v>3</v>
      </c>
      <c r="F147" s="50">
        <f>IF(OR(AF7=$Q$99,AF7=$Q$102,AF7=$Q$105,AF7=$Q$108,AF7=$Q$111,AF7=$Q$114,AF7=$Q$117,AF7=$Q$120,AF7=$Q$123),1,IF(OR(AF7=$Q$100,AF7=$Q$103,AF7=$Q$106,AF7=$Q$109,AF7=$Q$112,AF7=$Q$115,AF7=$Q$118,AF7=$Q$121,AF7=$Q$124),2,IF(OR(AF7=$Q$101,AF7=$Q$104,AF7=$Q$107,AF7=$Q$110,AF7=$Q$113,AF7=$Q$116,AF7=$Q$119,AF7=$Q$122,AF7=$Q$125),3,0)))</f>
        <v>2</v>
      </c>
    </row>
    <row r="148" spans="1:8" x14ac:dyDescent="0.2">
      <c r="G148" s="52"/>
      <c r="H148" s="52" t="s">
        <v>208</v>
      </c>
    </row>
    <row r="149" spans="1:8" x14ac:dyDescent="0.2">
      <c r="G149" s="52"/>
      <c r="H149" s="50">
        <f>(100*F125)+(10*F126)+F127</f>
        <v>121</v>
      </c>
    </row>
    <row r="150" spans="1:8" x14ac:dyDescent="0.2">
      <c r="G150" s="52"/>
      <c r="H150" s="50">
        <f>(100*F129)+(10*F130)+F131</f>
        <v>113</v>
      </c>
    </row>
    <row r="151" spans="1:8" x14ac:dyDescent="0.2">
      <c r="H151" s="50">
        <f>100*F133+10*F134+F135</f>
        <v>123</v>
      </c>
    </row>
    <row r="152" spans="1:8" x14ac:dyDescent="0.2">
      <c r="H152" s="50">
        <f>(100*F137)+(10*F138)+F139</f>
        <v>122</v>
      </c>
    </row>
    <row r="153" spans="1:8" x14ac:dyDescent="0.2">
      <c r="G153" s="52"/>
      <c r="H153" s="50">
        <f>(100*F141)+(10*F142)+F143</f>
        <v>122</v>
      </c>
    </row>
    <row r="154" spans="1:8" x14ac:dyDescent="0.2">
      <c r="G154" s="52"/>
      <c r="H154" s="50">
        <f>100*F145+10*F146+F147</f>
        <v>122</v>
      </c>
    </row>
    <row r="155" spans="1:8" x14ac:dyDescent="0.2">
      <c r="G155" s="52"/>
    </row>
    <row r="157" spans="1:8" x14ac:dyDescent="0.2">
      <c r="G157" s="52"/>
    </row>
    <row r="158" spans="1:8" x14ac:dyDescent="0.2">
      <c r="G158" s="52"/>
    </row>
    <row r="159" spans="1:8" x14ac:dyDescent="0.2">
      <c r="G159" s="52"/>
    </row>
    <row r="161" spans="7:7" x14ac:dyDescent="0.2">
      <c r="G161" s="52"/>
    </row>
    <row r="162" spans="7:7" x14ac:dyDescent="0.2">
      <c r="G162" s="52"/>
    </row>
    <row r="163" spans="7:7" x14ac:dyDescent="0.2">
      <c r="G163" s="52"/>
    </row>
    <row r="165" spans="7:7" x14ac:dyDescent="0.2">
      <c r="G165" s="52"/>
    </row>
    <row r="166" spans="7:7" x14ac:dyDescent="0.2">
      <c r="G166" s="52"/>
    </row>
    <row r="167" spans="7:7" x14ac:dyDescent="0.2">
      <c r="G167" s="52"/>
    </row>
    <row r="169" spans="7:7" x14ac:dyDescent="0.2">
      <c r="G169" s="52"/>
    </row>
    <row r="170" spans="7:7" x14ac:dyDescent="0.2">
      <c r="G170" s="52"/>
    </row>
    <row r="171" spans="7:7" x14ac:dyDescent="0.2">
      <c r="G171" s="52"/>
    </row>
    <row r="173" spans="7:7" x14ac:dyDescent="0.2">
      <c r="G173" s="52"/>
    </row>
    <row r="174" spans="7:7" x14ac:dyDescent="0.2">
      <c r="G174" s="52"/>
    </row>
    <row r="175" spans="7:7" x14ac:dyDescent="0.2">
      <c r="G175" s="52"/>
    </row>
  </sheetData>
  <phoneticPr fontId="21" type="noConversion"/>
  <dataValidations count="5">
    <dataValidation type="list" allowBlank="1" showInputMessage="1" showErrorMessage="1" sqref="A10:A15">
      <formula1>$U$99:$U$100</formula1>
    </dataValidation>
    <dataValidation type="list" allowBlank="1" showInputMessage="1" showErrorMessage="1" sqref="X2:Y7 AD2:AE7 U2:V7 AA2:AB7 R2:S7 P2:P7 O3:O7">
      <formula1>$T$97:$T$125</formula1>
    </dataValidation>
    <dataValidation type="list" allowBlank="1" showInputMessage="1" showErrorMessage="1" sqref="N1">
      <formula1>$T$98:$T$114</formula1>
    </dataValidation>
    <dataValidation type="list" allowBlank="1" showInputMessage="1" showErrorMessage="1" sqref="AC2:AC7 W2:W7 Z2:Z7 AF2:AF7 T2:T7 Q2:Q7">
      <formula1>$Q$98:$Q$125</formula1>
    </dataValidation>
    <dataValidation type="list" allowBlank="1" showInputMessage="1" showErrorMessage="1" sqref="O2">
      <formula1>$T$25:$T$97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Option Button 1">
              <controlPr defaultSize="0" autoFill="0" autoLine="0" autoPict="0" macro="[0]!SetWayPoints">
                <anchor moveWithCells="1">
                  <from>
                    <xdr:col>3</xdr:col>
                    <xdr:colOff>323850</xdr:colOff>
                    <xdr:row>10</xdr:row>
                    <xdr:rowOff>19050</xdr:rowOff>
                  </from>
                  <to>
                    <xdr:col>10</xdr:col>
                    <xdr:colOff>314325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5" name="Button 14">
              <controlPr defaultSize="0" print="0" autoFill="0" autoPict="0" macro="[0]!Button14_Click">
                <anchor moveWithCells="1" sizeWithCells="1">
                  <from>
                    <xdr:col>3</xdr:col>
                    <xdr:colOff>381000</xdr:colOff>
                    <xdr:row>12</xdr:row>
                    <xdr:rowOff>28575</xdr:rowOff>
                  </from>
                  <to>
                    <xdr:col>6</xdr:col>
                    <xdr:colOff>381000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6" name="Button 16">
              <controlPr defaultSize="0" print="0" autoFill="0" autoPict="0" macro="[0]!Module4.Button14_Click">
                <anchor moveWithCells="1" sizeWithCells="1">
                  <from>
                    <xdr:col>10</xdr:col>
                    <xdr:colOff>276225</xdr:colOff>
                    <xdr:row>9</xdr:row>
                    <xdr:rowOff>104775</xdr:rowOff>
                  </from>
                  <to>
                    <xdr:col>13</xdr:col>
                    <xdr:colOff>285750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175"/>
  <sheetViews>
    <sheetView zoomScale="84" zoomScaleNormal="84" workbookViewId="0">
      <selection activeCell="G21" sqref="G21"/>
    </sheetView>
  </sheetViews>
  <sheetFormatPr defaultColWidth="11.375" defaultRowHeight="12.75" x14ac:dyDescent="0.2"/>
  <cols>
    <col min="1" max="12" width="5.75" style="50" customWidth="1" collapsed="1"/>
    <col min="13" max="13" width="5.375" style="50" customWidth="1" collapsed="1"/>
    <col min="14" max="14" width="4.25" style="50" customWidth="1" collapsed="1"/>
    <col min="15" max="16" width="3.75" style="50" customWidth="1" collapsed="1"/>
    <col min="17" max="17" width="30.375" style="50" customWidth="1" collapsed="1"/>
    <col min="18" max="19" width="3" style="50" customWidth="1" collapsed="1"/>
    <col min="20" max="20" width="10" style="166" customWidth="1" collapsed="1"/>
    <col min="21" max="22" width="3.375" style="50" customWidth="1" collapsed="1"/>
    <col min="23" max="23" width="10.375" style="50" customWidth="1" collapsed="1"/>
    <col min="24" max="25" width="3.625" style="50" customWidth="1" collapsed="1"/>
    <col min="26" max="26" width="9.25" style="50" customWidth="1" collapsed="1"/>
    <col min="27" max="28" width="3.25" style="50" customWidth="1" collapsed="1"/>
    <col min="29" max="29" width="8.625" style="50" customWidth="1" collapsed="1"/>
    <col min="30" max="31" width="3.25" style="50" customWidth="1" collapsed="1"/>
    <col min="32" max="32" width="9.625" style="50" customWidth="1" collapsed="1"/>
    <col min="33" max="16384" width="11.375" style="50" collapsed="1"/>
  </cols>
  <sheetData>
    <row r="1" spans="1:32" ht="26.25" customHeight="1" thickBot="1" x14ac:dyDescent="0.25">
      <c r="A1" s="192"/>
      <c r="B1" s="193">
        <v>1</v>
      </c>
      <c r="C1" s="194"/>
      <c r="D1" s="194"/>
      <c r="E1" s="194"/>
      <c r="F1" s="195"/>
      <c r="G1" s="193"/>
      <c r="H1" s="193"/>
      <c r="I1" s="193"/>
      <c r="J1" s="193"/>
      <c r="K1" s="193"/>
      <c r="L1" s="193">
        <v>12</v>
      </c>
      <c r="N1" s="105">
        <v>6</v>
      </c>
      <c r="O1" s="106" t="s">
        <v>143</v>
      </c>
      <c r="P1" s="107" t="s">
        <v>144</v>
      </c>
      <c r="Q1" s="108" t="s">
        <v>145</v>
      </c>
      <c r="R1" s="109" t="s">
        <v>143</v>
      </c>
      <c r="S1" s="110" t="s">
        <v>144</v>
      </c>
      <c r="T1" s="111" t="s">
        <v>146</v>
      </c>
      <c r="U1" s="109" t="s">
        <v>143</v>
      </c>
      <c r="V1" s="110" t="s">
        <v>144</v>
      </c>
      <c r="W1" s="111" t="s">
        <v>147</v>
      </c>
      <c r="X1" s="109" t="s">
        <v>143</v>
      </c>
      <c r="Y1" s="110" t="s">
        <v>144</v>
      </c>
      <c r="Z1" s="111" t="s">
        <v>148</v>
      </c>
      <c r="AA1" s="109" t="s">
        <v>143</v>
      </c>
      <c r="AB1" s="110" t="s">
        <v>144</v>
      </c>
      <c r="AC1" s="111" t="s">
        <v>149</v>
      </c>
      <c r="AD1" s="109" t="s">
        <v>143</v>
      </c>
      <c r="AE1" s="110" t="s">
        <v>144</v>
      </c>
      <c r="AF1" s="111" t="s">
        <v>150</v>
      </c>
    </row>
    <row r="2" spans="1:32" ht="30" customHeight="1" x14ac:dyDescent="0.2">
      <c r="A2" s="194"/>
      <c r="B2" s="193"/>
      <c r="C2" s="194"/>
      <c r="D2" s="194"/>
      <c r="E2" s="173"/>
      <c r="F2" s="194"/>
      <c r="G2" s="194"/>
      <c r="H2" s="194"/>
      <c r="I2" s="194"/>
      <c r="J2" s="194"/>
      <c r="K2" s="173"/>
      <c r="L2" s="193"/>
      <c r="O2" s="112">
        <v>2</v>
      </c>
      <c r="P2" s="113">
        <v>2</v>
      </c>
      <c r="Q2" s="114" t="s">
        <v>151</v>
      </c>
      <c r="R2" s="115">
        <v>3</v>
      </c>
      <c r="S2" s="116">
        <v>3</v>
      </c>
      <c r="T2" s="117" t="s">
        <v>72</v>
      </c>
      <c r="U2" s="118">
        <v>5</v>
      </c>
      <c r="V2" s="119">
        <v>2</v>
      </c>
      <c r="W2" s="120" t="s">
        <v>74</v>
      </c>
      <c r="X2" s="121">
        <v>2</v>
      </c>
      <c r="Y2" s="122">
        <v>2</v>
      </c>
      <c r="Z2" s="123" t="s">
        <v>12</v>
      </c>
      <c r="AA2" s="124">
        <v>2</v>
      </c>
      <c r="AB2" s="125">
        <v>2</v>
      </c>
      <c r="AC2" s="126" t="s">
        <v>12</v>
      </c>
      <c r="AD2" s="127">
        <v>2</v>
      </c>
      <c r="AE2" s="128">
        <v>2</v>
      </c>
      <c r="AF2" s="129" t="s">
        <v>12</v>
      </c>
    </row>
    <row r="3" spans="1:32" ht="30" customHeight="1" x14ac:dyDescent="0.2">
      <c r="A3" s="194"/>
      <c r="B3" s="193"/>
      <c r="C3" s="172"/>
      <c r="D3" s="193">
        <v>4</v>
      </c>
      <c r="E3" s="193"/>
      <c r="F3" s="193">
        <v>5</v>
      </c>
      <c r="G3" s="173"/>
      <c r="H3" s="193">
        <v>10</v>
      </c>
      <c r="I3" s="193"/>
      <c r="J3" s="193"/>
      <c r="K3" s="193"/>
      <c r="L3" s="193">
        <v>11</v>
      </c>
      <c r="N3" s="49"/>
      <c r="O3" s="130">
        <v>1</v>
      </c>
      <c r="P3" s="131">
        <v>3</v>
      </c>
      <c r="Q3" s="132" t="s">
        <v>169</v>
      </c>
      <c r="R3" s="133">
        <v>6</v>
      </c>
      <c r="S3" s="134">
        <v>6</v>
      </c>
      <c r="T3" s="135" t="s">
        <v>84</v>
      </c>
      <c r="U3" s="136">
        <v>3</v>
      </c>
      <c r="V3" s="137">
        <v>3</v>
      </c>
      <c r="W3" s="138" t="s">
        <v>74</v>
      </c>
      <c r="X3" s="139">
        <v>3</v>
      </c>
      <c r="Y3" s="140">
        <v>3</v>
      </c>
      <c r="Z3" s="141" t="s">
        <v>74</v>
      </c>
      <c r="AA3" s="142">
        <v>5</v>
      </c>
      <c r="AB3" s="143">
        <v>5</v>
      </c>
      <c r="AC3" s="144" t="s">
        <v>73</v>
      </c>
      <c r="AD3" s="145">
        <v>6</v>
      </c>
      <c r="AE3" s="146">
        <v>6</v>
      </c>
      <c r="AF3" s="147" t="s">
        <v>72</v>
      </c>
    </row>
    <row r="4" spans="1:32" ht="30" customHeight="1" x14ac:dyDescent="0.2">
      <c r="A4" s="194"/>
      <c r="B4" s="193"/>
      <c r="C4" s="194"/>
      <c r="D4" s="193"/>
      <c r="E4" s="171"/>
      <c r="F4" s="193"/>
      <c r="G4" s="194"/>
      <c r="H4" s="193"/>
      <c r="I4" s="171"/>
      <c r="J4" s="194"/>
      <c r="K4" s="194"/>
      <c r="L4" s="172"/>
      <c r="N4" s="49"/>
      <c r="O4" s="130">
        <v>5</v>
      </c>
      <c r="P4" s="131">
        <v>3</v>
      </c>
      <c r="Q4" s="132" t="s">
        <v>80</v>
      </c>
      <c r="R4" s="133">
        <v>4</v>
      </c>
      <c r="S4" s="134">
        <v>4</v>
      </c>
      <c r="T4" s="135" t="s">
        <v>85</v>
      </c>
      <c r="U4" s="136">
        <v>1</v>
      </c>
      <c r="V4" s="137">
        <v>1</v>
      </c>
      <c r="W4" s="138" t="s">
        <v>12</v>
      </c>
      <c r="X4" s="139">
        <v>2</v>
      </c>
      <c r="Y4" s="140">
        <v>2</v>
      </c>
      <c r="Z4" s="141" t="s">
        <v>82</v>
      </c>
      <c r="AA4" s="142">
        <v>4</v>
      </c>
      <c r="AB4" s="143">
        <v>4</v>
      </c>
      <c r="AC4" s="144" t="s">
        <v>13</v>
      </c>
      <c r="AD4" s="145">
        <v>1</v>
      </c>
      <c r="AE4" s="146">
        <v>6</v>
      </c>
      <c r="AF4" s="147" t="s">
        <v>74</v>
      </c>
    </row>
    <row r="5" spans="1:32" ht="30" customHeight="1" x14ac:dyDescent="0.2">
      <c r="A5" s="194"/>
      <c r="B5" s="193"/>
      <c r="C5" s="194"/>
      <c r="D5" s="193"/>
      <c r="E5" s="194"/>
      <c r="F5" s="193"/>
      <c r="G5" s="194"/>
      <c r="H5" s="193"/>
      <c r="I5" s="171"/>
      <c r="J5" s="194"/>
      <c r="K5" s="194"/>
      <c r="L5" s="194"/>
      <c r="N5" s="49"/>
      <c r="O5" s="130">
        <v>2</v>
      </c>
      <c r="P5" s="131">
        <v>5</v>
      </c>
      <c r="Q5" s="132" t="s">
        <v>13</v>
      </c>
      <c r="R5" s="133">
        <v>6</v>
      </c>
      <c r="S5" s="134">
        <v>3</v>
      </c>
      <c r="T5" s="135" t="s">
        <v>11</v>
      </c>
      <c r="U5" s="136">
        <v>4</v>
      </c>
      <c r="V5" s="137">
        <v>4</v>
      </c>
      <c r="W5" s="138" t="s">
        <v>74</v>
      </c>
      <c r="X5" s="139">
        <v>6</v>
      </c>
      <c r="Y5" s="140">
        <v>20</v>
      </c>
      <c r="Z5" s="141" t="s">
        <v>76</v>
      </c>
      <c r="AA5" s="142">
        <v>2</v>
      </c>
      <c r="AB5" s="143">
        <v>2</v>
      </c>
      <c r="AC5" s="144" t="s">
        <v>11</v>
      </c>
      <c r="AD5" s="145">
        <v>5</v>
      </c>
      <c r="AE5" s="146">
        <v>6</v>
      </c>
      <c r="AF5" s="147" t="s">
        <v>73</v>
      </c>
    </row>
    <row r="6" spans="1:32" ht="30" customHeight="1" x14ac:dyDescent="0.2">
      <c r="A6" s="194"/>
      <c r="B6" s="193"/>
      <c r="C6" s="173"/>
      <c r="D6" s="193"/>
      <c r="E6" s="173"/>
      <c r="F6" s="193"/>
      <c r="G6" s="194"/>
      <c r="H6" s="193">
        <v>9</v>
      </c>
      <c r="I6" s="193"/>
      <c r="J6" s="193">
        <v>8</v>
      </c>
      <c r="K6" s="194"/>
      <c r="L6" s="194"/>
      <c r="N6" s="49"/>
      <c r="O6" s="130">
        <v>4</v>
      </c>
      <c r="P6" s="131">
        <v>3</v>
      </c>
      <c r="Q6" s="132" t="s">
        <v>74</v>
      </c>
      <c r="R6" s="133">
        <v>3</v>
      </c>
      <c r="S6" s="134">
        <v>7</v>
      </c>
      <c r="T6" s="135" t="s">
        <v>169</v>
      </c>
      <c r="U6" s="136">
        <v>5</v>
      </c>
      <c r="V6" s="137">
        <v>4</v>
      </c>
      <c r="W6" s="138" t="s">
        <v>13</v>
      </c>
      <c r="X6" s="139">
        <v>26</v>
      </c>
      <c r="Y6" s="140">
        <v>2</v>
      </c>
      <c r="Z6" s="141" t="s">
        <v>77</v>
      </c>
      <c r="AA6" s="142">
        <v>1</v>
      </c>
      <c r="AB6" s="143">
        <v>4</v>
      </c>
      <c r="AC6" s="144" t="s">
        <v>12</v>
      </c>
      <c r="AD6" s="145">
        <v>2</v>
      </c>
      <c r="AE6" s="146">
        <v>1</v>
      </c>
      <c r="AF6" s="147" t="s">
        <v>73</v>
      </c>
    </row>
    <row r="7" spans="1:32" ht="30" customHeight="1" thickBot="1" x14ac:dyDescent="0.25">
      <c r="A7" s="173"/>
      <c r="B7" s="193">
        <v>2</v>
      </c>
      <c r="C7" s="193"/>
      <c r="D7" s="193">
        <v>3</v>
      </c>
      <c r="E7" s="194"/>
      <c r="F7" s="193"/>
      <c r="G7" s="194"/>
      <c r="H7" s="194"/>
      <c r="I7" s="173"/>
      <c r="J7" s="193"/>
      <c r="K7" s="194"/>
      <c r="L7" s="194"/>
      <c r="N7" s="49"/>
      <c r="O7" s="148">
        <v>2</v>
      </c>
      <c r="P7" s="149">
        <v>3</v>
      </c>
      <c r="Q7" s="150" t="s">
        <v>84</v>
      </c>
      <c r="R7" s="151">
        <v>6</v>
      </c>
      <c r="S7" s="152">
        <v>2</v>
      </c>
      <c r="T7" s="153" t="s">
        <v>72</v>
      </c>
      <c r="U7" s="154">
        <v>6</v>
      </c>
      <c r="V7" s="155">
        <v>1</v>
      </c>
      <c r="W7" s="156" t="s">
        <v>71</v>
      </c>
      <c r="X7" s="157">
        <v>5</v>
      </c>
      <c r="Y7" s="158">
        <v>3</v>
      </c>
      <c r="Z7" s="159" t="s">
        <v>15</v>
      </c>
      <c r="AA7" s="160">
        <v>4</v>
      </c>
      <c r="AB7" s="161">
        <v>6</v>
      </c>
      <c r="AC7" s="162" t="s">
        <v>74</v>
      </c>
      <c r="AD7" s="163">
        <v>7</v>
      </c>
      <c r="AE7" s="164">
        <v>4</v>
      </c>
      <c r="AF7" s="165" t="s">
        <v>73</v>
      </c>
    </row>
    <row r="8" spans="1:32" ht="30" customHeight="1" thickBot="1" x14ac:dyDescent="0.25">
      <c r="A8" s="194"/>
      <c r="B8" s="172"/>
      <c r="C8" s="194"/>
      <c r="D8" s="194"/>
      <c r="E8" s="171"/>
      <c r="F8" s="193">
        <v>6</v>
      </c>
      <c r="G8" s="193"/>
      <c r="H8" s="193"/>
      <c r="I8" s="193"/>
      <c r="J8" s="193">
        <v>7</v>
      </c>
      <c r="K8" s="171"/>
      <c r="L8" s="194"/>
    </row>
    <row r="9" spans="1:32" ht="18" hidden="1" customHeight="1" thickBot="1" x14ac:dyDescent="0.25">
      <c r="A9" s="50">
        <v>1</v>
      </c>
      <c r="B9" s="50">
        <v>1</v>
      </c>
      <c r="C9" s="50">
        <v>1</v>
      </c>
      <c r="D9" s="50">
        <v>1</v>
      </c>
      <c r="E9" s="50">
        <v>1</v>
      </c>
      <c r="F9" s="50">
        <v>1</v>
      </c>
      <c r="G9" s="50">
        <v>1</v>
      </c>
      <c r="H9" s="50">
        <v>1</v>
      </c>
      <c r="I9" s="50">
        <v>1</v>
      </c>
      <c r="J9" s="50">
        <v>1</v>
      </c>
      <c r="K9" s="50">
        <v>1</v>
      </c>
      <c r="L9" s="50">
        <v>1</v>
      </c>
      <c r="N9" s="50" t="s">
        <v>216</v>
      </c>
      <c r="T9" s="50"/>
    </row>
    <row r="10" spans="1:32" ht="15" customHeight="1" thickBot="1" x14ac:dyDescent="0.25">
      <c r="A10" s="167" t="s">
        <v>152</v>
      </c>
      <c r="B10" s="168" t="s">
        <v>153</v>
      </c>
      <c r="T10" s="50"/>
    </row>
    <row r="11" spans="1:32" ht="15.75" customHeight="1" thickBot="1" x14ac:dyDescent="0.25">
      <c r="A11" s="167" t="s">
        <v>152</v>
      </c>
      <c r="B11" s="168" t="s">
        <v>154</v>
      </c>
      <c r="T11" s="50"/>
    </row>
    <row r="12" spans="1:32" ht="14.25" customHeight="1" thickBot="1" x14ac:dyDescent="0.25">
      <c r="A12" s="167" t="s">
        <v>152</v>
      </c>
      <c r="B12" s="168" t="s">
        <v>155</v>
      </c>
      <c r="T12" s="50"/>
    </row>
    <row r="13" spans="1:32" ht="12" customHeight="1" thickBot="1" x14ac:dyDescent="0.25">
      <c r="A13" s="167" t="s">
        <v>152</v>
      </c>
      <c r="B13" s="168" t="s">
        <v>156</v>
      </c>
    </row>
    <row r="14" spans="1:32" ht="14.25" customHeight="1" thickBot="1" x14ac:dyDescent="0.25">
      <c r="A14" s="167" t="s">
        <v>157</v>
      </c>
      <c r="B14" s="168" t="s">
        <v>159</v>
      </c>
    </row>
    <row r="15" spans="1:32" ht="13.5" thickBot="1" x14ac:dyDescent="0.25">
      <c r="A15" s="167" t="s">
        <v>157</v>
      </c>
      <c r="B15" s="168" t="s">
        <v>158</v>
      </c>
      <c r="W15" s="169"/>
    </row>
    <row r="17" spans="1:10" x14ac:dyDescent="0.2">
      <c r="A17" s="103"/>
      <c r="B17" s="170" t="s">
        <v>160</v>
      </c>
      <c r="C17" s="166"/>
      <c r="G17" s="166" t="s">
        <v>161</v>
      </c>
      <c r="H17" s="166"/>
      <c r="I17" s="166"/>
      <c r="J17" s="166"/>
    </row>
    <row r="18" spans="1:10" x14ac:dyDescent="0.2">
      <c r="A18" s="171"/>
      <c r="B18" s="170" t="s">
        <v>162</v>
      </c>
      <c r="C18" s="166"/>
      <c r="G18" s="166" t="s">
        <v>163</v>
      </c>
      <c r="J18" s="166"/>
    </row>
    <row r="19" spans="1:10" x14ac:dyDescent="0.2">
      <c r="A19" s="172"/>
      <c r="B19" s="170" t="s">
        <v>164</v>
      </c>
      <c r="C19" s="166"/>
      <c r="F19" s="166"/>
      <c r="G19" s="166" t="s">
        <v>165</v>
      </c>
      <c r="H19" s="166"/>
      <c r="I19" s="166"/>
      <c r="J19" s="166"/>
    </row>
    <row r="20" spans="1:10" x14ac:dyDescent="0.2">
      <c r="A20" s="173"/>
      <c r="B20" s="170" t="s">
        <v>166</v>
      </c>
      <c r="C20" s="166"/>
      <c r="F20" s="166"/>
    </row>
    <row r="21" spans="1:10" x14ac:dyDescent="0.2">
      <c r="A21" s="102"/>
      <c r="B21" s="170" t="s">
        <v>167</v>
      </c>
      <c r="C21" s="166"/>
      <c r="F21" s="166"/>
    </row>
    <row r="22" spans="1:10" x14ac:dyDescent="0.2">
      <c r="A22" s="104"/>
      <c r="B22" s="170" t="s">
        <v>168</v>
      </c>
      <c r="C22" s="166"/>
      <c r="F22" s="166"/>
    </row>
    <row r="23" spans="1:10" x14ac:dyDescent="0.2">
      <c r="G23" s="166"/>
      <c r="H23" s="166"/>
    </row>
    <row r="27" spans="1:10" x14ac:dyDescent="0.2">
      <c r="G27" s="166"/>
      <c r="H27" s="166"/>
    </row>
    <row r="28" spans="1:10" x14ac:dyDescent="0.2">
      <c r="F28" s="166"/>
      <c r="G28" s="166"/>
      <c r="H28" s="166"/>
    </row>
    <row r="30" spans="1:10" x14ac:dyDescent="0.2">
      <c r="D30" s="166"/>
    </row>
    <row r="31" spans="1:10" x14ac:dyDescent="0.2">
      <c r="D31" s="166"/>
    </row>
    <row r="32" spans="1:10" x14ac:dyDescent="0.2">
      <c r="D32" s="166"/>
    </row>
    <row r="33" spans="1:24" x14ac:dyDescent="0.2">
      <c r="A33" s="50" t="s">
        <v>190</v>
      </c>
    </row>
    <row r="34" spans="1:24" x14ac:dyDescent="0.2">
      <c r="B34" s="50">
        <f t="shared" ref="B34:B41" ca="1" si="0">COLORINDEXOFONECELL(A1,FALSE,1)</f>
        <v>47</v>
      </c>
      <c r="D34" s="50">
        <f t="shared" ref="D34:D41" ca="1" si="1">COLORINDEXOFONECELL(B1,FALSE,1)</f>
        <v>40</v>
      </c>
      <c r="F34" s="50">
        <f t="shared" ref="F34:F41" ca="1" si="2">COLORINDEXOFONECELL(C1,FALSE,1)</f>
        <v>15</v>
      </c>
      <c r="H34" s="50">
        <f t="shared" ref="H34:H41" ca="1" si="3">COLORINDEXOFONECELL(D1,FALSE,1)</f>
        <v>15</v>
      </c>
      <c r="L34" s="50">
        <f t="shared" ref="L34:L41" ca="1" si="4">COLORINDEXOFONECELL(E1,FALSE,1)</f>
        <v>15</v>
      </c>
      <c r="O34" s="50">
        <f t="shared" ref="O34:P41" ca="1" si="5">COLORINDEXOFONECELL(F1,FALSE,1)</f>
        <v>14</v>
      </c>
      <c r="P34" s="50">
        <f t="shared" ca="1" si="5"/>
        <v>40</v>
      </c>
      <c r="R34" s="50">
        <f t="shared" ref="R34:S41" ca="1" si="6">COLORINDEXOFONECELL(H1,FALSE,1)</f>
        <v>40</v>
      </c>
      <c r="S34" s="50">
        <f t="shared" ca="1" si="6"/>
        <v>40</v>
      </c>
      <c r="U34" s="50">
        <f t="shared" ref="U34:V41" ca="1" si="7">COLORINDEXOFONECELL(J1,FALSE,1)</f>
        <v>40</v>
      </c>
      <c r="V34" s="50">
        <f t="shared" ca="1" si="7"/>
        <v>40</v>
      </c>
      <c r="X34" s="50">
        <f t="shared" ref="X34:X41" ca="1" si="8">COLORINDEXOFONECELL(L1,FALSE,1)</f>
        <v>40</v>
      </c>
    </row>
    <row r="35" spans="1:24" x14ac:dyDescent="0.2">
      <c r="B35" s="50">
        <f t="shared" ca="1" si="0"/>
        <v>15</v>
      </c>
      <c r="D35" s="50">
        <f t="shared" ca="1" si="1"/>
        <v>40</v>
      </c>
      <c r="F35" s="50">
        <f t="shared" ca="1" si="2"/>
        <v>15</v>
      </c>
      <c r="H35" s="50">
        <f t="shared" ca="1" si="3"/>
        <v>15</v>
      </c>
      <c r="L35" s="50">
        <f t="shared" ca="1" si="4"/>
        <v>33</v>
      </c>
      <c r="O35" s="50">
        <f t="shared" ca="1" si="5"/>
        <v>15</v>
      </c>
      <c r="P35" s="50">
        <f t="shared" ca="1" si="5"/>
        <v>15</v>
      </c>
      <c r="R35" s="50">
        <f t="shared" ca="1" si="6"/>
        <v>15</v>
      </c>
      <c r="S35" s="50">
        <f t="shared" ca="1" si="6"/>
        <v>15</v>
      </c>
      <c r="U35" s="50">
        <f t="shared" ca="1" si="7"/>
        <v>15</v>
      </c>
      <c r="V35" s="50">
        <f t="shared" ca="1" si="7"/>
        <v>33</v>
      </c>
      <c r="X35" s="50">
        <f t="shared" ca="1" si="8"/>
        <v>40</v>
      </c>
    </row>
    <row r="36" spans="1:24" x14ac:dyDescent="0.2">
      <c r="B36" s="50">
        <f t="shared" ca="1" si="0"/>
        <v>15</v>
      </c>
      <c r="D36" s="50">
        <f t="shared" ca="1" si="1"/>
        <v>40</v>
      </c>
      <c r="F36" s="50">
        <f t="shared" ca="1" si="2"/>
        <v>6</v>
      </c>
      <c r="H36" s="50">
        <f t="shared" ca="1" si="3"/>
        <v>40</v>
      </c>
      <c r="L36" s="50">
        <f t="shared" ca="1" si="4"/>
        <v>40</v>
      </c>
      <c r="O36" s="50">
        <f t="shared" ca="1" si="5"/>
        <v>40</v>
      </c>
      <c r="P36" s="50">
        <f t="shared" ca="1" si="5"/>
        <v>33</v>
      </c>
      <c r="R36" s="50">
        <f t="shared" ca="1" si="6"/>
        <v>40</v>
      </c>
      <c r="S36" s="50">
        <f t="shared" ca="1" si="6"/>
        <v>40</v>
      </c>
      <c r="U36" s="50">
        <f t="shared" ca="1" si="7"/>
        <v>40</v>
      </c>
      <c r="V36" s="50">
        <f t="shared" ca="1" si="7"/>
        <v>40</v>
      </c>
      <c r="X36" s="50">
        <f t="shared" ca="1" si="8"/>
        <v>40</v>
      </c>
    </row>
    <row r="37" spans="1:24" x14ac:dyDescent="0.2">
      <c r="B37" s="50">
        <f t="shared" ca="1" si="0"/>
        <v>15</v>
      </c>
      <c r="D37" s="50">
        <f t="shared" ca="1" si="1"/>
        <v>40</v>
      </c>
      <c r="F37" s="50">
        <f t="shared" ca="1" si="2"/>
        <v>15</v>
      </c>
      <c r="H37" s="50">
        <f t="shared" ca="1" si="3"/>
        <v>40</v>
      </c>
      <c r="L37" s="50">
        <f t="shared" ca="1" si="4"/>
        <v>3</v>
      </c>
      <c r="O37" s="50">
        <f t="shared" ca="1" si="5"/>
        <v>40</v>
      </c>
      <c r="P37" s="50">
        <f t="shared" ca="1" si="5"/>
        <v>15</v>
      </c>
      <c r="R37" s="50">
        <f t="shared" ca="1" si="6"/>
        <v>40</v>
      </c>
      <c r="S37" s="50">
        <f t="shared" ca="1" si="6"/>
        <v>3</v>
      </c>
      <c r="U37" s="50">
        <f t="shared" ca="1" si="7"/>
        <v>15</v>
      </c>
      <c r="V37" s="50">
        <f t="shared" ca="1" si="7"/>
        <v>15</v>
      </c>
      <c r="X37" s="50">
        <f t="shared" ca="1" si="8"/>
        <v>6</v>
      </c>
    </row>
    <row r="38" spans="1:24" x14ac:dyDescent="0.2">
      <c r="B38" s="50">
        <f t="shared" ca="1" si="0"/>
        <v>15</v>
      </c>
      <c r="D38" s="50">
        <f t="shared" ca="1" si="1"/>
        <v>40</v>
      </c>
      <c r="F38" s="50">
        <f t="shared" ca="1" si="2"/>
        <v>15</v>
      </c>
      <c r="H38" s="50">
        <f t="shared" ca="1" si="3"/>
        <v>40</v>
      </c>
      <c r="L38" s="50">
        <f t="shared" ca="1" si="4"/>
        <v>15</v>
      </c>
      <c r="O38" s="50">
        <f t="shared" ca="1" si="5"/>
        <v>40</v>
      </c>
      <c r="P38" s="50">
        <f t="shared" ca="1" si="5"/>
        <v>15</v>
      </c>
      <c r="R38" s="50">
        <f t="shared" ca="1" si="6"/>
        <v>40</v>
      </c>
      <c r="S38" s="50">
        <f t="shared" ca="1" si="6"/>
        <v>3</v>
      </c>
      <c r="U38" s="50">
        <f t="shared" ca="1" si="7"/>
        <v>15</v>
      </c>
      <c r="V38" s="50">
        <f t="shared" ca="1" si="7"/>
        <v>15</v>
      </c>
      <c r="X38" s="50">
        <f t="shared" ca="1" si="8"/>
        <v>15</v>
      </c>
    </row>
    <row r="39" spans="1:24" x14ac:dyDescent="0.2">
      <c r="B39" s="50">
        <f t="shared" ca="1" si="0"/>
        <v>15</v>
      </c>
      <c r="D39" s="50">
        <f t="shared" ca="1" si="1"/>
        <v>40</v>
      </c>
      <c r="F39" s="50">
        <f t="shared" ca="1" si="2"/>
        <v>33</v>
      </c>
      <c r="H39" s="50">
        <f t="shared" ca="1" si="3"/>
        <v>40</v>
      </c>
      <c r="L39" s="50">
        <f t="shared" ca="1" si="4"/>
        <v>33</v>
      </c>
      <c r="O39" s="50">
        <f t="shared" ca="1" si="5"/>
        <v>40</v>
      </c>
      <c r="P39" s="50">
        <f t="shared" ca="1" si="5"/>
        <v>15</v>
      </c>
      <c r="R39" s="50">
        <f t="shared" ca="1" si="6"/>
        <v>40</v>
      </c>
      <c r="S39" s="50">
        <f t="shared" ca="1" si="6"/>
        <v>40</v>
      </c>
      <c r="U39" s="50">
        <f t="shared" ca="1" si="7"/>
        <v>40</v>
      </c>
      <c r="V39" s="50">
        <f t="shared" ca="1" si="7"/>
        <v>15</v>
      </c>
      <c r="X39" s="50">
        <f t="shared" ca="1" si="8"/>
        <v>15</v>
      </c>
    </row>
    <row r="40" spans="1:24" x14ac:dyDescent="0.2">
      <c r="B40" s="50">
        <f t="shared" ca="1" si="0"/>
        <v>33</v>
      </c>
      <c r="D40" s="50">
        <f t="shared" ca="1" si="1"/>
        <v>40</v>
      </c>
      <c r="F40" s="50">
        <f t="shared" ca="1" si="2"/>
        <v>40</v>
      </c>
      <c r="H40" s="50">
        <f t="shared" ca="1" si="3"/>
        <v>40</v>
      </c>
      <c r="L40" s="50">
        <f t="shared" ca="1" si="4"/>
        <v>15</v>
      </c>
      <c r="O40" s="50">
        <f t="shared" ca="1" si="5"/>
        <v>40</v>
      </c>
      <c r="P40" s="50">
        <f t="shared" ca="1" si="5"/>
        <v>15</v>
      </c>
      <c r="R40" s="50">
        <f t="shared" ca="1" si="6"/>
        <v>15</v>
      </c>
      <c r="S40" s="50">
        <f t="shared" ca="1" si="6"/>
        <v>33</v>
      </c>
      <c r="U40" s="50">
        <f t="shared" ca="1" si="7"/>
        <v>40</v>
      </c>
      <c r="V40" s="50">
        <f t="shared" ca="1" si="7"/>
        <v>15</v>
      </c>
      <c r="X40" s="50">
        <f t="shared" ca="1" si="8"/>
        <v>15</v>
      </c>
    </row>
    <row r="41" spans="1:24" x14ac:dyDescent="0.2">
      <c r="B41" s="50">
        <f t="shared" ca="1" si="0"/>
        <v>15</v>
      </c>
      <c r="D41" s="50">
        <f t="shared" ca="1" si="1"/>
        <v>6</v>
      </c>
      <c r="F41" s="50">
        <f t="shared" ca="1" si="2"/>
        <v>15</v>
      </c>
      <c r="H41" s="50">
        <f t="shared" ca="1" si="3"/>
        <v>15</v>
      </c>
      <c r="L41" s="50">
        <f t="shared" ca="1" si="4"/>
        <v>3</v>
      </c>
      <c r="O41" s="50">
        <f t="shared" ca="1" si="5"/>
        <v>40</v>
      </c>
      <c r="P41" s="50">
        <f t="shared" ca="1" si="5"/>
        <v>40</v>
      </c>
      <c r="R41" s="50">
        <f t="shared" ca="1" si="6"/>
        <v>40</v>
      </c>
      <c r="S41" s="50">
        <f t="shared" ca="1" si="6"/>
        <v>40</v>
      </c>
      <c r="U41" s="50">
        <f t="shared" ca="1" si="7"/>
        <v>40</v>
      </c>
      <c r="V41" s="50">
        <f t="shared" ca="1" si="7"/>
        <v>3</v>
      </c>
      <c r="X41" s="50">
        <f t="shared" ca="1" si="8"/>
        <v>15</v>
      </c>
    </row>
    <row r="43" spans="1:24" x14ac:dyDescent="0.2">
      <c r="B43" s="50">
        <f t="shared" ref="B43:B50" si="9">A1</f>
        <v>0</v>
      </c>
      <c r="D43" s="50">
        <f t="shared" ref="D43:D50" si="10">B1</f>
        <v>1</v>
      </c>
      <c r="F43" s="50">
        <f t="shared" ref="F43:F50" si="11">C1</f>
        <v>0</v>
      </c>
      <c r="H43" s="50">
        <f t="shared" ref="H43:H50" si="12">D1</f>
        <v>0</v>
      </c>
      <c r="L43" s="50">
        <f t="shared" ref="L43:L50" si="13">E1</f>
        <v>0</v>
      </c>
      <c r="O43" s="50">
        <f t="shared" ref="O43:P50" si="14">F1</f>
        <v>0</v>
      </c>
      <c r="P43" s="50">
        <f t="shared" si="14"/>
        <v>0</v>
      </c>
      <c r="R43" s="50">
        <f t="shared" ref="R43:S50" si="15">H1</f>
        <v>0</v>
      </c>
      <c r="S43" s="50">
        <f t="shared" si="15"/>
        <v>0</v>
      </c>
      <c r="U43" s="50">
        <f t="shared" ref="U43:V50" si="16">J1</f>
        <v>0</v>
      </c>
      <c r="V43" s="50">
        <f t="shared" si="16"/>
        <v>0</v>
      </c>
      <c r="X43" s="50">
        <f t="shared" ref="X43:X50" si="17">L1</f>
        <v>12</v>
      </c>
    </row>
    <row r="44" spans="1:24" x14ac:dyDescent="0.2">
      <c r="B44" s="50">
        <f t="shared" si="9"/>
        <v>0</v>
      </c>
      <c r="D44" s="50">
        <f t="shared" si="10"/>
        <v>0</v>
      </c>
      <c r="F44" s="50">
        <f t="shared" si="11"/>
        <v>0</v>
      </c>
      <c r="H44" s="50">
        <f t="shared" si="12"/>
        <v>0</v>
      </c>
      <c r="L44" s="50">
        <f t="shared" si="13"/>
        <v>0</v>
      </c>
      <c r="O44" s="50">
        <f t="shared" si="14"/>
        <v>0</v>
      </c>
      <c r="P44" s="50">
        <f t="shared" si="14"/>
        <v>0</v>
      </c>
      <c r="R44" s="50">
        <f t="shared" si="15"/>
        <v>0</v>
      </c>
      <c r="S44" s="50">
        <f t="shared" si="15"/>
        <v>0</v>
      </c>
      <c r="U44" s="50">
        <f t="shared" si="16"/>
        <v>0</v>
      </c>
      <c r="V44" s="50">
        <f t="shared" si="16"/>
        <v>0</v>
      </c>
      <c r="X44" s="50">
        <f t="shared" si="17"/>
        <v>0</v>
      </c>
    </row>
    <row r="45" spans="1:24" x14ac:dyDescent="0.2">
      <c r="B45" s="50">
        <f t="shared" si="9"/>
        <v>0</v>
      </c>
      <c r="D45" s="50">
        <f t="shared" si="10"/>
        <v>0</v>
      </c>
      <c r="F45" s="50">
        <f t="shared" si="11"/>
        <v>0</v>
      </c>
      <c r="H45" s="50">
        <f t="shared" si="12"/>
        <v>4</v>
      </c>
      <c r="L45" s="50">
        <f t="shared" si="13"/>
        <v>0</v>
      </c>
      <c r="O45" s="50">
        <f t="shared" si="14"/>
        <v>5</v>
      </c>
      <c r="P45" s="50">
        <f t="shared" si="14"/>
        <v>0</v>
      </c>
      <c r="R45" s="50">
        <f t="shared" si="15"/>
        <v>10</v>
      </c>
      <c r="S45" s="50">
        <f t="shared" si="15"/>
        <v>0</v>
      </c>
      <c r="U45" s="50">
        <f t="shared" si="16"/>
        <v>0</v>
      </c>
      <c r="V45" s="50">
        <f t="shared" si="16"/>
        <v>0</v>
      </c>
      <c r="X45" s="50">
        <f t="shared" si="17"/>
        <v>11</v>
      </c>
    </row>
    <row r="46" spans="1:24" x14ac:dyDescent="0.2">
      <c r="B46" s="50">
        <f t="shared" si="9"/>
        <v>0</v>
      </c>
      <c r="D46" s="50">
        <f t="shared" si="10"/>
        <v>0</v>
      </c>
      <c r="F46" s="50">
        <f t="shared" si="11"/>
        <v>0</v>
      </c>
      <c r="H46" s="50">
        <f t="shared" si="12"/>
        <v>0</v>
      </c>
      <c r="L46" s="50">
        <f t="shared" si="13"/>
        <v>0</v>
      </c>
      <c r="O46" s="50">
        <f t="shared" si="14"/>
        <v>0</v>
      </c>
      <c r="P46" s="50">
        <f t="shared" si="14"/>
        <v>0</v>
      </c>
      <c r="R46" s="50">
        <f t="shared" si="15"/>
        <v>0</v>
      </c>
      <c r="S46" s="50">
        <f t="shared" si="15"/>
        <v>0</v>
      </c>
      <c r="U46" s="50">
        <f t="shared" si="16"/>
        <v>0</v>
      </c>
      <c r="V46" s="50">
        <f t="shared" si="16"/>
        <v>0</v>
      </c>
      <c r="X46" s="50">
        <f t="shared" si="17"/>
        <v>0</v>
      </c>
    </row>
    <row r="47" spans="1:24" x14ac:dyDescent="0.2">
      <c r="B47" s="50">
        <f t="shared" si="9"/>
        <v>0</v>
      </c>
      <c r="D47" s="50">
        <f t="shared" si="10"/>
        <v>0</v>
      </c>
      <c r="F47" s="50">
        <f t="shared" si="11"/>
        <v>0</v>
      </c>
      <c r="H47" s="50">
        <f t="shared" si="12"/>
        <v>0</v>
      </c>
      <c r="L47" s="50">
        <f t="shared" si="13"/>
        <v>0</v>
      </c>
      <c r="O47" s="50">
        <f t="shared" si="14"/>
        <v>0</v>
      </c>
      <c r="P47" s="50">
        <f t="shared" si="14"/>
        <v>0</v>
      </c>
      <c r="R47" s="50">
        <f t="shared" si="15"/>
        <v>0</v>
      </c>
      <c r="S47" s="50">
        <f t="shared" si="15"/>
        <v>0</v>
      </c>
      <c r="U47" s="50">
        <f t="shared" si="16"/>
        <v>0</v>
      </c>
      <c r="V47" s="50">
        <f t="shared" si="16"/>
        <v>0</v>
      </c>
      <c r="X47" s="50">
        <f t="shared" si="17"/>
        <v>0</v>
      </c>
    </row>
    <row r="48" spans="1:24" x14ac:dyDescent="0.2">
      <c r="B48" s="50">
        <f t="shared" si="9"/>
        <v>0</v>
      </c>
      <c r="D48" s="50">
        <f t="shared" si="10"/>
        <v>0</v>
      </c>
      <c r="F48" s="50">
        <f t="shared" si="11"/>
        <v>0</v>
      </c>
      <c r="H48" s="50">
        <f t="shared" si="12"/>
        <v>0</v>
      </c>
      <c r="L48" s="50">
        <f t="shared" si="13"/>
        <v>0</v>
      </c>
      <c r="O48" s="50">
        <f t="shared" si="14"/>
        <v>0</v>
      </c>
      <c r="P48" s="50">
        <f t="shared" si="14"/>
        <v>0</v>
      </c>
      <c r="R48" s="50">
        <f t="shared" si="15"/>
        <v>9</v>
      </c>
      <c r="S48" s="50">
        <f t="shared" si="15"/>
        <v>0</v>
      </c>
      <c r="U48" s="50">
        <f t="shared" si="16"/>
        <v>8</v>
      </c>
      <c r="V48" s="50">
        <f t="shared" si="16"/>
        <v>0</v>
      </c>
      <c r="X48" s="50">
        <f t="shared" si="17"/>
        <v>0</v>
      </c>
    </row>
    <row r="49" spans="2:24" x14ac:dyDescent="0.2">
      <c r="B49" s="50">
        <f t="shared" si="9"/>
        <v>0</v>
      </c>
      <c r="D49" s="50">
        <f t="shared" si="10"/>
        <v>2</v>
      </c>
      <c r="F49" s="50">
        <f t="shared" si="11"/>
        <v>0</v>
      </c>
      <c r="H49" s="50">
        <f t="shared" si="12"/>
        <v>3</v>
      </c>
      <c r="L49" s="50">
        <f t="shared" si="13"/>
        <v>0</v>
      </c>
      <c r="O49" s="50">
        <f t="shared" si="14"/>
        <v>0</v>
      </c>
      <c r="P49" s="50">
        <f t="shared" si="14"/>
        <v>0</v>
      </c>
      <c r="R49" s="50">
        <f t="shared" si="15"/>
        <v>0</v>
      </c>
      <c r="S49" s="50">
        <f t="shared" si="15"/>
        <v>0</v>
      </c>
      <c r="U49" s="50">
        <f t="shared" si="16"/>
        <v>0</v>
      </c>
      <c r="V49" s="50">
        <f t="shared" si="16"/>
        <v>0</v>
      </c>
      <c r="X49" s="50">
        <f t="shared" si="17"/>
        <v>0</v>
      </c>
    </row>
    <row r="50" spans="2:24" x14ac:dyDescent="0.2">
      <c r="B50" s="50">
        <f t="shared" si="9"/>
        <v>0</v>
      </c>
      <c r="D50" s="50">
        <f t="shared" si="10"/>
        <v>0</v>
      </c>
      <c r="F50" s="50">
        <f t="shared" si="11"/>
        <v>0</v>
      </c>
      <c r="H50" s="50">
        <f t="shared" si="12"/>
        <v>0</v>
      </c>
      <c r="L50" s="50">
        <f t="shared" si="13"/>
        <v>0</v>
      </c>
      <c r="O50" s="50">
        <f t="shared" si="14"/>
        <v>6</v>
      </c>
      <c r="P50" s="50">
        <f t="shared" si="14"/>
        <v>0</v>
      </c>
      <c r="R50" s="50">
        <f t="shared" si="15"/>
        <v>0</v>
      </c>
      <c r="S50" s="50">
        <f t="shared" si="15"/>
        <v>0</v>
      </c>
      <c r="U50" s="50">
        <f t="shared" si="16"/>
        <v>7</v>
      </c>
      <c r="V50" s="50">
        <f t="shared" si="16"/>
        <v>0</v>
      </c>
      <c r="X50" s="50">
        <f t="shared" si="17"/>
        <v>0</v>
      </c>
    </row>
    <row r="54" spans="2:24" x14ac:dyDescent="0.2">
      <c r="B54" s="50">
        <f t="shared" ref="B54:B59" si="18">IF(A10="Y",1,0)</f>
        <v>1</v>
      </c>
    </row>
    <row r="55" spans="2:24" x14ac:dyDescent="0.2">
      <c r="B55" s="50">
        <f t="shared" si="18"/>
        <v>1</v>
      </c>
    </row>
    <row r="56" spans="2:24" x14ac:dyDescent="0.2">
      <c r="B56" s="50">
        <f t="shared" si="18"/>
        <v>1</v>
      </c>
    </row>
    <row r="57" spans="2:24" x14ac:dyDescent="0.2">
      <c r="B57" s="50">
        <f t="shared" si="18"/>
        <v>1</v>
      </c>
    </row>
    <row r="58" spans="2:24" x14ac:dyDescent="0.2">
      <c r="B58" s="50">
        <f t="shared" si="18"/>
        <v>0</v>
      </c>
    </row>
    <row r="59" spans="2:24" x14ac:dyDescent="0.2">
      <c r="B59" s="50">
        <f t="shared" si="18"/>
        <v>0</v>
      </c>
    </row>
    <row r="93" spans="2:6" x14ac:dyDescent="0.2">
      <c r="B93" s="50">
        <f>N1</f>
        <v>6</v>
      </c>
    </row>
    <row r="96" spans="2:6" x14ac:dyDescent="0.2">
      <c r="B96" s="52" t="s">
        <v>197</v>
      </c>
      <c r="D96" s="52" t="s">
        <v>204</v>
      </c>
      <c r="F96" s="52" t="s">
        <v>205</v>
      </c>
    </row>
    <row r="98" spans="1:22" x14ac:dyDescent="0.2">
      <c r="B98" s="52" t="s">
        <v>198</v>
      </c>
      <c r="D98" s="52" t="s">
        <v>198</v>
      </c>
      <c r="F98" s="52" t="s">
        <v>198</v>
      </c>
      <c r="G98" s="52"/>
      <c r="H98" s="52" t="s">
        <v>197</v>
      </c>
      <c r="T98" s="166">
        <v>0</v>
      </c>
    </row>
    <row r="99" spans="1:22" x14ac:dyDescent="0.2">
      <c r="A99" s="52" t="s">
        <v>194</v>
      </c>
      <c r="B99" s="50">
        <f>IF(OR(Q2=$Q$99,Q2=$Q$100,Q2=$Q$101,Q2=$Q$102,Q2=$Q$103,Q2=$Q$104,Q2=$Q$105,Q2=$Q$106,Q2=$Q$107),1,IF(OR(Q2=$Q$108,Q2=$Q$109,Q2=$Q$110,Q2=$Q$111,Q2=$Q$112,Q2=$Q$113,Q2=$Q$114,Q2=$Q$115,Q2=$Q$116),2,IF(OR(Q2=$Q$117,Q2=$Q$118,Q2=$Q$119,Q2=$Q$120,Q2=$Q$121,Q2=$Q$122,Q2=$Q$123,Q2=$Q$124,Q2=$Q$125),3,0)))</f>
        <v>3</v>
      </c>
      <c r="C99" s="52"/>
      <c r="D99" s="50">
        <f>IF(OR(T2=$Q$99,T2=$Q$100,T2=$Q$101,T2=$Q$102,T2=$Q$103,T2=$Q$104,T2=$Q$105,T2=$Q$106,T2=$Q$107),1,IF(OR(T2=$Q$108,T2=$Q$109,T2=$Q$110,T2=$Q$111,T2=$Q$112,T2=$Q$113,T2=$Q$114,T2=$Q$115,T2=$Q$116),2,IF(OR(T2=$Q$117,T2=$Q$118,T2=$Q$119,T2=$Q$120,T2=$Q$121,T2=$Q$122,T2=$Q$123,T2=$Q$124,T2=$Q$125),3,0)))</f>
        <v>1</v>
      </c>
      <c r="F99" s="50">
        <f>IF(OR(W2=$Q$99,W2=$Q$100,W2=$Q$101,W2=$Q$102,W2=$Q$103,W2=$Q$104,W2=$Q$105,W2=$Q$106,W2=$Q$107),1,IF(OR(W2=$Q$108,W2=$Q$109,W2=$Q$110,W2=$Q$111,W2=$Q$112,W2=$Q$113,W2=$Q$114,W2=$Q$115,W2=$Q$116),2,IF(OR(W2=$Q$117,W2=$Q$118,W2=$Q$119,W2=$Q$120,W2=$Q$121,W2=$Q$122,W2=$Q$123,W2=$Q$124,W2=$Q$125),3,0)))</f>
        <v>1</v>
      </c>
      <c r="G99" s="52"/>
      <c r="H99" s="50">
        <f>(100*B99)+(10*B100)+B101</f>
        <v>312</v>
      </c>
      <c r="Q99" s="52" t="s">
        <v>11</v>
      </c>
      <c r="T99" s="166">
        <v>1</v>
      </c>
      <c r="U99" s="50" t="s">
        <v>152</v>
      </c>
      <c r="V99" s="50" t="s">
        <v>152</v>
      </c>
    </row>
    <row r="100" spans="1:22" x14ac:dyDescent="0.2">
      <c r="A100" s="52" t="s">
        <v>193</v>
      </c>
      <c r="B100" s="50">
        <f>IF(OR(Q2=$Q$99,Q2=$Q$100,Q2=$Q$101,Q2=$Q$108,Q2=$Q$109,Q2=$Q$110,Q2=$Q$117,Q2=$Q$118,Q2=$Q$119),1,IF(OR(Q2=$Q$102,Q2=$Q$103,Q2=$Q$104,Q2=$Q$111,Q2=$Q$112,Q2=$Q$113,Q2=$Q$120,Q2=$Q$121,Q2=$Q$122),2,IF(OR(Q2=$Q$105,Q2=$Q$106,Q2=$Q$107,Q2=$Q$114,Q2=$Q$115,Q2=$Q$116,Q2=$Q$123,Q2=$Q$124,Q2=$Q$125),3,0)))</f>
        <v>1</v>
      </c>
      <c r="D100" s="50">
        <f>IF(OR(T2=$Q$99,T2=$Q$100,T2=$Q$101,T2=$Q$108,T2=$Q$109,T2=$Q$110,T2=$Q$117,T2=$Q$118,T2=$Q$119),1,IF(OR(T2=$Q$102,T2=$Q$103,T2=$Q$104,T2=$Q$111,T2=$Q$112,T2=$Q$113,T2=$Q$120,T2=$Q$121,T2=$Q$122),2,IF(OR(T2=$Q$105,T2=$Q$106,T2=$Q$107,T2=$Q$114,T2=$Q$115,T2=$Q$116,T2=$Q$123,T2=$Q$124,T2=$Q$125),3,0)))</f>
        <v>1</v>
      </c>
      <c r="F100" s="50">
        <f>IF(OR(W2=$Q$99,W2=$Q$100,W2=$Q$101,W2=$Q$108,W2=$Q$109,W2=$Q$110,W2=$Q$117,W2=$Q$118,W2=$Q$119),1,IF(OR(W2=$Q$102,W2=$Q$103,W2=$Q$104,W2=$Q$111,W2=$Q$112,W2=$Q$113,W2=$Q$120,W2=$Q$121,W2=$Q$122),2,IF(OR(W2=$Q$105,W2=$Q$106,W2=$Q$107,W2=$Q$114,W2=$Q$115,W2=$Q$116,W2=$Q$123,W2=$Q$124,W2=$Q$125),3,0)))</f>
        <v>2</v>
      </c>
      <c r="G100" s="52"/>
      <c r="H100" s="50">
        <f>100*B103+10*B104+B105</f>
        <v>313</v>
      </c>
      <c r="Q100" s="52" t="s">
        <v>71</v>
      </c>
      <c r="T100" s="166">
        <v>2</v>
      </c>
      <c r="U100" s="50" t="s">
        <v>157</v>
      </c>
      <c r="V100" s="50" t="s">
        <v>157</v>
      </c>
    </row>
    <row r="101" spans="1:22" x14ac:dyDescent="0.2">
      <c r="A101" s="52" t="s">
        <v>195</v>
      </c>
      <c r="B101" s="50">
        <f>IF(OR(Q2=$Q$99,Q2=$Q$102,Q2=$Q$105,Q2=$Q$108,Q2=$Q$111,Q2=$Q$114,Q2=$Q$117,Q2=$Q$120,Q2=$Q$123),1,IF(OR(Q2=$Q$100,Q2=$Q$103,Q2=$Q$106,Q2=$Q$109,Q2=$Q$112,Q2=$Q$115,Q2=$Q$118,Q2=$Q$121,Q2=$Q$124),2,IF(OR(Q2=$Q$101,Q2=$Q$104,Q2=$Q$107,Q2=$Q$110,Q2=$Q$113,Q2=$Q$116,Q2=$Q$119,Q2=$Q$122,Q2=$Q$125),3,0)))</f>
        <v>2</v>
      </c>
      <c r="D101" s="50">
        <f>IF(OR(T2=$Q$99,T2=$Q$102,T2=$Q$105,T2=$Q$108,T2=$Q$111,T2=$Q$114,T2=$Q$117,T2=$Q$120,T2=$Q$123),1,IF(OR(T2=$Q$100,T2=$Q$103,T2=$Q$106,T2=$Q$109,T2=$Q$112,T2=$Q$115,T2=$Q$118,T2=$Q$121,T2=$Q$124),2,IF(OR(T2=$Q$101,T2=$Q$104,T2=$Q$107,T2=$Q$110,T2=$Q$113,T2=$Q$116,T2=$Q$119,T2=$Q$122,T2=$Q$125),3,0)))</f>
        <v>3</v>
      </c>
      <c r="F101" s="50">
        <f>IF(OR(W2=$Q$99,W2=$Q$102,W2=$Q$105,W2=$Q$108,W2=$Q$111,W2=$Q$114,W2=$Q$117,W2=$Q$120,W2=$Q$123),1,IF(OR(W2=$Q$100,W2=$Q$103,W2=$Q$106,W2=$Q$109,W2=$Q$112,W2=$Q$115,W2=$Q$118,W2=$Q$121,W2=$Q$124),2,IF(OR(W2=$Q$101,W2=$Q$104,W2=$Q$107,W2=$Q$110,W2=$Q$113,W2=$Q$116,W2=$Q$119,W2=$Q$122,W2=$Q$125),3,0)))</f>
        <v>3</v>
      </c>
      <c r="H101" s="50">
        <f>100*B107+10*B108+B109</f>
        <v>232</v>
      </c>
      <c r="Q101" s="52" t="s">
        <v>72</v>
      </c>
      <c r="T101" s="166">
        <v>3</v>
      </c>
    </row>
    <row r="102" spans="1:22" x14ac:dyDescent="0.2">
      <c r="B102" s="52" t="s">
        <v>199</v>
      </c>
      <c r="D102" s="52" t="s">
        <v>199</v>
      </c>
      <c r="F102" s="52" t="s">
        <v>199</v>
      </c>
      <c r="G102" s="52"/>
      <c r="H102" s="50">
        <f>100*B111+10*B112+B113</f>
        <v>131</v>
      </c>
      <c r="Q102" s="52" t="s">
        <v>12</v>
      </c>
      <c r="T102" s="166">
        <v>4</v>
      </c>
    </row>
    <row r="103" spans="1:22" x14ac:dyDescent="0.2">
      <c r="A103" s="52" t="s">
        <v>194</v>
      </c>
      <c r="B103" s="50">
        <f>IF(OR(Q3=$Q$99,Q3=$Q$100,Q3=$Q$101,Q3=$Q$102,Q3=$Q$103,Q3=$Q$104,Q3=$Q$105,Q3=$Q$106,Q3=$Q$107),1,IF(OR(Q3=$Q$108,Q3=$Q$109,Q3=$Q$110,Q3=$Q$111,Q3=$Q$112,Q3=$Q$113,Q3=$Q$114,Q3=$Q$115,Q3=$Q$116),2,IF(OR(Q3=$Q$117,Q3=$Q$118,Q3=$Q$119,Q3=$Q$120,Q3=$Q$121,Q3=$Q$122,Q3=$Q$123,Q3=$Q$124,Q3=$Q$125),3,0)))</f>
        <v>3</v>
      </c>
      <c r="D103" s="50">
        <f>IF(OR(T3=$Q$99,T3=$Q$100,T3=$Q$101,T3=$Q$102,T3=$Q$103,T3=$Q$104,T3=$Q$105,T3=$Q$106,T3=$Q$107),1,IF(OR(T3=$Q$108,T3=$Q$109,T3=$Q$110,T3=$Q$111,T3=$Q$112,T3=$Q$113,T3=$Q$114,T3=$Q$115,T3=$Q$116),2,IF(OR(T3=$Q$117,T3=$Q$118,T3=$Q$119,T3=$Q$120,T3=$Q$121,T3=$Q$122,T3=$Q$123,T3=$Q$124,T3=$Q$125),3,0)))</f>
        <v>3</v>
      </c>
      <c r="F103" s="50">
        <f>IF(OR(W3=$Q$99,W3=$Q$100,W3=$Q$101,W3=$Q$102,W3=$Q$103,W3=$Q$104,W3=$Q$105,W3=$Q$106,W3=$Q$107),1,IF(OR(W3=$Q$108,W3=$Q$109,W3=$Q$110,W3=$Q$111,W3=$Q$112,W3=$Q$113,W3=$Q$114,W3=$Q$115,W3=$Q$116),2,IF(OR(W3=$Q$117,W3=$Q$118,W3=$Q$119,W3=$Q$120,W3=$Q$121,W3=$Q$122,W3=$Q$123,W3=$Q$124,W3=$Q$125),3,0)))</f>
        <v>1</v>
      </c>
      <c r="G103" s="52"/>
      <c r="H103" s="50">
        <f>100*B115+10*B116+B117</f>
        <v>123</v>
      </c>
      <c r="Q103" s="52" t="s">
        <v>73</v>
      </c>
      <c r="T103" s="166">
        <v>5</v>
      </c>
    </row>
    <row r="104" spans="1:22" x14ac:dyDescent="0.2">
      <c r="A104" s="52" t="s">
        <v>193</v>
      </c>
      <c r="B104" s="50">
        <f>IF(OR(Q3=$Q$99,Q3=$Q$100,Q3=$Q$101,Q3=$Q$108,Q3=$Q$109,Q3=$Q$110,Q3=$Q$117,Q3=$Q$118,Q3=$Q$119),1,IF(OR(Q3=$Q$102,Q3=$Q$103,Q3=$Q$104,Q3=$Q$111,Q3=$Q$112,Q3=$Q$113,Q3=$Q$120,Q3=$Q$121,Q3=$Q$122),2,IF(OR(Q3=$Q$105,Q3=$Q$106,Q3=$Q$107,Q3=$Q$114,Q3=$Q$115,Q3=$Q$116,Q3=$Q$123,Q3=$Q$124,Q3=$Q$125),3,0)))</f>
        <v>1</v>
      </c>
      <c r="D104" s="50">
        <f>IF(OR(T3=$Q$99,T3=$Q$100,T3=$Q$101,T3=$Q$108,T3=$Q$109,T3=$Q$110,T3=$Q$117,T3=$Q$118,T3=$Q$119),1,IF(OR(T3=$Q$102,T3=$Q$103,T3=$Q$104,T3=$Q$111,T3=$Q$112,T3=$Q$113,T3=$Q$120,T3=$Q$121,T3=$Q$122),2,IF(OR(T3=$Q$105,T3=$Q$106,T3=$Q$107,T3=$Q$114,T3=$Q$115,T3=$Q$116,T3=$Q$123,T3=$Q$124,T3=$Q$125),3,0)))</f>
        <v>2</v>
      </c>
      <c r="F104" s="50">
        <f>IF(OR(W3=$Q$99,W3=$Q$100,W3=$Q$101,W3=$Q$108,W3=$Q$109,W3=$Q$110,W3=$Q$117,W3=$Q$118,W3=$Q$119),1,IF(OR(W3=$Q$102,W3=$Q$103,W3=$Q$104,W3=$Q$111,W3=$Q$112,W3=$Q$113,W3=$Q$120,W3=$Q$121,W3=$Q$122),2,IF(OR(W3=$Q$105,W3=$Q$106,W3=$Q$107,W3=$Q$114,W3=$Q$115,W3=$Q$116,W3=$Q$123,W3=$Q$124,W3=$Q$125),3,0)))</f>
        <v>2</v>
      </c>
      <c r="G104" s="52"/>
      <c r="H104" s="50">
        <f>100*B119+10*B120+B121</f>
        <v>323</v>
      </c>
      <c r="Q104" s="52" t="s">
        <v>74</v>
      </c>
      <c r="T104" s="166">
        <v>6</v>
      </c>
    </row>
    <row r="105" spans="1:22" x14ac:dyDescent="0.2">
      <c r="A105" s="52" t="s">
        <v>195</v>
      </c>
      <c r="B105" s="50">
        <f>IF(OR(Q3=$Q$99,Q3=$Q$102,Q3=$Q$105,Q3=$Q$108,Q3=$Q$111,Q3=$Q$114,Q3=$Q$117,Q3=$Q$120,Q3=$Q$123),1,IF(OR(Q3=$Q$100,Q3=$Q$103,Q3=$Q$106,Q3=$Q$109,Q3=$Q$112,Q3=$Q$115,Q3=$Q$118,Q3=$Q$121,Q3=$Q$124),2,IF(OR(Q3=$Q$101,Q3=$Q$104,Q3=$Q$107,Q3=$Q$110,Q3=$Q$113,Q3=$Q$116,Q3=$Q$119,Q3=$Q$122,Q3=$Q$125),3,0)))</f>
        <v>3</v>
      </c>
      <c r="D105" s="50">
        <f>IF(OR(T3=$Q$99,T3=$Q$102,T3=$Q$105,T3=$Q$108,T3=$Q$111,T3=$Q$114,T3=$Q$117,T3=$Q$120,T3=$Q$123),1,IF(OR(T3=$Q$100,T3=$Q$103,T3=$Q$106,T3=$Q$109,T3=$Q$112,T3=$Q$115,T3=$Q$118,T3=$Q$121,T3=$Q$124),2,IF(OR(T3=$Q$101,T3=$Q$104,T3=$Q$107,T3=$Q$110,T3=$Q$113,T3=$Q$116,T3=$Q$119,T3=$Q$122,T3=$Q$125),3,0)))</f>
        <v>3</v>
      </c>
      <c r="F105" s="50">
        <f>IF(OR(W3=$Q$99,W3=$Q$102,W3=$Q$105,W3=$Q$108,W3=$Q$111,W3=$Q$114,W3=$Q$117,W3=$Q$120,W3=$Q$123),1,IF(OR(W3=$Q$100,W3=$Q$103,W3=$Q$106,W3=$Q$109,W3=$Q$112,W3=$Q$115,W3=$Q$118,W3=$Q$121,W3=$Q$124),2,IF(OR(W3=$Q$101,W3=$Q$104,W3=$Q$107,W3=$Q$110,W3=$Q$113,W3=$Q$116,W3=$Q$119,W3=$Q$122,W3=$Q$125),3,0)))</f>
        <v>3</v>
      </c>
      <c r="Q105" s="52" t="s">
        <v>13</v>
      </c>
      <c r="T105" s="166">
        <v>7</v>
      </c>
    </row>
    <row r="106" spans="1:22" x14ac:dyDescent="0.2">
      <c r="B106" s="52" t="s">
        <v>200</v>
      </c>
      <c r="D106" s="52" t="s">
        <v>200</v>
      </c>
      <c r="F106" s="52" t="s">
        <v>200</v>
      </c>
      <c r="G106" s="52"/>
      <c r="Q106" s="52" t="s">
        <v>196</v>
      </c>
      <c r="T106" s="166">
        <v>8</v>
      </c>
    </row>
    <row r="107" spans="1:22" x14ac:dyDescent="0.2">
      <c r="A107" s="52" t="s">
        <v>194</v>
      </c>
      <c r="B107" s="50">
        <f>IF(OR(Q4=$Q$99,Q4=$Q$100,Q4=$Q$101,Q4=$Q$102,Q4=$Q$103,Q4=$Q$104,Q4=$Q$105,Q4=$Q$106,Q4=$Q$107),1,IF(OR(Q4=$Q$108,Q4=$Q$109,Q4=$Q$110,Q4=$Q$111,Q4=$Q$112,Q4=$Q$113,Q4=$Q$114,Q4=$Q$115,Q4=$Q$116),2,IF(OR(Q4=$Q$117,Q4=$Q$118,Q4=$Q$119,Q4=$Q$120,Q4=$Q$121,Q4=$Q$122,Q4=$Q$123,Q4=$Q$124,Q4=$Q$125),3,0)))</f>
        <v>2</v>
      </c>
      <c r="D107" s="50">
        <f>IF(OR(T4=$Q$99,T4=$Q$100,T4=$Q$101,T4=$Q$102,T4=$Q$103,T4=$Q$104,T4=$Q$105,T4=$Q$106,T4=$Q$107),1,IF(OR(T4=$Q$108,T4=$Q$109,T4=$Q$110,T4=$Q$111,T4=$Q$112,T4=$Q$113,T4=$Q$114,T4=$Q$115,T4=$Q$116),2,IF(OR(T4=$Q$117,T4=$Q$118,T4=$Q$119,T4=$Q$120,T4=$Q$121,T4=$Q$122,T4=$Q$123,T4=$Q$124,T4=$Q$125),3,0)))</f>
        <v>3</v>
      </c>
      <c r="F107" s="50">
        <f>IF(OR(W4=$Q$99,W4=$Q$100,W4=$Q$101,W4=$Q$102,W4=$Q$103,W4=$Q$104,W4=$Q$105,W4=$Q$106,W4=$Q$107),1,IF(OR(W4=$Q$108,W4=$Q$109,W4=$Q$110,W4=$Q$111,W4=$Q$112,W4=$Q$113,W4=$Q$114,W4=$Q$115,W4=$Q$116),2,IF(OR(W4=$Q$117,W4=$Q$118,W4=$Q$119,W4=$Q$120,W4=$Q$121,W4=$Q$122,W4=$Q$123,W4=$Q$124,W4=$Q$125),3,0)))</f>
        <v>1</v>
      </c>
      <c r="G107" s="52"/>
      <c r="Q107" s="52" t="s">
        <v>75</v>
      </c>
      <c r="T107" s="166">
        <v>9</v>
      </c>
    </row>
    <row r="108" spans="1:22" x14ac:dyDescent="0.2">
      <c r="A108" s="52" t="s">
        <v>193</v>
      </c>
      <c r="B108" s="50">
        <f>IF(OR(Q4=$Q$99,Q4=$Q$100,Q4=$Q$101,Q4=$Q$108,Q4=$Q$109,Q4=$Q$110,Q4=$Q$117,Q4=$Q$118,Q4=$Q$119),1,IF(OR(Q4=$Q$102,Q4=$Q$103,Q4=$Q$104,Q4=$Q$111,Q4=$Q$112,Q4=$Q$113,Q4=$Q$120,Q4=$Q$121,Q4=$Q$122),2,IF(OR(Q4=$Q$105,Q4=$Q$106,Q4=$Q$107,Q4=$Q$114,Q4=$Q$115,Q4=$Q$116,Q4=$Q$123,Q4=$Q$124,Q4=$Q$125),3,0)))</f>
        <v>3</v>
      </c>
      <c r="D108" s="50">
        <f>IF(OR(T4=$Q$99,T4=$Q$100,T4=$Q$101,T4=$Q$108,T4=$Q$109,T4=$Q$110,T4=$Q$117,T4=$Q$118,T4=$Q$119),1,IF(OR(T4=$Q$102,T4=$Q$103,T4=$Q$104,T4=$Q$111,T4=$Q$112,T4=$Q$113,T4=$Q$120,T4=$Q$121,T4=$Q$122),2,IF(OR(T4=$Q$105,T4=$Q$106,T4=$Q$107,T4=$Q$114,T4=$Q$115,T4=$Q$116,T4=$Q$123,T4=$Q$124,T4=$Q$125),3,0)))</f>
        <v>3</v>
      </c>
      <c r="F108" s="50">
        <f>IF(OR(W4=$Q$99,W4=$Q$100,W4=$Q$101,W4=$Q$108,W4=$Q$109,W4=$Q$110,W4=$Q$117,W4=$Q$118,W4=$Q$119),1,IF(OR(W4=$Q$102,W4=$Q$103,W4=$Q$104,W4=$Q$111,W4=$Q$112,W4=$Q$113,W4=$Q$120,W4=$Q$121,W4=$Q$122),2,IF(OR(W4=$Q$105,W4=$Q$106,W4=$Q$107,W4=$Q$114,W4=$Q$115,W4=$Q$116,W4=$Q$123,W4=$Q$124,W4=$Q$125),3,0)))</f>
        <v>2</v>
      </c>
      <c r="G108" s="52"/>
      <c r="H108" s="52" t="s">
        <v>204</v>
      </c>
      <c r="Q108" s="52" t="s">
        <v>14</v>
      </c>
      <c r="T108" s="166">
        <v>10</v>
      </c>
    </row>
    <row r="109" spans="1:22" x14ac:dyDescent="0.2">
      <c r="A109" s="52" t="s">
        <v>195</v>
      </c>
      <c r="B109" s="50">
        <f>IF(OR(Q4=$Q$99,Q4=$Q$102,Q4=$Q$105,Q4=$Q$108,Q4=$Q$111,Q4=$Q$114,Q4=$Q$117,Q4=$Q$120,Q4=$Q$123),1,IF(OR(Q4=$Q$100,Q4=$Q$103,Q4=$Q$106,Q4=$Q$109,Q4=$Q$112,Q4=$Q$115,Q4=$Q$118,Q4=$Q$121,Q4=$Q$124),2,IF(OR(Q4=$Q$101,Q4=$Q$104,Q4=$Q$107,Q4=$Q$110,Q4=$Q$113,Q4=$Q$116,Q4=$Q$119,Q4=$Q$122,Q4=$Q$125),3,0)))</f>
        <v>2</v>
      </c>
      <c r="D109" s="50">
        <f>IF(OR(T4=$Q$99,T4=$Q$102,T4=$Q$105,T4=$Q$108,T4=$Q$111,T4=$Q$114,T4=$Q$117,T4=$Q$120,T4=$Q$123),1,IF(OR(T4=$Q$100,T4=$Q$103,T4=$Q$106,T4=$Q$109,T4=$Q$112,T4=$Q$115,T4=$Q$118,T4=$Q$121,T4=$Q$124),2,IF(OR(T4=$Q$101,T4=$Q$104,T4=$Q$107,T4=$Q$110,T4=$Q$113,T4=$Q$116,T4=$Q$119,T4=$Q$122,T4=$Q$125),3,0)))</f>
        <v>1</v>
      </c>
      <c r="F109" s="50">
        <f>IF(OR(W4=$Q$99,W4=$Q$102,W4=$Q$105,W4=$Q$108,W4=$Q$111,W4=$Q$114,W4=$Q$117,W4=$Q$120,W4=$Q$123),1,IF(OR(W4=$Q$100,W4=$Q$103,W4=$Q$106,W4=$Q$109,W4=$Q$112,W4=$Q$115,W4=$Q$118,W4=$Q$121,W4=$Q$124),2,IF(OR(W4=$Q$101,W4=$Q$104,W4=$Q$107,W4=$Q$110,W4=$Q$113,W4=$Q$116,W4=$Q$119,W4=$Q$122,W4=$Q$125),3,0)))</f>
        <v>1</v>
      </c>
      <c r="H109" s="50">
        <f>(100*D99)+(10*D100)+D101</f>
        <v>113</v>
      </c>
      <c r="Q109" s="52" t="s">
        <v>76</v>
      </c>
      <c r="T109" s="166">
        <v>11</v>
      </c>
    </row>
    <row r="110" spans="1:22" x14ac:dyDescent="0.2">
      <c r="B110" s="52" t="s">
        <v>201</v>
      </c>
      <c r="D110" s="52" t="s">
        <v>201</v>
      </c>
      <c r="F110" s="52" t="s">
        <v>201</v>
      </c>
      <c r="G110" s="52"/>
      <c r="H110" s="50">
        <f>(100*D103)+(10*D104)+D105</f>
        <v>323</v>
      </c>
      <c r="Q110" s="52" t="s">
        <v>77</v>
      </c>
      <c r="T110" s="166">
        <v>12</v>
      </c>
    </row>
    <row r="111" spans="1:22" x14ac:dyDescent="0.2">
      <c r="A111" s="52" t="s">
        <v>194</v>
      </c>
      <c r="B111" s="50">
        <f>IF(OR(Q5=$Q$99,Q5=$Q$100,Q5=$Q$101,Q5=$Q$102,Q5=$Q$103,Q5=$Q$104,Q5=$Q$105,Q5=$Q$106,Q5=$Q$107),1,IF(OR(Q5=$Q$108,Q5=$Q$109,Q5=$Q$110,Q5=$Q$111,Q5=$Q$112,Q5=$Q$113,Q5=$Q$114,Q5=$Q$115,Q5=$Q$116),2,IF(OR(Q5=$Q$117,Q5=$Q$118,Q5=$Q$119,Q5=$Q$120,Q5=$Q$121,Q5=$Q$122,Q5=$Q$123,Q5=$Q$124,Q5=$Q$125),3,0)))</f>
        <v>1</v>
      </c>
      <c r="D111" s="50">
        <f>IF(OR(T5=$Q$99,T5=$Q$100,T5=$Q$101,T5=$Q$102,T5=$Q$103,T5=$Q$104,T5=$Q$105,T5=$Q$106,T5=$Q$107),1,IF(OR(T5=$Q$108,T5=$Q$109,T5=$Q$110,T5=$Q$111,T5=$Q$112,T5=$Q$113,T5=$Q$114,T5=$Q$115,T5=$Q$116),2,IF(OR(T5=$Q$117,T5=$Q$118,T5=$Q$119,T5=$Q$120,T5=$Q$121,T5=$Q$122,T5=$Q$123,T5=$Q$124,T5=$Q$125),3,0)))</f>
        <v>1</v>
      </c>
      <c r="F111" s="50">
        <f>IF(OR(W5=$Q$99,W5=$Q$100,W5=$Q$101,W5=$Q$102,W5=$Q$103,W5=$Q$104,W5=$Q$105,W5=$Q$106,W5=$Q$107),1,IF(OR(W5=$Q$108,W5=$Q$109,W5=$Q$110,W5=$Q$111,W5=$Q$112,W5=$Q$113,W5=$Q$114,W5=$Q$115,W5=$Q$116),2,IF(OR(W5=$Q$117,W5=$Q$118,W5=$Q$119,W5=$Q$120,W5=$Q$121,W5=$Q$122,W5=$Q$123,W5=$Q$124,W5=$Q$125),3,0)))</f>
        <v>1</v>
      </c>
      <c r="G111" s="52"/>
      <c r="H111" s="50">
        <f>100*D107+10*D108+D109</f>
        <v>331</v>
      </c>
      <c r="Q111" s="52" t="s">
        <v>15</v>
      </c>
      <c r="T111" s="166">
        <v>13</v>
      </c>
    </row>
    <row r="112" spans="1:22" x14ac:dyDescent="0.2">
      <c r="A112" s="52" t="s">
        <v>193</v>
      </c>
      <c r="B112" s="50">
        <f>IF(OR(Q5=$Q$99,Q5=$Q$100,Q5=$Q$101,Q5=$Q$108,Q5=$Q$109,Q5=$Q$110,Q5=$Q$117,Q5=$Q$118,Q5=$Q$119),1,IF(OR(Q5=$Q$102,Q5=$Q$103,Q5=$Q$104,Q5=$Q$111,Q5=$Q$112,Q5=$Q$113,Q5=$Q$120,Q5=$Q$121,Q5=$Q$122),2,IF(OR(Q5=$Q$105,Q5=$Q$106,Q5=$Q$107,Q5=$Q$114,Q5=$Q$115,Q5=$Q$116,Q5=$Q$123,Q5=$Q$124,Q5=$Q$125),3,0)))</f>
        <v>3</v>
      </c>
      <c r="D112" s="50">
        <f>IF(OR(T5=$Q$99,T5=$Q$100,T5=$Q$101,T5=$Q$108,T5=$Q$109,T5=$Q$110,T5=$Q$117,T5=$Q$118,T5=$Q$119),1,IF(OR(T5=$Q$102,T5=$Q$103,T5=$Q$104,T5=$Q$111,T5=$Q$112,T5=$Q$113,T5=$Q$120,T5=$Q$121,T5=$Q$122),2,IF(OR(T5=$Q$105,T5=$Q$106,T5=$Q$107,T5=$Q$114,T5=$Q$115,T5=$Q$116,T5=$Q$123,T5=$Q$124,T5=$Q$125),3,0)))</f>
        <v>1</v>
      </c>
      <c r="F112" s="50">
        <f>IF(OR(W5=$Q$99,W5=$Q$100,W5=$Q$101,W5=$Q$108,W5=$Q$109,W5=$Q$110,W5=$Q$117,W5=$Q$118,W5=$Q$119),1,IF(OR(W5=$Q$102,W5=$Q$103,W5=$Q$104,W5=$Q$111,W5=$Q$112,W5=$Q$113,W5=$Q$120,W5=$Q$121,W5=$Q$122),2,IF(OR(W5=$Q$105,W5=$Q$106,W5=$Q$107,W5=$Q$114,W5=$Q$115,W5=$Q$116,W5=$Q$123,W5=$Q$124,W5=$Q$125),3,0)))</f>
        <v>2</v>
      </c>
      <c r="G112" s="52"/>
      <c r="H112" s="50">
        <f>(100*D111)+(10*D112)+D113</f>
        <v>111</v>
      </c>
      <c r="Q112" s="52" t="s">
        <v>78</v>
      </c>
      <c r="T112" s="166">
        <v>14</v>
      </c>
    </row>
    <row r="113" spans="1:20" x14ac:dyDescent="0.2">
      <c r="A113" s="52" t="s">
        <v>195</v>
      </c>
      <c r="B113" s="50">
        <f>IF(OR(Q5=$Q$99,Q5=$Q$102,Q5=$Q$105,Q5=$Q$108,Q5=$Q$111,Q5=$Q$114,Q5=$Q$117,Q5=$Q$120,Q5=$Q$123),1,IF(OR(Q5=$Q$100,Q5=$Q$103,Q5=$Q$106,Q5=$Q$109,Q5=$Q$112,Q5=$Q$115,Q5=$Q$118,Q5=$Q$121,Q5=$Q$124),2,IF(OR(Q5=$Q$101,Q5=$Q$104,Q5=$Q$107,Q5=$Q$110,Q5=$Q$113,Q5=$Q$116,Q5=$Q$119,Q5=$Q$122,Q5=$Q$125),3,0)))</f>
        <v>1</v>
      </c>
      <c r="D113" s="50">
        <f>IF(OR(T5=$Q$99,T5=$Q$102,T5=$Q$105,T5=$Q$108,T5=$Q$111,T5=$Q$114,T5=$Q$117,T5=$Q$120,T5=$Q$123),1,IF(OR(T5=$Q$100,T5=$Q$103,T5=$Q$106,T5=$Q$109,T5=$Q$112,T5=$Q$115,T5=$Q$118,T5=$Q$121,T5=$Q$124),2,IF(OR(T5=$Q$101,T5=$Q$104,T5=$Q$107,T5=$Q$110,T5=$Q$113,T5=$Q$116,T5=$Q$119,T5=$Q$122,T5=$Q$125),3,0)))</f>
        <v>1</v>
      </c>
      <c r="F113" s="50">
        <f>IF(OR(W5=$Q$99,W5=$Q$102,W5=$Q$105,W5=$Q$108,W5=$Q$111,W5=$Q$114,W5=$Q$117,W5=$Q$120,W5=$Q$123),1,IF(OR(W5=$Q$100,W5=$Q$103,W5=$Q$106,W5=$Q$109,W5=$Q$112,W5=$Q$115,W5=$Q$118,W5=$Q$121,W5=$Q$124),2,IF(OR(W5=$Q$101,W5=$Q$104,W5=$Q$107,W5=$Q$110,W5=$Q$113,W5=$Q$116,W5=$Q$119,W5=$Q$122,W5=$Q$125),3,0)))</f>
        <v>3</v>
      </c>
      <c r="H113" s="50">
        <f>(100*D115)+(10*D116)+D117</f>
        <v>313</v>
      </c>
      <c r="Q113" s="52" t="s">
        <v>79</v>
      </c>
      <c r="T113" s="166">
        <v>15</v>
      </c>
    </row>
    <row r="114" spans="1:20" x14ac:dyDescent="0.2">
      <c r="B114" s="52" t="s">
        <v>202</v>
      </c>
      <c r="D114" s="52" t="s">
        <v>202</v>
      </c>
      <c r="F114" s="52" t="s">
        <v>202</v>
      </c>
      <c r="G114" s="52"/>
      <c r="H114" s="50">
        <f>100*D119+10*D120+D121</f>
        <v>113</v>
      </c>
      <c r="Q114" s="52" t="s">
        <v>16</v>
      </c>
      <c r="T114" s="166">
        <v>16</v>
      </c>
    </row>
    <row r="115" spans="1:20" x14ac:dyDescent="0.2">
      <c r="A115" s="52" t="s">
        <v>194</v>
      </c>
      <c r="B115" s="50">
        <f>IF(OR(Q6=$Q$99,Q6=$Q$100,Q6=$Q$101,Q6=$Q$102,Q6=$Q$103,Q6=$Q$104,Q6=$Q$105,Q6=$Q$106,Q6=$Q$107),1,IF(OR(Q6=$Q$108,Q6=$Q$109,Q6=$Q$110,Q6=$Q$111,Q6=$Q$112,Q6=$Q$113,Q6=$Q$114,Q6=$Q$115,Q6=$Q$116),2,IF(OR(Q6=$Q$117,Q6=$Q$118,Q6=$Q$119,Q6=$Q$120,Q6=$Q$121,Q6=$Q$122,Q6=$Q$123,Q6=$Q$124,Q6=$Q$125),3,0)))</f>
        <v>1</v>
      </c>
      <c r="D115" s="50">
        <f>IF(OR(T6=$Q$99,T6=$Q$100,T6=$Q$101,T6=$Q$102,T6=$Q$103,T6=$Q$104,T6=$Q$105,T6=$Q$106,T6=$Q$107),1,IF(OR(T6=$Q$108,T6=$Q$109,T6=$Q$110,T6=$Q$111,T6=$Q$112,T6=$Q$113,T6=$Q$114,T6=$Q$115,T6=$Q$116),2,IF(OR(T6=$Q$117,T6=$Q$118,T6=$Q$119,T6=$Q$120,T6=$Q$121,T6=$Q$122,T6=$Q$123,T6=$Q$124,T6=$Q$125),3,0)))</f>
        <v>3</v>
      </c>
      <c r="F115" s="50">
        <f>IF(OR(W6=$Q$99,W6=$Q$100,W6=$Q$101,W6=$Q$102,W6=$Q$103,W6=$Q$104,W6=$Q$105,W6=$Q$106,W6=$Q$107),1,IF(OR(W6=$Q$108,W6=$Q$109,W6=$Q$110,W6=$Q$111,W6=$Q$112,W6=$Q$113,W6=$Q$114,W6=$Q$115,W6=$Q$116),2,IF(OR(W6=$Q$117,W6=$Q$118,W6=$Q$119,W6=$Q$120,W6=$Q$121,W6=$Q$122,W6=$Q$123,W6=$Q$124,W6=$Q$125),3,0)))</f>
        <v>1</v>
      </c>
      <c r="G115" s="52"/>
      <c r="Q115" s="52" t="s">
        <v>80</v>
      </c>
      <c r="T115" s="166">
        <v>17</v>
      </c>
    </row>
    <row r="116" spans="1:20" x14ac:dyDescent="0.2">
      <c r="A116" s="52" t="s">
        <v>193</v>
      </c>
      <c r="B116" s="50">
        <f>IF(OR(Q6=$Q$99,Q6=$Q$100,Q6=$Q$101,Q6=$Q$108,Q6=$Q$109,Q6=$Q$110,Q6=$Q$117,Q6=$Q$118,Q6=$Q$119),1,IF(OR(Q6=$Q$102,Q6=$Q$103,Q6=$Q$104,Q6=$Q$111,Q6=$Q$112,Q6=$Q$113,Q6=$Q$120,Q6=$Q$121,Q6=$Q$122),2,IF(OR(Q6=$Q$105,Q6=$Q$106,Q6=$Q$107,Q6=$Q$114,Q6=$Q$115,Q6=$Q$116,Q6=$Q$123,Q6=$Q$124,Q6=$Q$125),3,0)))</f>
        <v>2</v>
      </c>
      <c r="D116" s="50">
        <f>IF(OR(T6=$Q$99,T6=$Q$100,T6=$Q$101,T6=$Q$108,T6=$Q$109,T6=$Q$110,T6=$Q$117,T6=$Q$118,T6=$Q$119),1,IF(OR(T6=$Q$102,T6=$Q$103,T6=$Q$104,T6=$Q$111,T6=$Q$112,T6=$Q$113,T6=$Q$120,T6=$Q$121,T6=$Q$122),2,IF(OR(T6=$Q$105,T6=$Q$106,T6=$Q$107,T6=$Q$114,T6=$Q$115,T6=$Q$116,T6=$Q$123,T6=$Q$124,T6=$Q$125),3,0)))</f>
        <v>1</v>
      </c>
      <c r="F116" s="50">
        <f>IF(OR(W6=$Q$99,W6=$Q$100,W6=$Q$101,W6=$Q$108,W6=$Q$109,W6=$Q$110,W6=$Q$117,W6=$Q$118,W6=$Q$119),1,IF(OR(W6=$Q$102,W6=$Q$103,W6=$Q$104,W6=$Q$111,W6=$Q$112,W6=$Q$113,W6=$Q$120,W6=$Q$121,W6=$Q$122),2,IF(OR(W6=$Q$105,W6=$Q$106,W6=$Q$107,W6=$Q$114,W6=$Q$115,W6=$Q$116,W6=$Q$123,W6=$Q$124,W6=$Q$125),3,0)))</f>
        <v>3</v>
      </c>
      <c r="G116" s="52"/>
      <c r="Q116" s="52" t="s">
        <v>81</v>
      </c>
      <c r="T116" s="166">
        <v>18</v>
      </c>
    </row>
    <row r="117" spans="1:20" x14ac:dyDescent="0.2">
      <c r="A117" s="52" t="s">
        <v>195</v>
      </c>
      <c r="B117" s="50">
        <f>IF(OR(Q6=$Q$99,Q6=$Q$102,Q6=$Q$105,Q6=$Q$108,Q6=$Q$111,Q6=$Q$114,Q6=$Q$117,Q6=$Q$120,Q6=$Q$123),1,IF(OR(Q6=$Q$100,Q6=$Q$103,Q6=$Q$106,Q6=$Q$109,Q6=$Q$112,Q6=$Q$115,Q6=$Q$118,Q6=$Q$121,Q6=$Q$124),2,IF(OR(Q6=$Q$101,Q6=$Q$104,Q6=$Q$107,Q6=$Q$110,Q6=$Q$113,Q6=$Q$116,Q6=$Q$119,Q6=$Q$122,Q6=$Q$125),3,0)))</f>
        <v>3</v>
      </c>
      <c r="D117" s="50">
        <f>IF(OR(T6=$Q$99,T6=$Q$102,T6=$Q$105,T6=$Q$108,T6=$Q$111,T6=$Q$114,T6=$Q$117,T6=$Q$120,T6=$Q$123),1,IF(OR(T6=$Q$100,T6=$Q$103,T6=$Q$106,T6=$Q$109,T6=$Q$112,T6=$Q$115,T6=$Q$118,T6=$Q$121,T6=$Q$124),2,IF(OR(T6=$Q$101,T6=$Q$104,T6=$Q$107,T6=$Q$110,T6=$Q$113,T6=$Q$116,T6=$Q$119,T6=$Q$122,T6=$Q$125),3,0)))</f>
        <v>3</v>
      </c>
      <c r="F117" s="50">
        <f>IF(OR(W6=$Q$99,W6=$Q$102,W6=$Q$105,W6=$Q$108,W6=$Q$111,W6=$Q$114,W6=$Q$117,W6=$Q$120,W6=$Q$123),1,IF(OR(W6=$Q$100,W6=$Q$103,W6=$Q$106,W6=$Q$109,W6=$Q$112,W6=$Q$115,W6=$Q$118,W6=$Q$121,W6=$Q$124),2,IF(OR(W6=$Q$101,W6=$Q$104,W6=$Q$107,W6=$Q$110,W6=$Q$113,W6=$Q$116,W6=$Q$119,W6=$Q$122,W6=$Q$125),3,0)))</f>
        <v>1</v>
      </c>
      <c r="Q117" s="52" t="s">
        <v>82</v>
      </c>
      <c r="T117" s="166">
        <v>19</v>
      </c>
    </row>
    <row r="118" spans="1:20" x14ac:dyDescent="0.2">
      <c r="B118" s="52" t="s">
        <v>203</v>
      </c>
      <c r="D118" s="52" t="s">
        <v>203</v>
      </c>
      <c r="F118" s="52" t="s">
        <v>203</v>
      </c>
      <c r="G118" s="52"/>
      <c r="H118" s="52" t="s">
        <v>205</v>
      </c>
      <c r="Q118" s="52" t="s">
        <v>151</v>
      </c>
      <c r="T118" s="166">
        <v>20</v>
      </c>
    </row>
    <row r="119" spans="1:20" x14ac:dyDescent="0.2">
      <c r="A119" s="52" t="s">
        <v>194</v>
      </c>
      <c r="B119" s="50">
        <f>IF(OR(Q7=$Q$99,Q7=$Q$100,Q7=$Q$101,Q7=$Q$102,Q7=$Q$103,Q7=$Q$104,Q7=$Q$105,Q7=$Q$106,Q7=$Q$107),1,IF(OR(Q7=$Q$108,Q7=$Q$109,Q7=$Q$110,Q7=$Q$111,Q7=$Q$112,Q7=$Q$113,Q7=$Q$114,Q7=$Q$115,Q7=$Q$116),2,IF(OR(Q7=$Q$117,Q7=$Q$118,Q7=$Q$119,Q7=$Q$120,Q7=$Q$121,Q7=$Q$122,Q7=$Q$123,Q7=$Q$124,Q7=$Q$125),3,0)))</f>
        <v>3</v>
      </c>
      <c r="D119" s="50">
        <f>IF(OR(T7=$Q$99,T7=$Q$100,T7=$Q$101,T7=$Q$102,T7=$Q$103,T7=$Q$104,T7=$Q$105,T7=$Q$106,T7=$Q$107),1,IF(OR(T7=$Q$108,T7=$Q$109,T7=$Q$110,T7=$Q$111,T7=$Q$112,T7=$Q$113,T7=$Q$114,T7=$Q$115,T7=$Q$116),2,IF(OR(T7=$Q$117,T7=$Q$118,T7=$Q$119,T7=$Q$120,T7=$Q$121,T7=$Q$122,T7=$Q$123,T7=$Q$124,T7=$Q$125),3,0)))</f>
        <v>1</v>
      </c>
      <c r="F119" s="50">
        <f>IF(OR(W7=$Q$99,W7=$Q$100,W7=$Q$101,W7=$Q$102,W7=$Q$103,W7=$Q$104,W7=$Q$105,W7=$Q$106,W7=$Q$107),1,IF(OR(W7=$Q$108,W7=$Q$109,W7=$Q$110,W7=$Q$111,W7=$Q$112,W7=$Q$113,W7=$Q$114,W7=$Q$115,W7=$Q$116),2,IF(OR(W7=$Q$117,W7=$Q$118,W7=$Q$119,W7=$Q$120,W7=$Q$121,W7=$Q$122,W7=$Q$123,W7=$Q$124,W7=$Q$125),3,0)))</f>
        <v>1</v>
      </c>
      <c r="G119" s="52"/>
      <c r="H119" s="50">
        <f>(100*F99)+(10*F100)+F101</f>
        <v>123</v>
      </c>
      <c r="Q119" s="52" t="s">
        <v>169</v>
      </c>
      <c r="T119" s="166">
        <v>21</v>
      </c>
    </row>
    <row r="120" spans="1:20" x14ac:dyDescent="0.2">
      <c r="A120" s="52" t="s">
        <v>193</v>
      </c>
      <c r="B120" s="50">
        <f>IF(OR(Q7=$Q$99,Q7=$Q$100,Q7=$Q$101,Q7=$Q$108,Q7=$Q$109,Q7=$Q$110,Q7=$Q$117,Q7=$Q$118,Q7=$Q$119),1,IF(OR(Q7=$Q$102,Q7=$Q$103,Q7=$Q$104,Q7=$Q$111,Q7=$Q$112,Q7=$Q$113,Q7=$Q$120,Q7=$Q$121,Q7=$Q$122),2,IF(OR(Q7=$Q$105,Q7=$Q$106,Q7=$Q$107,Q7=$Q$114,Q7=$Q$115,Q7=$Q$116,Q7=$Q$123,Q7=$Q$124,Q7=$Q$125),3,0)))</f>
        <v>2</v>
      </c>
      <c r="D120" s="50">
        <f>IF(OR(T7=$Q$99,T7=$Q$100,T7=$Q$101,T7=$Q$108,T7=$Q$109,T7=$Q$110,T7=$Q$117,T7=$Q$118,T7=$Q$119),1,IF(OR(T7=$Q$102,T7=$Q$103,T7=$Q$104,T7=$Q$111,T7=$Q$112,T7=$Q$113,T7=$Q$120,T7=$Q$121,T7=$Q$122),2,IF(OR(T7=$Q$105,T7=$Q$106,T7=$Q$107,T7=$Q$114,T7=$Q$115,T7=$Q$116,T7=$Q$123,T7=$Q$124,T7=$Q$125),3,0)))</f>
        <v>1</v>
      </c>
      <c r="F120" s="50">
        <f>IF(OR(W7=$Q$99,W7=$Q$100,W7=$Q$101,W7=$Q$108,W7=$Q$109,W7=$Q$110,W7=$Q$117,W7=$Q$118,W7=$Q$119),1,IF(OR(W7=$Q$102,W7=$Q$103,W7=$Q$104,W7=$Q$111,W7=$Q$112,W7=$Q$113,W7=$Q$120,W7=$Q$121,W7=$Q$122),2,IF(OR(W7=$Q$105,W7=$Q$106,W7=$Q$107,W7=$Q$114,W7=$Q$115,W7=$Q$116,W7=$Q$123,W7=$Q$124,W7=$Q$125),3,0)))</f>
        <v>1</v>
      </c>
      <c r="G120" s="52"/>
      <c r="H120" s="50">
        <f>(100*F103)+(10*F104)+F105</f>
        <v>123</v>
      </c>
      <c r="Q120" s="52" t="s">
        <v>17</v>
      </c>
      <c r="T120" s="166">
        <v>22</v>
      </c>
    </row>
    <row r="121" spans="1:20" x14ac:dyDescent="0.2">
      <c r="A121" s="52" t="s">
        <v>195</v>
      </c>
      <c r="B121" s="50">
        <f>IF(OR(Q7=$Q$99,Q7=$Q$102,Q7=$Q$105,Q7=$Q$108,Q7=$Q$111,Q7=$Q$114,Q7=$Q$117,Q7=$Q$120,Q7=$Q$123),1,IF(OR(Q7=$Q$100,Q7=$Q$103,Q7=$Q$106,Q7=$Q$109,Q7=$Q$112,Q7=$Q$115,Q7=$Q$118,Q7=$Q$121,Q7=$Q$124),2,IF(OR(Q7=$Q$101,Q7=$Q$104,Q7=$Q$107,Q7=$Q$110,Q7=$Q$113,Q7=$Q$116,Q7=$Q$119,Q7=$Q$122,Q7=$Q$125),3,0)))</f>
        <v>3</v>
      </c>
      <c r="D121" s="50">
        <f>IF(OR(T7=$Q$99,T7=$Q$102,T7=$Q$105,T7=$Q$108,T7=$Q$111,T7=$Q$114,T7=$Q$117,T7=$Q$120,T7=$Q$123),1,IF(OR(T7=$Q$100,T7=$Q$103,T7=$Q$106,T7=$Q$109,T7=$Q$112,T7=$Q$115,T7=$Q$118,T7=$Q$121,T7=$Q$124),2,IF(OR(T7=$Q$101,T7=$Q$104,T7=$Q$107,T7=$Q$110,T7=$Q$113,T7=$Q$116,T7=$Q$119,T7=$Q$122,T7=$Q$125),3,0)))</f>
        <v>3</v>
      </c>
      <c r="F121" s="50">
        <f>IF(OR(W7=$Q$99,W7=$Q$102,W7=$Q$105,W7=$Q$108,W7=$Q$111,W7=$Q$114,W7=$Q$117,W7=$Q$120,W7=$Q$123),1,IF(OR(W7=$Q$100,W7=$Q$103,W7=$Q$106,W7=$Q$109,W7=$Q$112,W7=$Q$115,W7=$Q$118,W7=$Q$121,W7=$Q$124),2,IF(OR(W7=$Q$101,W7=$Q$104,W7=$Q$107,W7=$Q$110,W7=$Q$113,W7=$Q$116,W7=$Q$119,W7=$Q$122,W7=$Q$125),3,0)))</f>
        <v>2</v>
      </c>
      <c r="H121" s="50">
        <f>100*F107+10*F108+F109</f>
        <v>121</v>
      </c>
      <c r="Q121" s="52" t="s">
        <v>83</v>
      </c>
      <c r="T121" s="166">
        <v>23</v>
      </c>
    </row>
    <row r="122" spans="1:20" x14ac:dyDescent="0.2">
      <c r="H122" s="50">
        <f>(100*F111)+(10*F112)+F113</f>
        <v>123</v>
      </c>
      <c r="Q122" s="52" t="s">
        <v>84</v>
      </c>
      <c r="T122" s="166">
        <v>24</v>
      </c>
    </row>
    <row r="123" spans="1:20" x14ac:dyDescent="0.2">
      <c r="B123" s="52" t="s">
        <v>207</v>
      </c>
      <c r="D123" s="52" t="s">
        <v>206</v>
      </c>
      <c r="F123" s="52" t="s">
        <v>208</v>
      </c>
      <c r="H123" s="50">
        <f>(100*F115)+(10*F116)+F117</f>
        <v>131</v>
      </c>
      <c r="Q123" s="50" t="s">
        <v>85</v>
      </c>
      <c r="T123" s="166">
        <v>25</v>
      </c>
    </row>
    <row r="124" spans="1:20" x14ac:dyDescent="0.2">
      <c r="B124" s="52" t="s">
        <v>198</v>
      </c>
      <c r="D124" s="52" t="s">
        <v>198</v>
      </c>
      <c r="F124" s="52" t="s">
        <v>198</v>
      </c>
      <c r="H124" s="50">
        <f>100*F119+10*F120+F121</f>
        <v>112</v>
      </c>
      <c r="Q124" s="52" t="s">
        <v>191</v>
      </c>
      <c r="T124" s="166">
        <v>26</v>
      </c>
    </row>
    <row r="125" spans="1:20" x14ac:dyDescent="0.2">
      <c r="A125" s="52" t="s">
        <v>194</v>
      </c>
      <c r="B125" s="50">
        <f>IF(OR(Z2=$Q$99,Z2=$Q$100,Z2=$Q$101,Z2=$Q$102,Z2=$Q$103,Z2=$Q$104,Z2=$Q$105,Z2=$Q$106,Z2=$Q$107),1,IF(OR(Z2=$Q$108,Z2=$Q$109,Z2=$Q$110,Z2=$Q$111,Z2=$Q$112,Z2=$Q$113,Z2=$Q$114,Z2=$Q$115,Z2=$Q$116),2,IF(OR(Z2=$Q$117,Z2=$Q$118,Z2=$Q$119,Z2=$Q$120,Z2=$Q$121,Z2=$Q$122,Z2=$Q$123,Z2=$Q$124,Z2=$Q$125),3,0)))</f>
        <v>1</v>
      </c>
      <c r="C125" s="52"/>
      <c r="D125" s="50">
        <f>IF(OR(AC2=$Q$99,AC2=$Q$100,AC2=$Q$101,AC2=$Q$102,AC2=$Q$103,AC2=$Q$104,AC2=$Q$105,AC2=$Q$106,AC2=$Q$107),1,IF(OR(AC2=$Q$108,AC2=$Q$109,AC2=$Q$110,AC2=$Q$111,AC2=$Q$112,AC2=$Q$113,AC2=$Q$114,AC2=$Q$115,AC2=$Q$116),2,IF(OR(AC2=$Q$117,AC2=$Q$118,AC2=$Q$119,AC2=$Q$120,AC2=$Q$121,AC2=$Q$122,AC2=$Q$123,AC2=$Q$124,AC2=$Q$125),3,0)))</f>
        <v>1</v>
      </c>
      <c r="F125" s="50">
        <f>IF(OR(AF2=$Q$99,AF2=$Q$100,AF2=$Q$101,AF2=$Q$102,AF2=$Q$103,AF2=$Q$104,AF2=$Q$105,AF2=$Q$106,AF2=$Q$107),1,IF(OR(AF2=$Q$108,AF2=$Q$109,AF2=$Q$110,AF2=$Q$111,AF2=$Q$112,AF2=$Q$113,AF2=$Q$114,AF2=$Q$115,AF2=$Q$116),2,IF(OR(AF2=$Q$117,AF2=$Q$118,AF2=$Q$119,AF2=$Q$120,AF2=$Q$121,AF2=$Q$122,AF2=$Q$123,AF2=$Q$124,AF2=$Q$125),3,0)))</f>
        <v>1</v>
      </c>
      <c r="Q125" s="52" t="s">
        <v>192</v>
      </c>
      <c r="T125" s="166">
        <v>27</v>
      </c>
    </row>
    <row r="126" spans="1:20" x14ac:dyDescent="0.2">
      <c r="A126" s="52" t="s">
        <v>193</v>
      </c>
      <c r="B126" s="50">
        <f>IF(OR(Z2=$Q$99,Z2=$Q$100,Z2=$Q$101,Z2=$Q$108,Z2=$Q$109,Z2=$Q$110,Z2=$Q$117,Z2=$Q$118,Z2=$Q$119),1,IF(OR(Z2=$Q$102,Z2=$Q$103,Z2=$Q$104,Z2=$Q$111,Z2=$Q$112,Z2=$Q$113,Z2=$Q$120,Z2=$Q$121,Z2=$Q$122),2,IF(OR(Z2=$Q$105,Z2=$Q$106,Z2=$Q$107,Z2=$Q$114,Z2=$Q$115,Z2=$Q$116,Z2=$Q$123,Z2=$Q$124,Z2=$Q$125),3,0)))</f>
        <v>2</v>
      </c>
      <c r="D126" s="50">
        <f>IF(OR(AC2=$Q$99,AC2=$Q$100,AC2=$Q$101,AC2=$Q$108,AC2=$Q$109,AC2=$Q$110,AC2=$Q$117,AC2=$Q$118,AC2=$Q$119),1,IF(OR(AC2=$Q$102,AC2=$Q$103,AC2=$Q$104,AC2=$Q$111,AC2=$Q$112,AC2=$Q$113,AC2=$Q$120,AC2=$Q$121,AC2=$Q$122),2,IF(OR(AC2=$Q$105,AC2=$Q$106,AC2=$Q$107,AC2=$Q$114,AC2=$Q$115,AC2=$Q$116,AC2=$Q$123,AC2=$Q$124,AC2=$Q$125),3,0)))</f>
        <v>2</v>
      </c>
      <c r="F126" s="50">
        <f>IF(OR(AF2=$Q$99,AF2=$Q$100,AF2=$Q$101,AF2=$Q$108,AF2=$Q$109,AF2=$Q$110,AF2=$Q$117,AF2=$Q$118,AF2=$Q$119),1,IF(OR(AF2=$Q$102,AF2=$Q$103,AF2=$Q$104,AF2=$Q$111,AF2=$Q$112,AF2=$Q$113,AF2=$Q$120,AF2=$Q$121,AF2=$Q$122),2,IF(OR(AF2=$Q$105,AF2=$Q$106,AF2=$Q$107,AF2=$Q$114,AF2=$Q$115,AF2=$Q$116,AF2=$Q$123,AF2=$Q$124,AF2=$Q$125),3,0)))</f>
        <v>2</v>
      </c>
    </row>
    <row r="127" spans="1:20" x14ac:dyDescent="0.2">
      <c r="A127" s="52" t="s">
        <v>195</v>
      </c>
      <c r="B127" s="50">
        <f>IF(OR(Z2=$Q$99,Z2=$Q$102,Z2=$Q$105,Z2=$Q$108,Z2=$Q$111,Z2=$Q$114,Z2=$Q$117,Z2=$Q$120,Z2=$Q$123),1,IF(OR(Z2=$Q$100,Z2=$Q$103,Z2=$Q$106,Z2=$Q$109,Z2=$Q$112,Z2=$Q$115,Z2=$Q$118,Z2=$Q$121,Z2=$Q$124),2,IF(OR(Z2=$Q$101,Z2=$Q$104,Z2=$Q$107,Z2=$Q$110,Z2=$Q$113,Z2=$Q$116,Z2=$Q$119,Z2=$Q$122,Z2=$Q$125),3,0)))</f>
        <v>1</v>
      </c>
      <c r="D127" s="50">
        <f>IF(OR(AC2=$Q$99,AC2=$Q$102,AC2=$Q$105,AC2=$Q$108,AC2=$Q$111,AC2=$Q$114,AC2=$Q$117,AC2=$Q$120,AC2=$Q$123),1,IF(OR(AC2=$Q$100,AC2=$Q$103,AC2=$Q$106,AC2=$Q$109,AC2=$Q$112,AC2=$Q$115,AC2=$Q$118,AC2=$Q$121,AC2=$Q$124),2,IF(OR(AC2=$Q$101,AC2=$Q$104,AC2=$Q$107,AC2=$Q$110,AC2=$Q$113,AC2=$Q$116,AC2=$Q$119,AC2=$Q$122,AC2=$Q$125),3,0)))</f>
        <v>1</v>
      </c>
      <c r="F127" s="50">
        <f>IF(OR(AF2=$Q$99,AF2=$Q$102,AF2=$Q$105,AF2=$Q$108,AF2=$Q$111,AF2=$Q$114,AF2=$Q$117,AF2=$Q$120,AF2=$Q$123),1,IF(OR(AF2=$Q$100,AF2=$Q$103,AF2=$Q$106,AF2=$Q$109,AF2=$Q$112,AF2=$Q$115,AF2=$Q$118,AF2=$Q$121,AF2=$Q$124),2,IF(OR(AF2=$Q$101,AF2=$Q$104,AF2=$Q$107,AF2=$Q$110,AF2=$Q$113,AF2=$Q$116,AF2=$Q$119,AF2=$Q$122,AF2=$Q$125),3,0)))</f>
        <v>1</v>
      </c>
    </row>
    <row r="128" spans="1:20" x14ac:dyDescent="0.2">
      <c r="B128" s="52" t="s">
        <v>199</v>
      </c>
      <c r="D128" s="52" t="s">
        <v>199</v>
      </c>
      <c r="F128" s="52" t="s">
        <v>199</v>
      </c>
      <c r="G128" s="52"/>
      <c r="H128" s="52" t="s">
        <v>207</v>
      </c>
    </row>
    <row r="129" spans="1:8" x14ac:dyDescent="0.2">
      <c r="A129" s="52" t="s">
        <v>194</v>
      </c>
      <c r="B129" s="50">
        <f>IF(OR(Z3=$Q$99,Z3=$Q$100,Z3=$Q$101,Z3=$Q$102,Z3=$Q$103,Z3=$Q$104,Z3=$Q$105,Z3=$Q$106,Z3=$Q$107),1,IF(OR(Z3=$Q$108,Z3=$Q$109,Z3=$Q$110,Z3=$Q$111,Z3=$Q$112,Z3=$Q$113,Z3=$Q$114,Z3=$Q$115,Z3=$Q$116),2,IF(OR(Z3=$Q$117,Z3=$Q$118,Z3=$Q$119,Z3=$Q$120,Z3=$Q$121,Z3=$Q$122,Z3=$Q$123,Z3=$Q$124,Z3=$Q$125),3,0)))</f>
        <v>1</v>
      </c>
      <c r="D129" s="50">
        <f>IF(OR(AC3=$Q$99,AC3=$Q$100,AC3=$Q$101,AC3=$Q$102,AC3=$Q$103,AC3=$Q$104,AC3=$Q$105,AC3=$Q$106,AC3=$Q$107),1,IF(OR(AC3=$Q$108,AC3=$Q$109,AC3=$Q$110,AC3=$Q$111,AC3=$Q$112,AC3=$Q$113,AC3=$Q$114,AC3=$Q$115,AC3=$Q$116),2,IF(OR(AC3=$Q$117,AC3=$Q$118,AC3=$Q$119,AC3=$Q$120,AC3=$Q$121,AC3=$Q$122,AC3=$Q$123,AC3=$Q$124,AC3=$Q$125),3,0)))</f>
        <v>1</v>
      </c>
      <c r="F129" s="50">
        <f>IF(OR(AF3=$Q$99,AF3=$Q$100,AF3=$Q$101,AF3=$Q$102,AF3=$Q$103,AF3=$Q$104,AF3=$Q$105,AF3=$Q$106,AF3=$Q$107),1,IF(OR(AF3=$Q$108,AF3=$Q$109,AF3=$Q$110,AF3=$Q$111,AF3=$Q$112,AF3=$Q$113,AF3=$Q$114,AF3=$Q$115,AF3=$Q$116),2,IF(OR(AF3=$Q$117,AF3=$Q$118,AF3=$Q$119,AF3=$Q$120,AF3=$Q$121,AF3=$Q$122,AF3=$Q$123,AF3=$Q$124,AF3=$Q$125),3,0)))</f>
        <v>1</v>
      </c>
      <c r="G129" s="52"/>
      <c r="H129" s="50">
        <f>(100*B125)+(10*B126)+B127</f>
        <v>121</v>
      </c>
    </row>
    <row r="130" spans="1:8" x14ac:dyDescent="0.2">
      <c r="A130" s="52" t="s">
        <v>193</v>
      </c>
      <c r="B130" s="50">
        <f>IF(OR(Z3=$Q$99,Z3=$Q$100,Z3=$Q$101,Z3=$Q$108,Z3=$Q$109,Z3=$Q$110,Z3=$Q$117,Z3=$Q$118,Z3=$Q$119),1,IF(OR(Z3=$Q$102,Z3=$Q$103,Z3=$Q$104,Z3=$Q$111,Z3=$Q$112,Z3=$Q$113,Z3=$Q$120,Z3=$Q$121,Z3=$Q$122),2,IF(OR(Z3=$Q$105,Z3=$Q$106,Z3=$Q$107,Z3=$Q$114,Z3=$Q$115,Z3=$Q$116,Z3=$Q$123,Z3=$Q$124,Z3=$Q$125),3,0)))</f>
        <v>2</v>
      </c>
      <c r="D130" s="50">
        <f>IF(OR(AC3=$Q$99,AC3=$Q$100,AC3=$Q$101,AC3=$Q$108,AC3=$Q$109,AC3=$Q$110,AC3=$Q$117,AC3=$Q$118,AC3=$Q$119),1,IF(OR(AC3=$Q$102,AC3=$Q$103,AC3=$Q$104,AC3=$Q$111,AC3=$Q$112,AC3=$Q$113,AC3=$Q$120,AC3=$Q$121,AC3=$Q$122),2,IF(OR(AC3=$Q$105,AC3=$Q$106,AC3=$Q$107,AC3=$Q$114,AC3=$Q$115,AC3=$Q$116,AC3=$Q$123,AC3=$Q$124,AC3=$Q$125),3,0)))</f>
        <v>2</v>
      </c>
      <c r="F130" s="50">
        <f>IF(OR(AF3=$Q$99,AF3=$Q$100,AF3=$Q$101,AF3=$Q$108,AF3=$Q$109,AF3=$Q$110,AF3=$Q$117,AF3=$Q$118,AF3=$Q$119),1,IF(OR(AF3=$Q$102,AF3=$Q$103,AF3=$Q$104,AF3=$Q$111,AF3=$Q$112,AF3=$Q$113,AF3=$Q$120,AF3=$Q$121,AF3=$Q$122),2,IF(OR(AF3=$Q$105,AF3=$Q$106,AF3=$Q$107,AF3=$Q$114,AF3=$Q$115,AF3=$Q$116,AF3=$Q$123,AF3=$Q$124,AF3=$Q$125),3,0)))</f>
        <v>1</v>
      </c>
      <c r="G130" s="52"/>
      <c r="H130" s="50">
        <f>(100*B129)+(10*B130)+B131</f>
        <v>123</v>
      </c>
    </row>
    <row r="131" spans="1:8" x14ac:dyDescent="0.2">
      <c r="A131" s="52" t="s">
        <v>195</v>
      </c>
      <c r="B131" s="50">
        <f>IF(OR(Z3=$Q$99,Z3=$Q$102,Z3=$Q$105,Z3=$Q$108,Z3=$Q$111,Z3=$Q$114,Z3=$Q$117,Z3=$Q$120,Z3=$Q$123),1,IF(OR(Z3=$Q$100,Z3=$Q$103,Z3=$Q$106,Z3=$Q$109,Z3=$Q$112,Z3=$Q$115,Z3=$Q$118,Z3=$Q$121,Z3=$Q$124),2,IF(OR(Z3=$Q$101,Z3=$Q$104,Z3=$Q$107,Z3=$Q$110,Z3=$Q$113,Z3=$Q$116,Z3=$Q$119,Z3=$Q$122,Z3=$Q$125),3,0)))</f>
        <v>3</v>
      </c>
      <c r="D131" s="50">
        <f>IF(OR(AC3=$Q$99,AC3=$Q$102,AC3=$Q$105,AC3=$Q$108,AC3=$Q$111,AC3=$Q$114,AC3=$Q$117,AC3=$Q$120,AC3=$Q$123),1,IF(OR(AC3=$Q$100,AC3=$Q$103,AC3=$Q$106,AC3=$Q$109,AC3=$Q$112,AC3=$Q$115,AC3=$Q$118,AC3=$Q$121,AC3=$Q$124),2,IF(OR(AC3=$Q$101,AC3=$Q$104,AC3=$Q$107,AC3=$Q$110,AC3=$Q$113,AC3=$Q$116,AC3=$Q$119,AC3=$Q$122,AC3=$Q$125),3,0)))</f>
        <v>2</v>
      </c>
      <c r="F131" s="50">
        <f>IF(OR(AF3=$Q$99,AF3=$Q$102,AF3=$Q$105,AF3=$Q$108,AF3=$Q$111,AF3=$Q$114,AF3=$Q$117,AF3=$Q$120,AF3=$Q$123),1,IF(OR(AF3=$Q$100,AF3=$Q$103,AF3=$Q$106,AF3=$Q$109,AF3=$Q$112,AF3=$Q$115,AF3=$Q$118,AF3=$Q$121,AF3=$Q$124),2,IF(OR(AF3=$Q$101,AF3=$Q$104,AF3=$Q$107,AF3=$Q$110,AF3=$Q$113,AF3=$Q$116,AF3=$Q$119,AF3=$Q$122,AF3=$Q$125),3,0)))</f>
        <v>3</v>
      </c>
      <c r="H131" s="50">
        <f>(100*B133)+(10*B134)+B135</f>
        <v>311</v>
      </c>
    </row>
    <row r="132" spans="1:8" x14ac:dyDescent="0.2">
      <c r="B132" s="52" t="s">
        <v>200</v>
      </c>
      <c r="D132" s="52" t="s">
        <v>200</v>
      </c>
      <c r="F132" s="52" t="s">
        <v>200</v>
      </c>
      <c r="G132" s="52"/>
      <c r="H132" s="50">
        <f>(100*B137)+(10*B138)+B139</f>
        <v>212</v>
      </c>
    </row>
    <row r="133" spans="1:8" x14ac:dyDescent="0.2">
      <c r="A133" s="52" t="s">
        <v>194</v>
      </c>
      <c r="B133" s="50">
        <f>IF(OR(Z4=$Q$99,Z4=$Q$100,Z4=$Q$101,Z4=$Q$102,Z4=$Q$103,Z4=$Q$104,Z4=$Q$105,Z4=$Q$106,Z4=$Q$107),1,IF(OR(Z4=$Q$108,Z4=$Q$109,Z4=$Q$110,Z4=$Q$111,Z4=$Q$112,Z4=$Q$113,Z4=$Q$114,Z4=$Q$115,Z4=$Q$116),2,IF(OR(Z4=$Q$117,Z4=$Q$118,Z4=$Q$119,Z4=$Q$120,Z4=$Q$121,Z4=$Q$122,Z4=$Q$123,Z4=$Q$124,Z4=$Q$125),3,0)))</f>
        <v>3</v>
      </c>
      <c r="D133" s="50">
        <f>IF(OR(AC4=$Q$99,AC4=$Q$100,AC4=$Q$101,AC4=$Q$102,AC4=$Q$103,AC4=$Q$104,AC4=$Q$105,AC4=$Q$106,AC4=$Q$107),1,IF(OR(AC4=$Q$108,AC4=$Q$109,AC4=$Q$110,AC4=$Q$111,AC4=$Q$112,AC4=$Q$113,AC4=$Q$114,AC4=$Q$115,AC4=$Q$116),2,IF(OR(AC4=$Q$117,AC4=$Q$118,AC4=$Q$119,AC4=$Q$120,AC4=$Q$121,AC4=$Q$122,AC4=$Q$123,AC4=$Q$124,AC4=$Q$125),3,0)))</f>
        <v>1</v>
      </c>
      <c r="F133" s="50">
        <f>IF(OR(AF4=$Q$99,AF4=$Q$100,AF4=$Q$101,AF4=$Q$102,AF4=$Q$103,AF4=$Q$104,AF4=$Q$105,AF4=$Q$106,AF4=$Q$107),1,IF(OR(AF4=$Q$108,AF4=$Q$109,AF4=$Q$110,AF4=$Q$111,AF4=$Q$112,AF4=$Q$113,AF4=$Q$114,AF4=$Q$115,AF4=$Q$116),2,IF(OR(AF4=$Q$117,AF4=$Q$118,AF4=$Q$119,AF4=$Q$120,AF4=$Q$121,AF4=$Q$122,AF4=$Q$123,AF4=$Q$124,AF4=$Q$125),3,0)))</f>
        <v>1</v>
      </c>
      <c r="G133" s="52"/>
      <c r="H133" s="50">
        <f>(100*B141)+(10*B142)+B143</f>
        <v>213</v>
      </c>
    </row>
    <row r="134" spans="1:8" x14ac:dyDescent="0.2">
      <c r="A134" s="52" t="s">
        <v>193</v>
      </c>
      <c r="B134" s="50">
        <f>IF(OR(Z4=$Q$99,Z4=$Q$100,Z4=$Q$101,Z4=$Q$108,Z4=$Q$109,Z4=$Q$110,Z4=$Q$117,Z4=$Q$118,Z4=$Q$119),1,IF(OR(Z4=$Q$102,Z4=$Q$103,Z4=$Q$104,Z4=$Q$111,Z4=$Q$112,Z4=$Q$113,Z4=$Q$120,Z4=$Q$121,Z4=$Q$122),2,IF(OR(Z4=$Q$105,Z4=$Q$106,Z4=$Q$107,Z4=$Q$114,Z4=$Q$115,Z4=$Q$116,Z4=$Q$123,Z4=$Q$124,Z4=$Q$125),3,0)))</f>
        <v>1</v>
      </c>
      <c r="D134" s="50">
        <f>IF(OR(AC4=$Q$99,AC4=$Q$100,AC4=$Q$101,AC4=$Q$108,AC4=$Q$109,AC4=$Q$110,AC4=$Q$117,AC4=$Q$118,AC4=$Q$119),1,IF(OR(AC4=$Q$102,AC4=$Q$103,AC4=$Q$104,AC4=$Q$111,AC4=$Q$112,AC4=$Q$113,AC4=$Q$120,AC4=$Q$121,AC4=$Q$122),2,IF(OR(AC4=$Q$105,AC4=$Q$106,AC4=$Q$107,AC4=$Q$114,AC4=$Q$115,AC4=$Q$116,AC4=$Q$123,AC4=$Q$124,AC4=$Q$125),3,0)))</f>
        <v>3</v>
      </c>
      <c r="F134" s="50">
        <f>IF(OR(AF4=$Q$99,AF4=$Q$100,AF4=$Q$101,AF4=$Q$108,AF4=$Q$109,AF4=$Q$110,AF4=$Q$117,AF4=$Q$118,AF4=$Q$119),1,IF(OR(AF4=$Q$102,AF4=$Q$103,AF4=$Q$104,AF4=$Q$111,AF4=$Q$112,AF4=$Q$113,AF4=$Q$120,AF4=$Q$121,AF4=$Q$122),2,IF(OR(AF4=$Q$105,AF4=$Q$106,AF4=$Q$107,AF4=$Q$114,AF4=$Q$115,AF4=$Q$116,AF4=$Q$123,AF4=$Q$124,AF4=$Q$125),3,0)))</f>
        <v>2</v>
      </c>
      <c r="G134" s="52"/>
      <c r="H134" s="50">
        <f>100*B145+10*B146+B147</f>
        <v>221</v>
      </c>
    </row>
    <row r="135" spans="1:8" x14ac:dyDescent="0.2">
      <c r="A135" s="52" t="s">
        <v>195</v>
      </c>
      <c r="B135" s="50">
        <f>IF(OR(Z4=$Q$99,Z4=$Q$102,Z4=$Q$105,Z4=$Q$108,Z4=$Q$111,Z4=$Q$114,Z4=$Q$117,Z4=$Q$120,Z4=$Q$123),1,IF(OR(Z4=$Q$100,Z4=$Q$103,Z4=$Q$106,Z4=$Q$109,Z4=$Q$112,Z4=$Q$115,Z4=$Q$118,Z4=$Q$121,Z4=$Q$124),2,IF(OR(Z4=$Q$101,Z4=$Q$104,Z4=$Q$107,Z4=$Q$110,Z4=$Q$113,Z4=$Q$116,Z4=$Q$119,Z4=$Q$122,Z4=$Q$125),3,0)))</f>
        <v>1</v>
      </c>
      <c r="D135" s="50">
        <f>IF(OR(AC4=$Q$99,AC4=$Q$102,AC4=$Q$105,AC4=$Q$108,AC4=$Q$111,AC4=$Q$114,AC4=$Q$117,AC4=$Q$120,AC4=$Q$123),1,IF(OR(AC4=$Q$100,AC4=$Q$103,AC4=$Q$106,AC4=$Q$109,AC4=$Q$112,AC4=$Q$115,AC4=$Q$118,AC4=$Q$121,AC4=$Q$124),2,IF(OR(AC4=$Q$101,AC4=$Q$104,AC4=$Q$107,AC4=$Q$110,AC4=$Q$113,AC4=$Q$116,AC4=$Q$119,AC4=$Q$122,AC4=$Q$125),3,0)))</f>
        <v>1</v>
      </c>
      <c r="F135" s="50">
        <f>IF(OR(AF4=$Q$99,AF4=$Q$102,AF4=$Q$105,AF4=$Q$108,AF4=$Q$111,AF4=$Q$114,AF4=$Q$117,AF4=$Q$120,AF4=$Q$123),1,IF(OR(AF4=$Q$100,AF4=$Q$103,AF4=$Q$106,AF4=$Q$109,AF4=$Q$112,AF4=$Q$115,AF4=$Q$118,AF4=$Q$121,AF4=$Q$124),2,IF(OR(AF4=$Q$101,AF4=$Q$104,AF4=$Q$107,AF4=$Q$110,AF4=$Q$113,AF4=$Q$116,AF4=$Q$119,AF4=$Q$122,AF4=$Q$125),3,0)))</f>
        <v>3</v>
      </c>
    </row>
    <row r="136" spans="1:8" x14ac:dyDescent="0.2">
      <c r="B136" s="52" t="s">
        <v>201</v>
      </c>
      <c r="D136" s="52" t="s">
        <v>201</v>
      </c>
      <c r="F136" s="52" t="s">
        <v>201</v>
      </c>
      <c r="G136" s="52"/>
    </row>
    <row r="137" spans="1:8" x14ac:dyDescent="0.2">
      <c r="A137" s="52" t="s">
        <v>194</v>
      </c>
      <c r="B137" s="50">
        <f>IF(OR(Z5=$Q$99,Z5=$Q$100,Z5=$Q$101,Z5=$Q$102,Z5=$Q$103,Z5=$Q$104,Z5=$Q$105,Z5=$Q$106,Z5=$Q$107),1,IF(OR(Z5=$Q$108,Z5=$Q$109,Z5=$Q$110,Z5=$Q$111,Z5=$Q$112,Z5=$Q$113,Z5=$Q$114,Z5=$Q$115,Z5=$Q$116),2,IF(OR(Z5=$Q$117,Z5=$Q$118,Z5=$Q$119,Z5=$Q$120,Z5=$Q$121,Z5=$Q$122,Z5=$Q$123,Z5=$Q$124,Z5=$Q$125),3,0)))</f>
        <v>2</v>
      </c>
      <c r="D137" s="50">
        <f>IF(OR(AC5=$Q$99,AC5=$Q$100,AC5=$Q$101,AC5=$Q$102,AC5=$Q$103,AC5=$Q$104,AC5=$Q$105,AC5=$Q$106,AC5=$Q$107),1,IF(OR(AC5=$Q$108,AC5=$Q$109,AC5=$Q$110,AC5=$Q$111,AC5=$Q$112,AC5=$Q$113,AC5=$Q$114,AC5=$Q$115,AC5=$Q$116),2,IF(OR(AC5=$Q$117,AC5=$Q$118,AC5=$Q$119,AC5=$Q$120,AC5=$Q$121,AC5=$Q$122,AC5=$Q$123,AC5=$Q$124,AC5=$Q$125),3,0)))</f>
        <v>1</v>
      </c>
      <c r="F137" s="50">
        <f>IF(OR(AF5=$Q$99,AF5=$Q$100,AF5=$Q$101,AF5=$Q$102,AF5=$Q$103,AF5=$Q$104,AF5=$Q$105,AF5=$Q$106,AF5=$Q$107),1,IF(OR(AF5=$Q$108,AF5=$Q$109,AF5=$Q$110,AF5=$Q$111,AF5=$Q$112,AF5=$Q$113,AF5=$Q$114,AF5=$Q$115,AF5=$Q$116),2,IF(OR(AF5=$Q$117,AF5=$Q$118,AF5=$Q$119,AF5=$Q$120,AF5=$Q$121,AF5=$Q$122,AF5=$Q$123,AF5=$Q$124,AF5=$Q$125),3,0)))</f>
        <v>1</v>
      </c>
      <c r="G137" s="52"/>
    </row>
    <row r="138" spans="1:8" x14ac:dyDescent="0.2">
      <c r="A138" s="52" t="s">
        <v>193</v>
      </c>
      <c r="B138" s="50">
        <f>IF(OR(Z5=$Q$99,Z5=$Q$100,Z5=$Q$101,Z5=$Q$108,Z5=$Q$109,Z5=$Q$110,Z5=$Q$117,Z5=$Q$118,Z5=$Q$119),1,IF(OR(Z5=$Q$102,Z5=$Q$103,Z5=$Q$104,Z5=$Q$111,Z5=$Q$112,Z5=$Q$113,Z5=$Q$120,Z5=$Q$121,Z5=$Q$122),2,IF(OR(Z5=$Q$105,Z5=$Q$106,Z5=$Q$107,Z5=$Q$114,Z5=$Q$115,Z5=$Q$116,Z5=$Q$123,Z5=$Q$124,Z5=$Q$125),3,0)))</f>
        <v>1</v>
      </c>
      <c r="D138" s="50">
        <f>IF(OR(AC5=$Q$99,AC5=$Q$100,AC5=$Q$101,AC5=$Q$108,AC5=$Q$109,AC5=$Q$110,AC5=$Q$117,AC5=$Q$118,AC5=$Q$119),1,IF(OR(AC5=$Q$102,AC5=$Q$103,AC5=$Q$104,AC5=$Q$111,AC5=$Q$112,AC5=$Q$113,AC5=$Q$120,AC5=$Q$121,AC5=$Q$122),2,IF(OR(AC5=$Q$105,AC5=$Q$106,AC5=$Q$107,AC5=$Q$114,AC5=$Q$115,AC5=$Q$116,AC5=$Q$123,AC5=$Q$124,AC5=$Q$125),3,0)))</f>
        <v>1</v>
      </c>
      <c r="F138" s="50">
        <f>IF(OR(AF5=$Q$99,AF5=$Q$100,AF5=$Q$101,AF5=$Q$108,AF5=$Q$109,AF5=$Q$110,AF5=$Q$117,AF5=$Q$118,AF5=$Q$119),1,IF(OR(AF5=$Q$102,AF5=$Q$103,AF5=$Q$104,AF5=$Q$111,AF5=$Q$112,AF5=$Q$113,AF5=$Q$120,AF5=$Q$121,AF5=$Q$122),2,IF(OR(AF5=$Q$105,AF5=$Q$106,AF5=$Q$107,AF5=$Q$114,AF5=$Q$115,AF5=$Q$116,AF5=$Q$123,AF5=$Q$124,AF5=$Q$125),3,0)))</f>
        <v>2</v>
      </c>
      <c r="G138" s="52"/>
      <c r="H138" s="52" t="s">
        <v>206</v>
      </c>
    </row>
    <row r="139" spans="1:8" x14ac:dyDescent="0.2">
      <c r="A139" s="52" t="s">
        <v>195</v>
      </c>
      <c r="B139" s="50">
        <f>IF(OR(Z5=$Q$99,Z5=$Q$102,Z5=$Q$105,Z5=$Q$108,Z5=$Q$111,Z5=$Q$114,Z5=$Q$117,Z5=$Q$120,Z5=$Q$123),1,IF(OR(Z5=$Q$100,Z5=$Q$103,Z5=$Q$106,Z5=$Q$109,Z5=$Q$112,Z5=$Q$115,Z5=$Q$118,Z5=$Q$121,Z5=$Q$124),2,IF(OR(Z5=$Q$101,Z5=$Q$104,Z5=$Q$107,Z5=$Q$110,Z5=$Q$113,Z5=$Q$116,Z5=$Q$119,Z5=$Q$122,Z5=$Q$125),3,0)))</f>
        <v>2</v>
      </c>
      <c r="D139" s="50">
        <f>IF(OR(AC5=$Q$99,AC5=$Q$102,AC5=$Q$105,AC5=$Q$108,AC5=$Q$111,AC5=$Q$114,AC5=$Q$117,AC5=$Q$120,AC5=$Q$123),1,IF(OR(AC5=$Q$100,AC5=$Q$103,AC5=$Q$106,AC5=$Q$109,AC5=$Q$112,AC5=$Q$115,AC5=$Q$118,AC5=$Q$121,AC5=$Q$124),2,IF(OR(AC5=$Q$101,AC5=$Q$104,AC5=$Q$107,AC5=$Q$110,AC5=$Q$113,AC5=$Q$116,AC5=$Q$119,AC5=$Q$122,AC5=$Q$125),3,0)))</f>
        <v>1</v>
      </c>
      <c r="F139" s="50">
        <f>IF(OR(AF5=$Q$99,AF5=$Q$102,AF5=$Q$105,AF5=$Q$108,AF5=$Q$111,AF5=$Q$114,AF5=$Q$117,AF5=$Q$120,AF5=$Q$123),1,IF(OR(AF5=$Q$100,AF5=$Q$103,AF5=$Q$106,AF5=$Q$109,AF5=$Q$112,AF5=$Q$115,AF5=$Q$118,AF5=$Q$121,AF5=$Q$124),2,IF(OR(AF5=$Q$101,AF5=$Q$104,AF5=$Q$107,AF5=$Q$110,AF5=$Q$113,AF5=$Q$116,AF5=$Q$119,AF5=$Q$122,AF5=$Q$125),3,0)))</f>
        <v>2</v>
      </c>
      <c r="H139" s="50">
        <f>(100*D125)+(10*D126)+D127</f>
        <v>121</v>
      </c>
    </row>
    <row r="140" spans="1:8" x14ac:dyDescent="0.2">
      <c r="B140" s="52" t="s">
        <v>202</v>
      </c>
      <c r="D140" s="52" t="s">
        <v>202</v>
      </c>
      <c r="F140" s="52" t="s">
        <v>202</v>
      </c>
      <c r="G140" s="52"/>
      <c r="H140" s="50">
        <f>(100*D129)+(10*D130)+D131</f>
        <v>122</v>
      </c>
    </row>
    <row r="141" spans="1:8" x14ac:dyDescent="0.2">
      <c r="A141" s="52" t="s">
        <v>194</v>
      </c>
      <c r="B141" s="50">
        <f>IF(OR(Z6=$Q$99,Z6=$Q$100,Z6=$Q$101,Z6=$Q$102,Z6=$Q$103,Z6=$Q$104,Z6=$Q$105,Z6=$Q$106,Z6=$Q$107),1,IF(OR(Z6=$Q$108,Z6=$Q$109,Z6=$Q$110,Z6=$Q$111,Z6=$Q$112,Z6=$Q$113,Z6=$Q$114,Z6=$Q$115,Z6=$Q$116),2,IF(OR(Z6=$Q$117,Z6=$Q$118,Z6=$Q$119,Z6=$Q$120,Z6=$Q$121,Z6=$Q$122,Z6=$Q$123,Z6=$Q$124,Z6=$Q$125),3,0)))</f>
        <v>2</v>
      </c>
      <c r="D141" s="50">
        <f>IF(OR(AC6=$Q$99,AC6=$Q$100,AC6=$Q$101,AC6=$Q$102,AC6=$Q$103,AC6=$Q$104,AC6=$Q$105,AC6=$Q$106,AC6=$Q$107),1,IF(OR(AC6=$Q$108,AC6=$Q$109,AC6=$Q$110,AC6=$Q$111,AC6=$Q$112,AC6=$Q$113,AC6=$Q$114,AC6=$Q$115,AC6=$Q$116),2,IF(OR(AC6=$Q$117,AC6=$Q$118,AC6=$Q$119,AC6=$Q$120,AC6=$Q$121,AC6=$Q$122,AC6=$Q$123,AC6=$Q$124,AC6=$Q$125),3,0)))</f>
        <v>1</v>
      </c>
      <c r="F141" s="50">
        <f>IF(OR(AF6=$Q$99,AF6=$Q$100,AF6=$Q$101,AF6=$Q$102,AF6=$Q$103,AF6=$Q$104,AF6=$Q$105,AF6=$Q$106,AF6=$Q$107),1,IF(OR(AF6=$Q$108,AF6=$Q$109,AF6=$Q$110,AF6=$Q$111,AF6=$Q$112,AF6=$Q$113,AF6=$Q$114,AF6=$Q$115,AF6=$Q$116),2,IF(OR(AF6=$Q$117,AF6=$Q$118,AF6=$Q$119,AF6=$Q$120,AF6=$Q$121,AF6=$Q$122,AF6=$Q$123,AF6=$Q$124,AF6=$Q$125),3,0)))</f>
        <v>1</v>
      </c>
      <c r="G141" s="52"/>
      <c r="H141" s="50">
        <f>(100*D133)+(10*D134)+D135</f>
        <v>131</v>
      </c>
    </row>
    <row r="142" spans="1:8" x14ac:dyDescent="0.2">
      <c r="A142" s="52" t="s">
        <v>193</v>
      </c>
      <c r="B142" s="50">
        <f>IF(OR(Z6=$Q$99,Z6=$Q$100,Z6=$Q$101,Z6=$Q$108,Z6=$Q$109,Z6=$Q$110,Z6=$Q$117,Z6=$Q$118,Z6=$Q$119),1,IF(OR(Z6=$Q$102,Z6=$Q$103,Z6=$Q$104,Z6=$Q$111,Z6=$Q$112,Z6=$Q$113,Z6=$Q$120,Z6=$Q$121,Z6=$Q$122),2,IF(OR(Z6=$Q$105,Z6=$Q$106,Z6=$Q$107,Z6=$Q$114,Z6=$Q$115,Z6=$Q$116,Z6=$Q$123,Z6=$Q$124,Z6=$Q$125),3,0)))</f>
        <v>1</v>
      </c>
      <c r="D142" s="50">
        <f>IF(OR(AC6=$Q$99,AC6=$Q$100,AC6=$Q$101,AC6=$Q$108,AC6=$Q$109,AC6=$Q$110,AC6=$Q$117,AC6=$Q$118,AC6=$Q$119),1,IF(OR(AC6=$Q$102,AC6=$Q$103,AC6=$Q$104,AC6=$Q$111,AC6=$Q$112,AC6=$Q$113,AC6=$Q$120,AC6=$Q$121,AC6=$Q$122),2,IF(OR(AC6=$Q$105,AC6=$Q$106,AC6=$Q$107,AC6=$Q$114,AC6=$Q$115,AC6=$Q$116,AC6=$Q$123,AC6=$Q$124,AC6=$Q$125),3,0)))</f>
        <v>2</v>
      </c>
      <c r="F142" s="50">
        <f>IF(OR(AF6=$Q$99,AF6=$Q$100,AF6=$Q$101,AF6=$Q$108,AF6=$Q$109,AF6=$Q$110,AF6=$Q$117,AF6=$Q$118,AF6=$Q$119),1,IF(OR(AF6=$Q$102,AF6=$Q$103,AF6=$Q$104,AF6=$Q$111,AF6=$Q$112,AF6=$Q$113,AF6=$Q$120,AF6=$Q$121,AF6=$Q$122),2,IF(OR(AF6=$Q$105,AF6=$Q$106,AF6=$Q$107,AF6=$Q$114,AF6=$Q$115,AF6=$Q$116,AF6=$Q$123,AF6=$Q$124,AF6=$Q$125),3,0)))</f>
        <v>2</v>
      </c>
      <c r="G142" s="52"/>
      <c r="H142" s="50">
        <f>(100*D137)+(10*D138)+D139</f>
        <v>111</v>
      </c>
    </row>
    <row r="143" spans="1:8" x14ac:dyDescent="0.2">
      <c r="A143" s="52" t="s">
        <v>195</v>
      </c>
      <c r="B143" s="50">
        <f>IF(OR(Z6=$Q$99,Z6=$Q$102,Z6=$Q$105,Z6=$Q$108,Z6=$Q$111,Z6=$Q$114,Z6=$Q$117,Z6=$Q$120,Z6=$Q$123),1,IF(OR(Z6=$Q$100,Z6=$Q$103,Z6=$Q$106,Z6=$Q$109,Z6=$Q$112,Z6=$Q$115,Z6=$Q$118,Z6=$Q$121,Z6=$Q$124),2,IF(OR(Z6=$Q$101,Z6=$Q$104,Z6=$Q$107,Z6=$Q$110,Z6=$Q$113,Z6=$Q$116,Z6=$Q$119,Z6=$Q$122,Z6=$Q$125),3,0)))</f>
        <v>3</v>
      </c>
      <c r="D143" s="50">
        <f>IF(OR(AC6=$Q$99,AC6=$Q$102,AC6=$Q$105,AC6=$Q$108,AC6=$Q$111,AC6=$Q$114,AC6=$Q$117,AC6=$Q$120,AC6=$Q$123),1,IF(OR(AC6=$Q$100,AC6=$Q$103,AC6=$Q$106,AC6=$Q$109,AC6=$Q$112,AC6=$Q$115,AC6=$Q$118,AC6=$Q$121,AC6=$Q$124),2,IF(OR(AC6=$Q$101,AC6=$Q$104,AC6=$Q$107,AC6=$Q$110,AC6=$Q$113,AC6=$Q$116,AC6=$Q$119,AC6=$Q$122,AC6=$Q$125),3,0)))</f>
        <v>1</v>
      </c>
      <c r="F143" s="50">
        <f>IF(OR(AF6=$Q$99,AF6=$Q$102,AF6=$Q$105,AF6=$Q$108,AF6=$Q$111,AF6=$Q$114,AF6=$Q$117,AF6=$Q$120,AF6=$Q$123),1,IF(OR(AF6=$Q$100,AF6=$Q$103,AF6=$Q$106,AF6=$Q$109,AF6=$Q$112,AF6=$Q$115,AF6=$Q$118,AF6=$Q$121,AF6=$Q$124),2,IF(OR(AF6=$Q$101,AF6=$Q$104,AF6=$Q$107,AF6=$Q$110,AF6=$Q$113,AF6=$Q$116,AF6=$Q$119,AF6=$Q$122,AF6=$Q$125),3,0)))</f>
        <v>2</v>
      </c>
      <c r="H143" s="50">
        <f>(100*D141)+(10*D142)+D143</f>
        <v>121</v>
      </c>
    </row>
    <row r="144" spans="1:8" x14ac:dyDescent="0.2">
      <c r="B144" s="52" t="s">
        <v>203</v>
      </c>
      <c r="D144" s="52" t="s">
        <v>203</v>
      </c>
      <c r="F144" s="52" t="s">
        <v>203</v>
      </c>
      <c r="G144" s="52"/>
      <c r="H144" s="50">
        <f>(100*D145)+(10*D146)+D147</f>
        <v>123</v>
      </c>
    </row>
    <row r="145" spans="1:8" x14ac:dyDescent="0.2">
      <c r="A145" s="52" t="s">
        <v>194</v>
      </c>
      <c r="B145" s="50">
        <f>IF(OR(Z7=$Q$99,Z7=$Q$100,Z7=$Q$101,Z7=$Q$102,Z7=$Q$103,Z7=$Q$104,Z7=$Q$105,Z7=$Q$106,Z7=$Q$107),1,IF(OR(Z7=$Q$108,Z7=$Q$109,Z7=$Q$110,Z7=$Q$111,Z7=$Q$112,Z7=$Q$113,Z7=$Q$114,Z7=$Q$115,Z7=$Q$116),2,IF(OR(Z7=$Q$117,Z7=$Q$118,Z7=$Q$119,Z7=$Q$120,Z7=$Q$121,Z7=$Q$122,Z7=$Q$123,Z7=$Q$124,Z7=$Q$125),3,0)))</f>
        <v>2</v>
      </c>
      <c r="D145" s="50">
        <f>IF(OR(AC7=$Q$99,AC7=$Q$100,AC7=$Q$101,AC7=$Q$102,AC7=$Q$103,AC7=$Q$104,AC7=$Q$105,AC7=$Q$106,AC7=$Q$107),1,IF(OR(AC7=$Q$108,AC7=$Q$109,AC7=$Q$110,AC7=$Q$111,AC7=$Q$112,AC7=$Q$113,AC7=$Q$114,AC7=$Q$115,AC7=$Q$116),2,IF(OR(AC7=$Q$117,AC7=$Q$118,AC7=$Q$119,AC7=$Q$120,AC7=$Q$121,AC7=$Q$122,AC7=$Q$123,AC7=$Q$124,AC7=$Q$125),3,0)))</f>
        <v>1</v>
      </c>
      <c r="F145" s="50">
        <f>IF(OR(AF7=$Q$99,AF7=$Q$100,AF7=$Q$101,AF7=$Q$102,AF7=$Q$103,AF7=$Q$104,AF7=$Q$105,AF7=$Q$106,AF7=$Q$107),1,IF(OR(AF7=$Q$108,AF7=$Q$109,AF7=$Q$110,AF7=$Q$111,AF7=$Q$112,AF7=$Q$113,AF7=$Q$114,AF7=$Q$115,AF7=$Q$116),2,IF(OR(AF7=$Q$117,AF7=$Q$118,AF7=$Q$119,AF7=$Q$120,AF7=$Q$121,AF7=$Q$122,AF7=$Q$123,AF7=$Q$124,AF7=$Q$125),3,0)))</f>
        <v>1</v>
      </c>
      <c r="G145" s="52"/>
    </row>
    <row r="146" spans="1:8" x14ac:dyDescent="0.2">
      <c r="A146" s="52" t="s">
        <v>193</v>
      </c>
      <c r="B146" s="50">
        <f>IF(OR(Z7=$Q$99,Z7=$Q$100,Z7=$Q$101,Z7=$Q$108,Z7=$Q$109,Z7=$Q$110,Z7=$Q$117,Z7=$Q$118,Z7=$Q$119),1,IF(OR(Z7=$Q$102,Z7=$Q$103,Z7=$Q$104,Z7=$Q$111,Z7=$Q$112,Z7=$Q$113,Z7=$Q$120,Z7=$Q$121,Z7=$Q$122),2,IF(OR(Z7=$Q$105,Z7=$Q$106,Z7=$Q$107,Z7=$Q$114,Z7=$Q$115,Z7=$Q$116,Z7=$Q$123,Z7=$Q$124,Z7=$Q$125),3,0)))</f>
        <v>2</v>
      </c>
      <c r="D146" s="50">
        <f>IF(OR(AC7=$Q$99,AC7=$Q$100,AC7=$Q$101,AC7=$Q$108,AC7=$Q$109,AC7=$Q$110,AC7=$Q$117,AC7=$Q$118,AC7=$Q$119),1,IF(OR(AC7=$Q$102,AC7=$Q$103,AC7=$Q$104,AC7=$Q$111,AC7=$Q$112,AC7=$Q$113,AC7=$Q$120,AC7=$Q$121,AC7=$Q$122),2,IF(OR(AC7=$Q$105,AC7=$Q$106,AC7=$Q$107,AC7=$Q$114,AC7=$Q$115,AC7=$Q$116,AC7=$Q$123,AC7=$Q$124,AC7=$Q$125),3,0)))</f>
        <v>2</v>
      </c>
      <c r="F146" s="50">
        <f>IF(OR(AF7=$Q$99,AF7=$Q$100,AF7=$Q$101,AF7=$Q$108,AF7=$Q$109,AF7=$Q$110,AF7=$Q$117,AF7=$Q$118,AF7=$Q$119),1,IF(OR(AF7=$Q$102,AF7=$Q$103,AF7=$Q$104,AF7=$Q$111,AF7=$Q$112,AF7=$Q$113,AF7=$Q$120,AF7=$Q$121,AF7=$Q$122),2,IF(OR(AF7=$Q$105,AF7=$Q$106,AF7=$Q$107,AF7=$Q$114,AF7=$Q$115,AF7=$Q$116,AF7=$Q$123,AF7=$Q$124,AF7=$Q$125),3,0)))</f>
        <v>2</v>
      </c>
      <c r="G146" s="52"/>
    </row>
    <row r="147" spans="1:8" x14ac:dyDescent="0.2">
      <c r="A147" s="52" t="s">
        <v>195</v>
      </c>
      <c r="B147" s="50">
        <f>IF(OR(Z7=$Q$99,Z7=$Q$102,Z7=$Q$105,Z7=$Q$108,Z7=$Q$111,Z7=$Q$114,Z7=$Q$117,Z7=$Q$120,Z7=$Q$123),1,IF(OR(Z7=$Q$100,Z7=$Q$103,Z7=$Q$106,Z7=$Q$109,Z7=$Q$112,Z7=$Q$115,Z7=$Q$118,Z7=$Q$121,Z7=$Q$124),2,IF(OR(Z7=$Q$101,Z7=$Q$104,Z7=$Q$107,Z7=$Q$110,Z7=$Q$113,Z7=$Q$116,Z7=$Q$119,Z7=$Q$122,Z7=$Q$125),3,0)))</f>
        <v>1</v>
      </c>
      <c r="D147" s="50">
        <f>IF(OR(AC7=$Q$99,AC7=$Q$102,AC7=$Q$105,AC7=$Q$108,AC7=$Q$111,AC7=$Q$114,AC7=$Q$117,AC7=$Q$120,AC7=$Q$123),1,IF(OR(AC7=$Q$100,AC7=$Q$103,AC7=$Q$106,AC7=$Q$109,AC7=$Q$112,AC7=$Q$115,AC7=$Q$118,AC7=$Q$121,AC7=$Q$124),2,IF(OR(AC7=$Q$101,AC7=$Q$104,AC7=$Q$107,AC7=$Q$110,AC7=$Q$113,AC7=$Q$116,AC7=$Q$119,AC7=$Q$122,AC7=$Q$125),3,0)))</f>
        <v>3</v>
      </c>
      <c r="F147" s="50">
        <f>IF(OR(AF7=$Q$99,AF7=$Q$102,AF7=$Q$105,AF7=$Q$108,AF7=$Q$111,AF7=$Q$114,AF7=$Q$117,AF7=$Q$120,AF7=$Q$123),1,IF(OR(AF7=$Q$100,AF7=$Q$103,AF7=$Q$106,AF7=$Q$109,AF7=$Q$112,AF7=$Q$115,AF7=$Q$118,AF7=$Q$121,AF7=$Q$124),2,IF(OR(AF7=$Q$101,AF7=$Q$104,AF7=$Q$107,AF7=$Q$110,AF7=$Q$113,AF7=$Q$116,AF7=$Q$119,AF7=$Q$122,AF7=$Q$125),3,0)))</f>
        <v>2</v>
      </c>
    </row>
    <row r="148" spans="1:8" x14ac:dyDescent="0.2">
      <c r="G148" s="52"/>
      <c r="H148" s="52" t="s">
        <v>208</v>
      </c>
    </row>
    <row r="149" spans="1:8" x14ac:dyDescent="0.2">
      <c r="G149" s="52"/>
      <c r="H149" s="50">
        <f>(100*F125)+(10*F126)+F127</f>
        <v>121</v>
      </c>
    </row>
    <row r="150" spans="1:8" x14ac:dyDescent="0.2">
      <c r="G150" s="52"/>
      <c r="H150" s="50">
        <f>(100*F129)+(10*F130)+F131</f>
        <v>113</v>
      </c>
    </row>
    <row r="151" spans="1:8" x14ac:dyDescent="0.2">
      <c r="H151" s="50">
        <f>100*F133+10*F134+F135</f>
        <v>123</v>
      </c>
    </row>
    <row r="152" spans="1:8" x14ac:dyDescent="0.2">
      <c r="H152" s="50">
        <f>(100*F137)+(10*F138)+F139</f>
        <v>122</v>
      </c>
    </row>
    <row r="153" spans="1:8" x14ac:dyDescent="0.2">
      <c r="G153" s="52"/>
      <c r="H153" s="50">
        <f>(100*F141)+(10*F142)+F143</f>
        <v>122</v>
      </c>
    </row>
    <row r="154" spans="1:8" x14ac:dyDescent="0.2">
      <c r="G154" s="52"/>
      <c r="H154" s="50">
        <f>100*F145+10*F146+F147</f>
        <v>122</v>
      </c>
    </row>
    <row r="155" spans="1:8" x14ac:dyDescent="0.2">
      <c r="G155" s="52"/>
    </row>
    <row r="157" spans="1:8" x14ac:dyDescent="0.2">
      <c r="G157" s="52"/>
    </row>
    <row r="158" spans="1:8" x14ac:dyDescent="0.2">
      <c r="G158" s="52"/>
    </row>
    <row r="159" spans="1:8" x14ac:dyDescent="0.2">
      <c r="G159" s="52"/>
    </row>
    <row r="161" spans="7:7" x14ac:dyDescent="0.2">
      <c r="G161" s="52"/>
    </row>
    <row r="162" spans="7:7" x14ac:dyDescent="0.2">
      <c r="G162" s="52"/>
    </row>
    <row r="163" spans="7:7" x14ac:dyDescent="0.2">
      <c r="G163" s="52"/>
    </row>
    <row r="165" spans="7:7" x14ac:dyDescent="0.2">
      <c r="G165" s="52"/>
    </row>
    <row r="166" spans="7:7" x14ac:dyDescent="0.2">
      <c r="G166" s="52"/>
    </row>
    <row r="167" spans="7:7" x14ac:dyDescent="0.2">
      <c r="G167" s="52"/>
    </row>
    <row r="169" spans="7:7" x14ac:dyDescent="0.2">
      <c r="G169" s="52"/>
    </row>
    <row r="170" spans="7:7" x14ac:dyDescent="0.2">
      <c r="G170" s="52"/>
    </row>
    <row r="171" spans="7:7" x14ac:dyDescent="0.2">
      <c r="G171" s="52"/>
    </row>
    <row r="173" spans="7:7" x14ac:dyDescent="0.2">
      <c r="G173" s="52"/>
    </row>
    <row r="174" spans="7:7" x14ac:dyDescent="0.2">
      <c r="G174" s="52"/>
    </row>
    <row r="175" spans="7:7" x14ac:dyDescent="0.2">
      <c r="G175" s="52"/>
    </row>
  </sheetData>
  <phoneticPr fontId="21" type="noConversion"/>
  <dataValidations count="5">
    <dataValidation type="list" allowBlank="1" showInputMessage="1" showErrorMessage="1" sqref="O2">
      <formula1>$T$25:$T$97</formula1>
    </dataValidation>
    <dataValidation type="list" allowBlank="1" showInputMessage="1" showErrorMessage="1" sqref="AC2:AC7 W2:W7 Z2:Z7 AF2:AF7 T2:T7 Q2:Q7">
      <formula1>$Q$98:$Q$125</formula1>
    </dataValidation>
    <dataValidation type="list" allowBlank="1" showInputMessage="1" showErrorMessage="1" sqref="N1">
      <formula1>$T$98:$T$114</formula1>
    </dataValidation>
    <dataValidation type="list" allowBlank="1" showInputMessage="1" showErrorMessage="1" sqref="X2:Y7 AD2:AE7 U2:V7 AA2:AB7 R2:S7 P2:P7 O3:O7">
      <formula1>$T$97:$T$125</formula1>
    </dataValidation>
    <dataValidation type="list" allowBlank="1" showInputMessage="1" showErrorMessage="1" sqref="A10:A15">
      <formula1>$U$99:$U$100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Option Button 1">
              <controlPr defaultSize="0" autoFill="0" autoLine="0" autoPict="0" macro="[0]!SetWayPoints">
                <anchor moveWithCells="1">
                  <from>
                    <xdr:col>3</xdr:col>
                    <xdr:colOff>323850</xdr:colOff>
                    <xdr:row>10</xdr:row>
                    <xdr:rowOff>19050</xdr:rowOff>
                  </from>
                  <to>
                    <xdr:col>10</xdr:col>
                    <xdr:colOff>323850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5" name="Button 7">
              <controlPr defaultSize="0" print="0" autoFill="0" autoPict="0" macro="[0]!Button14_Click">
                <anchor moveWithCells="1" sizeWithCells="1">
                  <from>
                    <xdr:col>4</xdr:col>
                    <xdr:colOff>9525</xdr:colOff>
                    <xdr:row>12</xdr:row>
                    <xdr:rowOff>28575</xdr:rowOff>
                  </from>
                  <to>
                    <xdr:col>7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F175"/>
  <sheetViews>
    <sheetView zoomScale="84" zoomScaleNormal="84" workbookViewId="0"/>
  </sheetViews>
  <sheetFormatPr defaultColWidth="11.375" defaultRowHeight="12.75" x14ac:dyDescent="0.2"/>
  <cols>
    <col min="1" max="12" width="5.75" style="50" customWidth="1" collapsed="1"/>
    <col min="13" max="13" width="5.375" style="50" customWidth="1" collapsed="1"/>
    <col min="14" max="14" width="4.25" style="50" customWidth="1" collapsed="1"/>
    <col min="15" max="16" width="3.75" style="50" customWidth="1" collapsed="1"/>
    <col min="17" max="17" width="30.375" style="50" customWidth="1" collapsed="1"/>
    <col min="18" max="19" width="3" style="50" customWidth="1" collapsed="1"/>
    <col min="20" max="20" width="10" style="166" customWidth="1" collapsed="1"/>
    <col min="21" max="22" width="3.375" style="50" customWidth="1" collapsed="1"/>
    <col min="23" max="23" width="10.375" style="50" customWidth="1" collapsed="1"/>
    <col min="24" max="25" width="3.625" style="50" customWidth="1" collapsed="1"/>
    <col min="26" max="26" width="9.25" style="50" customWidth="1" collapsed="1"/>
    <col min="27" max="28" width="3.25" style="50" customWidth="1" collapsed="1"/>
    <col min="29" max="29" width="8.625" style="50" customWidth="1" collapsed="1"/>
    <col min="30" max="31" width="3.25" style="50" customWidth="1" collapsed="1"/>
    <col min="32" max="32" width="9.625" style="50" customWidth="1" collapsed="1"/>
    <col min="33" max="16384" width="11.375" style="50" collapsed="1"/>
  </cols>
  <sheetData>
    <row r="1" spans="1:32" ht="26.25" customHeight="1" thickBot="1" x14ac:dyDescent="0.25">
      <c r="A1" s="194"/>
      <c r="B1" s="194"/>
      <c r="C1" s="103">
        <v>2</v>
      </c>
      <c r="D1" s="103"/>
      <c r="E1" s="103"/>
      <c r="F1" s="103"/>
      <c r="G1" s="103"/>
      <c r="H1" s="103"/>
      <c r="I1" s="103"/>
      <c r="J1" s="103">
        <v>3</v>
      </c>
      <c r="K1" s="194"/>
      <c r="L1" s="194"/>
      <c r="N1" s="105">
        <v>6</v>
      </c>
      <c r="O1" s="106" t="s">
        <v>143</v>
      </c>
      <c r="P1" s="107" t="s">
        <v>144</v>
      </c>
      <c r="Q1" s="108" t="s">
        <v>145</v>
      </c>
      <c r="R1" s="109" t="s">
        <v>143</v>
      </c>
      <c r="S1" s="110" t="s">
        <v>144</v>
      </c>
      <c r="T1" s="111" t="s">
        <v>146</v>
      </c>
      <c r="U1" s="109" t="s">
        <v>143</v>
      </c>
      <c r="V1" s="110" t="s">
        <v>144</v>
      </c>
      <c r="W1" s="111" t="s">
        <v>147</v>
      </c>
      <c r="X1" s="109" t="s">
        <v>143</v>
      </c>
      <c r="Y1" s="110" t="s">
        <v>144</v>
      </c>
      <c r="Z1" s="111" t="s">
        <v>148</v>
      </c>
      <c r="AA1" s="109" t="s">
        <v>143</v>
      </c>
      <c r="AB1" s="110" t="s">
        <v>144</v>
      </c>
      <c r="AC1" s="111" t="s">
        <v>149</v>
      </c>
      <c r="AD1" s="109" t="s">
        <v>143</v>
      </c>
      <c r="AE1" s="110" t="s">
        <v>144</v>
      </c>
      <c r="AF1" s="111" t="s">
        <v>150</v>
      </c>
    </row>
    <row r="2" spans="1:32" ht="30" customHeight="1" x14ac:dyDescent="0.2">
      <c r="A2" s="194"/>
      <c r="B2" s="194"/>
      <c r="C2" s="103"/>
      <c r="D2" s="194"/>
      <c r="E2" s="194"/>
      <c r="F2" s="194"/>
      <c r="G2" s="194"/>
      <c r="H2" s="194"/>
      <c r="I2" s="194"/>
      <c r="J2" s="103"/>
      <c r="K2" s="194"/>
      <c r="L2" s="194"/>
      <c r="O2" s="112">
        <v>2</v>
      </c>
      <c r="P2" s="113">
        <v>2</v>
      </c>
      <c r="Q2" s="114" t="s">
        <v>14</v>
      </c>
      <c r="R2" s="115">
        <v>3</v>
      </c>
      <c r="S2" s="116">
        <v>3</v>
      </c>
      <c r="T2" s="117" t="s">
        <v>72</v>
      </c>
      <c r="U2" s="118">
        <v>5</v>
      </c>
      <c r="V2" s="119">
        <v>2</v>
      </c>
      <c r="W2" s="120" t="s">
        <v>74</v>
      </c>
      <c r="X2" s="121">
        <v>2</v>
      </c>
      <c r="Y2" s="122">
        <v>2</v>
      </c>
      <c r="Z2" s="123" t="s">
        <v>12</v>
      </c>
      <c r="AA2" s="124">
        <v>2</v>
      </c>
      <c r="AB2" s="125">
        <v>2</v>
      </c>
      <c r="AC2" s="126" t="s">
        <v>12</v>
      </c>
      <c r="AD2" s="127">
        <v>2</v>
      </c>
      <c r="AE2" s="128">
        <v>2</v>
      </c>
      <c r="AF2" s="129" t="s">
        <v>12</v>
      </c>
    </row>
    <row r="3" spans="1:32" ht="30" customHeight="1" x14ac:dyDescent="0.2">
      <c r="A3" s="194"/>
      <c r="B3" s="194"/>
      <c r="C3" s="103"/>
      <c r="D3" s="171"/>
      <c r="E3" s="194"/>
      <c r="F3" s="103">
        <v>7</v>
      </c>
      <c r="G3" s="103"/>
      <c r="H3" s="103">
        <v>6</v>
      </c>
      <c r="I3" s="173"/>
      <c r="J3" s="103"/>
      <c r="K3" s="194"/>
      <c r="L3" s="194"/>
      <c r="N3" s="49"/>
      <c r="O3" s="130">
        <v>9</v>
      </c>
      <c r="P3" s="131">
        <v>3</v>
      </c>
      <c r="Q3" s="132" t="s">
        <v>15</v>
      </c>
      <c r="R3" s="133">
        <v>6</v>
      </c>
      <c r="S3" s="134">
        <v>6</v>
      </c>
      <c r="T3" s="135" t="s">
        <v>84</v>
      </c>
      <c r="U3" s="136">
        <v>3</v>
      </c>
      <c r="V3" s="137">
        <v>3</v>
      </c>
      <c r="W3" s="138" t="s">
        <v>74</v>
      </c>
      <c r="X3" s="139">
        <v>3</v>
      </c>
      <c r="Y3" s="140">
        <v>3</v>
      </c>
      <c r="Z3" s="141" t="s">
        <v>74</v>
      </c>
      <c r="AA3" s="142">
        <v>5</v>
      </c>
      <c r="AB3" s="143">
        <v>5</v>
      </c>
      <c r="AC3" s="144" t="s">
        <v>73</v>
      </c>
      <c r="AD3" s="145">
        <v>6</v>
      </c>
      <c r="AE3" s="146">
        <v>6</v>
      </c>
      <c r="AF3" s="147" t="s">
        <v>72</v>
      </c>
    </row>
    <row r="4" spans="1:32" ht="30" customHeight="1" x14ac:dyDescent="0.2">
      <c r="A4" s="194"/>
      <c r="B4" s="194"/>
      <c r="C4" s="103"/>
      <c r="D4" s="171"/>
      <c r="E4" s="194"/>
      <c r="F4" s="103"/>
      <c r="G4" s="172"/>
      <c r="H4" s="103">
        <v>5</v>
      </c>
      <c r="I4" s="103"/>
      <c r="J4" s="103">
        <v>4</v>
      </c>
      <c r="K4" s="194"/>
      <c r="L4" s="194"/>
      <c r="N4" s="49"/>
      <c r="O4" s="130">
        <v>5</v>
      </c>
      <c r="P4" s="131">
        <v>3</v>
      </c>
      <c r="Q4" s="132" t="s">
        <v>80</v>
      </c>
      <c r="R4" s="133">
        <v>4</v>
      </c>
      <c r="S4" s="134">
        <v>4</v>
      </c>
      <c r="T4" s="135" t="s">
        <v>85</v>
      </c>
      <c r="U4" s="136">
        <v>1</v>
      </c>
      <c r="V4" s="137">
        <v>1</v>
      </c>
      <c r="W4" s="138" t="s">
        <v>12</v>
      </c>
      <c r="X4" s="139">
        <v>2</v>
      </c>
      <c r="Y4" s="140">
        <v>2</v>
      </c>
      <c r="Z4" s="141" t="s">
        <v>82</v>
      </c>
      <c r="AA4" s="142">
        <v>4</v>
      </c>
      <c r="AB4" s="143">
        <v>4</v>
      </c>
      <c r="AC4" s="144" t="s">
        <v>13</v>
      </c>
      <c r="AD4" s="145">
        <v>1</v>
      </c>
      <c r="AE4" s="146">
        <v>6</v>
      </c>
      <c r="AF4" s="147" t="s">
        <v>74</v>
      </c>
    </row>
    <row r="5" spans="1:32" ht="30" customHeight="1" x14ac:dyDescent="0.2">
      <c r="A5" s="194"/>
      <c r="B5" s="194"/>
      <c r="C5" s="103"/>
      <c r="D5" s="171"/>
      <c r="E5" s="194"/>
      <c r="F5" s="103"/>
      <c r="G5" s="194"/>
      <c r="H5" s="194"/>
      <c r="I5" s="194"/>
      <c r="J5" s="194"/>
      <c r="K5" s="194"/>
      <c r="L5" s="194"/>
      <c r="N5" s="49"/>
      <c r="O5" s="130">
        <v>2</v>
      </c>
      <c r="P5" s="131">
        <v>5</v>
      </c>
      <c r="Q5" s="132" t="s">
        <v>13</v>
      </c>
      <c r="R5" s="133">
        <v>6</v>
      </c>
      <c r="S5" s="134">
        <v>3</v>
      </c>
      <c r="T5" s="135" t="s">
        <v>11</v>
      </c>
      <c r="U5" s="136">
        <v>4</v>
      </c>
      <c r="V5" s="137">
        <v>4</v>
      </c>
      <c r="W5" s="138" t="s">
        <v>74</v>
      </c>
      <c r="X5" s="139">
        <v>6</v>
      </c>
      <c r="Y5" s="140">
        <v>20</v>
      </c>
      <c r="Z5" s="141" t="s">
        <v>76</v>
      </c>
      <c r="AA5" s="142">
        <v>2</v>
      </c>
      <c r="AB5" s="143">
        <v>2</v>
      </c>
      <c r="AC5" s="144" t="s">
        <v>11</v>
      </c>
      <c r="AD5" s="145">
        <v>5</v>
      </c>
      <c r="AE5" s="146">
        <v>6</v>
      </c>
      <c r="AF5" s="147" t="s">
        <v>73</v>
      </c>
    </row>
    <row r="6" spans="1:32" ht="30" customHeight="1" x14ac:dyDescent="0.2">
      <c r="A6" s="194"/>
      <c r="B6" s="173"/>
      <c r="C6" s="103"/>
      <c r="D6" s="171"/>
      <c r="E6" s="173"/>
      <c r="F6" s="103"/>
      <c r="G6" s="194"/>
      <c r="H6" s="194"/>
      <c r="I6" s="173"/>
      <c r="J6" s="194"/>
      <c r="K6" s="194"/>
      <c r="L6" s="194"/>
      <c r="N6" s="49"/>
      <c r="O6" s="130">
        <v>4</v>
      </c>
      <c r="P6" s="131">
        <v>3</v>
      </c>
      <c r="Q6" s="132" t="s">
        <v>74</v>
      </c>
      <c r="R6" s="133">
        <v>3</v>
      </c>
      <c r="S6" s="134">
        <v>7</v>
      </c>
      <c r="T6" s="135" t="s">
        <v>169</v>
      </c>
      <c r="U6" s="136">
        <v>5</v>
      </c>
      <c r="V6" s="137">
        <v>4</v>
      </c>
      <c r="W6" s="138" t="s">
        <v>13</v>
      </c>
      <c r="X6" s="139">
        <v>26</v>
      </c>
      <c r="Y6" s="140">
        <v>2</v>
      </c>
      <c r="Z6" s="141" t="s">
        <v>77</v>
      </c>
      <c r="AA6" s="142">
        <v>1</v>
      </c>
      <c r="AB6" s="143">
        <v>4</v>
      </c>
      <c r="AC6" s="144" t="s">
        <v>12</v>
      </c>
      <c r="AD6" s="145">
        <v>2</v>
      </c>
      <c r="AE6" s="146">
        <v>1</v>
      </c>
      <c r="AF6" s="147" t="s">
        <v>73</v>
      </c>
    </row>
    <row r="7" spans="1:32" ht="30" customHeight="1" thickBot="1" x14ac:dyDescent="0.25">
      <c r="A7" s="102"/>
      <c r="B7" s="103"/>
      <c r="C7" s="103">
        <v>1</v>
      </c>
      <c r="D7" s="171"/>
      <c r="E7" s="194"/>
      <c r="F7" s="103">
        <v>8</v>
      </c>
      <c r="G7" s="103"/>
      <c r="H7" s="103"/>
      <c r="I7" s="103"/>
      <c r="J7" s="103"/>
      <c r="K7" s="103"/>
      <c r="L7" s="104"/>
      <c r="N7" s="49"/>
      <c r="O7" s="148">
        <v>2</v>
      </c>
      <c r="P7" s="149">
        <v>3</v>
      </c>
      <c r="Q7" s="150" t="s">
        <v>84</v>
      </c>
      <c r="R7" s="151">
        <v>6</v>
      </c>
      <c r="S7" s="152">
        <v>2</v>
      </c>
      <c r="T7" s="153" t="s">
        <v>72</v>
      </c>
      <c r="U7" s="154">
        <v>6</v>
      </c>
      <c r="V7" s="155">
        <v>1</v>
      </c>
      <c r="W7" s="156" t="s">
        <v>71</v>
      </c>
      <c r="X7" s="157">
        <v>5</v>
      </c>
      <c r="Y7" s="158">
        <v>3</v>
      </c>
      <c r="Z7" s="159" t="s">
        <v>15</v>
      </c>
      <c r="AA7" s="160">
        <v>4</v>
      </c>
      <c r="AB7" s="161">
        <v>6</v>
      </c>
      <c r="AC7" s="162" t="s">
        <v>74</v>
      </c>
      <c r="AD7" s="163">
        <v>7</v>
      </c>
      <c r="AE7" s="164">
        <v>4</v>
      </c>
      <c r="AF7" s="165" t="s">
        <v>73</v>
      </c>
    </row>
    <row r="8" spans="1:32" ht="30" customHeight="1" thickBot="1" x14ac:dyDescent="0.25">
      <c r="A8" s="194"/>
      <c r="B8" s="194"/>
      <c r="C8" s="194"/>
      <c r="D8" s="194"/>
      <c r="E8" s="194"/>
      <c r="F8" s="194"/>
      <c r="G8" s="194"/>
      <c r="H8" s="194"/>
      <c r="I8" s="194"/>
      <c r="J8" s="194"/>
      <c r="K8" s="194"/>
      <c r="L8" s="194"/>
    </row>
    <row r="9" spans="1:32" ht="18" hidden="1" customHeight="1" thickBot="1" x14ac:dyDescent="0.25">
      <c r="A9" s="50">
        <v>1</v>
      </c>
      <c r="B9" s="50">
        <v>1</v>
      </c>
      <c r="C9" s="50">
        <v>1</v>
      </c>
      <c r="D9" s="50">
        <v>1</v>
      </c>
      <c r="E9" s="50">
        <v>1</v>
      </c>
      <c r="F9" s="50">
        <v>1</v>
      </c>
      <c r="G9" s="50">
        <v>1</v>
      </c>
      <c r="H9" s="50">
        <v>1</v>
      </c>
      <c r="I9" s="50">
        <v>1</v>
      </c>
      <c r="J9" s="50">
        <v>1</v>
      </c>
      <c r="K9" s="50">
        <v>1</v>
      </c>
      <c r="L9" s="50">
        <v>1</v>
      </c>
      <c r="N9" s="50" t="s">
        <v>216</v>
      </c>
      <c r="T9" s="50"/>
    </row>
    <row r="10" spans="1:32" ht="15" customHeight="1" thickBot="1" x14ac:dyDescent="0.25">
      <c r="A10" s="167" t="s">
        <v>152</v>
      </c>
      <c r="B10" s="168" t="s">
        <v>153</v>
      </c>
      <c r="T10" s="50"/>
    </row>
    <row r="11" spans="1:32" ht="23.25" customHeight="1" thickBot="1" x14ac:dyDescent="0.25">
      <c r="A11" s="167" t="s">
        <v>152</v>
      </c>
      <c r="B11" s="168" t="s">
        <v>154</v>
      </c>
      <c r="T11" s="50"/>
    </row>
    <row r="12" spans="1:32" ht="14.25" customHeight="1" thickBot="1" x14ac:dyDescent="0.25">
      <c r="A12" s="167" t="s">
        <v>152</v>
      </c>
      <c r="B12" s="168" t="s">
        <v>155</v>
      </c>
      <c r="T12" s="50"/>
    </row>
    <row r="13" spans="1:32" ht="12" customHeight="1" thickBot="1" x14ac:dyDescent="0.25">
      <c r="A13" s="167" t="s">
        <v>152</v>
      </c>
      <c r="B13" s="168" t="s">
        <v>156</v>
      </c>
    </row>
    <row r="14" spans="1:32" ht="14.25" customHeight="1" thickBot="1" x14ac:dyDescent="0.25">
      <c r="A14" s="167" t="s">
        <v>157</v>
      </c>
      <c r="B14" s="168" t="s">
        <v>159</v>
      </c>
    </row>
    <row r="15" spans="1:32" ht="13.5" thickBot="1" x14ac:dyDescent="0.25">
      <c r="A15" s="167" t="s">
        <v>157</v>
      </c>
      <c r="B15" s="168" t="s">
        <v>158</v>
      </c>
      <c r="W15" s="169"/>
    </row>
    <row r="17" spans="1:10" x14ac:dyDescent="0.2">
      <c r="A17" s="103"/>
      <c r="B17" s="170" t="s">
        <v>160</v>
      </c>
      <c r="C17" s="166"/>
      <c r="G17" s="166" t="s">
        <v>161</v>
      </c>
      <c r="H17" s="166"/>
      <c r="I17" s="166"/>
      <c r="J17" s="166"/>
    </row>
    <row r="18" spans="1:10" x14ac:dyDescent="0.2">
      <c r="A18" s="171"/>
      <c r="B18" s="170" t="s">
        <v>162</v>
      </c>
      <c r="C18" s="166"/>
      <c r="G18" s="166" t="s">
        <v>163</v>
      </c>
      <c r="J18" s="166"/>
    </row>
    <row r="19" spans="1:10" x14ac:dyDescent="0.2">
      <c r="A19" s="172"/>
      <c r="B19" s="170" t="s">
        <v>164</v>
      </c>
      <c r="C19" s="166"/>
      <c r="F19" s="166"/>
      <c r="G19" s="166" t="s">
        <v>165</v>
      </c>
      <c r="H19" s="166"/>
      <c r="I19" s="166"/>
      <c r="J19" s="166"/>
    </row>
    <row r="20" spans="1:10" x14ac:dyDescent="0.2">
      <c r="A20" s="173"/>
      <c r="B20" s="170" t="s">
        <v>166</v>
      </c>
      <c r="C20" s="166"/>
      <c r="F20" s="166"/>
    </row>
    <row r="21" spans="1:10" x14ac:dyDescent="0.2">
      <c r="A21" s="102"/>
      <c r="B21" s="170" t="s">
        <v>167</v>
      </c>
      <c r="C21" s="166"/>
      <c r="F21" s="166"/>
    </row>
    <row r="22" spans="1:10" x14ac:dyDescent="0.2">
      <c r="A22" s="104"/>
      <c r="B22" s="170" t="s">
        <v>168</v>
      </c>
      <c r="C22" s="166"/>
      <c r="F22" s="166"/>
    </row>
    <row r="23" spans="1:10" x14ac:dyDescent="0.2">
      <c r="G23" s="166"/>
      <c r="H23" s="166"/>
    </row>
    <row r="27" spans="1:10" x14ac:dyDescent="0.2">
      <c r="G27" s="166"/>
      <c r="H27" s="166"/>
    </row>
    <row r="28" spans="1:10" x14ac:dyDescent="0.2">
      <c r="F28" s="166"/>
      <c r="G28" s="166"/>
      <c r="H28" s="166"/>
    </row>
    <row r="30" spans="1:10" x14ac:dyDescent="0.2">
      <c r="D30" s="166"/>
    </row>
    <row r="31" spans="1:10" x14ac:dyDescent="0.2">
      <c r="D31" s="166"/>
    </row>
    <row r="32" spans="1:10" x14ac:dyDescent="0.2">
      <c r="D32" s="166"/>
    </row>
    <row r="33" spans="1:24" x14ac:dyDescent="0.2">
      <c r="A33" s="50" t="s">
        <v>190</v>
      </c>
    </row>
    <row r="34" spans="1:24" x14ac:dyDescent="0.2">
      <c r="B34" s="50">
        <f t="shared" ref="B34:B41" ca="1" si="0">COLORINDEXOFONECELL(A1,FALSE,1)</f>
        <v>15</v>
      </c>
      <c r="D34" s="50">
        <f t="shared" ref="D34:D41" ca="1" si="1">COLORINDEXOFONECELL(B1,FALSE,1)</f>
        <v>15</v>
      </c>
      <c r="F34" s="50">
        <f t="shared" ref="F34:F41" ca="1" si="2">COLORINDEXOFONECELL(C1,FALSE,1)</f>
        <v>40</v>
      </c>
      <c r="H34" s="50">
        <f t="shared" ref="H34:H41" ca="1" si="3">COLORINDEXOFONECELL(D1,FALSE,1)</f>
        <v>40</v>
      </c>
      <c r="L34" s="50">
        <f t="shared" ref="L34:L41" ca="1" si="4">COLORINDEXOFONECELL(E1,FALSE,1)</f>
        <v>40</v>
      </c>
      <c r="O34" s="50">
        <f t="shared" ref="O34:P41" ca="1" si="5">COLORINDEXOFONECELL(F1,FALSE,1)</f>
        <v>40</v>
      </c>
      <c r="P34" s="50">
        <f t="shared" ca="1" si="5"/>
        <v>40</v>
      </c>
      <c r="R34" s="50">
        <f t="shared" ref="R34:S41" ca="1" si="6">COLORINDEXOFONECELL(H1,FALSE,1)</f>
        <v>40</v>
      </c>
      <c r="S34" s="50">
        <f t="shared" ca="1" si="6"/>
        <v>40</v>
      </c>
      <c r="U34" s="50">
        <f t="shared" ref="U34:V41" ca="1" si="7">COLORINDEXOFONECELL(J1,FALSE,1)</f>
        <v>40</v>
      </c>
      <c r="V34" s="50">
        <f t="shared" ca="1" si="7"/>
        <v>15</v>
      </c>
      <c r="X34" s="50">
        <f t="shared" ref="X34:X41" ca="1" si="8">COLORINDEXOFONECELL(L1,FALSE,1)</f>
        <v>15</v>
      </c>
    </row>
    <row r="35" spans="1:24" x14ac:dyDescent="0.2">
      <c r="B35" s="50">
        <f t="shared" ca="1" si="0"/>
        <v>15</v>
      </c>
      <c r="D35" s="50">
        <f t="shared" ca="1" si="1"/>
        <v>15</v>
      </c>
      <c r="F35" s="50">
        <f t="shared" ca="1" si="2"/>
        <v>40</v>
      </c>
      <c r="H35" s="50">
        <f t="shared" ca="1" si="3"/>
        <v>15</v>
      </c>
      <c r="L35" s="50">
        <f t="shared" ca="1" si="4"/>
        <v>15</v>
      </c>
      <c r="O35" s="50">
        <f t="shared" ca="1" si="5"/>
        <v>15</v>
      </c>
      <c r="P35" s="50">
        <f t="shared" ca="1" si="5"/>
        <v>15</v>
      </c>
      <c r="R35" s="50">
        <f t="shared" ca="1" si="6"/>
        <v>15</v>
      </c>
      <c r="S35" s="50">
        <f t="shared" ca="1" si="6"/>
        <v>15</v>
      </c>
      <c r="U35" s="50">
        <f t="shared" ca="1" si="7"/>
        <v>40</v>
      </c>
      <c r="V35" s="50">
        <f t="shared" ca="1" si="7"/>
        <v>15</v>
      </c>
      <c r="X35" s="50">
        <f t="shared" ca="1" si="8"/>
        <v>15</v>
      </c>
    </row>
    <row r="36" spans="1:24" x14ac:dyDescent="0.2">
      <c r="B36" s="50">
        <f t="shared" ca="1" si="0"/>
        <v>15</v>
      </c>
      <c r="D36" s="50">
        <f t="shared" ca="1" si="1"/>
        <v>15</v>
      </c>
      <c r="F36" s="50">
        <f t="shared" ca="1" si="2"/>
        <v>40</v>
      </c>
      <c r="H36" s="50">
        <f t="shared" ca="1" si="3"/>
        <v>3</v>
      </c>
      <c r="L36" s="50">
        <f t="shared" ca="1" si="4"/>
        <v>15</v>
      </c>
      <c r="O36" s="50">
        <f t="shared" ca="1" si="5"/>
        <v>40</v>
      </c>
      <c r="P36" s="50">
        <f t="shared" ca="1" si="5"/>
        <v>40</v>
      </c>
      <c r="R36" s="50">
        <f t="shared" ca="1" si="6"/>
        <v>40</v>
      </c>
      <c r="S36" s="50">
        <f t="shared" ca="1" si="6"/>
        <v>33</v>
      </c>
      <c r="U36" s="50">
        <f t="shared" ca="1" si="7"/>
        <v>40</v>
      </c>
      <c r="V36" s="50">
        <f t="shared" ca="1" si="7"/>
        <v>15</v>
      </c>
      <c r="X36" s="50">
        <f t="shared" ca="1" si="8"/>
        <v>15</v>
      </c>
    </row>
    <row r="37" spans="1:24" x14ac:dyDescent="0.2">
      <c r="B37" s="50">
        <f t="shared" ca="1" si="0"/>
        <v>15</v>
      </c>
      <c r="D37" s="50">
        <f t="shared" ca="1" si="1"/>
        <v>15</v>
      </c>
      <c r="F37" s="50">
        <f t="shared" ca="1" si="2"/>
        <v>40</v>
      </c>
      <c r="H37" s="50">
        <f t="shared" ca="1" si="3"/>
        <v>3</v>
      </c>
      <c r="L37" s="50">
        <f t="shared" ca="1" si="4"/>
        <v>15</v>
      </c>
      <c r="O37" s="50">
        <f t="shared" ca="1" si="5"/>
        <v>40</v>
      </c>
      <c r="P37" s="50">
        <f t="shared" ca="1" si="5"/>
        <v>6</v>
      </c>
      <c r="R37" s="50">
        <f t="shared" ca="1" si="6"/>
        <v>40</v>
      </c>
      <c r="S37" s="50">
        <f t="shared" ca="1" si="6"/>
        <v>40</v>
      </c>
      <c r="U37" s="50">
        <f t="shared" ca="1" si="7"/>
        <v>40</v>
      </c>
      <c r="V37" s="50">
        <f t="shared" ca="1" si="7"/>
        <v>15</v>
      </c>
      <c r="X37" s="50">
        <f t="shared" ca="1" si="8"/>
        <v>15</v>
      </c>
    </row>
    <row r="38" spans="1:24" x14ac:dyDescent="0.2">
      <c r="B38" s="50">
        <f t="shared" ca="1" si="0"/>
        <v>15</v>
      </c>
      <c r="D38" s="50">
        <f t="shared" ca="1" si="1"/>
        <v>15</v>
      </c>
      <c r="F38" s="50">
        <f t="shared" ca="1" si="2"/>
        <v>40</v>
      </c>
      <c r="H38" s="50">
        <f t="shared" ca="1" si="3"/>
        <v>3</v>
      </c>
      <c r="L38" s="50">
        <f t="shared" ca="1" si="4"/>
        <v>15</v>
      </c>
      <c r="O38" s="50">
        <f t="shared" ca="1" si="5"/>
        <v>40</v>
      </c>
      <c r="P38" s="50">
        <f t="shared" ca="1" si="5"/>
        <v>15</v>
      </c>
      <c r="R38" s="50">
        <f t="shared" ca="1" si="6"/>
        <v>15</v>
      </c>
      <c r="S38" s="50">
        <f t="shared" ca="1" si="6"/>
        <v>15</v>
      </c>
      <c r="U38" s="50">
        <f t="shared" ca="1" si="7"/>
        <v>15</v>
      </c>
      <c r="V38" s="50">
        <f t="shared" ca="1" si="7"/>
        <v>15</v>
      </c>
      <c r="X38" s="50">
        <f t="shared" ca="1" si="8"/>
        <v>15</v>
      </c>
    </row>
    <row r="39" spans="1:24" x14ac:dyDescent="0.2">
      <c r="B39" s="50">
        <f t="shared" ca="1" si="0"/>
        <v>15</v>
      </c>
      <c r="D39" s="50">
        <f t="shared" ca="1" si="1"/>
        <v>33</v>
      </c>
      <c r="F39" s="50">
        <f t="shared" ca="1" si="2"/>
        <v>40</v>
      </c>
      <c r="H39" s="50">
        <f t="shared" ca="1" si="3"/>
        <v>3</v>
      </c>
      <c r="L39" s="50">
        <f t="shared" ca="1" si="4"/>
        <v>33</v>
      </c>
      <c r="O39" s="50">
        <f t="shared" ca="1" si="5"/>
        <v>40</v>
      </c>
      <c r="P39" s="50">
        <f t="shared" ca="1" si="5"/>
        <v>15</v>
      </c>
      <c r="R39" s="50">
        <f t="shared" ca="1" si="6"/>
        <v>15</v>
      </c>
      <c r="S39" s="50">
        <f t="shared" ca="1" si="6"/>
        <v>33</v>
      </c>
      <c r="U39" s="50">
        <f t="shared" ca="1" si="7"/>
        <v>15</v>
      </c>
      <c r="V39" s="50">
        <f t="shared" ca="1" si="7"/>
        <v>15</v>
      </c>
      <c r="X39" s="50">
        <f t="shared" ca="1" si="8"/>
        <v>15</v>
      </c>
    </row>
    <row r="40" spans="1:24" x14ac:dyDescent="0.2">
      <c r="B40" s="50">
        <f t="shared" ca="1" si="0"/>
        <v>47</v>
      </c>
      <c r="D40" s="50">
        <f t="shared" ca="1" si="1"/>
        <v>40</v>
      </c>
      <c r="F40" s="50">
        <f t="shared" ca="1" si="2"/>
        <v>40</v>
      </c>
      <c r="H40" s="50">
        <f t="shared" ca="1" si="3"/>
        <v>3</v>
      </c>
      <c r="L40" s="50">
        <f t="shared" ca="1" si="4"/>
        <v>15</v>
      </c>
      <c r="O40" s="50">
        <f t="shared" ca="1" si="5"/>
        <v>40</v>
      </c>
      <c r="P40" s="50">
        <f t="shared" ca="1" si="5"/>
        <v>40</v>
      </c>
      <c r="R40" s="50">
        <f t="shared" ca="1" si="6"/>
        <v>40</v>
      </c>
      <c r="S40" s="50">
        <f t="shared" ca="1" si="6"/>
        <v>40</v>
      </c>
      <c r="U40" s="50">
        <f t="shared" ca="1" si="7"/>
        <v>40</v>
      </c>
      <c r="V40" s="50">
        <f t="shared" ca="1" si="7"/>
        <v>40</v>
      </c>
      <c r="X40" s="50">
        <f t="shared" ca="1" si="8"/>
        <v>14</v>
      </c>
    </row>
    <row r="41" spans="1:24" x14ac:dyDescent="0.2">
      <c r="B41" s="50">
        <f t="shared" ca="1" si="0"/>
        <v>15</v>
      </c>
      <c r="D41" s="50">
        <f t="shared" ca="1" si="1"/>
        <v>15</v>
      </c>
      <c r="F41" s="50">
        <f t="shared" ca="1" si="2"/>
        <v>15</v>
      </c>
      <c r="H41" s="50">
        <f t="shared" ca="1" si="3"/>
        <v>15</v>
      </c>
      <c r="L41" s="50">
        <f t="shared" ca="1" si="4"/>
        <v>15</v>
      </c>
      <c r="O41" s="50">
        <f t="shared" ca="1" si="5"/>
        <v>15</v>
      </c>
      <c r="P41" s="50">
        <f t="shared" ca="1" si="5"/>
        <v>15</v>
      </c>
      <c r="R41" s="50">
        <f t="shared" ca="1" si="6"/>
        <v>15</v>
      </c>
      <c r="S41" s="50">
        <f t="shared" ca="1" si="6"/>
        <v>15</v>
      </c>
      <c r="U41" s="50">
        <f t="shared" ca="1" si="7"/>
        <v>15</v>
      </c>
      <c r="V41" s="50">
        <f t="shared" ca="1" si="7"/>
        <v>15</v>
      </c>
      <c r="X41" s="50">
        <f t="shared" ca="1" si="8"/>
        <v>15</v>
      </c>
    </row>
    <row r="43" spans="1:24" x14ac:dyDescent="0.2">
      <c r="B43" s="50">
        <f t="shared" ref="B43:B50" si="9">A1</f>
        <v>0</v>
      </c>
      <c r="D43" s="50">
        <f t="shared" ref="D43:D50" si="10">B1</f>
        <v>0</v>
      </c>
      <c r="F43" s="50">
        <f t="shared" ref="F43:F50" si="11">C1</f>
        <v>2</v>
      </c>
      <c r="H43" s="50">
        <f t="shared" ref="H43:H50" si="12">D1</f>
        <v>0</v>
      </c>
      <c r="L43" s="50">
        <f t="shared" ref="L43:L50" si="13">E1</f>
        <v>0</v>
      </c>
      <c r="O43" s="50">
        <f t="shared" ref="O43:P50" si="14">F1</f>
        <v>0</v>
      </c>
      <c r="P43" s="50">
        <f t="shared" si="14"/>
        <v>0</v>
      </c>
      <c r="R43" s="50">
        <f t="shared" ref="R43:S50" si="15">H1</f>
        <v>0</v>
      </c>
      <c r="S43" s="50">
        <f t="shared" si="15"/>
        <v>0</v>
      </c>
      <c r="U43" s="50">
        <f t="shared" ref="U43:V50" si="16">J1</f>
        <v>3</v>
      </c>
      <c r="V43" s="50">
        <f t="shared" si="16"/>
        <v>0</v>
      </c>
      <c r="X43" s="50">
        <f t="shared" ref="X43:X50" si="17">L1</f>
        <v>0</v>
      </c>
    </row>
    <row r="44" spans="1:24" x14ac:dyDescent="0.2">
      <c r="B44" s="50">
        <f t="shared" si="9"/>
        <v>0</v>
      </c>
      <c r="D44" s="50">
        <f t="shared" si="10"/>
        <v>0</v>
      </c>
      <c r="F44" s="50">
        <f t="shared" si="11"/>
        <v>0</v>
      </c>
      <c r="H44" s="50">
        <f t="shared" si="12"/>
        <v>0</v>
      </c>
      <c r="L44" s="50">
        <f t="shared" si="13"/>
        <v>0</v>
      </c>
      <c r="O44" s="50">
        <f t="shared" si="14"/>
        <v>0</v>
      </c>
      <c r="P44" s="50">
        <f t="shared" si="14"/>
        <v>0</v>
      </c>
      <c r="R44" s="50">
        <f t="shared" si="15"/>
        <v>0</v>
      </c>
      <c r="S44" s="50">
        <f t="shared" si="15"/>
        <v>0</v>
      </c>
      <c r="U44" s="50">
        <f t="shared" si="16"/>
        <v>0</v>
      </c>
      <c r="V44" s="50">
        <f t="shared" si="16"/>
        <v>0</v>
      </c>
      <c r="X44" s="50">
        <f t="shared" si="17"/>
        <v>0</v>
      </c>
    </row>
    <row r="45" spans="1:24" x14ac:dyDescent="0.2">
      <c r="B45" s="50">
        <f t="shared" si="9"/>
        <v>0</v>
      </c>
      <c r="D45" s="50">
        <f t="shared" si="10"/>
        <v>0</v>
      </c>
      <c r="F45" s="50">
        <f t="shared" si="11"/>
        <v>0</v>
      </c>
      <c r="H45" s="50">
        <f t="shared" si="12"/>
        <v>0</v>
      </c>
      <c r="L45" s="50">
        <f t="shared" si="13"/>
        <v>0</v>
      </c>
      <c r="O45" s="50">
        <f t="shared" si="14"/>
        <v>7</v>
      </c>
      <c r="P45" s="50">
        <f t="shared" si="14"/>
        <v>0</v>
      </c>
      <c r="R45" s="50">
        <f t="shared" si="15"/>
        <v>6</v>
      </c>
      <c r="S45" s="50">
        <f t="shared" si="15"/>
        <v>0</v>
      </c>
      <c r="U45" s="50">
        <f t="shared" si="16"/>
        <v>0</v>
      </c>
      <c r="V45" s="50">
        <f t="shared" si="16"/>
        <v>0</v>
      </c>
      <c r="X45" s="50">
        <f t="shared" si="17"/>
        <v>0</v>
      </c>
    </row>
    <row r="46" spans="1:24" x14ac:dyDescent="0.2">
      <c r="B46" s="50">
        <f t="shared" si="9"/>
        <v>0</v>
      </c>
      <c r="D46" s="50">
        <f t="shared" si="10"/>
        <v>0</v>
      </c>
      <c r="F46" s="50">
        <f t="shared" si="11"/>
        <v>0</v>
      </c>
      <c r="H46" s="50">
        <f t="shared" si="12"/>
        <v>0</v>
      </c>
      <c r="L46" s="50">
        <f t="shared" si="13"/>
        <v>0</v>
      </c>
      <c r="O46" s="50">
        <f t="shared" si="14"/>
        <v>0</v>
      </c>
      <c r="P46" s="50">
        <f t="shared" si="14"/>
        <v>0</v>
      </c>
      <c r="R46" s="50">
        <f t="shared" si="15"/>
        <v>5</v>
      </c>
      <c r="S46" s="50">
        <f t="shared" si="15"/>
        <v>0</v>
      </c>
      <c r="U46" s="50">
        <f t="shared" si="16"/>
        <v>4</v>
      </c>
      <c r="V46" s="50">
        <f t="shared" si="16"/>
        <v>0</v>
      </c>
      <c r="X46" s="50">
        <f t="shared" si="17"/>
        <v>0</v>
      </c>
    </row>
    <row r="47" spans="1:24" x14ac:dyDescent="0.2">
      <c r="B47" s="50">
        <f t="shared" si="9"/>
        <v>0</v>
      </c>
      <c r="D47" s="50">
        <f t="shared" si="10"/>
        <v>0</v>
      </c>
      <c r="F47" s="50">
        <f t="shared" si="11"/>
        <v>0</v>
      </c>
      <c r="H47" s="50">
        <f t="shared" si="12"/>
        <v>0</v>
      </c>
      <c r="L47" s="50">
        <f t="shared" si="13"/>
        <v>0</v>
      </c>
      <c r="O47" s="50">
        <f t="shared" si="14"/>
        <v>0</v>
      </c>
      <c r="P47" s="50">
        <f t="shared" si="14"/>
        <v>0</v>
      </c>
      <c r="R47" s="50">
        <f t="shared" si="15"/>
        <v>0</v>
      </c>
      <c r="S47" s="50">
        <f t="shared" si="15"/>
        <v>0</v>
      </c>
      <c r="U47" s="50">
        <f t="shared" si="16"/>
        <v>0</v>
      </c>
      <c r="V47" s="50">
        <f t="shared" si="16"/>
        <v>0</v>
      </c>
      <c r="X47" s="50">
        <f t="shared" si="17"/>
        <v>0</v>
      </c>
    </row>
    <row r="48" spans="1:24" x14ac:dyDescent="0.2">
      <c r="B48" s="50">
        <f t="shared" si="9"/>
        <v>0</v>
      </c>
      <c r="D48" s="50">
        <f t="shared" si="10"/>
        <v>0</v>
      </c>
      <c r="F48" s="50">
        <f t="shared" si="11"/>
        <v>0</v>
      </c>
      <c r="H48" s="50">
        <f t="shared" si="12"/>
        <v>0</v>
      </c>
      <c r="L48" s="50">
        <f t="shared" si="13"/>
        <v>0</v>
      </c>
      <c r="O48" s="50">
        <f t="shared" si="14"/>
        <v>0</v>
      </c>
      <c r="P48" s="50">
        <f t="shared" si="14"/>
        <v>0</v>
      </c>
      <c r="R48" s="50">
        <f t="shared" si="15"/>
        <v>0</v>
      </c>
      <c r="S48" s="50">
        <f t="shared" si="15"/>
        <v>0</v>
      </c>
      <c r="U48" s="50">
        <f t="shared" si="16"/>
        <v>0</v>
      </c>
      <c r="V48" s="50">
        <f t="shared" si="16"/>
        <v>0</v>
      </c>
      <c r="X48" s="50">
        <f t="shared" si="17"/>
        <v>0</v>
      </c>
    </row>
    <row r="49" spans="2:24" x14ac:dyDescent="0.2">
      <c r="B49" s="50">
        <f t="shared" si="9"/>
        <v>0</v>
      </c>
      <c r="D49" s="50">
        <f t="shared" si="10"/>
        <v>0</v>
      </c>
      <c r="F49" s="50">
        <f t="shared" si="11"/>
        <v>1</v>
      </c>
      <c r="H49" s="50">
        <f t="shared" si="12"/>
        <v>0</v>
      </c>
      <c r="L49" s="50">
        <f t="shared" si="13"/>
        <v>0</v>
      </c>
      <c r="O49" s="50">
        <f t="shared" si="14"/>
        <v>8</v>
      </c>
      <c r="P49" s="50">
        <f t="shared" si="14"/>
        <v>0</v>
      </c>
      <c r="R49" s="50">
        <f t="shared" si="15"/>
        <v>0</v>
      </c>
      <c r="S49" s="50">
        <f t="shared" si="15"/>
        <v>0</v>
      </c>
      <c r="U49" s="50">
        <f t="shared" si="16"/>
        <v>0</v>
      </c>
      <c r="V49" s="50">
        <f t="shared" si="16"/>
        <v>0</v>
      </c>
      <c r="X49" s="50">
        <f t="shared" si="17"/>
        <v>0</v>
      </c>
    </row>
    <row r="50" spans="2:24" x14ac:dyDescent="0.2">
      <c r="B50" s="50">
        <f t="shared" si="9"/>
        <v>0</v>
      </c>
      <c r="D50" s="50">
        <f t="shared" si="10"/>
        <v>0</v>
      </c>
      <c r="F50" s="50">
        <f t="shared" si="11"/>
        <v>0</v>
      </c>
      <c r="H50" s="50">
        <f t="shared" si="12"/>
        <v>0</v>
      </c>
      <c r="L50" s="50">
        <f t="shared" si="13"/>
        <v>0</v>
      </c>
      <c r="O50" s="50">
        <f t="shared" si="14"/>
        <v>0</v>
      </c>
      <c r="P50" s="50">
        <f t="shared" si="14"/>
        <v>0</v>
      </c>
      <c r="R50" s="50">
        <f t="shared" si="15"/>
        <v>0</v>
      </c>
      <c r="S50" s="50">
        <f t="shared" si="15"/>
        <v>0</v>
      </c>
      <c r="U50" s="50">
        <f t="shared" si="16"/>
        <v>0</v>
      </c>
      <c r="V50" s="50">
        <f t="shared" si="16"/>
        <v>0</v>
      </c>
      <c r="X50" s="50">
        <f t="shared" si="17"/>
        <v>0</v>
      </c>
    </row>
    <row r="54" spans="2:24" x14ac:dyDescent="0.2">
      <c r="B54" s="50">
        <f t="shared" ref="B54:B59" si="18">IF(A10="Y",1,0)</f>
        <v>1</v>
      </c>
    </row>
    <row r="55" spans="2:24" x14ac:dyDescent="0.2">
      <c r="B55" s="50">
        <f t="shared" si="18"/>
        <v>1</v>
      </c>
    </row>
    <row r="56" spans="2:24" x14ac:dyDescent="0.2">
      <c r="B56" s="50">
        <f t="shared" si="18"/>
        <v>1</v>
      </c>
    </row>
    <row r="57" spans="2:24" x14ac:dyDescent="0.2">
      <c r="B57" s="50">
        <f t="shared" si="18"/>
        <v>1</v>
      </c>
    </row>
    <row r="58" spans="2:24" x14ac:dyDescent="0.2">
      <c r="B58" s="50">
        <f t="shared" si="18"/>
        <v>0</v>
      </c>
    </row>
    <row r="59" spans="2:24" x14ac:dyDescent="0.2">
      <c r="B59" s="50">
        <f t="shared" si="18"/>
        <v>0</v>
      </c>
    </row>
    <row r="93" spans="2:6" x14ac:dyDescent="0.2">
      <c r="B93" s="50">
        <f>N1</f>
        <v>6</v>
      </c>
    </row>
    <row r="96" spans="2:6" x14ac:dyDescent="0.2">
      <c r="B96" s="52" t="s">
        <v>197</v>
      </c>
      <c r="D96" s="52" t="s">
        <v>204</v>
      </c>
      <c r="F96" s="52" t="s">
        <v>205</v>
      </c>
    </row>
    <row r="98" spans="1:22" x14ac:dyDescent="0.2">
      <c r="B98" s="52" t="s">
        <v>198</v>
      </c>
      <c r="D98" s="52" t="s">
        <v>198</v>
      </c>
      <c r="F98" s="52" t="s">
        <v>198</v>
      </c>
      <c r="G98" s="52"/>
      <c r="H98" s="52" t="s">
        <v>197</v>
      </c>
      <c r="T98" s="166">
        <v>0</v>
      </c>
    </row>
    <row r="99" spans="1:22" x14ac:dyDescent="0.2">
      <c r="A99" s="52" t="s">
        <v>194</v>
      </c>
      <c r="B99" s="50">
        <f>IF(OR(Q2=$Q$99,Q2=$Q$100,Q2=$Q$101,Q2=$Q$102,Q2=$Q$103,Q2=$Q$104,Q2=$Q$105,Q2=$Q$106,Q2=$Q$107),1,IF(OR(Q2=$Q$108,Q2=$Q$109,Q2=$Q$110,Q2=$Q$111,Q2=$Q$112,Q2=$Q$113,Q2=$Q$114,Q2=$Q$115,Q2=$Q$116),2,IF(OR(Q2=$Q$117,Q2=$Q$118,Q2=$Q$119,Q2=$Q$120,Q2=$Q$121,Q2=$Q$122,Q2=$Q$123,Q2=$Q$124,Q2=$Q$125),3,0)))</f>
        <v>2</v>
      </c>
      <c r="C99" s="52"/>
      <c r="D99" s="50">
        <f>IF(OR(T2=$Q$99,T2=$Q$100,T2=$Q$101,T2=$Q$102,T2=$Q$103,T2=$Q$104,T2=$Q$105,T2=$Q$106,T2=$Q$107),1,IF(OR(T2=$Q$108,T2=$Q$109,T2=$Q$110,T2=$Q$111,T2=$Q$112,T2=$Q$113,T2=$Q$114,T2=$Q$115,T2=$Q$116),2,IF(OR(T2=$Q$117,T2=$Q$118,T2=$Q$119,T2=$Q$120,T2=$Q$121,T2=$Q$122,T2=$Q$123,T2=$Q$124,T2=$Q$125),3,0)))</f>
        <v>1</v>
      </c>
      <c r="F99" s="50">
        <f>IF(OR(W2=$Q$99,W2=$Q$100,W2=$Q$101,W2=$Q$102,W2=$Q$103,W2=$Q$104,W2=$Q$105,W2=$Q$106,W2=$Q$107),1,IF(OR(W2=$Q$108,W2=$Q$109,W2=$Q$110,W2=$Q$111,W2=$Q$112,W2=$Q$113,W2=$Q$114,W2=$Q$115,W2=$Q$116),2,IF(OR(W2=$Q$117,W2=$Q$118,W2=$Q$119,W2=$Q$120,W2=$Q$121,W2=$Q$122,W2=$Q$123,W2=$Q$124,W2=$Q$125),3,0)))</f>
        <v>1</v>
      </c>
      <c r="G99" s="52"/>
      <c r="H99" s="50">
        <f>(100*B99)+(10*B100)+B101</f>
        <v>211</v>
      </c>
      <c r="Q99" s="52" t="s">
        <v>11</v>
      </c>
      <c r="T99" s="166">
        <v>1</v>
      </c>
      <c r="U99" s="50" t="s">
        <v>152</v>
      </c>
      <c r="V99" s="50" t="s">
        <v>152</v>
      </c>
    </row>
    <row r="100" spans="1:22" x14ac:dyDescent="0.2">
      <c r="A100" s="52" t="s">
        <v>193</v>
      </c>
      <c r="B100" s="50">
        <f>IF(OR(Q2=$Q$99,Q2=$Q$100,Q2=$Q$101,Q2=$Q$108,Q2=$Q$109,Q2=$Q$110,Q2=$Q$117,Q2=$Q$118,Q2=$Q$119),1,IF(OR(Q2=$Q$102,Q2=$Q$103,Q2=$Q$104,Q2=$Q$111,Q2=$Q$112,Q2=$Q$113,Q2=$Q$120,Q2=$Q$121,Q2=$Q$122),2,IF(OR(Q2=$Q$105,Q2=$Q$106,Q2=$Q$107,Q2=$Q$114,Q2=$Q$115,Q2=$Q$116,Q2=$Q$123,Q2=$Q$124,Q2=$Q$125),3,0)))</f>
        <v>1</v>
      </c>
      <c r="D100" s="50">
        <f>IF(OR(T2=$Q$99,T2=$Q$100,T2=$Q$101,T2=$Q$108,T2=$Q$109,T2=$Q$110,T2=$Q$117,T2=$Q$118,T2=$Q$119),1,IF(OR(T2=$Q$102,T2=$Q$103,T2=$Q$104,T2=$Q$111,T2=$Q$112,T2=$Q$113,T2=$Q$120,T2=$Q$121,T2=$Q$122),2,IF(OR(T2=$Q$105,T2=$Q$106,T2=$Q$107,T2=$Q$114,T2=$Q$115,T2=$Q$116,T2=$Q$123,T2=$Q$124,T2=$Q$125),3,0)))</f>
        <v>1</v>
      </c>
      <c r="F100" s="50">
        <f>IF(OR(W2=$Q$99,W2=$Q$100,W2=$Q$101,W2=$Q$108,W2=$Q$109,W2=$Q$110,W2=$Q$117,W2=$Q$118,W2=$Q$119),1,IF(OR(W2=$Q$102,W2=$Q$103,W2=$Q$104,W2=$Q$111,W2=$Q$112,W2=$Q$113,W2=$Q$120,W2=$Q$121,W2=$Q$122),2,IF(OR(W2=$Q$105,W2=$Q$106,W2=$Q$107,W2=$Q$114,W2=$Q$115,W2=$Q$116,W2=$Q$123,W2=$Q$124,W2=$Q$125),3,0)))</f>
        <v>2</v>
      </c>
      <c r="G100" s="52"/>
      <c r="H100" s="50">
        <f>100*B103+10*B104+B105</f>
        <v>221</v>
      </c>
      <c r="Q100" s="52" t="s">
        <v>71</v>
      </c>
      <c r="T100" s="166">
        <v>2</v>
      </c>
      <c r="U100" s="50" t="s">
        <v>157</v>
      </c>
      <c r="V100" s="50" t="s">
        <v>157</v>
      </c>
    </row>
    <row r="101" spans="1:22" x14ac:dyDescent="0.2">
      <c r="A101" s="52" t="s">
        <v>195</v>
      </c>
      <c r="B101" s="50">
        <f>IF(OR(Q2=$Q$99,Q2=$Q$102,Q2=$Q$105,Q2=$Q$108,Q2=$Q$111,Q2=$Q$114,Q2=$Q$117,Q2=$Q$120,Q2=$Q$123),1,IF(OR(Q2=$Q$100,Q2=$Q$103,Q2=$Q$106,Q2=$Q$109,Q2=$Q$112,Q2=$Q$115,Q2=$Q$118,Q2=$Q$121,Q2=$Q$124),2,IF(OR(Q2=$Q$101,Q2=$Q$104,Q2=$Q$107,Q2=$Q$110,Q2=$Q$113,Q2=$Q$116,Q2=$Q$119,Q2=$Q$122,Q2=$Q$125),3,0)))</f>
        <v>1</v>
      </c>
      <c r="D101" s="50">
        <f>IF(OR(T2=$Q$99,T2=$Q$102,T2=$Q$105,T2=$Q$108,T2=$Q$111,T2=$Q$114,T2=$Q$117,T2=$Q$120,T2=$Q$123),1,IF(OR(T2=$Q$100,T2=$Q$103,T2=$Q$106,T2=$Q$109,T2=$Q$112,T2=$Q$115,T2=$Q$118,T2=$Q$121,T2=$Q$124),2,IF(OR(T2=$Q$101,T2=$Q$104,T2=$Q$107,T2=$Q$110,T2=$Q$113,T2=$Q$116,T2=$Q$119,T2=$Q$122,T2=$Q$125),3,0)))</f>
        <v>3</v>
      </c>
      <c r="F101" s="50">
        <f>IF(OR(W2=$Q$99,W2=$Q$102,W2=$Q$105,W2=$Q$108,W2=$Q$111,W2=$Q$114,W2=$Q$117,W2=$Q$120,W2=$Q$123),1,IF(OR(W2=$Q$100,W2=$Q$103,W2=$Q$106,W2=$Q$109,W2=$Q$112,W2=$Q$115,W2=$Q$118,W2=$Q$121,W2=$Q$124),2,IF(OR(W2=$Q$101,W2=$Q$104,W2=$Q$107,W2=$Q$110,W2=$Q$113,W2=$Q$116,W2=$Q$119,W2=$Q$122,W2=$Q$125),3,0)))</f>
        <v>3</v>
      </c>
      <c r="H101" s="50">
        <f>100*B107+10*B108+B109</f>
        <v>232</v>
      </c>
      <c r="Q101" s="52" t="s">
        <v>72</v>
      </c>
      <c r="T101" s="166">
        <v>3</v>
      </c>
    </row>
    <row r="102" spans="1:22" x14ac:dyDescent="0.2">
      <c r="B102" s="52" t="s">
        <v>199</v>
      </c>
      <c r="D102" s="52" t="s">
        <v>199</v>
      </c>
      <c r="F102" s="52" t="s">
        <v>199</v>
      </c>
      <c r="G102" s="52"/>
      <c r="H102" s="50">
        <f>100*B111+10*B112+B113</f>
        <v>131</v>
      </c>
      <c r="Q102" s="52" t="s">
        <v>12</v>
      </c>
      <c r="T102" s="166">
        <v>4</v>
      </c>
    </row>
    <row r="103" spans="1:22" x14ac:dyDescent="0.2">
      <c r="A103" s="52" t="s">
        <v>194</v>
      </c>
      <c r="B103" s="50">
        <f>IF(OR(Q3=$Q$99,Q3=$Q$100,Q3=$Q$101,Q3=$Q$102,Q3=$Q$103,Q3=$Q$104,Q3=$Q$105,Q3=$Q$106,Q3=$Q$107),1,IF(OR(Q3=$Q$108,Q3=$Q$109,Q3=$Q$110,Q3=$Q$111,Q3=$Q$112,Q3=$Q$113,Q3=$Q$114,Q3=$Q$115,Q3=$Q$116),2,IF(OR(Q3=$Q$117,Q3=$Q$118,Q3=$Q$119,Q3=$Q$120,Q3=$Q$121,Q3=$Q$122,Q3=$Q$123,Q3=$Q$124,Q3=$Q$125),3,0)))</f>
        <v>2</v>
      </c>
      <c r="D103" s="50">
        <f>IF(OR(T3=$Q$99,T3=$Q$100,T3=$Q$101,T3=$Q$102,T3=$Q$103,T3=$Q$104,T3=$Q$105,T3=$Q$106,T3=$Q$107),1,IF(OR(T3=$Q$108,T3=$Q$109,T3=$Q$110,T3=$Q$111,T3=$Q$112,T3=$Q$113,T3=$Q$114,T3=$Q$115,T3=$Q$116),2,IF(OR(T3=$Q$117,T3=$Q$118,T3=$Q$119,T3=$Q$120,T3=$Q$121,T3=$Q$122,T3=$Q$123,T3=$Q$124,T3=$Q$125),3,0)))</f>
        <v>3</v>
      </c>
      <c r="F103" s="50">
        <f>IF(OR(W3=$Q$99,W3=$Q$100,W3=$Q$101,W3=$Q$102,W3=$Q$103,W3=$Q$104,W3=$Q$105,W3=$Q$106,W3=$Q$107),1,IF(OR(W3=$Q$108,W3=$Q$109,W3=$Q$110,W3=$Q$111,W3=$Q$112,W3=$Q$113,W3=$Q$114,W3=$Q$115,W3=$Q$116),2,IF(OR(W3=$Q$117,W3=$Q$118,W3=$Q$119,W3=$Q$120,W3=$Q$121,W3=$Q$122,W3=$Q$123,W3=$Q$124,W3=$Q$125),3,0)))</f>
        <v>1</v>
      </c>
      <c r="G103" s="52"/>
      <c r="H103" s="50">
        <f>100*B115+10*B116+B117</f>
        <v>123</v>
      </c>
      <c r="Q103" s="52" t="s">
        <v>73</v>
      </c>
      <c r="T103" s="166">
        <v>5</v>
      </c>
    </row>
    <row r="104" spans="1:22" x14ac:dyDescent="0.2">
      <c r="A104" s="52" t="s">
        <v>193</v>
      </c>
      <c r="B104" s="50">
        <f>IF(OR(Q3=$Q$99,Q3=$Q$100,Q3=$Q$101,Q3=$Q$108,Q3=$Q$109,Q3=$Q$110,Q3=$Q$117,Q3=$Q$118,Q3=$Q$119),1,IF(OR(Q3=$Q$102,Q3=$Q$103,Q3=$Q$104,Q3=$Q$111,Q3=$Q$112,Q3=$Q$113,Q3=$Q$120,Q3=$Q$121,Q3=$Q$122),2,IF(OR(Q3=$Q$105,Q3=$Q$106,Q3=$Q$107,Q3=$Q$114,Q3=$Q$115,Q3=$Q$116,Q3=$Q$123,Q3=$Q$124,Q3=$Q$125),3,0)))</f>
        <v>2</v>
      </c>
      <c r="D104" s="50">
        <f>IF(OR(T3=$Q$99,T3=$Q$100,T3=$Q$101,T3=$Q$108,T3=$Q$109,T3=$Q$110,T3=$Q$117,T3=$Q$118,T3=$Q$119),1,IF(OR(T3=$Q$102,T3=$Q$103,T3=$Q$104,T3=$Q$111,T3=$Q$112,T3=$Q$113,T3=$Q$120,T3=$Q$121,T3=$Q$122),2,IF(OR(T3=$Q$105,T3=$Q$106,T3=$Q$107,T3=$Q$114,T3=$Q$115,T3=$Q$116,T3=$Q$123,T3=$Q$124,T3=$Q$125),3,0)))</f>
        <v>2</v>
      </c>
      <c r="F104" s="50">
        <f>IF(OR(W3=$Q$99,W3=$Q$100,W3=$Q$101,W3=$Q$108,W3=$Q$109,W3=$Q$110,W3=$Q$117,W3=$Q$118,W3=$Q$119),1,IF(OR(W3=$Q$102,W3=$Q$103,W3=$Q$104,W3=$Q$111,W3=$Q$112,W3=$Q$113,W3=$Q$120,W3=$Q$121,W3=$Q$122),2,IF(OR(W3=$Q$105,W3=$Q$106,W3=$Q$107,W3=$Q$114,W3=$Q$115,W3=$Q$116,W3=$Q$123,W3=$Q$124,W3=$Q$125),3,0)))</f>
        <v>2</v>
      </c>
      <c r="G104" s="52"/>
      <c r="H104" s="50">
        <f>100*B119+10*B120+B121</f>
        <v>323</v>
      </c>
      <c r="Q104" s="52" t="s">
        <v>74</v>
      </c>
      <c r="T104" s="166">
        <v>6</v>
      </c>
    </row>
    <row r="105" spans="1:22" x14ac:dyDescent="0.2">
      <c r="A105" s="52" t="s">
        <v>195</v>
      </c>
      <c r="B105" s="50">
        <f>IF(OR(Q3=$Q$99,Q3=$Q$102,Q3=$Q$105,Q3=$Q$108,Q3=$Q$111,Q3=$Q$114,Q3=$Q$117,Q3=$Q$120,Q3=$Q$123),1,IF(OR(Q3=$Q$100,Q3=$Q$103,Q3=$Q$106,Q3=$Q$109,Q3=$Q$112,Q3=$Q$115,Q3=$Q$118,Q3=$Q$121,Q3=$Q$124),2,IF(OR(Q3=$Q$101,Q3=$Q$104,Q3=$Q$107,Q3=$Q$110,Q3=$Q$113,Q3=$Q$116,Q3=$Q$119,Q3=$Q$122,Q3=$Q$125),3,0)))</f>
        <v>1</v>
      </c>
      <c r="D105" s="50">
        <f>IF(OR(T3=$Q$99,T3=$Q$102,T3=$Q$105,T3=$Q$108,T3=$Q$111,T3=$Q$114,T3=$Q$117,T3=$Q$120,T3=$Q$123),1,IF(OR(T3=$Q$100,T3=$Q$103,T3=$Q$106,T3=$Q$109,T3=$Q$112,T3=$Q$115,T3=$Q$118,T3=$Q$121,T3=$Q$124),2,IF(OR(T3=$Q$101,T3=$Q$104,T3=$Q$107,T3=$Q$110,T3=$Q$113,T3=$Q$116,T3=$Q$119,T3=$Q$122,T3=$Q$125),3,0)))</f>
        <v>3</v>
      </c>
      <c r="F105" s="50">
        <f>IF(OR(W3=$Q$99,W3=$Q$102,W3=$Q$105,W3=$Q$108,W3=$Q$111,W3=$Q$114,W3=$Q$117,W3=$Q$120,W3=$Q$123),1,IF(OR(W3=$Q$100,W3=$Q$103,W3=$Q$106,W3=$Q$109,W3=$Q$112,W3=$Q$115,W3=$Q$118,W3=$Q$121,W3=$Q$124),2,IF(OR(W3=$Q$101,W3=$Q$104,W3=$Q$107,W3=$Q$110,W3=$Q$113,W3=$Q$116,W3=$Q$119,W3=$Q$122,W3=$Q$125),3,0)))</f>
        <v>3</v>
      </c>
      <c r="Q105" s="52" t="s">
        <v>13</v>
      </c>
      <c r="T105" s="166">
        <v>7</v>
      </c>
    </row>
    <row r="106" spans="1:22" x14ac:dyDescent="0.2">
      <c r="B106" s="52" t="s">
        <v>200</v>
      </c>
      <c r="D106" s="52" t="s">
        <v>200</v>
      </c>
      <c r="F106" s="52" t="s">
        <v>200</v>
      </c>
      <c r="G106" s="52"/>
      <c r="Q106" s="52" t="s">
        <v>196</v>
      </c>
      <c r="T106" s="166">
        <v>8</v>
      </c>
    </row>
    <row r="107" spans="1:22" x14ac:dyDescent="0.2">
      <c r="A107" s="52" t="s">
        <v>194</v>
      </c>
      <c r="B107" s="50">
        <f>IF(OR(Q4=$Q$99,Q4=$Q$100,Q4=$Q$101,Q4=$Q$102,Q4=$Q$103,Q4=$Q$104,Q4=$Q$105,Q4=$Q$106,Q4=$Q$107),1,IF(OR(Q4=$Q$108,Q4=$Q$109,Q4=$Q$110,Q4=$Q$111,Q4=$Q$112,Q4=$Q$113,Q4=$Q$114,Q4=$Q$115,Q4=$Q$116),2,IF(OR(Q4=$Q$117,Q4=$Q$118,Q4=$Q$119,Q4=$Q$120,Q4=$Q$121,Q4=$Q$122,Q4=$Q$123,Q4=$Q$124,Q4=$Q$125),3,0)))</f>
        <v>2</v>
      </c>
      <c r="D107" s="50">
        <f>IF(OR(T4=$Q$99,T4=$Q$100,T4=$Q$101,T4=$Q$102,T4=$Q$103,T4=$Q$104,T4=$Q$105,T4=$Q$106,T4=$Q$107),1,IF(OR(T4=$Q$108,T4=$Q$109,T4=$Q$110,T4=$Q$111,T4=$Q$112,T4=$Q$113,T4=$Q$114,T4=$Q$115,T4=$Q$116),2,IF(OR(T4=$Q$117,T4=$Q$118,T4=$Q$119,T4=$Q$120,T4=$Q$121,T4=$Q$122,T4=$Q$123,T4=$Q$124,T4=$Q$125),3,0)))</f>
        <v>3</v>
      </c>
      <c r="F107" s="50">
        <f>IF(OR(W4=$Q$99,W4=$Q$100,W4=$Q$101,W4=$Q$102,W4=$Q$103,W4=$Q$104,W4=$Q$105,W4=$Q$106,W4=$Q$107),1,IF(OR(W4=$Q$108,W4=$Q$109,W4=$Q$110,W4=$Q$111,W4=$Q$112,W4=$Q$113,W4=$Q$114,W4=$Q$115,W4=$Q$116),2,IF(OR(W4=$Q$117,W4=$Q$118,W4=$Q$119,W4=$Q$120,W4=$Q$121,W4=$Q$122,W4=$Q$123,W4=$Q$124,W4=$Q$125),3,0)))</f>
        <v>1</v>
      </c>
      <c r="G107" s="52"/>
      <c r="Q107" s="52" t="s">
        <v>75</v>
      </c>
      <c r="T107" s="166">
        <v>9</v>
      </c>
    </row>
    <row r="108" spans="1:22" x14ac:dyDescent="0.2">
      <c r="A108" s="52" t="s">
        <v>193</v>
      </c>
      <c r="B108" s="50">
        <f>IF(OR(Q4=$Q$99,Q4=$Q$100,Q4=$Q$101,Q4=$Q$108,Q4=$Q$109,Q4=$Q$110,Q4=$Q$117,Q4=$Q$118,Q4=$Q$119),1,IF(OR(Q4=$Q$102,Q4=$Q$103,Q4=$Q$104,Q4=$Q$111,Q4=$Q$112,Q4=$Q$113,Q4=$Q$120,Q4=$Q$121,Q4=$Q$122),2,IF(OR(Q4=$Q$105,Q4=$Q$106,Q4=$Q$107,Q4=$Q$114,Q4=$Q$115,Q4=$Q$116,Q4=$Q$123,Q4=$Q$124,Q4=$Q$125),3,0)))</f>
        <v>3</v>
      </c>
      <c r="D108" s="50">
        <f>IF(OR(T4=$Q$99,T4=$Q$100,T4=$Q$101,T4=$Q$108,T4=$Q$109,T4=$Q$110,T4=$Q$117,T4=$Q$118,T4=$Q$119),1,IF(OR(T4=$Q$102,T4=$Q$103,T4=$Q$104,T4=$Q$111,T4=$Q$112,T4=$Q$113,T4=$Q$120,T4=$Q$121,T4=$Q$122),2,IF(OR(T4=$Q$105,T4=$Q$106,T4=$Q$107,T4=$Q$114,T4=$Q$115,T4=$Q$116,T4=$Q$123,T4=$Q$124,T4=$Q$125),3,0)))</f>
        <v>3</v>
      </c>
      <c r="F108" s="50">
        <f>IF(OR(W4=$Q$99,W4=$Q$100,W4=$Q$101,W4=$Q$108,W4=$Q$109,W4=$Q$110,W4=$Q$117,W4=$Q$118,W4=$Q$119),1,IF(OR(W4=$Q$102,W4=$Q$103,W4=$Q$104,W4=$Q$111,W4=$Q$112,W4=$Q$113,W4=$Q$120,W4=$Q$121,W4=$Q$122),2,IF(OR(W4=$Q$105,W4=$Q$106,W4=$Q$107,W4=$Q$114,W4=$Q$115,W4=$Q$116,W4=$Q$123,W4=$Q$124,W4=$Q$125),3,0)))</f>
        <v>2</v>
      </c>
      <c r="G108" s="52"/>
      <c r="H108" s="52" t="s">
        <v>204</v>
      </c>
      <c r="Q108" s="52" t="s">
        <v>14</v>
      </c>
      <c r="T108" s="166">
        <v>10</v>
      </c>
    </row>
    <row r="109" spans="1:22" x14ac:dyDescent="0.2">
      <c r="A109" s="52" t="s">
        <v>195</v>
      </c>
      <c r="B109" s="50">
        <f>IF(OR(Q4=$Q$99,Q4=$Q$102,Q4=$Q$105,Q4=$Q$108,Q4=$Q$111,Q4=$Q$114,Q4=$Q$117,Q4=$Q$120,Q4=$Q$123),1,IF(OR(Q4=$Q$100,Q4=$Q$103,Q4=$Q$106,Q4=$Q$109,Q4=$Q$112,Q4=$Q$115,Q4=$Q$118,Q4=$Q$121,Q4=$Q$124),2,IF(OR(Q4=$Q$101,Q4=$Q$104,Q4=$Q$107,Q4=$Q$110,Q4=$Q$113,Q4=$Q$116,Q4=$Q$119,Q4=$Q$122,Q4=$Q$125),3,0)))</f>
        <v>2</v>
      </c>
      <c r="D109" s="50">
        <f>IF(OR(T4=$Q$99,T4=$Q$102,T4=$Q$105,T4=$Q$108,T4=$Q$111,T4=$Q$114,T4=$Q$117,T4=$Q$120,T4=$Q$123),1,IF(OR(T4=$Q$100,T4=$Q$103,T4=$Q$106,T4=$Q$109,T4=$Q$112,T4=$Q$115,T4=$Q$118,T4=$Q$121,T4=$Q$124),2,IF(OR(T4=$Q$101,T4=$Q$104,T4=$Q$107,T4=$Q$110,T4=$Q$113,T4=$Q$116,T4=$Q$119,T4=$Q$122,T4=$Q$125),3,0)))</f>
        <v>1</v>
      </c>
      <c r="F109" s="50">
        <f>IF(OR(W4=$Q$99,W4=$Q$102,W4=$Q$105,W4=$Q$108,W4=$Q$111,W4=$Q$114,W4=$Q$117,W4=$Q$120,W4=$Q$123),1,IF(OR(W4=$Q$100,W4=$Q$103,W4=$Q$106,W4=$Q$109,W4=$Q$112,W4=$Q$115,W4=$Q$118,W4=$Q$121,W4=$Q$124),2,IF(OR(W4=$Q$101,W4=$Q$104,W4=$Q$107,W4=$Q$110,W4=$Q$113,W4=$Q$116,W4=$Q$119,W4=$Q$122,W4=$Q$125),3,0)))</f>
        <v>1</v>
      </c>
      <c r="H109" s="50">
        <f>(100*D99)+(10*D100)+D101</f>
        <v>113</v>
      </c>
      <c r="Q109" s="52" t="s">
        <v>76</v>
      </c>
      <c r="T109" s="166">
        <v>11</v>
      </c>
    </row>
    <row r="110" spans="1:22" x14ac:dyDescent="0.2">
      <c r="B110" s="52" t="s">
        <v>201</v>
      </c>
      <c r="D110" s="52" t="s">
        <v>201</v>
      </c>
      <c r="F110" s="52" t="s">
        <v>201</v>
      </c>
      <c r="G110" s="52"/>
      <c r="H110" s="50">
        <f>(100*D103)+(10*D104)+D105</f>
        <v>323</v>
      </c>
      <c r="Q110" s="52" t="s">
        <v>77</v>
      </c>
      <c r="T110" s="166">
        <v>12</v>
      </c>
    </row>
    <row r="111" spans="1:22" x14ac:dyDescent="0.2">
      <c r="A111" s="52" t="s">
        <v>194</v>
      </c>
      <c r="B111" s="50">
        <f>IF(OR(Q5=$Q$99,Q5=$Q$100,Q5=$Q$101,Q5=$Q$102,Q5=$Q$103,Q5=$Q$104,Q5=$Q$105,Q5=$Q$106,Q5=$Q$107),1,IF(OR(Q5=$Q$108,Q5=$Q$109,Q5=$Q$110,Q5=$Q$111,Q5=$Q$112,Q5=$Q$113,Q5=$Q$114,Q5=$Q$115,Q5=$Q$116),2,IF(OR(Q5=$Q$117,Q5=$Q$118,Q5=$Q$119,Q5=$Q$120,Q5=$Q$121,Q5=$Q$122,Q5=$Q$123,Q5=$Q$124,Q5=$Q$125),3,0)))</f>
        <v>1</v>
      </c>
      <c r="D111" s="50">
        <f>IF(OR(T5=$Q$99,T5=$Q$100,T5=$Q$101,T5=$Q$102,T5=$Q$103,T5=$Q$104,T5=$Q$105,T5=$Q$106,T5=$Q$107),1,IF(OR(T5=$Q$108,T5=$Q$109,T5=$Q$110,T5=$Q$111,T5=$Q$112,T5=$Q$113,T5=$Q$114,T5=$Q$115,T5=$Q$116),2,IF(OR(T5=$Q$117,T5=$Q$118,T5=$Q$119,T5=$Q$120,T5=$Q$121,T5=$Q$122,T5=$Q$123,T5=$Q$124,T5=$Q$125),3,0)))</f>
        <v>1</v>
      </c>
      <c r="F111" s="50">
        <f>IF(OR(W5=$Q$99,W5=$Q$100,W5=$Q$101,W5=$Q$102,W5=$Q$103,W5=$Q$104,W5=$Q$105,W5=$Q$106,W5=$Q$107),1,IF(OR(W5=$Q$108,W5=$Q$109,W5=$Q$110,W5=$Q$111,W5=$Q$112,W5=$Q$113,W5=$Q$114,W5=$Q$115,W5=$Q$116),2,IF(OR(W5=$Q$117,W5=$Q$118,W5=$Q$119,W5=$Q$120,W5=$Q$121,W5=$Q$122,W5=$Q$123,W5=$Q$124,W5=$Q$125),3,0)))</f>
        <v>1</v>
      </c>
      <c r="G111" s="52"/>
      <c r="H111" s="50">
        <f>100*D107+10*D108+D109</f>
        <v>331</v>
      </c>
      <c r="Q111" s="52" t="s">
        <v>15</v>
      </c>
      <c r="T111" s="166">
        <v>13</v>
      </c>
    </row>
    <row r="112" spans="1:22" x14ac:dyDescent="0.2">
      <c r="A112" s="52" t="s">
        <v>193</v>
      </c>
      <c r="B112" s="50">
        <f>IF(OR(Q5=$Q$99,Q5=$Q$100,Q5=$Q$101,Q5=$Q$108,Q5=$Q$109,Q5=$Q$110,Q5=$Q$117,Q5=$Q$118,Q5=$Q$119),1,IF(OR(Q5=$Q$102,Q5=$Q$103,Q5=$Q$104,Q5=$Q$111,Q5=$Q$112,Q5=$Q$113,Q5=$Q$120,Q5=$Q$121,Q5=$Q$122),2,IF(OR(Q5=$Q$105,Q5=$Q$106,Q5=$Q$107,Q5=$Q$114,Q5=$Q$115,Q5=$Q$116,Q5=$Q$123,Q5=$Q$124,Q5=$Q$125),3,0)))</f>
        <v>3</v>
      </c>
      <c r="D112" s="50">
        <f>IF(OR(T5=$Q$99,T5=$Q$100,T5=$Q$101,T5=$Q$108,T5=$Q$109,T5=$Q$110,T5=$Q$117,T5=$Q$118,T5=$Q$119),1,IF(OR(T5=$Q$102,T5=$Q$103,T5=$Q$104,T5=$Q$111,T5=$Q$112,T5=$Q$113,T5=$Q$120,T5=$Q$121,T5=$Q$122),2,IF(OR(T5=$Q$105,T5=$Q$106,T5=$Q$107,T5=$Q$114,T5=$Q$115,T5=$Q$116,T5=$Q$123,T5=$Q$124,T5=$Q$125),3,0)))</f>
        <v>1</v>
      </c>
      <c r="F112" s="50">
        <f>IF(OR(W5=$Q$99,W5=$Q$100,W5=$Q$101,W5=$Q$108,W5=$Q$109,W5=$Q$110,W5=$Q$117,W5=$Q$118,W5=$Q$119),1,IF(OR(W5=$Q$102,W5=$Q$103,W5=$Q$104,W5=$Q$111,W5=$Q$112,W5=$Q$113,W5=$Q$120,W5=$Q$121,W5=$Q$122),2,IF(OR(W5=$Q$105,W5=$Q$106,W5=$Q$107,W5=$Q$114,W5=$Q$115,W5=$Q$116,W5=$Q$123,W5=$Q$124,W5=$Q$125),3,0)))</f>
        <v>2</v>
      </c>
      <c r="G112" s="52"/>
      <c r="H112" s="50">
        <f>(100*D111)+(10*D112)+D113</f>
        <v>111</v>
      </c>
      <c r="Q112" s="52" t="s">
        <v>78</v>
      </c>
      <c r="T112" s="166">
        <v>14</v>
      </c>
    </row>
    <row r="113" spans="1:20" x14ac:dyDescent="0.2">
      <c r="A113" s="52" t="s">
        <v>195</v>
      </c>
      <c r="B113" s="50">
        <f>IF(OR(Q5=$Q$99,Q5=$Q$102,Q5=$Q$105,Q5=$Q$108,Q5=$Q$111,Q5=$Q$114,Q5=$Q$117,Q5=$Q$120,Q5=$Q$123),1,IF(OR(Q5=$Q$100,Q5=$Q$103,Q5=$Q$106,Q5=$Q$109,Q5=$Q$112,Q5=$Q$115,Q5=$Q$118,Q5=$Q$121,Q5=$Q$124),2,IF(OR(Q5=$Q$101,Q5=$Q$104,Q5=$Q$107,Q5=$Q$110,Q5=$Q$113,Q5=$Q$116,Q5=$Q$119,Q5=$Q$122,Q5=$Q$125),3,0)))</f>
        <v>1</v>
      </c>
      <c r="D113" s="50">
        <f>IF(OR(T5=$Q$99,T5=$Q$102,T5=$Q$105,T5=$Q$108,T5=$Q$111,T5=$Q$114,T5=$Q$117,T5=$Q$120,T5=$Q$123),1,IF(OR(T5=$Q$100,T5=$Q$103,T5=$Q$106,T5=$Q$109,T5=$Q$112,T5=$Q$115,T5=$Q$118,T5=$Q$121,T5=$Q$124),2,IF(OR(T5=$Q$101,T5=$Q$104,T5=$Q$107,T5=$Q$110,T5=$Q$113,T5=$Q$116,T5=$Q$119,T5=$Q$122,T5=$Q$125),3,0)))</f>
        <v>1</v>
      </c>
      <c r="F113" s="50">
        <f>IF(OR(W5=$Q$99,W5=$Q$102,W5=$Q$105,W5=$Q$108,W5=$Q$111,W5=$Q$114,W5=$Q$117,W5=$Q$120,W5=$Q$123),1,IF(OR(W5=$Q$100,W5=$Q$103,W5=$Q$106,W5=$Q$109,W5=$Q$112,W5=$Q$115,W5=$Q$118,W5=$Q$121,W5=$Q$124),2,IF(OR(W5=$Q$101,W5=$Q$104,W5=$Q$107,W5=$Q$110,W5=$Q$113,W5=$Q$116,W5=$Q$119,W5=$Q$122,W5=$Q$125),3,0)))</f>
        <v>3</v>
      </c>
      <c r="H113" s="50">
        <f>(100*D115)+(10*D116)+D117</f>
        <v>313</v>
      </c>
      <c r="Q113" s="52" t="s">
        <v>79</v>
      </c>
      <c r="T113" s="166">
        <v>15</v>
      </c>
    </row>
    <row r="114" spans="1:20" x14ac:dyDescent="0.2">
      <c r="B114" s="52" t="s">
        <v>202</v>
      </c>
      <c r="D114" s="52" t="s">
        <v>202</v>
      </c>
      <c r="F114" s="52" t="s">
        <v>202</v>
      </c>
      <c r="G114" s="52"/>
      <c r="H114" s="50">
        <f>100*D119+10*D120+D121</f>
        <v>113</v>
      </c>
      <c r="Q114" s="52" t="s">
        <v>16</v>
      </c>
      <c r="T114" s="166">
        <v>16</v>
      </c>
    </row>
    <row r="115" spans="1:20" x14ac:dyDescent="0.2">
      <c r="A115" s="52" t="s">
        <v>194</v>
      </c>
      <c r="B115" s="50">
        <f>IF(OR(Q6=$Q$99,Q6=$Q$100,Q6=$Q$101,Q6=$Q$102,Q6=$Q$103,Q6=$Q$104,Q6=$Q$105,Q6=$Q$106,Q6=$Q$107),1,IF(OR(Q6=$Q$108,Q6=$Q$109,Q6=$Q$110,Q6=$Q$111,Q6=$Q$112,Q6=$Q$113,Q6=$Q$114,Q6=$Q$115,Q6=$Q$116),2,IF(OR(Q6=$Q$117,Q6=$Q$118,Q6=$Q$119,Q6=$Q$120,Q6=$Q$121,Q6=$Q$122,Q6=$Q$123,Q6=$Q$124,Q6=$Q$125),3,0)))</f>
        <v>1</v>
      </c>
      <c r="D115" s="50">
        <f>IF(OR(T6=$Q$99,T6=$Q$100,T6=$Q$101,T6=$Q$102,T6=$Q$103,T6=$Q$104,T6=$Q$105,T6=$Q$106,T6=$Q$107),1,IF(OR(T6=$Q$108,T6=$Q$109,T6=$Q$110,T6=$Q$111,T6=$Q$112,T6=$Q$113,T6=$Q$114,T6=$Q$115,T6=$Q$116),2,IF(OR(T6=$Q$117,T6=$Q$118,T6=$Q$119,T6=$Q$120,T6=$Q$121,T6=$Q$122,T6=$Q$123,T6=$Q$124,T6=$Q$125),3,0)))</f>
        <v>3</v>
      </c>
      <c r="F115" s="50">
        <f>IF(OR(W6=$Q$99,W6=$Q$100,W6=$Q$101,W6=$Q$102,W6=$Q$103,W6=$Q$104,W6=$Q$105,W6=$Q$106,W6=$Q$107),1,IF(OR(W6=$Q$108,W6=$Q$109,W6=$Q$110,W6=$Q$111,W6=$Q$112,W6=$Q$113,W6=$Q$114,W6=$Q$115,W6=$Q$116),2,IF(OR(W6=$Q$117,W6=$Q$118,W6=$Q$119,W6=$Q$120,W6=$Q$121,W6=$Q$122,W6=$Q$123,W6=$Q$124,W6=$Q$125),3,0)))</f>
        <v>1</v>
      </c>
      <c r="G115" s="52"/>
      <c r="Q115" s="52" t="s">
        <v>80</v>
      </c>
      <c r="T115" s="166">
        <v>17</v>
      </c>
    </row>
    <row r="116" spans="1:20" x14ac:dyDescent="0.2">
      <c r="A116" s="52" t="s">
        <v>193</v>
      </c>
      <c r="B116" s="50">
        <f>IF(OR(Q6=$Q$99,Q6=$Q$100,Q6=$Q$101,Q6=$Q$108,Q6=$Q$109,Q6=$Q$110,Q6=$Q$117,Q6=$Q$118,Q6=$Q$119),1,IF(OR(Q6=$Q$102,Q6=$Q$103,Q6=$Q$104,Q6=$Q$111,Q6=$Q$112,Q6=$Q$113,Q6=$Q$120,Q6=$Q$121,Q6=$Q$122),2,IF(OR(Q6=$Q$105,Q6=$Q$106,Q6=$Q$107,Q6=$Q$114,Q6=$Q$115,Q6=$Q$116,Q6=$Q$123,Q6=$Q$124,Q6=$Q$125),3,0)))</f>
        <v>2</v>
      </c>
      <c r="D116" s="50">
        <f>IF(OR(T6=$Q$99,T6=$Q$100,T6=$Q$101,T6=$Q$108,T6=$Q$109,T6=$Q$110,T6=$Q$117,T6=$Q$118,T6=$Q$119),1,IF(OR(T6=$Q$102,T6=$Q$103,T6=$Q$104,T6=$Q$111,T6=$Q$112,T6=$Q$113,T6=$Q$120,T6=$Q$121,T6=$Q$122),2,IF(OR(T6=$Q$105,T6=$Q$106,T6=$Q$107,T6=$Q$114,T6=$Q$115,T6=$Q$116,T6=$Q$123,T6=$Q$124,T6=$Q$125),3,0)))</f>
        <v>1</v>
      </c>
      <c r="F116" s="50">
        <f>IF(OR(W6=$Q$99,W6=$Q$100,W6=$Q$101,W6=$Q$108,W6=$Q$109,W6=$Q$110,W6=$Q$117,W6=$Q$118,W6=$Q$119),1,IF(OR(W6=$Q$102,W6=$Q$103,W6=$Q$104,W6=$Q$111,W6=$Q$112,W6=$Q$113,W6=$Q$120,W6=$Q$121,W6=$Q$122),2,IF(OR(W6=$Q$105,W6=$Q$106,W6=$Q$107,W6=$Q$114,W6=$Q$115,W6=$Q$116,W6=$Q$123,W6=$Q$124,W6=$Q$125),3,0)))</f>
        <v>3</v>
      </c>
      <c r="G116" s="52"/>
      <c r="Q116" s="52" t="s">
        <v>81</v>
      </c>
      <c r="T116" s="166">
        <v>18</v>
      </c>
    </row>
    <row r="117" spans="1:20" x14ac:dyDescent="0.2">
      <c r="A117" s="52" t="s">
        <v>195</v>
      </c>
      <c r="B117" s="50">
        <f>IF(OR(Q6=$Q$99,Q6=$Q$102,Q6=$Q$105,Q6=$Q$108,Q6=$Q$111,Q6=$Q$114,Q6=$Q$117,Q6=$Q$120,Q6=$Q$123),1,IF(OR(Q6=$Q$100,Q6=$Q$103,Q6=$Q$106,Q6=$Q$109,Q6=$Q$112,Q6=$Q$115,Q6=$Q$118,Q6=$Q$121,Q6=$Q$124),2,IF(OR(Q6=$Q$101,Q6=$Q$104,Q6=$Q$107,Q6=$Q$110,Q6=$Q$113,Q6=$Q$116,Q6=$Q$119,Q6=$Q$122,Q6=$Q$125),3,0)))</f>
        <v>3</v>
      </c>
      <c r="D117" s="50">
        <f>IF(OR(T6=$Q$99,T6=$Q$102,T6=$Q$105,T6=$Q$108,T6=$Q$111,T6=$Q$114,T6=$Q$117,T6=$Q$120,T6=$Q$123),1,IF(OR(T6=$Q$100,T6=$Q$103,T6=$Q$106,T6=$Q$109,T6=$Q$112,T6=$Q$115,T6=$Q$118,T6=$Q$121,T6=$Q$124),2,IF(OR(T6=$Q$101,T6=$Q$104,T6=$Q$107,T6=$Q$110,T6=$Q$113,T6=$Q$116,T6=$Q$119,T6=$Q$122,T6=$Q$125),3,0)))</f>
        <v>3</v>
      </c>
      <c r="F117" s="50">
        <f>IF(OR(W6=$Q$99,W6=$Q$102,W6=$Q$105,W6=$Q$108,W6=$Q$111,W6=$Q$114,W6=$Q$117,W6=$Q$120,W6=$Q$123),1,IF(OR(W6=$Q$100,W6=$Q$103,W6=$Q$106,W6=$Q$109,W6=$Q$112,W6=$Q$115,W6=$Q$118,W6=$Q$121,W6=$Q$124),2,IF(OR(W6=$Q$101,W6=$Q$104,W6=$Q$107,W6=$Q$110,W6=$Q$113,W6=$Q$116,W6=$Q$119,W6=$Q$122,W6=$Q$125),3,0)))</f>
        <v>1</v>
      </c>
      <c r="Q117" s="52" t="s">
        <v>82</v>
      </c>
      <c r="T117" s="166">
        <v>19</v>
      </c>
    </row>
    <row r="118" spans="1:20" x14ac:dyDescent="0.2">
      <c r="B118" s="52" t="s">
        <v>203</v>
      </c>
      <c r="D118" s="52" t="s">
        <v>203</v>
      </c>
      <c r="F118" s="52" t="s">
        <v>203</v>
      </c>
      <c r="G118" s="52"/>
      <c r="H118" s="52" t="s">
        <v>205</v>
      </c>
      <c r="Q118" s="52" t="s">
        <v>151</v>
      </c>
      <c r="T118" s="166">
        <v>20</v>
      </c>
    </row>
    <row r="119" spans="1:20" x14ac:dyDescent="0.2">
      <c r="A119" s="52" t="s">
        <v>194</v>
      </c>
      <c r="B119" s="50">
        <f>IF(OR(Q7=$Q$99,Q7=$Q$100,Q7=$Q$101,Q7=$Q$102,Q7=$Q$103,Q7=$Q$104,Q7=$Q$105,Q7=$Q$106,Q7=$Q$107),1,IF(OR(Q7=$Q$108,Q7=$Q$109,Q7=$Q$110,Q7=$Q$111,Q7=$Q$112,Q7=$Q$113,Q7=$Q$114,Q7=$Q$115,Q7=$Q$116),2,IF(OR(Q7=$Q$117,Q7=$Q$118,Q7=$Q$119,Q7=$Q$120,Q7=$Q$121,Q7=$Q$122,Q7=$Q$123,Q7=$Q$124,Q7=$Q$125),3,0)))</f>
        <v>3</v>
      </c>
      <c r="D119" s="50">
        <f>IF(OR(T7=$Q$99,T7=$Q$100,T7=$Q$101,T7=$Q$102,T7=$Q$103,T7=$Q$104,T7=$Q$105,T7=$Q$106,T7=$Q$107),1,IF(OR(T7=$Q$108,T7=$Q$109,T7=$Q$110,T7=$Q$111,T7=$Q$112,T7=$Q$113,T7=$Q$114,T7=$Q$115,T7=$Q$116),2,IF(OR(T7=$Q$117,T7=$Q$118,T7=$Q$119,T7=$Q$120,T7=$Q$121,T7=$Q$122,T7=$Q$123,T7=$Q$124,T7=$Q$125),3,0)))</f>
        <v>1</v>
      </c>
      <c r="F119" s="50">
        <f>IF(OR(W7=$Q$99,W7=$Q$100,W7=$Q$101,W7=$Q$102,W7=$Q$103,W7=$Q$104,W7=$Q$105,W7=$Q$106,W7=$Q$107),1,IF(OR(W7=$Q$108,W7=$Q$109,W7=$Q$110,W7=$Q$111,W7=$Q$112,W7=$Q$113,W7=$Q$114,W7=$Q$115,W7=$Q$116),2,IF(OR(W7=$Q$117,W7=$Q$118,W7=$Q$119,W7=$Q$120,W7=$Q$121,W7=$Q$122,W7=$Q$123,W7=$Q$124,W7=$Q$125),3,0)))</f>
        <v>1</v>
      </c>
      <c r="G119" s="52"/>
      <c r="H119" s="50">
        <f>(100*F99)+(10*F100)+F101</f>
        <v>123</v>
      </c>
      <c r="Q119" s="52" t="s">
        <v>169</v>
      </c>
      <c r="T119" s="166">
        <v>21</v>
      </c>
    </row>
    <row r="120" spans="1:20" x14ac:dyDescent="0.2">
      <c r="A120" s="52" t="s">
        <v>193</v>
      </c>
      <c r="B120" s="50">
        <f>IF(OR(Q7=$Q$99,Q7=$Q$100,Q7=$Q$101,Q7=$Q$108,Q7=$Q$109,Q7=$Q$110,Q7=$Q$117,Q7=$Q$118,Q7=$Q$119),1,IF(OR(Q7=$Q$102,Q7=$Q$103,Q7=$Q$104,Q7=$Q$111,Q7=$Q$112,Q7=$Q$113,Q7=$Q$120,Q7=$Q$121,Q7=$Q$122),2,IF(OR(Q7=$Q$105,Q7=$Q$106,Q7=$Q$107,Q7=$Q$114,Q7=$Q$115,Q7=$Q$116,Q7=$Q$123,Q7=$Q$124,Q7=$Q$125),3,0)))</f>
        <v>2</v>
      </c>
      <c r="D120" s="50">
        <f>IF(OR(T7=$Q$99,T7=$Q$100,T7=$Q$101,T7=$Q$108,T7=$Q$109,T7=$Q$110,T7=$Q$117,T7=$Q$118,T7=$Q$119),1,IF(OR(T7=$Q$102,T7=$Q$103,T7=$Q$104,T7=$Q$111,T7=$Q$112,T7=$Q$113,T7=$Q$120,T7=$Q$121,T7=$Q$122),2,IF(OR(T7=$Q$105,T7=$Q$106,T7=$Q$107,T7=$Q$114,T7=$Q$115,T7=$Q$116,T7=$Q$123,T7=$Q$124,T7=$Q$125),3,0)))</f>
        <v>1</v>
      </c>
      <c r="F120" s="50">
        <f>IF(OR(W7=$Q$99,W7=$Q$100,W7=$Q$101,W7=$Q$108,W7=$Q$109,W7=$Q$110,W7=$Q$117,W7=$Q$118,W7=$Q$119),1,IF(OR(W7=$Q$102,W7=$Q$103,W7=$Q$104,W7=$Q$111,W7=$Q$112,W7=$Q$113,W7=$Q$120,W7=$Q$121,W7=$Q$122),2,IF(OR(W7=$Q$105,W7=$Q$106,W7=$Q$107,W7=$Q$114,W7=$Q$115,W7=$Q$116,W7=$Q$123,W7=$Q$124,W7=$Q$125),3,0)))</f>
        <v>1</v>
      </c>
      <c r="G120" s="52"/>
      <c r="H120" s="50">
        <f>(100*F103)+(10*F104)+F105</f>
        <v>123</v>
      </c>
      <c r="Q120" s="52" t="s">
        <v>17</v>
      </c>
      <c r="T120" s="166">
        <v>22</v>
      </c>
    </row>
    <row r="121" spans="1:20" x14ac:dyDescent="0.2">
      <c r="A121" s="52" t="s">
        <v>195</v>
      </c>
      <c r="B121" s="50">
        <f>IF(OR(Q7=$Q$99,Q7=$Q$102,Q7=$Q$105,Q7=$Q$108,Q7=$Q$111,Q7=$Q$114,Q7=$Q$117,Q7=$Q$120,Q7=$Q$123),1,IF(OR(Q7=$Q$100,Q7=$Q$103,Q7=$Q$106,Q7=$Q$109,Q7=$Q$112,Q7=$Q$115,Q7=$Q$118,Q7=$Q$121,Q7=$Q$124),2,IF(OR(Q7=$Q$101,Q7=$Q$104,Q7=$Q$107,Q7=$Q$110,Q7=$Q$113,Q7=$Q$116,Q7=$Q$119,Q7=$Q$122,Q7=$Q$125),3,0)))</f>
        <v>3</v>
      </c>
      <c r="D121" s="50">
        <f>IF(OR(T7=$Q$99,T7=$Q$102,T7=$Q$105,T7=$Q$108,T7=$Q$111,T7=$Q$114,T7=$Q$117,T7=$Q$120,T7=$Q$123),1,IF(OR(T7=$Q$100,T7=$Q$103,T7=$Q$106,T7=$Q$109,T7=$Q$112,T7=$Q$115,T7=$Q$118,T7=$Q$121,T7=$Q$124),2,IF(OR(T7=$Q$101,T7=$Q$104,T7=$Q$107,T7=$Q$110,T7=$Q$113,T7=$Q$116,T7=$Q$119,T7=$Q$122,T7=$Q$125),3,0)))</f>
        <v>3</v>
      </c>
      <c r="F121" s="50">
        <f>IF(OR(W7=$Q$99,W7=$Q$102,W7=$Q$105,W7=$Q$108,W7=$Q$111,W7=$Q$114,W7=$Q$117,W7=$Q$120,W7=$Q$123),1,IF(OR(W7=$Q$100,W7=$Q$103,W7=$Q$106,W7=$Q$109,W7=$Q$112,W7=$Q$115,W7=$Q$118,W7=$Q$121,W7=$Q$124),2,IF(OR(W7=$Q$101,W7=$Q$104,W7=$Q$107,W7=$Q$110,W7=$Q$113,W7=$Q$116,W7=$Q$119,W7=$Q$122,W7=$Q$125),3,0)))</f>
        <v>2</v>
      </c>
      <c r="H121" s="50">
        <f>100*F107+10*F108+F109</f>
        <v>121</v>
      </c>
      <c r="Q121" s="52" t="s">
        <v>83</v>
      </c>
      <c r="T121" s="166">
        <v>23</v>
      </c>
    </row>
    <row r="122" spans="1:20" x14ac:dyDescent="0.2">
      <c r="H122" s="50">
        <f>(100*F111)+(10*F112)+F113</f>
        <v>123</v>
      </c>
      <c r="Q122" s="52" t="s">
        <v>84</v>
      </c>
      <c r="T122" s="166">
        <v>24</v>
      </c>
    </row>
    <row r="123" spans="1:20" x14ac:dyDescent="0.2">
      <c r="B123" s="52" t="s">
        <v>207</v>
      </c>
      <c r="D123" s="52" t="s">
        <v>206</v>
      </c>
      <c r="F123" s="52" t="s">
        <v>208</v>
      </c>
      <c r="H123" s="50">
        <f>(100*F115)+(10*F116)+F117</f>
        <v>131</v>
      </c>
      <c r="Q123" s="50" t="s">
        <v>85</v>
      </c>
      <c r="T123" s="166">
        <v>25</v>
      </c>
    </row>
    <row r="124" spans="1:20" x14ac:dyDescent="0.2">
      <c r="B124" s="52" t="s">
        <v>198</v>
      </c>
      <c r="D124" s="52" t="s">
        <v>198</v>
      </c>
      <c r="F124" s="52" t="s">
        <v>198</v>
      </c>
      <c r="H124" s="50">
        <f>100*F119+10*F120+F121</f>
        <v>112</v>
      </c>
      <c r="Q124" s="52" t="s">
        <v>191</v>
      </c>
      <c r="T124" s="166">
        <v>26</v>
      </c>
    </row>
    <row r="125" spans="1:20" x14ac:dyDescent="0.2">
      <c r="A125" s="52" t="s">
        <v>194</v>
      </c>
      <c r="B125" s="50">
        <f>IF(OR(Z2=$Q$99,Z2=$Q$100,Z2=$Q$101,Z2=$Q$102,Z2=$Q$103,Z2=$Q$104,Z2=$Q$105,Z2=$Q$106,Z2=$Q$107),1,IF(OR(Z2=$Q$108,Z2=$Q$109,Z2=$Q$110,Z2=$Q$111,Z2=$Q$112,Z2=$Q$113,Z2=$Q$114,Z2=$Q$115,Z2=$Q$116),2,IF(OR(Z2=$Q$117,Z2=$Q$118,Z2=$Q$119,Z2=$Q$120,Z2=$Q$121,Z2=$Q$122,Z2=$Q$123,Z2=$Q$124,Z2=$Q$125),3,0)))</f>
        <v>1</v>
      </c>
      <c r="C125" s="52"/>
      <c r="D125" s="50">
        <f>IF(OR(AC2=$Q$99,AC2=$Q$100,AC2=$Q$101,AC2=$Q$102,AC2=$Q$103,AC2=$Q$104,AC2=$Q$105,AC2=$Q$106,AC2=$Q$107),1,IF(OR(AC2=$Q$108,AC2=$Q$109,AC2=$Q$110,AC2=$Q$111,AC2=$Q$112,AC2=$Q$113,AC2=$Q$114,AC2=$Q$115,AC2=$Q$116),2,IF(OR(AC2=$Q$117,AC2=$Q$118,AC2=$Q$119,AC2=$Q$120,AC2=$Q$121,AC2=$Q$122,AC2=$Q$123,AC2=$Q$124,AC2=$Q$125),3,0)))</f>
        <v>1</v>
      </c>
      <c r="F125" s="50">
        <f>IF(OR(AF2=$Q$99,AF2=$Q$100,AF2=$Q$101,AF2=$Q$102,AF2=$Q$103,AF2=$Q$104,AF2=$Q$105,AF2=$Q$106,AF2=$Q$107),1,IF(OR(AF2=$Q$108,AF2=$Q$109,AF2=$Q$110,AF2=$Q$111,AF2=$Q$112,AF2=$Q$113,AF2=$Q$114,AF2=$Q$115,AF2=$Q$116),2,IF(OR(AF2=$Q$117,AF2=$Q$118,AF2=$Q$119,AF2=$Q$120,AF2=$Q$121,AF2=$Q$122,AF2=$Q$123,AF2=$Q$124,AF2=$Q$125),3,0)))</f>
        <v>1</v>
      </c>
      <c r="Q125" s="52" t="s">
        <v>192</v>
      </c>
      <c r="T125" s="166">
        <v>27</v>
      </c>
    </row>
    <row r="126" spans="1:20" x14ac:dyDescent="0.2">
      <c r="A126" s="52" t="s">
        <v>193</v>
      </c>
      <c r="B126" s="50">
        <f>IF(OR(Z2=$Q$99,Z2=$Q$100,Z2=$Q$101,Z2=$Q$108,Z2=$Q$109,Z2=$Q$110,Z2=$Q$117,Z2=$Q$118,Z2=$Q$119),1,IF(OR(Z2=$Q$102,Z2=$Q$103,Z2=$Q$104,Z2=$Q$111,Z2=$Q$112,Z2=$Q$113,Z2=$Q$120,Z2=$Q$121,Z2=$Q$122),2,IF(OR(Z2=$Q$105,Z2=$Q$106,Z2=$Q$107,Z2=$Q$114,Z2=$Q$115,Z2=$Q$116,Z2=$Q$123,Z2=$Q$124,Z2=$Q$125),3,0)))</f>
        <v>2</v>
      </c>
      <c r="D126" s="50">
        <f>IF(OR(AC2=$Q$99,AC2=$Q$100,AC2=$Q$101,AC2=$Q$108,AC2=$Q$109,AC2=$Q$110,AC2=$Q$117,AC2=$Q$118,AC2=$Q$119),1,IF(OR(AC2=$Q$102,AC2=$Q$103,AC2=$Q$104,AC2=$Q$111,AC2=$Q$112,AC2=$Q$113,AC2=$Q$120,AC2=$Q$121,AC2=$Q$122),2,IF(OR(AC2=$Q$105,AC2=$Q$106,AC2=$Q$107,AC2=$Q$114,AC2=$Q$115,AC2=$Q$116,AC2=$Q$123,AC2=$Q$124,AC2=$Q$125),3,0)))</f>
        <v>2</v>
      </c>
      <c r="F126" s="50">
        <f>IF(OR(AF2=$Q$99,AF2=$Q$100,AF2=$Q$101,AF2=$Q$108,AF2=$Q$109,AF2=$Q$110,AF2=$Q$117,AF2=$Q$118,AF2=$Q$119),1,IF(OR(AF2=$Q$102,AF2=$Q$103,AF2=$Q$104,AF2=$Q$111,AF2=$Q$112,AF2=$Q$113,AF2=$Q$120,AF2=$Q$121,AF2=$Q$122),2,IF(OR(AF2=$Q$105,AF2=$Q$106,AF2=$Q$107,AF2=$Q$114,AF2=$Q$115,AF2=$Q$116,AF2=$Q$123,AF2=$Q$124,AF2=$Q$125),3,0)))</f>
        <v>2</v>
      </c>
    </row>
    <row r="127" spans="1:20" x14ac:dyDescent="0.2">
      <c r="A127" s="52" t="s">
        <v>195</v>
      </c>
      <c r="B127" s="50">
        <f>IF(OR(Z2=$Q$99,Z2=$Q$102,Z2=$Q$105,Z2=$Q$108,Z2=$Q$111,Z2=$Q$114,Z2=$Q$117,Z2=$Q$120,Z2=$Q$123),1,IF(OR(Z2=$Q$100,Z2=$Q$103,Z2=$Q$106,Z2=$Q$109,Z2=$Q$112,Z2=$Q$115,Z2=$Q$118,Z2=$Q$121,Z2=$Q$124),2,IF(OR(Z2=$Q$101,Z2=$Q$104,Z2=$Q$107,Z2=$Q$110,Z2=$Q$113,Z2=$Q$116,Z2=$Q$119,Z2=$Q$122,Z2=$Q$125),3,0)))</f>
        <v>1</v>
      </c>
      <c r="D127" s="50">
        <f>IF(OR(AC2=$Q$99,AC2=$Q$102,AC2=$Q$105,AC2=$Q$108,AC2=$Q$111,AC2=$Q$114,AC2=$Q$117,AC2=$Q$120,AC2=$Q$123),1,IF(OR(AC2=$Q$100,AC2=$Q$103,AC2=$Q$106,AC2=$Q$109,AC2=$Q$112,AC2=$Q$115,AC2=$Q$118,AC2=$Q$121,AC2=$Q$124),2,IF(OR(AC2=$Q$101,AC2=$Q$104,AC2=$Q$107,AC2=$Q$110,AC2=$Q$113,AC2=$Q$116,AC2=$Q$119,AC2=$Q$122,AC2=$Q$125),3,0)))</f>
        <v>1</v>
      </c>
      <c r="F127" s="50">
        <f>IF(OR(AF2=$Q$99,AF2=$Q$102,AF2=$Q$105,AF2=$Q$108,AF2=$Q$111,AF2=$Q$114,AF2=$Q$117,AF2=$Q$120,AF2=$Q$123),1,IF(OR(AF2=$Q$100,AF2=$Q$103,AF2=$Q$106,AF2=$Q$109,AF2=$Q$112,AF2=$Q$115,AF2=$Q$118,AF2=$Q$121,AF2=$Q$124),2,IF(OR(AF2=$Q$101,AF2=$Q$104,AF2=$Q$107,AF2=$Q$110,AF2=$Q$113,AF2=$Q$116,AF2=$Q$119,AF2=$Q$122,AF2=$Q$125),3,0)))</f>
        <v>1</v>
      </c>
    </row>
    <row r="128" spans="1:20" x14ac:dyDescent="0.2">
      <c r="B128" s="52" t="s">
        <v>199</v>
      </c>
      <c r="D128" s="52" t="s">
        <v>199</v>
      </c>
      <c r="F128" s="52" t="s">
        <v>199</v>
      </c>
      <c r="G128" s="52"/>
      <c r="H128" s="52" t="s">
        <v>207</v>
      </c>
    </row>
    <row r="129" spans="1:8" x14ac:dyDescent="0.2">
      <c r="A129" s="52" t="s">
        <v>194</v>
      </c>
      <c r="B129" s="50">
        <f>IF(OR(Z3=$Q$99,Z3=$Q$100,Z3=$Q$101,Z3=$Q$102,Z3=$Q$103,Z3=$Q$104,Z3=$Q$105,Z3=$Q$106,Z3=$Q$107),1,IF(OR(Z3=$Q$108,Z3=$Q$109,Z3=$Q$110,Z3=$Q$111,Z3=$Q$112,Z3=$Q$113,Z3=$Q$114,Z3=$Q$115,Z3=$Q$116),2,IF(OR(Z3=$Q$117,Z3=$Q$118,Z3=$Q$119,Z3=$Q$120,Z3=$Q$121,Z3=$Q$122,Z3=$Q$123,Z3=$Q$124,Z3=$Q$125),3,0)))</f>
        <v>1</v>
      </c>
      <c r="D129" s="50">
        <f>IF(OR(AC3=$Q$99,AC3=$Q$100,AC3=$Q$101,AC3=$Q$102,AC3=$Q$103,AC3=$Q$104,AC3=$Q$105,AC3=$Q$106,AC3=$Q$107),1,IF(OR(AC3=$Q$108,AC3=$Q$109,AC3=$Q$110,AC3=$Q$111,AC3=$Q$112,AC3=$Q$113,AC3=$Q$114,AC3=$Q$115,AC3=$Q$116),2,IF(OR(AC3=$Q$117,AC3=$Q$118,AC3=$Q$119,AC3=$Q$120,AC3=$Q$121,AC3=$Q$122,AC3=$Q$123,AC3=$Q$124,AC3=$Q$125),3,0)))</f>
        <v>1</v>
      </c>
      <c r="F129" s="50">
        <f>IF(OR(AF3=$Q$99,AF3=$Q$100,AF3=$Q$101,AF3=$Q$102,AF3=$Q$103,AF3=$Q$104,AF3=$Q$105,AF3=$Q$106,AF3=$Q$107),1,IF(OR(AF3=$Q$108,AF3=$Q$109,AF3=$Q$110,AF3=$Q$111,AF3=$Q$112,AF3=$Q$113,AF3=$Q$114,AF3=$Q$115,AF3=$Q$116),2,IF(OR(AF3=$Q$117,AF3=$Q$118,AF3=$Q$119,AF3=$Q$120,AF3=$Q$121,AF3=$Q$122,AF3=$Q$123,AF3=$Q$124,AF3=$Q$125),3,0)))</f>
        <v>1</v>
      </c>
      <c r="G129" s="52"/>
      <c r="H129" s="50">
        <f>(100*B125)+(10*B126)+B127</f>
        <v>121</v>
      </c>
    </row>
    <row r="130" spans="1:8" x14ac:dyDescent="0.2">
      <c r="A130" s="52" t="s">
        <v>193</v>
      </c>
      <c r="B130" s="50">
        <f>IF(OR(Z3=$Q$99,Z3=$Q$100,Z3=$Q$101,Z3=$Q$108,Z3=$Q$109,Z3=$Q$110,Z3=$Q$117,Z3=$Q$118,Z3=$Q$119),1,IF(OR(Z3=$Q$102,Z3=$Q$103,Z3=$Q$104,Z3=$Q$111,Z3=$Q$112,Z3=$Q$113,Z3=$Q$120,Z3=$Q$121,Z3=$Q$122),2,IF(OR(Z3=$Q$105,Z3=$Q$106,Z3=$Q$107,Z3=$Q$114,Z3=$Q$115,Z3=$Q$116,Z3=$Q$123,Z3=$Q$124,Z3=$Q$125),3,0)))</f>
        <v>2</v>
      </c>
      <c r="D130" s="50">
        <f>IF(OR(AC3=$Q$99,AC3=$Q$100,AC3=$Q$101,AC3=$Q$108,AC3=$Q$109,AC3=$Q$110,AC3=$Q$117,AC3=$Q$118,AC3=$Q$119),1,IF(OR(AC3=$Q$102,AC3=$Q$103,AC3=$Q$104,AC3=$Q$111,AC3=$Q$112,AC3=$Q$113,AC3=$Q$120,AC3=$Q$121,AC3=$Q$122),2,IF(OR(AC3=$Q$105,AC3=$Q$106,AC3=$Q$107,AC3=$Q$114,AC3=$Q$115,AC3=$Q$116,AC3=$Q$123,AC3=$Q$124,AC3=$Q$125),3,0)))</f>
        <v>2</v>
      </c>
      <c r="F130" s="50">
        <f>IF(OR(AF3=$Q$99,AF3=$Q$100,AF3=$Q$101,AF3=$Q$108,AF3=$Q$109,AF3=$Q$110,AF3=$Q$117,AF3=$Q$118,AF3=$Q$119),1,IF(OR(AF3=$Q$102,AF3=$Q$103,AF3=$Q$104,AF3=$Q$111,AF3=$Q$112,AF3=$Q$113,AF3=$Q$120,AF3=$Q$121,AF3=$Q$122),2,IF(OR(AF3=$Q$105,AF3=$Q$106,AF3=$Q$107,AF3=$Q$114,AF3=$Q$115,AF3=$Q$116,AF3=$Q$123,AF3=$Q$124,AF3=$Q$125),3,0)))</f>
        <v>1</v>
      </c>
      <c r="G130" s="52"/>
      <c r="H130" s="50">
        <f>(100*B129)+(10*B130)+B131</f>
        <v>123</v>
      </c>
    </row>
    <row r="131" spans="1:8" x14ac:dyDescent="0.2">
      <c r="A131" s="52" t="s">
        <v>195</v>
      </c>
      <c r="B131" s="50">
        <f>IF(OR(Z3=$Q$99,Z3=$Q$102,Z3=$Q$105,Z3=$Q$108,Z3=$Q$111,Z3=$Q$114,Z3=$Q$117,Z3=$Q$120,Z3=$Q$123),1,IF(OR(Z3=$Q$100,Z3=$Q$103,Z3=$Q$106,Z3=$Q$109,Z3=$Q$112,Z3=$Q$115,Z3=$Q$118,Z3=$Q$121,Z3=$Q$124),2,IF(OR(Z3=$Q$101,Z3=$Q$104,Z3=$Q$107,Z3=$Q$110,Z3=$Q$113,Z3=$Q$116,Z3=$Q$119,Z3=$Q$122,Z3=$Q$125),3,0)))</f>
        <v>3</v>
      </c>
      <c r="D131" s="50">
        <f>IF(OR(AC3=$Q$99,AC3=$Q$102,AC3=$Q$105,AC3=$Q$108,AC3=$Q$111,AC3=$Q$114,AC3=$Q$117,AC3=$Q$120,AC3=$Q$123),1,IF(OR(AC3=$Q$100,AC3=$Q$103,AC3=$Q$106,AC3=$Q$109,AC3=$Q$112,AC3=$Q$115,AC3=$Q$118,AC3=$Q$121,AC3=$Q$124),2,IF(OR(AC3=$Q$101,AC3=$Q$104,AC3=$Q$107,AC3=$Q$110,AC3=$Q$113,AC3=$Q$116,AC3=$Q$119,AC3=$Q$122,AC3=$Q$125),3,0)))</f>
        <v>2</v>
      </c>
      <c r="F131" s="50">
        <f>IF(OR(AF3=$Q$99,AF3=$Q$102,AF3=$Q$105,AF3=$Q$108,AF3=$Q$111,AF3=$Q$114,AF3=$Q$117,AF3=$Q$120,AF3=$Q$123),1,IF(OR(AF3=$Q$100,AF3=$Q$103,AF3=$Q$106,AF3=$Q$109,AF3=$Q$112,AF3=$Q$115,AF3=$Q$118,AF3=$Q$121,AF3=$Q$124),2,IF(OR(AF3=$Q$101,AF3=$Q$104,AF3=$Q$107,AF3=$Q$110,AF3=$Q$113,AF3=$Q$116,AF3=$Q$119,AF3=$Q$122,AF3=$Q$125),3,0)))</f>
        <v>3</v>
      </c>
      <c r="H131" s="50">
        <f>(100*B133)+(10*B134)+B135</f>
        <v>311</v>
      </c>
    </row>
    <row r="132" spans="1:8" x14ac:dyDescent="0.2">
      <c r="B132" s="52" t="s">
        <v>200</v>
      </c>
      <c r="D132" s="52" t="s">
        <v>200</v>
      </c>
      <c r="F132" s="52" t="s">
        <v>200</v>
      </c>
      <c r="G132" s="52"/>
      <c r="H132" s="50">
        <f>(100*B137)+(10*B138)+B139</f>
        <v>212</v>
      </c>
    </row>
    <row r="133" spans="1:8" x14ac:dyDescent="0.2">
      <c r="A133" s="52" t="s">
        <v>194</v>
      </c>
      <c r="B133" s="50">
        <f>IF(OR(Z4=$Q$99,Z4=$Q$100,Z4=$Q$101,Z4=$Q$102,Z4=$Q$103,Z4=$Q$104,Z4=$Q$105,Z4=$Q$106,Z4=$Q$107),1,IF(OR(Z4=$Q$108,Z4=$Q$109,Z4=$Q$110,Z4=$Q$111,Z4=$Q$112,Z4=$Q$113,Z4=$Q$114,Z4=$Q$115,Z4=$Q$116),2,IF(OR(Z4=$Q$117,Z4=$Q$118,Z4=$Q$119,Z4=$Q$120,Z4=$Q$121,Z4=$Q$122,Z4=$Q$123,Z4=$Q$124,Z4=$Q$125),3,0)))</f>
        <v>3</v>
      </c>
      <c r="D133" s="50">
        <f>IF(OR(AC4=$Q$99,AC4=$Q$100,AC4=$Q$101,AC4=$Q$102,AC4=$Q$103,AC4=$Q$104,AC4=$Q$105,AC4=$Q$106,AC4=$Q$107),1,IF(OR(AC4=$Q$108,AC4=$Q$109,AC4=$Q$110,AC4=$Q$111,AC4=$Q$112,AC4=$Q$113,AC4=$Q$114,AC4=$Q$115,AC4=$Q$116),2,IF(OR(AC4=$Q$117,AC4=$Q$118,AC4=$Q$119,AC4=$Q$120,AC4=$Q$121,AC4=$Q$122,AC4=$Q$123,AC4=$Q$124,AC4=$Q$125),3,0)))</f>
        <v>1</v>
      </c>
      <c r="F133" s="50">
        <f>IF(OR(AF4=$Q$99,AF4=$Q$100,AF4=$Q$101,AF4=$Q$102,AF4=$Q$103,AF4=$Q$104,AF4=$Q$105,AF4=$Q$106,AF4=$Q$107),1,IF(OR(AF4=$Q$108,AF4=$Q$109,AF4=$Q$110,AF4=$Q$111,AF4=$Q$112,AF4=$Q$113,AF4=$Q$114,AF4=$Q$115,AF4=$Q$116),2,IF(OR(AF4=$Q$117,AF4=$Q$118,AF4=$Q$119,AF4=$Q$120,AF4=$Q$121,AF4=$Q$122,AF4=$Q$123,AF4=$Q$124,AF4=$Q$125),3,0)))</f>
        <v>1</v>
      </c>
      <c r="G133" s="52"/>
      <c r="H133" s="50">
        <f>(100*B141)+(10*B142)+B143</f>
        <v>213</v>
      </c>
    </row>
    <row r="134" spans="1:8" x14ac:dyDescent="0.2">
      <c r="A134" s="52" t="s">
        <v>193</v>
      </c>
      <c r="B134" s="50">
        <f>IF(OR(Z4=$Q$99,Z4=$Q$100,Z4=$Q$101,Z4=$Q$108,Z4=$Q$109,Z4=$Q$110,Z4=$Q$117,Z4=$Q$118,Z4=$Q$119),1,IF(OR(Z4=$Q$102,Z4=$Q$103,Z4=$Q$104,Z4=$Q$111,Z4=$Q$112,Z4=$Q$113,Z4=$Q$120,Z4=$Q$121,Z4=$Q$122),2,IF(OR(Z4=$Q$105,Z4=$Q$106,Z4=$Q$107,Z4=$Q$114,Z4=$Q$115,Z4=$Q$116,Z4=$Q$123,Z4=$Q$124,Z4=$Q$125),3,0)))</f>
        <v>1</v>
      </c>
      <c r="D134" s="50">
        <f>IF(OR(AC4=$Q$99,AC4=$Q$100,AC4=$Q$101,AC4=$Q$108,AC4=$Q$109,AC4=$Q$110,AC4=$Q$117,AC4=$Q$118,AC4=$Q$119),1,IF(OR(AC4=$Q$102,AC4=$Q$103,AC4=$Q$104,AC4=$Q$111,AC4=$Q$112,AC4=$Q$113,AC4=$Q$120,AC4=$Q$121,AC4=$Q$122),2,IF(OR(AC4=$Q$105,AC4=$Q$106,AC4=$Q$107,AC4=$Q$114,AC4=$Q$115,AC4=$Q$116,AC4=$Q$123,AC4=$Q$124,AC4=$Q$125),3,0)))</f>
        <v>3</v>
      </c>
      <c r="F134" s="50">
        <f>IF(OR(AF4=$Q$99,AF4=$Q$100,AF4=$Q$101,AF4=$Q$108,AF4=$Q$109,AF4=$Q$110,AF4=$Q$117,AF4=$Q$118,AF4=$Q$119),1,IF(OR(AF4=$Q$102,AF4=$Q$103,AF4=$Q$104,AF4=$Q$111,AF4=$Q$112,AF4=$Q$113,AF4=$Q$120,AF4=$Q$121,AF4=$Q$122),2,IF(OR(AF4=$Q$105,AF4=$Q$106,AF4=$Q$107,AF4=$Q$114,AF4=$Q$115,AF4=$Q$116,AF4=$Q$123,AF4=$Q$124,AF4=$Q$125),3,0)))</f>
        <v>2</v>
      </c>
      <c r="G134" s="52"/>
      <c r="H134" s="50">
        <f>100*B145+10*B146+B147</f>
        <v>221</v>
      </c>
    </row>
    <row r="135" spans="1:8" x14ac:dyDescent="0.2">
      <c r="A135" s="52" t="s">
        <v>195</v>
      </c>
      <c r="B135" s="50">
        <f>IF(OR(Z4=$Q$99,Z4=$Q$102,Z4=$Q$105,Z4=$Q$108,Z4=$Q$111,Z4=$Q$114,Z4=$Q$117,Z4=$Q$120,Z4=$Q$123),1,IF(OR(Z4=$Q$100,Z4=$Q$103,Z4=$Q$106,Z4=$Q$109,Z4=$Q$112,Z4=$Q$115,Z4=$Q$118,Z4=$Q$121,Z4=$Q$124),2,IF(OR(Z4=$Q$101,Z4=$Q$104,Z4=$Q$107,Z4=$Q$110,Z4=$Q$113,Z4=$Q$116,Z4=$Q$119,Z4=$Q$122,Z4=$Q$125),3,0)))</f>
        <v>1</v>
      </c>
      <c r="D135" s="50">
        <f>IF(OR(AC4=$Q$99,AC4=$Q$102,AC4=$Q$105,AC4=$Q$108,AC4=$Q$111,AC4=$Q$114,AC4=$Q$117,AC4=$Q$120,AC4=$Q$123),1,IF(OR(AC4=$Q$100,AC4=$Q$103,AC4=$Q$106,AC4=$Q$109,AC4=$Q$112,AC4=$Q$115,AC4=$Q$118,AC4=$Q$121,AC4=$Q$124),2,IF(OR(AC4=$Q$101,AC4=$Q$104,AC4=$Q$107,AC4=$Q$110,AC4=$Q$113,AC4=$Q$116,AC4=$Q$119,AC4=$Q$122,AC4=$Q$125),3,0)))</f>
        <v>1</v>
      </c>
      <c r="F135" s="50">
        <f>IF(OR(AF4=$Q$99,AF4=$Q$102,AF4=$Q$105,AF4=$Q$108,AF4=$Q$111,AF4=$Q$114,AF4=$Q$117,AF4=$Q$120,AF4=$Q$123),1,IF(OR(AF4=$Q$100,AF4=$Q$103,AF4=$Q$106,AF4=$Q$109,AF4=$Q$112,AF4=$Q$115,AF4=$Q$118,AF4=$Q$121,AF4=$Q$124),2,IF(OR(AF4=$Q$101,AF4=$Q$104,AF4=$Q$107,AF4=$Q$110,AF4=$Q$113,AF4=$Q$116,AF4=$Q$119,AF4=$Q$122,AF4=$Q$125),3,0)))</f>
        <v>3</v>
      </c>
    </row>
    <row r="136" spans="1:8" x14ac:dyDescent="0.2">
      <c r="B136" s="52" t="s">
        <v>201</v>
      </c>
      <c r="D136" s="52" t="s">
        <v>201</v>
      </c>
      <c r="F136" s="52" t="s">
        <v>201</v>
      </c>
      <c r="G136" s="52"/>
    </row>
    <row r="137" spans="1:8" x14ac:dyDescent="0.2">
      <c r="A137" s="52" t="s">
        <v>194</v>
      </c>
      <c r="B137" s="50">
        <f>IF(OR(Z5=$Q$99,Z5=$Q$100,Z5=$Q$101,Z5=$Q$102,Z5=$Q$103,Z5=$Q$104,Z5=$Q$105,Z5=$Q$106,Z5=$Q$107),1,IF(OR(Z5=$Q$108,Z5=$Q$109,Z5=$Q$110,Z5=$Q$111,Z5=$Q$112,Z5=$Q$113,Z5=$Q$114,Z5=$Q$115,Z5=$Q$116),2,IF(OR(Z5=$Q$117,Z5=$Q$118,Z5=$Q$119,Z5=$Q$120,Z5=$Q$121,Z5=$Q$122,Z5=$Q$123,Z5=$Q$124,Z5=$Q$125),3,0)))</f>
        <v>2</v>
      </c>
      <c r="D137" s="50">
        <f>IF(OR(AC5=$Q$99,AC5=$Q$100,AC5=$Q$101,AC5=$Q$102,AC5=$Q$103,AC5=$Q$104,AC5=$Q$105,AC5=$Q$106,AC5=$Q$107),1,IF(OR(AC5=$Q$108,AC5=$Q$109,AC5=$Q$110,AC5=$Q$111,AC5=$Q$112,AC5=$Q$113,AC5=$Q$114,AC5=$Q$115,AC5=$Q$116),2,IF(OR(AC5=$Q$117,AC5=$Q$118,AC5=$Q$119,AC5=$Q$120,AC5=$Q$121,AC5=$Q$122,AC5=$Q$123,AC5=$Q$124,AC5=$Q$125),3,0)))</f>
        <v>1</v>
      </c>
      <c r="F137" s="50">
        <f>IF(OR(AF5=$Q$99,AF5=$Q$100,AF5=$Q$101,AF5=$Q$102,AF5=$Q$103,AF5=$Q$104,AF5=$Q$105,AF5=$Q$106,AF5=$Q$107),1,IF(OR(AF5=$Q$108,AF5=$Q$109,AF5=$Q$110,AF5=$Q$111,AF5=$Q$112,AF5=$Q$113,AF5=$Q$114,AF5=$Q$115,AF5=$Q$116),2,IF(OR(AF5=$Q$117,AF5=$Q$118,AF5=$Q$119,AF5=$Q$120,AF5=$Q$121,AF5=$Q$122,AF5=$Q$123,AF5=$Q$124,AF5=$Q$125),3,0)))</f>
        <v>1</v>
      </c>
      <c r="G137" s="52"/>
    </row>
    <row r="138" spans="1:8" x14ac:dyDescent="0.2">
      <c r="A138" s="52" t="s">
        <v>193</v>
      </c>
      <c r="B138" s="50">
        <f>IF(OR(Z5=$Q$99,Z5=$Q$100,Z5=$Q$101,Z5=$Q$108,Z5=$Q$109,Z5=$Q$110,Z5=$Q$117,Z5=$Q$118,Z5=$Q$119),1,IF(OR(Z5=$Q$102,Z5=$Q$103,Z5=$Q$104,Z5=$Q$111,Z5=$Q$112,Z5=$Q$113,Z5=$Q$120,Z5=$Q$121,Z5=$Q$122),2,IF(OR(Z5=$Q$105,Z5=$Q$106,Z5=$Q$107,Z5=$Q$114,Z5=$Q$115,Z5=$Q$116,Z5=$Q$123,Z5=$Q$124,Z5=$Q$125),3,0)))</f>
        <v>1</v>
      </c>
      <c r="D138" s="50">
        <f>IF(OR(AC5=$Q$99,AC5=$Q$100,AC5=$Q$101,AC5=$Q$108,AC5=$Q$109,AC5=$Q$110,AC5=$Q$117,AC5=$Q$118,AC5=$Q$119),1,IF(OR(AC5=$Q$102,AC5=$Q$103,AC5=$Q$104,AC5=$Q$111,AC5=$Q$112,AC5=$Q$113,AC5=$Q$120,AC5=$Q$121,AC5=$Q$122),2,IF(OR(AC5=$Q$105,AC5=$Q$106,AC5=$Q$107,AC5=$Q$114,AC5=$Q$115,AC5=$Q$116,AC5=$Q$123,AC5=$Q$124,AC5=$Q$125),3,0)))</f>
        <v>1</v>
      </c>
      <c r="F138" s="50">
        <f>IF(OR(AF5=$Q$99,AF5=$Q$100,AF5=$Q$101,AF5=$Q$108,AF5=$Q$109,AF5=$Q$110,AF5=$Q$117,AF5=$Q$118,AF5=$Q$119),1,IF(OR(AF5=$Q$102,AF5=$Q$103,AF5=$Q$104,AF5=$Q$111,AF5=$Q$112,AF5=$Q$113,AF5=$Q$120,AF5=$Q$121,AF5=$Q$122),2,IF(OR(AF5=$Q$105,AF5=$Q$106,AF5=$Q$107,AF5=$Q$114,AF5=$Q$115,AF5=$Q$116,AF5=$Q$123,AF5=$Q$124,AF5=$Q$125),3,0)))</f>
        <v>2</v>
      </c>
      <c r="G138" s="52"/>
      <c r="H138" s="52" t="s">
        <v>206</v>
      </c>
    </row>
    <row r="139" spans="1:8" x14ac:dyDescent="0.2">
      <c r="A139" s="52" t="s">
        <v>195</v>
      </c>
      <c r="B139" s="50">
        <f>IF(OR(Z5=$Q$99,Z5=$Q$102,Z5=$Q$105,Z5=$Q$108,Z5=$Q$111,Z5=$Q$114,Z5=$Q$117,Z5=$Q$120,Z5=$Q$123),1,IF(OR(Z5=$Q$100,Z5=$Q$103,Z5=$Q$106,Z5=$Q$109,Z5=$Q$112,Z5=$Q$115,Z5=$Q$118,Z5=$Q$121,Z5=$Q$124),2,IF(OR(Z5=$Q$101,Z5=$Q$104,Z5=$Q$107,Z5=$Q$110,Z5=$Q$113,Z5=$Q$116,Z5=$Q$119,Z5=$Q$122,Z5=$Q$125),3,0)))</f>
        <v>2</v>
      </c>
      <c r="D139" s="50">
        <f>IF(OR(AC5=$Q$99,AC5=$Q$102,AC5=$Q$105,AC5=$Q$108,AC5=$Q$111,AC5=$Q$114,AC5=$Q$117,AC5=$Q$120,AC5=$Q$123),1,IF(OR(AC5=$Q$100,AC5=$Q$103,AC5=$Q$106,AC5=$Q$109,AC5=$Q$112,AC5=$Q$115,AC5=$Q$118,AC5=$Q$121,AC5=$Q$124),2,IF(OR(AC5=$Q$101,AC5=$Q$104,AC5=$Q$107,AC5=$Q$110,AC5=$Q$113,AC5=$Q$116,AC5=$Q$119,AC5=$Q$122,AC5=$Q$125),3,0)))</f>
        <v>1</v>
      </c>
      <c r="F139" s="50">
        <f>IF(OR(AF5=$Q$99,AF5=$Q$102,AF5=$Q$105,AF5=$Q$108,AF5=$Q$111,AF5=$Q$114,AF5=$Q$117,AF5=$Q$120,AF5=$Q$123),1,IF(OR(AF5=$Q$100,AF5=$Q$103,AF5=$Q$106,AF5=$Q$109,AF5=$Q$112,AF5=$Q$115,AF5=$Q$118,AF5=$Q$121,AF5=$Q$124),2,IF(OR(AF5=$Q$101,AF5=$Q$104,AF5=$Q$107,AF5=$Q$110,AF5=$Q$113,AF5=$Q$116,AF5=$Q$119,AF5=$Q$122,AF5=$Q$125),3,0)))</f>
        <v>2</v>
      </c>
      <c r="H139" s="50">
        <f>(100*D125)+(10*D126)+D127</f>
        <v>121</v>
      </c>
    </row>
    <row r="140" spans="1:8" x14ac:dyDescent="0.2">
      <c r="B140" s="52" t="s">
        <v>202</v>
      </c>
      <c r="D140" s="52" t="s">
        <v>202</v>
      </c>
      <c r="F140" s="52" t="s">
        <v>202</v>
      </c>
      <c r="G140" s="52"/>
      <c r="H140" s="50">
        <f>(100*D129)+(10*D130)+D131</f>
        <v>122</v>
      </c>
    </row>
    <row r="141" spans="1:8" x14ac:dyDescent="0.2">
      <c r="A141" s="52" t="s">
        <v>194</v>
      </c>
      <c r="B141" s="50">
        <f>IF(OR(Z6=$Q$99,Z6=$Q$100,Z6=$Q$101,Z6=$Q$102,Z6=$Q$103,Z6=$Q$104,Z6=$Q$105,Z6=$Q$106,Z6=$Q$107),1,IF(OR(Z6=$Q$108,Z6=$Q$109,Z6=$Q$110,Z6=$Q$111,Z6=$Q$112,Z6=$Q$113,Z6=$Q$114,Z6=$Q$115,Z6=$Q$116),2,IF(OR(Z6=$Q$117,Z6=$Q$118,Z6=$Q$119,Z6=$Q$120,Z6=$Q$121,Z6=$Q$122,Z6=$Q$123,Z6=$Q$124,Z6=$Q$125),3,0)))</f>
        <v>2</v>
      </c>
      <c r="D141" s="50">
        <f>IF(OR(AC6=$Q$99,AC6=$Q$100,AC6=$Q$101,AC6=$Q$102,AC6=$Q$103,AC6=$Q$104,AC6=$Q$105,AC6=$Q$106,AC6=$Q$107),1,IF(OR(AC6=$Q$108,AC6=$Q$109,AC6=$Q$110,AC6=$Q$111,AC6=$Q$112,AC6=$Q$113,AC6=$Q$114,AC6=$Q$115,AC6=$Q$116),2,IF(OR(AC6=$Q$117,AC6=$Q$118,AC6=$Q$119,AC6=$Q$120,AC6=$Q$121,AC6=$Q$122,AC6=$Q$123,AC6=$Q$124,AC6=$Q$125),3,0)))</f>
        <v>1</v>
      </c>
      <c r="F141" s="50">
        <f>IF(OR(AF6=$Q$99,AF6=$Q$100,AF6=$Q$101,AF6=$Q$102,AF6=$Q$103,AF6=$Q$104,AF6=$Q$105,AF6=$Q$106,AF6=$Q$107),1,IF(OR(AF6=$Q$108,AF6=$Q$109,AF6=$Q$110,AF6=$Q$111,AF6=$Q$112,AF6=$Q$113,AF6=$Q$114,AF6=$Q$115,AF6=$Q$116),2,IF(OR(AF6=$Q$117,AF6=$Q$118,AF6=$Q$119,AF6=$Q$120,AF6=$Q$121,AF6=$Q$122,AF6=$Q$123,AF6=$Q$124,AF6=$Q$125),3,0)))</f>
        <v>1</v>
      </c>
      <c r="G141" s="52"/>
      <c r="H141" s="50">
        <f>(100*D133)+(10*D134)+D135</f>
        <v>131</v>
      </c>
    </row>
    <row r="142" spans="1:8" x14ac:dyDescent="0.2">
      <c r="A142" s="52" t="s">
        <v>193</v>
      </c>
      <c r="B142" s="50">
        <f>IF(OR(Z6=$Q$99,Z6=$Q$100,Z6=$Q$101,Z6=$Q$108,Z6=$Q$109,Z6=$Q$110,Z6=$Q$117,Z6=$Q$118,Z6=$Q$119),1,IF(OR(Z6=$Q$102,Z6=$Q$103,Z6=$Q$104,Z6=$Q$111,Z6=$Q$112,Z6=$Q$113,Z6=$Q$120,Z6=$Q$121,Z6=$Q$122),2,IF(OR(Z6=$Q$105,Z6=$Q$106,Z6=$Q$107,Z6=$Q$114,Z6=$Q$115,Z6=$Q$116,Z6=$Q$123,Z6=$Q$124,Z6=$Q$125),3,0)))</f>
        <v>1</v>
      </c>
      <c r="D142" s="50">
        <f>IF(OR(AC6=$Q$99,AC6=$Q$100,AC6=$Q$101,AC6=$Q$108,AC6=$Q$109,AC6=$Q$110,AC6=$Q$117,AC6=$Q$118,AC6=$Q$119),1,IF(OR(AC6=$Q$102,AC6=$Q$103,AC6=$Q$104,AC6=$Q$111,AC6=$Q$112,AC6=$Q$113,AC6=$Q$120,AC6=$Q$121,AC6=$Q$122),2,IF(OR(AC6=$Q$105,AC6=$Q$106,AC6=$Q$107,AC6=$Q$114,AC6=$Q$115,AC6=$Q$116,AC6=$Q$123,AC6=$Q$124,AC6=$Q$125),3,0)))</f>
        <v>2</v>
      </c>
      <c r="F142" s="50">
        <f>IF(OR(AF6=$Q$99,AF6=$Q$100,AF6=$Q$101,AF6=$Q$108,AF6=$Q$109,AF6=$Q$110,AF6=$Q$117,AF6=$Q$118,AF6=$Q$119),1,IF(OR(AF6=$Q$102,AF6=$Q$103,AF6=$Q$104,AF6=$Q$111,AF6=$Q$112,AF6=$Q$113,AF6=$Q$120,AF6=$Q$121,AF6=$Q$122),2,IF(OR(AF6=$Q$105,AF6=$Q$106,AF6=$Q$107,AF6=$Q$114,AF6=$Q$115,AF6=$Q$116,AF6=$Q$123,AF6=$Q$124,AF6=$Q$125),3,0)))</f>
        <v>2</v>
      </c>
      <c r="G142" s="52"/>
      <c r="H142" s="50">
        <f>(100*D137)+(10*D138)+D139</f>
        <v>111</v>
      </c>
    </row>
    <row r="143" spans="1:8" x14ac:dyDescent="0.2">
      <c r="A143" s="52" t="s">
        <v>195</v>
      </c>
      <c r="B143" s="50">
        <f>IF(OR(Z6=$Q$99,Z6=$Q$102,Z6=$Q$105,Z6=$Q$108,Z6=$Q$111,Z6=$Q$114,Z6=$Q$117,Z6=$Q$120,Z6=$Q$123),1,IF(OR(Z6=$Q$100,Z6=$Q$103,Z6=$Q$106,Z6=$Q$109,Z6=$Q$112,Z6=$Q$115,Z6=$Q$118,Z6=$Q$121,Z6=$Q$124),2,IF(OR(Z6=$Q$101,Z6=$Q$104,Z6=$Q$107,Z6=$Q$110,Z6=$Q$113,Z6=$Q$116,Z6=$Q$119,Z6=$Q$122,Z6=$Q$125),3,0)))</f>
        <v>3</v>
      </c>
      <c r="D143" s="50">
        <f>IF(OR(AC6=$Q$99,AC6=$Q$102,AC6=$Q$105,AC6=$Q$108,AC6=$Q$111,AC6=$Q$114,AC6=$Q$117,AC6=$Q$120,AC6=$Q$123),1,IF(OR(AC6=$Q$100,AC6=$Q$103,AC6=$Q$106,AC6=$Q$109,AC6=$Q$112,AC6=$Q$115,AC6=$Q$118,AC6=$Q$121,AC6=$Q$124),2,IF(OR(AC6=$Q$101,AC6=$Q$104,AC6=$Q$107,AC6=$Q$110,AC6=$Q$113,AC6=$Q$116,AC6=$Q$119,AC6=$Q$122,AC6=$Q$125),3,0)))</f>
        <v>1</v>
      </c>
      <c r="F143" s="50">
        <f>IF(OR(AF6=$Q$99,AF6=$Q$102,AF6=$Q$105,AF6=$Q$108,AF6=$Q$111,AF6=$Q$114,AF6=$Q$117,AF6=$Q$120,AF6=$Q$123),1,IF(OR(AF6=$Q$100,AF6=$Q$103,AF6=$Q$106,AF6=$Q$109,AF6=$Q$112,AF6=$Q$115,AF6=$Q$118,AF6=$Q$121,AF6=$Q$124),2,IF(OR(AF6=$Q$101,AF6=$Q$104,AF6=$Q$107,AF6=$Q$110,AF6=$Q$113,AF6=$Q$116,AF6=$Q$119,AF6=$Q$122,AF6=$Q$125),3,0)))</f>
        <v>2</v>
      </c>
      <c r="H143" s="50">
        <f>(100*D141)+(10*D142)+D143</f>
        <v>121</v>
      </c>
    </row>
    <row r="144" spans="1:8" x14ac:dyDescent="0.2">
      <c r="B144" s="52" t="s">
        <v>203</v>
      </c>
      <c r="D144" s="52" t="s">
        <v>203</v>
      </c>
      <c r="F144" s="52" t="s">
        <v>203</v>
      </c>
      <c r="G144" s="52"/>
      <c r="H144" s="50">
        <f>(100*D145)+(10*D146)+D147</f>
        <v>123</v>
      </c>
    </row>
    <row r="145" spans="1:8" x14ac:dyDescent="0.2">
      <c r="A145" s="52" t="s">
        <v>194</v>
      </c>
      <c r="B145" s="50">
        <f>IF(OR(Z7=$Q$99,Z7=$Q$100,Z7=$Q$101,Z7=$Q$102,Z7=$Q$103,Z7=$Q$104,Z7=$Q$105,Z7=$Q$106,Z7=$Q$107),1,IF(OR(Z7=$Q$108,Z7=$Q$109,Z7=$Q$110,Z7=$Q$111,Z7=$Q$112,Z7=$Q$113,Z7=$Q$114,Z7=$Q$115,Z7=$Q$116),2,IF(OR(Z7=$Q$117,Z7=$Q$118,Z7=$Q$119,Z7=$Q$120,Z7=$Q$121,Z7=$Q$122,Z7=$Q$123,Z7=$Q$124,Z7=$Q$125),3,0)))</f>
        <v>2</v>
      </c>
      <c r="D145" s="50">
        <f>IF(OR(AC7=$Q$99,AC7=$Q$100,AC7=$Q$101,AC7=$Q$102,AC7=$Q$103,AC7=$Q$104,AC7=$Q$105,AC7=$Q$106,AC7=$Q$107),1,IF(OR(AC7=$Q$108,AC7=$Q$109,AC7=$Q$110,AC7=$Q$111,AC7=$Q$112,AC7=$Q$113,AC7=$Q$114,AC7=$Q$115,AC7=$Q$116),2,IF(OR(AC7=$Q$117,AC7=$Q$118,AC7=$Q$119,AC7=$Q$120,AC7=$Q$121,AC7=$Q$122,AC7=$Q$123,AC7=$Q$124,AC7=$Q$125),3,0)))</f>
        <v>1</v>
      </c>
      <c r="F145" s="50">
        <f>IF(OR(AF7=$Q$99,AF7=$Q$100,AF7=$Q$101,AF7=$Q$102,AF7=$Q$103,AF7=$Q$104,AF7=$Q$105,AF7=$Q$106,AF7=$Q$107),1,IF(OR(AF7=$Q$108,AF7=$Q$109,AF7=$Q$110,AF7=$Q$111,AF7=$Q$112,AF7=$Q$113,AF7=$Q$114,AF7=$Q$115,AF7=$Q$116),2,IF(OR(AF7=$Q$117,AF7=$Q$118,AF7=$Q$119,AF7=$Q$120,AF7=$Q$121,AF7=$Q$122,AF7=$Q$123,AF7=$Q$124,AF7=$Q$125),3,0)))</f>
        <v>1</v>
      </c>
      <c r="G145" s="52"/>
    </row>
    <row r="146" spans="1:8" x14ac:dyDescent="0.2">
      <c r="A146" s="52" t="s">
        <v>193</v>
      </c>
      <c r="B146" s="50">
        <f>IF(OR(Z7=$Q$99,Z7=$Q$100,Z7=$Q$101,Z7=$Q$108,Z7=$Q$109,Z7=$Q$110,Z7=$Q$117,Z7=$Q$118,Z7=$Q$119),1,IF(OR(Z7=$Q$102,Z7=$Q$103,Z7=$Q$104,Z7=$Q$111,Z7=$Q$112,Z7=$Q$113,Z7=$Q$120,Z7=$Q$121,Z7=$Q$122),2,IF(OR(Z7=$Q$105,Z7=$Q$106,Z7=$Q$107,Z7=$Q$114,Z7=$Q$115,Z7=$Q$116,Z7=$Q$123,Z7=$Q$124,Z7=$Q$125),3,0)))</f>
        <v>2</v>
      </c>
      <c r="D146" s="50">
        <f>IF(OR(AC7=$Q$99,AC7=$Q$100,AC7=$Q$101,AC7=$Q$108,AC7=$Q$109,AC7=$Q$110,AC7=$Q$117,AC7=$Q$118,AC7=$Q$119),1,IF(OR(AC7=$Q$102,AC7=$Q$103,AC7=$Q$104,AC7=$Q$111,AC7=$Q$112,AC7=$Q$113,AC7=$Q$120,AC7=$Q$121,AC7=$Q$122),2,IF(OR(AC7=$Q$105,AC7=$Q$106,AC7=$Q$107,AC7=$Q$114,AC7=$Q$115,AC7=$Q$116,AC7=$Q$123,AC7=$Q$124,AC7=$Q$125),3,0)))</f>
        <v>2</v>
      </c>
      <c r="F146" s="50">
        <f>IF(OR(AF7=$Q$99,AF7=$Q$100,AF7=$Q$101,AF7=$Q$108,AF7=$Q$109,AF7=$Q$110,AF7=$Q$117,AF7=$Q$118,AF7=$Q$119),1,IF(OR(AF7=$Q$102,AF7=$Q$103,AF7=$Q$104,AF7=$Q$111,AF7=$Q$112,AF7=$Q$113,AF7=$Q$120,AF7=$Q$121,AF7=$Q$122),2,IF(OR(AF7=$Q$105,AF7=$Q$106,AF7=$Q$107,AF7=$Q$114,AF7=$Q$115,AF7=$Q$116,AF7=$Q$123,AF7=$Q$124,AF7=$Q$125),3,0)))</f>
        <v>2</v>
      </c>
      <c r="G146" s="52"/>
    </row>
    <row r="147" spans="1:8" x14ac:dyDescent="0.2">
      <c r="A147" s="52" t="s">
        <v>195</v>
      </c>
      <c r="B147" s="50">
        <f>IF(OR(Z7=$Q$99,Z7=$Q$102,Z7=$Q$105,Z7=$Q$108,Z7=$Q$111,Z7=$Q$114,Z7=$Q$117,Z7=$Q$120,Z7=$Q$123),1,IF(OR(Z7=$Q$100,Z7=$Q$103,Z7=$Q$106,Z7=$Q$109,Z7=$Q$112,Z7=$Q$115,Z7=$Q$118,Z7=$Q$121,Z7=$Q$124),2,IF(OR(Z7=$Q$101,Z7=$Q$104,Z7=$Q$107,Z7=$Q$110,Z7=$Q$113,Z7=$Q$116,Z7=$Q$119,Z7=$Q$122,Z7=$Q$125),3,0)))</f>
        <v>1</v>
      </c>
      <c r="D147" s="50">
        <f>IF(OR(AC7=$Q$99,AC7=$Q$102,AC7=$Q$105,AC7=$Q$108,AC7=$Q$111,AC7=$Q$114,AC7=$Q$117,AC7=$Q$120,AC7=$Q$123),1,IF(OR(AC7=$Q$100,AC7=$Q$103,AC7=$Q$106,AC7=$Q$109,AC7=$Q$112,AC7=$Q$115,AC7=$Q$118,AC7=$Q$121,AC7=$Q$124),2,IF(OR(AC7=$Q$101,AC7=$Q$104,AC7=$Q$107,AC7=$Q$110,AC7=$Q$113,AC7=$Q$116,AC7=$Q$119,AC7=$Q$122,AC7=$Q$125),3,0)))</f>
        <v>3</v>
      </c>
      <c r="F147" s="50">
        <f>IF(OR(AF7=$Q$99,AF7=$Q$102,AF7=$Q$105,AF7=$Q$108,AF7=$Q$111,AF7=$Q$114,AF7=$Q$117,AF7=$Q$120,AF7=$Q$123),1,IF(OR(AF7=$Q$100,AF7=$Q$103,AF7=$Q$106,AF7=$Q$109,AF7=$Q$112,AF7=$Q$115,AF7=$Q$118,AF7=$Q$121,AF7=$Q$124),2,IF(OR(AF7=$Q$101,AF7=$Q$104,AF7=$Q$107,AF7=$Q$110,AF7=$Q$113,AF7=$Q$116,AF7=$Q$119,AF7=$Q$122,AF7=$Q$125),3,0)))</f>
        <v>2</v>
      </c>
    </row>
    <row r="148" spans="1:8" x14ac:dyDescent="0.2">
      <c r="G148" s="52"/>
      <c r="H148" s="52" t="s">
        <v>208</v>
      </c>
    </row>
    <row r="149" spans="1:8" x14ac:dyDescent="0.2">
      <c r="G149" s="52"/>
      <c r="H149" s="50">
        <f>(100*F125)+(10*F126)+F127</f>
        <v>121</v>
      </c>
    </row>
    <row r="150" spans="1:8" x14ac:dyDescent="0.2">
      <c r="G150" s="52"/>
      <c r="H150" s="50">
        <f>(100*F129)+(10*F130)+F131</f>
        <v>113</v>
      </c>
    </row>
    <row r="151" spans="1:8" x14ac:dyDescent="0.2">
      <c r="H151" s="50">
        <f>100*F133+10*F134+F135</f>
        <v>123</v>
      </c>
    </row>
    <row r="152" spans="1:8" x14ac:dyDescent="0.2">
      <c r="H152" s="50">
        <f>(100*F137)+(10*F138)+F139</f>
        <v>122</v>
      </c>
    </row>
    <row r="153" spans="1:8" x14ac:dyDescent="0.2">
      <c r="G153" s="52"/>
      <c r="H153" s="50">
        <f>(100*F141)+(10*F142)+F143</f>
        <v>122</v>
      </c>
    </row>
    <row r="154" spans="1:8" x14ac:dyDescent="0.2">
      <c r="G154" s="52"/>
      <c r="H154" s="50">
        <f>100*F145+10*F146+F147</f>
        <v>122</v>
      </c>
    </row>
    <row r="155" spans="1:8" x14ac:dyDescent="0.2">
      <c r="G155" s="52"/>
    </row>
    <row r="157" spans="1:8" x14ac:dyDescent="0.2">
      <c r="G157" s="52"/>
    </row>
    <row r="158" spans="1:8" x14ac:dyDescent="0.2">
      <c r="G158" s="52"/>
    </row>
    <row r="159" spans="1:8" x14ac:dyDescent="0.2">
      <c r="G159" s="52"/>
    </row>
    <row r="161" spans="7:7" x14ac:dyDescent="0.2">
      <c r="G161" s="52"/>
    </row>
    <row r="162" spans="7:7" x14ac:dyDescent="0.2">
      <c r="G162" s="52"/>
    </row>
    <row r="163" spans="7:7" x14ac:dyDescent="0.2">
      <c r="G163" s="52"/>
    </row>
    <row r="165" spans="7:7" x14ac:dyDescent="0.2">
      <c r="G165" s="52"/>
    </row>
    <row r="166" spans="7:7" x14ac:dyDescent="0.2">
      <c r="G166" s="52"/>
    </row>
    <row r="167" spans="7:7" x14ac:dyDescent="0.2">
      <c r="G167" s="52"/>
    </row>
    <row r="169" spans="7:7" x14ac:dyDescent="0.2">
      <c r="G169" s="52"/>
    </row>
    <row r="170" spans="7:7" x14ac:dyDescent="0.2">
      <c r="G170" s="52"/>
    </row>
    <row r="171" spans="7:7" x14ac:dyDescent="0.2">
      <c r="G171" s="52"/>
    </row>
    <row r="173" spans="7:7" x14ac:dyDescent="0.2">
      <c r="G173" s="52"/>
    </row>
    <row r="174" spans="7:7" x14ac:dyDescent="0.2">
      <c r="G174" s="52"/>
    </row>
    <row r="175" spans="7:7" x14ac:dyDescent="0.2">
      <c r="G175" s="52"/>
    </row>
  </sheetData>
  <phoneticPr fontId="21" type="noConversion"/>
  <dataValidations count="5">
    <dataValidation type="list" allowBlank="1" showInputMessage="1" showErrorMessage="1" sqref="O2">
      <formula1>$T$25:$T$97</formula1>
    </dataValidation>
    <dataValidation type="list" allowBlank="1" showInputMessage="1" showErrorMessage="1" sqref="AC2:AC7 W2:W7 Z2:Z7 AF2:AF7 T2:T7 Q2:Q7">
      <formula1>$Q$98:$Q$125</formula1>
    </dataValidation>
    <dataValidation type="list" allowBlank="1" showInputMessage="1" showErrorMessage="1" sqref="N1">
      <formula1>$T$98:$T$114</formula1>
    </dataValidation>
    <dataValidation type="list" allowBlank="1" showInputMessage="1" showErrorMessage="1" sqref="X2:Y7 AD2:AE7 U2:V7 AA2:AB7 R2:S7 P2:P7 O3:O7">
      <formula1>$T$97:$T$125</formula1>
    </dataValidation>
    <dataValidation type="list" allowBlank="1" showInputMessage="1" showErrorMessage="1" sqref="A10:A15">
      <formula1>$U$99:$U$100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Option Button 1">
              <controlPr defaultSize="0" autoFill="0" autoLine="0" autoPict="0" macro="[0]!SetWayPoints">
                <anchor moveWithCells="1">
                  <from>
                    <xdr:col>3</xdr:col>
                    <xdr:colOff>323850</xdr:colOff>
                    <xdr:row>10</xdr:row>
                    <xdr:rowOff>19050</xdr:rowOff>
                  </from>
                  <to>
                    <xdr:col>10</xdr:col>
                    <xdr:colOff>314325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Button14_Click">
                <anchor moveWithCells="1" sizeWithCells="1">
                  <from>
                    <xdr:col>3</xdr:col>
                    <xdr:colOff>381000</xdr:colOff>
                    <xdr:row>12</xdr:row>
                    <xdr:rowOff>9525</xdr:rowOff>
                  </from>
                  <to>
                    <xdr:col>6</xdr:col>
                    <xdr:colOff>381000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139"/>
  <sheetViews>
    <sheetView workbookViewId="0">
      <selection activeCell="B51" sqref="B51"/>
    </sheetView>
  </sheetViews>
  <sheetFormatPr defaultColWidth="9.125" defaultRowHeight="12.75" x14ac:dyDescent="0.2"/>
  <cols>
    <col min="1" max="1" width="9.125" style="50" collapsed="1"/>
    <col min="2" max="2" width="18" style="50" customWidth="1" collapsed="1"/>
    <col min="3" max="5" width="9.125" style="50" collapsed="1"/>
    <col min="6" max="6" width="9.875" style="50" customWidth="1" collapsed="1"/>
    <col min="7" max="7" width="11.625" style="50" customWidth="1" collapsed="1"/>
    <col min="8" max="8" width="11.125" style="50" customWidth="1" collapsed="1"/>
    <col min="9" max="9" width="14.625" style="50" customWidth="1" collapsed="1"/>
    <col min="10" max="10" width="13.125" style="50" customWidth="1" collapsed="1"/>
    <col min="11" max="11" width="18.125" style="50" customWidth="1" collapsed="1"/>
    <col min="12" max="12" width="9.125" style="174" collapsed="1"/>
    <col min="13" max="16384" width="9.125" style="50" collapsed="1"/>
  </cols>
  <sheetData>
    <row r="1" spans="1:12" ht="13.5" thickBot="1" x14ac:dyDescent="0.25"/>
    <row r="2" spans="1:12" ht="12.75" customHeight="1" x14ac:dyDescent="0.2">
      <c r="B2" s="390" t="s">
        <v>170</v>
      </c>
      <c r="C2" s="391"/>
      <c r="D2" s="391"/>
      <c r="E2" s="391"/>
      <c r="F2" s="391"/>
      <c r="G2" s="391"/>
      <c r="H2" s="391"/>
      <c r="I2" s="391"/>
      <c r="J2" s="391"/>
      <c r="K2" s="392"/>
    </row>
    <row r="3" spans="1:12" ht="12.75" customHeight="1" x14ac:dyDescent="0.2">
      <c r="B3" s="393"/>
      <c r="C3" s="394"/>
      <c r="D3" s="394"/>
      <c r="E3" s="394"/>
      <c r="F3" s="394"/>
      <c r="G3" s="394"/>
      <c r="H3" s="394"/>
      <c r="I3" s="394"/>
      <c r="J3" s="394"/>
      <c r="K3" s="395"/>
    </row>
    <row r="4" spans="1:12" ht="12.75" customHeight="1" x14ac:dyDescent="0.2">
      <c r="B4" s="393"/>
      <c r="C4" s="394"/>
      <c r="D4" s="394"/>
      <c r="E4" s="394"/>
      <c r="F4" s="394"/>
      <c r="G4" s="394"/>
      <c r="H4" s="394"/>
      <c r="I4" s="394"/>
      <c r="J4" s="394"/>
      <c r="K4" s="395"/>
    </row>
    <row r="5" spans="1:12" ht="13.5" customHeight="1" thickBot="1" x14ac:dyDescent="0.25">
      <c r="B5" s="396"/>
      <c r="C5" s="397"/>
      <c r="D5" s="397"/>
      <c r="E5" s="397"/>
      <c r="F5" s="397"/>
      <c r="G5" s="397"/>
      <c r="H5" s="397"/>
      <c r="I5" s="397"/>
      <c r="J5" s="397"/>
      <c r="K5" s="398"/>
    </row>
    <row r="6" spans="1:12" ht="13.5" thickBot="1" x14ac:dyDescent="0.25"/>
    <row r="7" spans="1:12" ht="18.75" thickBot="1" x14ac:dyDescent="0.25">
      <c r="B7" s="399" t="s">
        <v>70</v>
      </c>
      <c r="C7" s="400"/>
      <c r="D7" s="400"/>
      <c r="E7" s="400"/>
      <c r="F7" s="400"/>
      <c r="G7" s="400"/>
      <c r="H7" s="400"/>
      <c r="I7" s="400"/>
      <c r="J7" s="400"/>
      <c r="K7" s="401"/>
      <c r="L7" s="175" t="s">
        <v>124</v>
      </c>
    </row>
    <row r="8" spans="1:12" ht="19.5" customHeight="1" thickBot="1" x14ac:dyDescent="0.25">
      <c r="B8" s="55"/>
      <c r="C8" s="56" t="s">
        <v>3</v>
      </c>
      <c r="D8" s="57" t="s">
        <v>4</v>
      </c>
      <c r="E8" s="57" t="s">
        <v>5</v>
      </c>
      <c r="F8" s="58" t="s">
        <v>6</v>
      </c>
      <c r="G8" s="57" t="s">
        <v>18</v>
      </c>
      <c r="H8" s="58" t="s">
        <v>9</v>
      </c>
      <c r="I8" s="58" t="s">
        <v>0</v>
      </c>
      <c r="J8" s="57" t="s">
        <v>10</v>
      </c>
      <c r="K8" s="58" t="s">
        <v>171</v>
      </c>
    </row>
    <row r="9" spans="1:12" ht="22.5" customHeight="1" x14ac:dyDescent="0.2">
      <c r="B9" s="59" t="s">
        <v>11</v>
      </c>
      <c r="C9" s="60">
        <v>5</v>
      </c>
      <c r="D9" s="61">
        <v>15</v>
      </c>
      <c r="E9" s="61">
        <v>2</v>
      </c>
      <c r="F9" s="61">
        <v>1</v>
      </c>
      <c r="G9" s="61">
        <v>1</v>
      </c>
      <c r="H9" s="61">
        <v>2</v>
      </c>
      <c r="I9" s="62">
        <v>1</v>
      </c>
      <c r="J9" s="176">
        <v>0</v>
      </c>
      <c r="K9" s="177" t="s">
        <v>86</v>
      </c>
      <c r="L9" s="174">
        <f>IF(L7="Ground",0,1)</f>
        <v>0</v>
      </c>
    </row>
    <row r="10" spans="1:12" ht="27" customHeight="1" x14ac:dyDescent="0.2">
      <c r="B10" s="59" t="s">
        <v>71</v>
      </c>
      <c r="C10" s="63">
        <f>ROUNDUP(C9*(1+30%),0)</f>
        <v>7</v>
      </c>
      <c r="D10" s="64">
        <f>ROUNDUP(D9*1.3,0)</f>
        <v>20</v>
      </c>
      <c r="E10" s="64">
        <f>ROUNDUP(E9*1.1,0)</f>
        <v>3</v>
      </c>
      <c r="F10" s="64">
        <f>F9</f>
        <v>1</v>
      </c>
      <c r="G10" s="64">
        <f>ROUNDUP(G9*(1-10%),1)</f>
        <v>0.9</v>
      </c>
      <c r="H10" s="64">
        <f>ROUNDUP(H9*(1+30%),0)</f>
        <v>3</v>
      </c>
      <c r="I10" s="65">
        <f>I9</f>
        <v>1</v>
      </c>
      <c r="J10" s="178">
        <v>0</v>
      </c>
      <c r="K10" s="177" t="s">
        <v>87</v>
      </c>
      <c r="L10" s="174">
        <f>IF(L7="Ground",0,1)</f>
        <v>0</v>
      </c>
    </row>
    <row r="11" spans="1:12" ht="24" customHeight="1" thickBot="1" x14ac:dyDescent="0.25">
      <c r="B11" s="179" t="s">
        <v>72</v>
      </c>
      <c r="C11" s="180">
        <f>ROUNDUP(C10*(1+30%),0)</f>
        <v>10</v>
      </c>
      <c r="D11" s="71">
        <f>ROUNDUP(D10*1.3,0)</f>
        <v>26</v>
      </c>
      <c r="E11" s="71">
        <f>ROUNDUP(E10*1.1,0)</f>
        <v>4</v>
      </c>
      <c r="F11" s="71">
        <f>F10</f>
        <v>1</v>
      </c>
      <c r="G11" s="71">
        <f>ROUNDUP(G10*(1-20%),1)</f>
        <v>0.79999999999999993</v>
      </c>
      <c r="H11" s="71">
        <f>ROUNDUP(H10*(1+30%),0)</f>
        <v>4</v>
      </c>
      <c r="I11" s="72">
        <f>I10</f>
        <v>1</v>
      </c>
      <c r="J11" s="181">
        <v>0</v>
      </c>
      <c r="K11" s="182" t="s">
        <v>88</v>
      </c>
      <c r="L11" s="174">
        <f>IF(L7="Ground",0,1)</f>
        <v>0</v>
      </c>
    </row>
    <row r="12" spans="1:12" ht="12.75" customHeight="1" x14ac:dyDescent="0.2">
      <c r="A12" s="51"/>
      <c r="B12" s="183"/>
      <c r="C12" s="54"/>
      <c r="D12" s="54"/>
      <c r="E12" s="54"/>
      <c r="F12" s="54"/>
      <c r="G12" s="54"/>
      <c r="H12" s="54"/>
      <c r="I12" s="54"/>
      <c r="J12" s="51"/>
    </row>
    <row r="13" spans="1:12" ht="14.25" customHeight="1" thickBot="1" x14ac:dyDescent="0.25">
      <c r="A13" s="51"/>
    </row>
    <row r="14" spans="1:12" ht="20.25" customHeight="1" thickBot="1" x14ac:dyDescent="0.25">
      <c r="B14" s="399" t="s">
        <v>172</v>
      </c>
      <c r="C14" s="400"/>
      <c r="D14" s="400"/>
      <c r="E14" s="400"/>
      <c r="F14" s="400"/>
      <c r="G14" s="400"/>
      <c r="H14" s="400"/>
      <c r="I14" s="400"/>
      <c r="J14" s="400"/>
      <c r="K14" s="401"/>
      <c r="L14" s="175" t="s">
        <v>124</v>
      </c>
    </row>
    <row r="15" spans="1:12" ht="19.5" customHeight="1" thickBot="1" x14ac:dyDescent="0.25">
      <c r="B15" s="55"/>
      <c r="C15" s="56" t="s">
        <v>3</v>
      </c>
      <c r="D15" s="57" t="s">
        <v>4</v>
      </c>
      <c r="E15" s="57" t="s">
        <v>5</v>
      </c>
      <c r="F15" s="58" t="s">
        <v>6</v>
      </c>
      <c r="G15" s="57" t="s">
        <v>18</v>
      </c>
      <c r="H15" s="58" t="s">
        <v>9</v>
      </c>
      <c r="I15" s="58" t="s">
        <v>0</v>
      </c>
      <c r="J15" s="58" t="s">
        <v>10</v>
      </c>
      <c r="K15" s="58" t="s">
        <v>171</v>
      </c>
    </row>
    <row r="16" spans="1:12" ht="24.75" customHeight="1" x14ac:dyDescent="0.2">
      <c r="B16" s="59" t="s">
        <v>12</v>
      </c>
      <c r="C16" s="60">
        <v>4</v>
      </c>
      <c r="D16" s="61">
        <v>12</v>
      </c>
      <c r="E16" s="61">
        <v>3</v>
      </c>
      <c r="F16" s="61">
        <v>1</v>
      </c>
      <c r="G16" s="61">
        <v>0.8</v>
      </c>
      <c r="H16" s="61">
        <v>4</v>
      </c>
      <c r="I16" s="62">
        <v>1.3</v>
      </c>
      <c r="J16" s="62">
        <v>0</v>
      </c>
      <c r="K16" s="177" t="s">
        <v>89</v>
      </c>
      <c r="L16" s="174">
        <f>IF(L14="Ground",0,1)</f>
        <v>0</v>
      </c>
    </row>
    <row r="17" spans="2:12" ht="24.75" customHeight="1" x14ac:dyDescent="0.2">
      <c r="B17" s="59" t="s">
        <v>73</v>
      </c>
      <c r="C17" s="63">
        <f>ROUNDUP(C16*(1+30%),0)</f>
        <v>6</v>
      </c>
      <c r="D17" s="64">
        <f>ROUNDUP(D16*1.5,0)</f>
        <v>18</v>
      </c>
      <c r="E17" s="64">
        <f>ROUNDUP(E16*1.1,0)</f>
        <v>4</v>
      </c>
      <c r="F17" s="64">
        <f>F16</f>
        <v>1</v>
      </c>
      <c r="G17" s="64">
        <f>ROUNDUP(G16*(1-10%),1)</f>
        <v>0.79999999999999993</v>
      </c>
      <c r="H17" s="64">
        <f>ROUNDUP(H16*(1+30%),0)</f>
        <v>6</v>
      </c>
      <c r="I17" s="65">
        <f>ROUNDUP(I16*(1+20%),1)</f>
        <v>1.6</v>
      </c>
      <c r="J17" s="65">
        <v>0</v>
      </c>
      <c r="K17" s="177" t="s">
        <v>90</v>
      </c>
      <c r="L17" s="174">
        <f>IF(L14="Ground",0,1)</f>
        <v>0</v>
      </c>
    </row>
    <row r="18" spans="2:12" ht="28.5" customHeight="1" thickBot="1" x14ac:dyDescent="0.25">
      <c r="B18" s="179" t="s">
        <v>74</v>
      </c>
      <c r="C18" s="180">
        <f>ROUNDUP(C17*(1+30%),0)</f>
        <v>8</v>
      </c>
      <c r="D18" s="71">
        <f>ROUNDUP(D17*1.5,0)</f>
        <v>27</v>
      </c>
      <c r="E18" s="71">
        <f>ROUNDUP(E17*1.1,0)</f>
        <v>5</v>
      </c>
      <c r="F18" s="71">
        <f>F17</f>
        <v>1</v>
      </c>
      <c r="G18" s="71">
        <f>ROUNDUP(G17*(1-20%),1)</f>
        <v>0.7</v>
      </c>
      <c r="H18" s="71">
        <f>ROUNDUP(H17*(1+30%),0)</f>
        <v>8</v>
      </c>
      <c r="I18" s="72">
        <f>ROUNDUP(I17*(1+20%),1)</f>
        <v>2</v>
      </c>
      <c r="J18" s="72">
        <v>0</v>
      </c>
      <c r="K18" s="182" t="s">
        <v>91</v>
      </c>
      <c r="L18" s="174">
        <f>IF(L14="Ground",0,1)</f>
        <v>0</v>
      </c>
    </row>
    <row r="21" spans="2:12" ht="13.5" thickBot="1" x14ac:dyDescent="0.25"/>
    <row r="22" spans="2:12" ht="24.75" customHeight="1" thickBot="1" x14ac:dyDescent="0.25">
      <c r="B22" s="399" t="s">
        <v>173</v>
      </c>
      <c r="C22" s="400"/>
      <c r="D22" s="400"/>
      <c r="E22" s="400"/>
      <c r="F22" s="400"/>
      <c r="G22" s="400"/>
      <c r="H22" s="400"/>
      <c r="I22" s="400"/>
      <c r="J22" s="400"/>
      <c r="K22" s="401"/>
      <c r="L22" s="184" t="s">
        <v>120</v>
      </c>
    </row>
    <row r="23" spans="2:12" ht="21" customHeight="1" thickBot="1" x14ac:dyDescent="0.25">
      <c r="B23" s="55"/>
      <c r="C23" s="56" t="s">
        <v>3</v>
      </c>
      <c r="D23" s="57" t="s">
        <v>4</v>
      </c>
      <c r="E23" s="57" t="s">
        <v>5</v>
      </c>
      <c r="F23" s="58" t="s">
        <v>6</v>
      </c>
      <c r="G23" s="57" t="s">
        <v>18</v>
      </c>
      <c r="H23" s="58" t="s">
        <v>9</v>
      </c>
      <c r="I23" s="58" t="s">
        <v>0</v>
      </c>
      <c r="J23" s="58" t="s">
        <v>10</v>
      </c>
      <c r="K23" s="58" t="s">
        <v>171</v>
      </c>
    </row>
    <row r="24" spans="2:12" ht="30" customHeight="1" x14ac:dyDescent="0.2">
      <c r="B24" s="185" t="s">
        <v>13</v>
      </c>
      <c r="C24" s="60">
        <v>10</v>
      </c>
      <c r="D24" s="61">
        <v>14</v>
      </c>
      <c r="E24" s="61">
        <v>5</v>
      </c>
      <c r="F24" s="61">
        <v>2</v>
      </c>
      <c r="G24" s="61">
        <v>0.8</v>
      </c>
      <c r="H24" s="61">
        <v>6</v>
      </c>
      <c r="I24" s="62">
        <v>1</v>
      </c>
      <c r="J24" s="62">
        <v>0</v>
      </c>
      <c r="K24" s="177" t="s">
        <v>92</v>
      </c>
      <c r="L24" s="174">
        <f>IF(L22="Ground",0,1)</f>
        <v>1</v>
      </c>
    </row>
    <row r="25" spans="2:12" ht="28.5" customHeight="1" x14ac:dyDescent="0.2">
      <c r="B25" s="185" t="s">
        <v>196</v>
      </c>
      <c r="C25" s="63">
        <f>ROUNDUP(C24*(1+30%),0)</f>
        <v>13</v>
      </c>
      <c r="D25" s="64">
        <f>ROUNDUP(D24*1.5,0)</f>
        <v>21</v>
      </c>
      <c r="E25" s="64">
        <f>ROUNDUP(E24*1.1,0)</f>
        <v>6</v>
      </c>
      <c r="F25" s="64">
        <f>F24</f>
        <v>2</v>
      </c>
      <c r="G25" s="64">
        <f>ROUNDUP(G24*(1-10%),1)</f>
        <v>0.79999999999999993</v>
      </c>
      <c r="H25" s="64">
        <f>ROUNDUP(H24*(1+30%),0)</f>
        <v>8</v>
      </c>
      <c r="I25" s="65">
        <f>ROUNDUP(I24*(1+30%),1)</f>
        <v>1.3</v>
      </c>
      <c r="J25" s="65">
        <v>0</v>
      </c>
      <c r="K25" s="177" t="s">
        <v>93</v>
      </c>
      <c r="L25" s="174">
        <f>IF(L22="Ground",0,1)</f>
        <v>1</v>
      </c>
    </row>
    <row r="26" spans="2:12" ht="36.75" customHeight="1" thickBot="1" x14ac:dyDescent="0.25">
      <c r="B26" s="186" t="s">
        <v>75</v>
      </c>
      <c r="C26" s="180">
        <f>ROUNDUP(C25*(1+30%),0)</f>
        <v>17</v>
      </c>
      <c r="D26" s="71">
        <f>ROUNDUP(D25*1.5,0)</f>
        <v>32</v>
      </c>
      <c r="E26" s="71">
        <f>ROUNDUP(E25*1.1,0)</f>
        <v>7</v>
      </c>
      <c r="F26" s="71">
        <f>F25</f>
        <v>2</v>
      </c>
      <c r="G26" s="71">
        <f>ROUNDUP(G25*(1-20%),1)</f>
        <v>0.7</v>
      </c>
      <c r="H26" s="71">
        <f>ROUNDUP(H25*(1+30%),0)</f>
        <v>11</v>
      </c>
      <c r="I26" s="72">
        <f>ROUNDUP(I25*(1+30%),1)</f>
        <v>1.7000000000000002</v>
      </c>
      <c r="J26" s="72">
        <v>0</v>
      </c>
      <c r="K26" s="182" t="s">
        <v>94</v>
      </c>
      <c r="L26" s="174">
        <f>IF(L22="Ground",0,1)</f>
        <v>1</v>
      </c>
    </row>
    <row r="27" spans="2:12" ht="36.75" customHeight="1" x14ac:dyDescent="0.2">
      <c r="B27"/>
      <c r="C27"/>
      <c r="D27"/>
      <c r="E27"/>
      <c r="F27"/>
      <c r="G27"/>
      <c r="H27"/>
      <c r="I27"/>
      <c r="J27"/>
      <c r="K27"/>
    </row>
    <row r="29" spans="2:12" ht="13.5" thickBot="1" x14ac:dyDescent="0.25"/>
    <row r="30" spans="2:12" ht="27" customHeight="1" thickBot="1" x14ac:dyDescent="0.25">
      <c r="B30" s="399" t="s">
        <v>174</v>
      </c>
      <c r="C30" s="400"/>
      <c r="D30" s="400"/>
      <c r="E30" s="400"/>
      <c r="F30" s="400"/>
      <c r="G30" s="400"/>
      <c r="H30" s="400"/>
      <c r="I30" s="400"/>
      <c r="J30" s="400"/>
      <c r="K30" s="401"/>
      <c r="L30" s="175" t="s">
        <v>124</v>
      </c>
    </row>
    <row r="31" spans="2:12" ht="17.25" customHeight="1" thickBot="1" x14ac:dyDescent="0.25">
      <c r="B31" s="55"/>
      <c r="C31" s="56" t="s">
        <v>3</v>
      </c>
      <c r="D31" s="57" t="s">
        <v>4</v>
      </c>
      <c r="E31" s="57" t="s">
        <v>5</v>
      </c>
      <c r="F31" s="58" t="s">
        <v>6</v>
      </c>
      <c r="G31" s="57" t="s">
        <v>18</v>
      </c>
      <c r="H31" s="58" t="s">
        <v>9</v>
      </c>
      <c r="I31" s="58" t="s">
        <v>0</v>
      </c>
      <c r="J31" s="58" t="s">
        <v>10</v>
      </c>
      <c r="K31" s="58" t="s">
        <v>171</v>
      </c>
    </row>
    <row r="32" spans="2:12" ht="33.75" customHeight="1" x14ac:dyDescent="0.2">
      <c r="B32" s="185" t="s">
        <v>14</v>
      </c>
      <c r="C32" s="60">
        <v>12</v>
      </c>
      <c r="D32" s="61">
        <v>35</v>
      </c>
      <c r="E32" s="61">
        <v>10</v>
      </c>
      <c r="F32" s="61">
        <v>1</v>
      </c>
      <c r="G32" s="61">
        <v>1.5</v>
      </c>
      <c r="H32" s="61">
        <v>23</v>
      </c>
      <c r="I32" s="62">
        <v>0.7</v>
      </c>
      <c r="J32" s="62">
        <v>0</v>
      </c>
      <c r="K32" s="177" t="s">
        <v>95</v>
      </c>
      <c r="L32" s="174">
        <f>IF(L30="Ground",0,1)</f>
        <v>0</v>
      </c>
    </row>
    <row r="33" spans="2:12" ht="31.5" customHeight="1" x14ac:dyDescent="0.2">
      <c r="B33" s="185" t="s">
        <v>76</v>
      </c>
      <c r="C33" s="63">
        <f>ROUNDUP(C32*(1+30%),0)</f>
        <v>16</v>
      </c>
      <c r="D33" s="64">
        <f>ROUNDUP(D32*1.5,0)</f>
        <v>53</v>
      </c>
      <c r="E33" s="64">
        <f>ROUNDUP(E32*1.2,0)</f>
        <v>12</v>
      </c>
      <c r="F33" s="64">
        <f>F32</f>
        <v>1</v>
      </c>
      <c r="G33" s="64">
        <f>ROUNDUP(G32*(1-10%),1)</f>
        <v>1.4000000000000001</v>
      </c>
      <c r="H33" s="64">
        <f>ROUNDUP(H32*(1+30%),0)</f>
        <v>30</v>
      </c>
      <c r="I33" s="65">
        <f>ROUNDUP(I32*(1-20%),1)</f>
        <v>0.6</v>
      </c>
      <c r="J33" s="65">
        <v>0</v>
      </c>
      <c r="K33" s="177" t="s">
        <v>96</v>
      </c>
      <c r="L33" s="174">
        <f>IF(L30="Ground",0,1)</f>
        <v>0</v>
      </c>
    </row>
    <row r="34" spans="2:12" ht="34.5" customHeight="1" thickBot="1" x14ac:dyDescent="0.25">
      <c r="B34" s="186" t="s">
        <v>77</v>
      </c>
      <c r="C34" s="180">
        <f>ROUNDUP(C33*(1+30%),0)</f>
        <v>21</v>
      </c>
      <c r="D34" s="71">
        <f>ROUNDUP(D33*1.5,0)</f>
        <v>80</v>
      </c>
      <c r="E34" s="71">
        <f>ROUNDUP(E33*1.2,0)</f>
        <v>15</v>
      </c>
      <c r="F34" s="71">
        <f>F33</f>
        <v>1</v>
      </c>
      <c r="G34" s="71">
        <f>ROUNDUP(G33*(1-20%),1)</f>
        <v>1.2000000000000002</v>
      </c>
      <c r="H34" s="71">
        <f>ROUNDUP(H33*(1+30%),0)</f>
        <v>39</v>
      </c>
      <c r="I34" s="72">
        <f>ROUNDUP(I33*(1-20%),1)</f>
        <v>0.5</v>
      </c>
      <c r="J34" s="72">
        <v>0</v>
      </c>
      <c r="K34" s="182" t="s">
        <v>97</v>
      </c>
      <c r="L34" s="174">
        <f>IF(L30="Ground",0,1)</f>
        <v>0</v>
      </c>
    </row>
    <row r="36" spans="2:12" ht="13.5" thickBot="1" x14ac:dyDescent="0.25"/>
    <row r="37" spans="2:12" ht="24" customHeight="1" thickBot="1" x14ac:dyDescent="0.25">
      <c r="B37" s="399" t="s">
        <v>175</v>
      </c>
      <c r="C37" s="400"/>
      <c r="D37" s="400"/>
      <c r="E37" s="400"/>
      <c r="F37" s="400"/>
      <c r="G37" s="400"/>
      <c r="H37" s="400"/>
      <c r="I37" s="400"/>
      <c r="J37" s="400"/>
      <c r="K37" s="401"/>
      <c r="L37" s="184" t="s">
        <v>120</v>
      </c>
    </row>
    <row r="38" spans="2:12" ht="18.75" customHeight="1" thickBot="1" x14ac:dyDescent="0.25">
      <c r="B38" s="55"/>
      <c r="C38" s="56" t="s">
        <v>3</v>
      </c>
      <c r="D38" s="57" t="s">
        <v>4</v>
      </c>
      <c r="E38" s="57" t="s">
        <v>5</v>
      </c>
      <c r="F38" s="58" t="s">
        <v>6</v>
      </c>
      <c r="G38" s="57" t="s">
        <v>18</v>
      </c>
      <c r="H38" s="58" t="s">
        <v>9</v>
      </c>
      <c r="I38" s="58" t="s">
        <v>0</v>
      </c>
      <c r="J38" s="58" t="s">
        <v>10</v>
      </c>
      <c r="K38" s="58" t="s">
        <v>171</v>
      </c>
    </row>
    <row r="39" spans="2:12" ht="24" customHeight="1" x14ac:dyDescent="0.2">
      <c r="B39" s="185" t="s">
        <v>15</v>
      </c>
      <c r="C39" s="60">
        <v>7</v>
      </c>
      <c r="D39" s="61">
        <v>13</v>
      </c>
      <c r="E39" s="61">
        <v>6</v>
      </c>
      <c r="F39" s="61">
        <v>1</v>
      </c>
      <c r="G39" s="61">
        <v>1.5</v>
      </c>
      <c r="H39" s="61">
        <v>12</v>
      </c>
      <c r="I39" s="62">
        <v>1</v>
      </c>
      <c r="J39" s="62">
        <v>0</v>
      </c>
      <c r="K39" s="177" t="s">
        <v>98</v>
      </c>
      <c r="L39" s="174">
        <f>IF(L37="Ground",0,1)</f>
        <v>1</v>
      </c>
    </row>
    <row r="40" spans="2:12" ht="34.5" customHeight="1" x14ac:dyDescent="0.2">
      <c r="B40" s="185" t="s">
        <v>78</v>
      </c>
      <c r="C40" s="63">
        <f>ROUNDUP(C39*(1+20%),0)</f>
        <v>9</v>
      </c>
      <c r="D40" s="64">
        <f>ROUNDUP(D39*1.3,0)</f>
        <v>17</v>
      </c>
      <c r="E40" s="64">
        <f>ROUNDUP(E39*1.2,0)</f>
        <v>8</v>
      </c>
      <c r="F40" s="64">
        <f>F39</f>
        <v>1</v>
      </c>
      <c r="G40" s="64">
        <f>ROUNDUP(G39*(1-10%),1)</f>
        <v>1.4000000000000001</v>
      </c>
      <c r="H40" s="64">
        <f>ROUNDUP(H39*(1+30%),0)</f>
        <v>16</v>
      </c>
      <c r="I40" s="65">
        <f>ROUNDUP(I39*(1+10%),1)</f>
        <v>1.1000000000000001</v>
      </c>
      <c r="J40" s="65">
        <f>J39+10</f>
        <v>10</v>
      </c>
      <c r="K40" s="177" t="s">
        <v>99</v>
      </c>
      <c r="L40" s="174">
        <f>IF(L37="Ground",0,1)</f>
        <v>1</v>
      </c>
    </row>
    <row r="41" spans="2:12" ht="29.25" thickBot="1" x14ac:dyDescent="0.25">
      <c r="B41" s="186" t="s">
        <v>79</v>
      </c>
      <c r="C41" s="209">
        <f>ROUNDUP(C40*(1+20%),0)</f>
        <v>11</v>
      </c>
      <c r="D41" s="68">
        <f>ROUNDUP(D40*1.3,0)</f>
        <v>23</v>
      </c>
      <c r="E41" s="71">
        <f>ROUNDUP(E40*1.2,0)</f>
        <v>10</v>
      </c>
      <c r="F41" s="71">
        <f>F40</f>
        <v>1</v>
      </c>
      <c r="G41" s="71">
        <f>ROUNDUP(G40*(1-10%),1)</f>
        <v>1.3</v>
      </c>
      <c r="H41" s="71">
        <f>ROUNDUP(H40*(1+30%),0)</f>
        <v>21</v>
      </c>
      <c r="I41" s="72">
        <f>ROUNDUP(I40*(1+10%),1)</f>
        <v>1.3</v>
      </c>
      <c r="J41" s="72">
        <f>J40*(1+50%)</f>
        <v>15</v>
      </c>
      <c r="K41" s="182" t="s">
        <v>100</v>
      </c>
      <c r="L41" s="174">
        <f>IF(L37="Ground",0,1)</f>
        <v>1</v>
      </c>
    </row>
    <row r="42" spans="2:12" ht="29.25" thickBot="1" x14ac:dyDescent="0.25">
      <c r="B42" s="208" t="s">
        <v>176</v>
      </c>
      <c r="C42" s="210" t="s">
        <v>57</v>
      </c>
      <c r="D42" s="214">
        <v>5</v>
      </c>
      <c r="E42" s="212" t="s">
        <v>222</v>
      </c>
      <c r="F42" s="214" t="s">
        <v>13</v>
      </c>
    </row>
    <row r="43" spans="2:12" ht="15" thickBot="1" x14ac:dyDescent="0.25">
      <c r="B43" s="213"/>
    </row>
    <row r="44" spans="2:12" ht="24" customHeight="1" thickBot="1" x14ac:dyDescent="0.25">
      <c r="B44" s="399" t="s">
        <v>177</v>
      </c>
      <c r="C44" s="400"/>
      <c r="D44" s="400"/>
      <c r="E44" s="400"/>
      <c r="F44" s="400"/>
      <c r="G44" s="400"/>
      <c r="H44" s="400"/>
      <c r="I44" s="400"/>
      <c r="J44" s="400"/>
      <c r="K44" s="401"/>
      <c r="L44" s="175" t="s">
        <v>124</v>
      </c>
    </row>
    <row r="45" spans="2:12" ht="18" customHeight="1" thickBot="1" x14ac:dyDescent="0.25">
      <c r="B45" s="55"/>
      <c r="C45" s="56" t="s">
        <v>3</v>
      </c>
      <c r="D45" s="57" t="s">
        <v>4</v>
      </c>
      <c r="E45" s="57" t="s">
        <v>5</v>
      </c>
      <c r="F45" s="58" t="s">
        <v>6</v>
      </c>
      <c r="G45" s="57" t="s">
        <v>18</v>
      </c>
      <c r="H45" s="58" t="s">
        <v>9</v>
      </c>
      <c r="I45" s="58" t="s">
        <v>0</v>
      </c>
      <c r="J45" s="58" t="s">
        <v>10</v>
      </c>
      <c r="K45" s="58" t="s">
        <v>171</v>
      </c>
    </row>
    <row r="46" spans="2:12" ht="25.5" customHeight="1" x14ac:dyDescent="0.2">
      <c r="B46" s="185" t="s">
        <v>16</v>
      </c>
      <c r="C46" s="60">
        <v>2</v>
      </c>
      <c r="D46" s="61">
        <v>17</v>
      </c>
      <c r="E46" s="61">
        <v>5</v>
      </c>
      <c r="F46" s="61">
        <v>1</v>
      </c>
      <c r="G46" s="61">
        <v>1.2</v>
      </c>
      <c r="H46" s="61">
        <v>14</v>
      </c>
      <c r="I46" s="62">
        <v>0.6</v>
      </c>
      <c r="J46" s="62">
        <v>10</v>
      </c>
      <c r="K46" s="177" t="s">
        <v>101</v>
      </c>
      <c r="L46" s="174">
        <f>IF(L44="Ground",0,1)</f>
        <v>0</v>
      </c>
    </row>
    <row r="47" spans="2:12" ht="28.5" customHeight="1" x14ac:dyDescent="0.2">
      <c r="B47" s="185" t="s">
        <v>80</v>
      </c>
      <c r="C47" s="63">
        <f>ROUNDUP(C46*(1+20%),0)</f>
        <v>3</v>
      </c>
      <c r="D47" s="64">
        <f>ROUNDUP(D46*1.4,0)</f>
        <v>24</v>
      </c>
      <c r="E47" s="64">
        <f>ROUNDUP(E46*1.2,0)</f>
        <v>6</v>
      </c>
      <c r="F47" s="64">
        <f>F46</f>
        <v>1</v>
      </c>
      <c r="G47" s="64">
        <f>ROUNDUP(G46*(1-10%),1)</f>
        <v>1.1000000000000001</v>
      </c>
      <c r="H47" s="64">
        <f>ROUNDUP(H46*(1+30%),0)</f>
        <v>19</v>
      </c>
      <c r="I47" s="65">
        <f>ROUNDUP(I46*(1+10%),1)</f>
        <v>0.7</v>
      </c>
      <c r="J47" s="65">
        <f>J46+10</f>
        <v>20</v>
      </c>
      <c r="K47" s="177" t="s">
        <v>102</v>
      </c>
      <c r="L47" s="174">
        <f>IF(L44="Ground",0,1)</f>
        <v>0</v>
      </c>
    </row>
    <row r="48" spans="2:12" ht="29.25" customHeight="1" thickBot="1" x14ac:dyDescent="0.25">
      <c r="B48" s="186" t="s">
        <v>81</v>
      </c>
      <c r="C48" s="209">
        <f>ROUNDUP(C47*(1+20%),0)</f>
        <v>4</v>
      </c>
      <c r="D48" s="68">
        <f>ROUNDUP(D47*1.4,0)</f>
        <v>34</v>
      </c>
      <c r="E48" s="68">
        <f>ROUNDUP(E47*1.2,0)</f>
        <v>8</v>
      </c>
      <c r="F48" s="68">
        <f>F47</f>
        <v>1</v>
      </c>
      <c r="G48" s="71">
        <f>ROUNDUP(G47*(1-10%),1)</f>
        <v>1</v>
      </c>
      <c r="H48" s="71">
        <f>ROUNDUP(H47*(1+30%),0)</f>
        <v>25</v>
      </c>
      <c r="I48" s="72">
        <f>ROUNDUP(I47*(1+10%),1)</f>
        <v>0.79999999999999993</v>
      </c>
      <c r="J48" s="72">
        <f>J47*(1+50%)</f>
        <v>30</v>
      </c>
      <c r="K48" s="182" t="s">
        <v>103</v>
      </c>
      <c r="L48" s="174">
        <f>IF(L44="Ground",0,1)</f>
        <v>0</v>
      </c>
    </row>
    <row r="49" spans="2:12" ht="29.25" thickBot="1" x14ac:dyDescent="0.25">
      <c r="B49" s="208" t="s">
        <v>178</v>
      </c>
      <c r="C49" s="210" t="s">
        <v>218</v>
      </c>
      <c r="D49" s="214">
        <v>1</v>
      </c>
      <c r="E49" s="211" t="s">
        <v>219</v>
      </c>
      <c r="F49" s="214">
        <v>1</v>
      </c>
      <c r="G49" s="211" t="s">
        <v>220</v>
      </c>
      <c r="H49" s="214">
        <v>1</v>
      </c>
      <c r="I49"/>
      <c r="J49"/>
    </row>
    <row r="50" spans="2:12" ht="14.25" x14ac:dyDescent="0.2">
      <c r="B50" s="213"/>
      <c r="C50" s="49"/>
      <c r="D50"/>
      <c r="E50"/>
      <c r="F50"/>
      <c r="G50"/>
      <c r="H50"/>
      <c r="I50"/>
      <c r="J50"/>
    </row>
    <row r="51" spans="2:12" ht="13.5" thickBot="1" x14ac:dyDescent="0.25"/>
    <row r="52" spans="2:12" ht="27" customHeight="1" thickBot="1" x14ac:dyDescent="0.25">
      <c r="B52" s="399" t="s">
        <v>179</v>
      </c>
      <c r="C52" s="400"/>
      <c r="D52" s="400"/>
      <c r="E52" s="400"/>
      <c r="F52" s="400"/>
      <c r="G52" s="400"/>
      <c r="H52" s="400"/>
      <c r="I52" s="400"/>
      <c r="J52" s="400"/>
      <c r="K52" s="401"/>
      <c r="L52" s="175" t="s">
        <v>124</v>
      </c>
    </row>
    <row r="53" spans="2:12" ht="21" customHeight="1" thickBot="1" x14ac:dyDescent="0.25">
      <c r="B53" s="55"/>
      <c r="C53" s="56" t="s">
        <v>3</v>
      </c>
      <c r="D53" s="57" t="s">
        <v>4</v>
      </c>
      <c r="E53" s="57" t="s">
        <v>5</v>
      </c>
      <c r="F53" s="58" t="s">
        <v>6</v>
      </c>
      <c r="G53" s="57" t="s">
        <v>18</v>
      </c>
      <c r="H53" s="58" t="s">
        <v>9</v>
      </c>
      <c r="I53" s="58" t="s">
        <v>0</v>
      </c>
      <c r="J53" s="58" t="s">
        <v>10</v>
      </c>
      <c r="K53" s="58" t="s">
        <v>171</v>
      </c>
    </row>
    <row r="54" spans="2:12" ht="23.25" customHeight="1" x14ac:dyDescent="0.2">
      <c r="B54" s="185" t="s">
        <v>82</v>
      </c>
      <c r="C54" s="60">
        <v>15</v>
      </c>
      <c r="D54" s="61">
        <v>25</v>
      </c>
      <c r="E54" s="61">
        <v>7</v>
      </c>
      <c r="F54" s="61">
        <v>2</v>
      </c>
      <c r="G54" s="61">
        <v>1.5</v>
      </c>
      <c r="H54" s="61">
        <v>30</v>
      </c>
      <c r="I54" s="62">
        <v>1</v>
      </c>
      <c r="J54" s="62">
        <v>15</v>
      </c>
      <c r="K54" s="177" t="s">
        <v>104</v>
      </c>
      <c r="L54" s="174">
        <f>IF(L52="Ground",0,1)</f>
        <v>0</v>
      </c>
    </row>
    <row r="55" spans="2:12" ht="25.5" customHeight="1" x14ac:dyDescent="0.2">
      <c r="B55" s="185" t="s">
        <v>151</v>
      </c>
      <c r="C55" s="63">
        <f>ROUNDUP(C54*(1+30%),0)</f>
        <v>20</v>
      </c>
      <c r="D55" s="64">
        <f>ROUNDUP(D54*1.4,0)</f>
        <v>35</v>
      </c>
      <c r="E55" s="64">
        <f>ROUNDUP(E54*1.2,0)</f>
        <v>9</v>
      </c>
      <c r="F55" s="64">
        <f>F54</f>
        <v>2</v>
      </c>
      <c r="G55" s="64">
        <f>ROUNDUP(G54*(1-30%),1)</f>
        <v>1.1000000000000001</v>
      </c>
      <c r="H55" s="64">
        <f>ROUNDUP(H54*(1+30%),0)</f>
        <v>39</v>
      </c>
      <c r="I55" s="65">
        <f>ROUNDUP(I54*(1+10%),1)</f>
        <v>1.1000000000000001</v>
      </c>
      <c r="J55" s="65">
        <f>J54+10</f>
        <v>25</v>
      </c>
      <c r="K55" s="177" t="s">
        <v>105</v>
      </c>
      <c r="L55" s="174">
        <f>IF(L52="Ground",0,1)</f>
        <v>0</v>
      </c>
    </row>
    <row r="56" spans="2:12" ht="26.25" customHeight="1" thickBot="1" x14ac:dyDescent="0.25">
      <c r="B56" s="186" t="s">
        <v>169</v>
      </c>
      <c r="C56" s="180">
        <f>ROUNDUP(C55*(1+30%),0)</f>
        <v>26</v>
      </c>
      <c r="D56" s="71">
        <f>ROUNDUP(D55*1.4,0)</f>
        <v>49</v>
      </c>
      <c r="E56" s="71">
        <f>ROUNDUP(E55*1.2,0)</f>
        <v>11</v>
      </c>
      <c r="F56" s="71">
        <f>F55</f>
        <v>2</v>
      </c>
      <c r="G56" s="71">
        <f>ROUNDUP(G55*(1-30%),1)</f>
        <v>0.79999999999999993</v>
      </c>
      <c r="H56" s="71">
        <f>ROUNDUP(H55*(1+30%),0)</f>
        <v>51</v>
      </c>
      <c r="I56" s="72">
        <f>ROUNDUP(I55*(1+10%),1)</f>
        <v>1.3</v>
      </c>
      <c r="J56" s="72">
        <f>ROUNDUP(J55*(1+50%),0)</f>
        <v>38</v>
      </c>
      <c r="K56" s="182" t="s">
        <v>106</v>
      </c>
      <c r="L56" s="174">
        <f>IF(L52="Ground",0,1)</f>
        <v>0</v>
      </c>
    </row>
    <row r="57" spans="2:12" ht="29.25" thickBot="1" x14ac:dyDescent="0.25">
      <c r="B57" s="187" t="s">
        <v>180</v>
      </c>
    </row>
    <row r="58" spans="2:12" ht="15" thickBot="1" x14ac:dyDescent="0.25">
      <c r="B58" s="213"/>
    </row>
    <row r="59" spans="2:12" ht="30.75" customHeight="1" thickBot="1" x14ac:dyDescent="0.25">
      <c r="B59" s="399" t="s">
        <v>181</v>
      </c>
      <c r="C59" s="400"/>
      <c r="D59" s="400"/>
      <c r="E59" s="400"/>
      <c r="F59" s="400"/>
      <c r="G59" s="400"/>
      <c r="H59" s="400"/>
      <c r="I59" s="400"/>
      <c r="J59" s="400"/>
      <c r="K59" s="401"/>
      <c r="L59" s="184" t="s">
        <v>120</v>
      </c>
    </row>
    <row r="60" spans="2:12" ht="21" customHeight="1" thickBot="1" x14ac:dyDescent="0.25">
      <c r="B60" s="55"/>
      <c r="C60" s="56" t="s">
        <v>3</v>
      </c>
      <c r="D60" s="57" t="s">
        <v>4</v>
      </c>
      <c r="E60" s="57" t="s">
        <v>5</v>
      </c>
      <c r="F60" s="58" t="s">
        <v>6</v>
      </c>
      <c r="G60" s="57" t="s">
        <v>18</v>
      </c>
      <c r="H60" s="58" t="s">
        <v>9</v>
      </c>
      <c r="I60" s="58" t="s">
        <v>0</v>
      </c>
      <c r="J60" s="58" t="s">
        <v>10</v>
      </c>
      <c r="K60" s="58" t="s">
        <v>171</v>
      </c>
    </row>
    <row r="61" spans="2:12" ht="21.75" customHeight="1" x14ac:dyDescent="0.2">
      <c r="B61" s="185" t="s">
        <v>17</v>
      </c>
      <c r="C61" s="60">
        <v>10</v>
      </c>
      <c r="D61" s="61">
        <v>40</v>
      </c>
      <c r="E61" s="61">
        <v>8</v>
      </c>
      <c r="F61" s="61">
        <v>1</v>
      </c>
      <c r="G61" s="61">
        <v>1</v>
      </c>
      <c r="H61" s="61">
        <v>35</v>
      </c>
      <c r="I61" s="62">
        <v>1.2</v>
      </c>
      <c r="J61" s="62">
        <v>10</v>
      </c>
      <c r="K61" s="177" t="s">
        <v>107</v>
      </c>
      <c r="L61" s="174">
        <f>IF(L59="Ground",0,1)</f>
        <v>1</v>
      </c>
    </row>
    <row r="62" spans="2:12" ht="24.75" customHeight="1" x14ac:dyDescent="0.2">
      <c r="B62" s="185" t="s">
        <v>83</v>
      </c>
      <c r="C62" s="63">
        <f>ROUNDUP(C61*(1+30%),0)</f>
        <v>13</v>
      </c>
      <c r="D62" s="64">
        <f>ROUNDUP(D61*1.4,0)</f>
        <v>56</v>
      </c>
      <c r="E62" s="64">
        <f>ROUNDUP(E61*1.2,0)</f>
        <v>10</v>
      </c>
      <c r="F62" s="64">
        <f>F61</f>
        <v>1</v>
      </c>
      <c r="G62" s="64">
        <f>ROUNDUP(G61*(1-10%),1)</f>
        <v>0.9</v>
      </c>
      <c r="H62" s="64">
        <f>ROUNDUP(H61*(1+30%),0)</f>
        <v>46</v>
      </c>
      <c r="I62" s="65">
        <f>ROUNDUP(I61*(1+20%),1)</f>
        <v>1.5</v>
      </c>
      <c r="J62" s="65">
        <f>J61+10</f>
        <v>20</v>
      </c>
      <c r="K62" s="177" t="s">
        <v>108</v>
      </c>
      <c r="L62" s="174">
        <f>IF(L59="Ground",0,1)</f>
        <v>1</v>
      </c>
    </row>
    <row r="63" spans="2:12" ht="26.25" customHeight="1" thickBot="1" x14ac:dyDescent="0.25">
      <c r="B63" s="186" t="s">
        <v>84</v>
      </c>
      <c r="C63" s="180">
        <f>ROUNDUP(C62*(1+30%),0)</f>
        <v>17</v>
      </c>
      <c r="D63" s="71">
        <f>ROUNDUP(D62*1.4,0)</f>
        <v>79</v>
      </c>
      <c r="E63" s="71">
        <f>ROUNDUP(E62*1.2,0)</f>
        <v>12</v>
      </c>
      <c r="F63" s="71">
        <f>F62</f>
        <v>1</v>
      </c>
      <c r="G63" s="71">
        <f>ROUNDUP(G62*(1-10%),1)</f>
        <v>0.9</v>
      </c>
      <c r="H63" s="71">
        <f>ROUNDUP(H62*(1+30%),0)</f>
        <v>60</v>
      </c>
      <c r="I63" s="72">
        <f>ROUNDUP(I62*(1+20%),1)</f>
        <v>1.8</v>
      </c>
      <c r="J63" s="72">
        <f>ROUNDUP(J62*(1+50%),0)</f>
        <v>30</v>
      </c>
      <c r="K63" s="182" t="s">
        <v>109</v>
      </c>
      <c r="L63" s="174">
        <f>IF(L59="Ground",0,1)</f>
        <v>1</v>
      </c>
    </row>
    <row r="64" spans="2:12" ht="29.25" thickBot="1" x14ac:dyDescent="0.25">
      <c r="B64" s="187" t="s">
        <v>182</v>
      </c>
      <c r="C64" s="210" t="s">
        <v>218</v>
      </c>
      <c r="D64" s="214">
        <v>1</v>
      </c>
      <c r="E64" s="211" t="s">
        <v>221</v>
      </c>
      <c r="F64" s="214">
        <v>1</v>
      </c>
      <c r="G64" s="211" t="s">
        <v>220</v>
      </c>
      <c r="H64" s="214">
        <v>1</v>
      </c>
      <c r="I64"/>
      <c r="J64"/>
    </row>
    <row r="65" spans="2:12" ht="15" thickBot="1" x14ac:dyDescent="0.25">
      <c r="B65" s="213"/>
    </row>
    <row r="66" spans="2:12" ht="27.75" customHeight="1" thickBot="1" x14ac:dyDescent="0.25">
      <c r="B66" s="399" t="s">
        <v>183</v>
      </c>
      <c r="C66" s="400"/>
      <c r="D66" s="400"/>
      <c r="E66" s="400"/>
      <c r="F66" s="400"/>
      <c r="G66" s="400"/>
      <c r="H66" s="400"/>
      <c r="I66" s="400"/>
      <c r="J66" s="400"/>
      <c r="K66" s="401"/>
      <c r="L66" s="175" t="s">
        <v>124</v>
      </c>
    </row>
    <row r="67" spans="2:12" ht="21.75" customHeight="1" thickBot="1" x14ac:dyDescent="0.25">
      <c r="B67" s="55"/>
      <c r="C67" s="56" t="s">
        <v>3</v>
      </c>
      <c r="D67" s="57" t="s">
        <v>4</v>
      </c>
      <c r="E67" s="57" t="s">
        <v>5</v>
      </c>
      <c r="F67" s="58" t="s">
        <v>6</v>
      </c>
      <c r="G67" s="57" t="s">
        <v>18</v>
      </c>
      <c r="H67" s="58" t="s">
        <v>9</v>
      </c>
      <c r="I67" s="58" t="s">
        <v>0</v>
      </c>
      <c r="J67" s="58" t="s">
        <v>10</v>
      </c>
      <c r="K67" s="58" t="s">
        <v>171</v>
      </c>
    </row>
    <row r="68" spans="2:12" ht="20.25" customHeight="1" x14ac:dyDescent="0.2">
      <c r="B68" s="59" t="s">
        <v>85</v>
      </c>
      <c r="C68" s="60">
        <v>15</v>
      </c>
      <c r="D68" s="61">
        <v>70</v>
      </c>
      <c r="E68" s="61">
        <v>10</v>
      </c>
      <c r="F68" s="61">
        <v>1</v>
      </c>
      <c r="G68" s="61">
        <v>1.3</v>
      </c>
      <c r="H68" s="61">
        <v>45</v>
      </c>
      <c r="I68" s="62">
        <v>0.6</v>
      </c>
      <c r="J68" s="62">
        <v>0</v>
      </c>
      <c r="K68" s="177" t="s">
        <v>110</v>
      </c>
      <c r="L68" s="174">
        <f>IF(L66="Ground",0,1)</f>
        <v>0</v>
      </c>
    </row>
    <row r="69" spans="2:12" ht="21.75" customHeight="1" x14ac:dyDescent="0.2">
      <c r="B69" s="59" t="s">
        <v>191</v>
      </c>
      <c r="C69" s="63">
        <f>ROUNDUP(C68*(1+30%),0)</f>
        <v>20</v>
      </c>
      <c r="D69" s="64">
        <f>ROUNDUP(D68*1.5,0)</f>
        <v>105</v>
      </c>
      <c r="E69" s="64">
        <f>ROUNDUP(E68*1.1,0)</f>
        <v>11</v>
      </c>
      <c r="F69" s="64">
        <f>F68</f>
        <v>1</v>
      </c>
      <c r="G69" s="64">
        <f>ROUNDUP(G68*(1-10%),1)</f>
        <v>1.2000000000000002</v>
      </c>
      <c r="H69" s="64">
        <f>ROUNDUP(H68*(1+30%),0)</f>
        <v>59</v>
      </c>
      <c r="I69" s="65">
        <f>ROUNDUP(I68*(1+10%),1)</f>
        <v>0.7</v>
      </c>
      <c r="J69" s="65">
        <v>0</v>
      </c>
      <c r="K69" s="177" t="s">
        <v>111</v>
      </c>
      <c r="L69" s="174">
        <f>IF(L66="Ground",0,1)</f>
        <v>0</v>
      </c>
    </row>
    <row r="70" spans="2:12" ht="22.5" customHeight="1" thickBot="1" x14ac:dyDescent="0.25">
      <c r="B70" s="179" t="s">
        <v>192</v>
      </c>
      <c r="C70" s="180">
        <f>ROUNDUP(C69*(1+30%),0)</f>
        <v>26</v>
      </c>
      <c r="D70" s="71">
        <f>ROUNDUP(D69*1.5,0)</f>
        <v>158</v>
      </c>
      <c r="E70" s="71">
        <f>ROUNDUP(E69*1.1,0)</f>
        <v>13</v>
      </c>
      <c r="F70" s="71">
        <f>F69</f>
        <v>1</v>
      </c>
      <c r="G70" s="71">
        <f>ROUNDUP(G69*(1-20%),1)</f>
        <v>1</v>
      </c>
      <c r="H70" s="71">
        <f>ROUNDUP(H69*(1+30%),0)</f>
        <v>77</v>
      </c>
      <c r="I70" s="72">
        <f>ROUNDUP(I69*(1+10%),1)</f>
        <v>0.79999999999999993</v>
      </c>
      <c r="J70" s="72">
        <v>0</v>
      </c>
      <c r="K70" s="182" t="s">
        <v>112</v>
      </c>
      <c r="L70" s="174">
        <f>IF(L66="Ground",0,1)</f>
        <v>0</v>
      </c>
    </row>
    <row r="100" spans="2:3" x14ac:dyDescent="0.2">
      <c r="B100" s="52" t="s">
        <v>11</v>
      </c>
      <c r="C100" s="50">
        <v>1</v>
      </c>
    </row>
    <row r="101" spans="2:3" x14ac:dyDescent="0.2">
      <c r="B101" s="52" t="s">
        <v>71</v>
      </c>
      <c r="C101" s="50">
        <v>2</v>
      </c>
    </row>
    <row r="102" spans="2:3" x14ac:dyDescent="0.2">
      <c r="B102" s="52" t="s">
        <v>72</v>
      </c>
      <c r="C102" s="50">
        <v>3</v>
      </c>
    </row>
    <row r="103" spans="2:3" x14ac:dyDescent="0.2">
      <c r="B103" s="52" t="s">
        <v>12</v>
      </c>
      <c r="C103" s="50">
        <v>4</v>
      </c>
    </row>
    <row r="104" spans="2:3" x14ac:dyDescent="0.2">
      <c r="B104" s="52" t="s">
        <v>73</v>
      </c>
      <c r="C104" s="50">
        <v>5</v>
      </c>
    </row>
    <row r="105" spans="2:3" x14ac:dyDescent="0.2">
      <c r="B105" s="52" t="s">
        <v>74</v>
      </c>
      <c r="C105" s="50">
        <v>6</v>
      </c>
    </row>
    <row r="106" spans="2:3" x14ac:dyDescent="0.2">
      <c r="B106" s="52" t="s">
        <v>13</v>
      </c>
      <c r="C106" s="50">
        <v>7</v>
      </c>
    </row>
    <row r="107" spans="2:3" x14ac:dyDescent="0.2">
      <c r="B107" s="52" t="s">
        <v>196</v>
      </c>
      <c r="C107" s="50">
        <v>8</v>
      </c>
    </row>
    <row r="108" spans="2:3" x14ac:dyDescent="0.2">
      <c r="B108" s="52" t="s">
        <v>75</v>
      </c>
      <c r="C108" s="50">
        <v>9</v>
      </c>
    </row>
    <row r="109" spans="2:3" x14ac:dyDescent="0.2">
      <c r="B109" s="52" t="s">
        <v>14</v>
      </c>
      <c r="C109" s="50">
        <v>10</v>
      </c>
    </row>
    <row r="110" spans="2:3" x14ac:dyDescent="0.2">
      <c r="B110" s="52" t="s">
        <v>76</v>
      </c>
      <c r="C110" s="50">
        <v>11</v>
      </c>
    </row>
    <row r="111" spans="2:3" x14ac:dyDescent="0.2">
      <c r="B111" s="52" t="s">
        <v>77</v>
      </c>
      <c r="C111" s="50">
        <v>12</v>
      </c>
    </row>
    <row r="112" spans="2:3" x14ac:dyDescent="0.2">
      <c r="B112" s="52" t="s">
        <v>15</v>
      </c>
      <c r="C112" s="50">
        <v>13</v>
      </c>
    </row>
    <row r="113" spans="2:3" x14ac:dyDescent="0.2">
      <c r="B113" s="52" t="s">
        <v>78</v>
      </c>
      <c r="C113" s="50">
        <v>14</v>
      </c>
    </row>
    <row r="114" spans="2:3" x14ac:dyDescent="0.2">
      <c r="B114" s="52" t="s">
        <v>79</v>
      </c>
      <c r="C114" s="50">
        <v>15</v>
      </c>
    </row>
    <row r="115" spans="2:3" x14ac:dyDescent="0.2">
      <c r="B115" s="52" t="s">
        <v>16</v>
      </c>
      <c r="C115" s="50">
        <v>16</v>
      </c>
    </row>
    <row r="116" spans="2:3" x14ac:dyDescent="0.2">
      <c r="B116" s="52" t="s">
        <v>80</v>
      </c>
      <c r="C116" s="50">
        <v>17</v>
      </c>
    </row>
    <row r="117" spans="2:3" x14ac:dyDescent="0.2">
      <c r="B117" s="52" t="s">
        <v>81</v>
      </c>
      <c r="C117" s="50">
        <v>18</v>
      </c>
    </row>
    <row r="118" spans="2:3" x14ac:dyDescent="0.2">
      <c r="B118" s="52" t="s">
        <v>82</v>
      </c>
      <c r="C118" s="50">
        <v>19</v>
      </c>
    </row>
    <row r="119" spans="2:3" x14ac:dyDescent="0.2">
      <c r="B119" s="52" t="s">
        <v>151</v>
      </c>
      <c r="C119" s="50">
        <v>20</v>
      </c>
    </row>
    <row r="120" spans="2:3" x14ac:dyDescent="0.2">
      <c r="B120" s="52" t="s">
        <v>169</v>
      </c>
      <c r="C120" s="50">
        <v>21</v>
      </c>
    </row>
    <row r="121" spans="2:3" x14ac:dyDescent="0.2">
      <c r="B121" s="52" t="s">
        <v>17</v>
      </c>
      <c r="C121" s="50">
        <v>22</v>
      </c>
    </row>
    <row r="122" spans="2:3" x14ac:dyDescent="0.2">
      <c r="B122" s="52" t="s">
        <v>83</v>
      </c>
      <c r="C122" s="50">
        <v>23</v>
      </c>
    </row>
    <row r="123" spans="2:3" x14ac:dyDescent="0.2">
      <c r="B123" s="52" t="s">
        <v>84</v>
      </c>
      <c r="C123" s="50">
        <v>24</v>
      </c>
    </row>
    <row r="124" spans="2:3" x14ac:dyDescent="0.2">
      <c r="B124" s="52" t="s">
        <v>85</v>
      </c>
      <c r="C124" s="50">
        <v>25</v>
      </c>
    </row>
    <row r="125" spans="2:3" x14ac:dyDescent="0.2">
      <c r="B125" s="52" t="s">
        <v>191</v>
      </c>
      <c r="C125" s="50">
        <v>26</v>
      </c>
    </row>
    <row r="126" spans="2:3" x14ac:dyDescent="0.2">
      <c r="B126" s="52" t="s">
        <v>192</v>
      </c>
      <c r="C126" s="50">
        <v>27</v>
      </c>
    </row>
    <row r="127" spans="2:3" x14ac:dyDescent="0.2">
      <c r="C127" s="50">
        <v>28</v>
      </c>
    </row>
    <row r="128" spans="2:3" x14ac:dyDescent="0.2">
      <c r="C128" s="50">
        <v>29</v>
      </c>
    </row>
    <row r="129" spans="2:3" x14ac:dyDescent="0.2">
      <c r="C129" s="50">
        <v>30</v>
      </c>
    </row>
    <row r="139" spans="2:3" x14ac:dyDescent="0.2">
      <c r="B139" s="50" t="str">
        <f>F42</f>
        <v>Blind Tommy Science</v>
      </c>
    </row>
  </sheetData>
  <mergeCells count="10">
    <mergeCell ref="B2:K5"/>
    <mergeCell ref="B44:K44"/>
    <mergeCell ref="B52:K52"/>
    <mergeCell ref="B59:K59"/>
    <mergeCell ref="B66:K66"/>
    <mergeCell ref="B7:K7"/>
    <mergeCell ref="B14:K14"/>
    <mergeCell ref="B22:K22"/>
    <mergeCell ref="B30:K30"/>
    <mergeCell ref="B37:K37"/>
  </mergeCells>
  <phoneticPr fontId="21" type="noConversion"/>
  <dataValidations count="2">
    <dataValidation type="list" allowBlank="1" showInputMessage="1" showErrorMessage="1" sqref="D64 H49 D49 F49 D42 J50 H64 F64">
      <formula1>$C$100:$C$129</formula1>
    </dataValidation>
    <dataValidation type="list" allowBlank="1" showInputMessage="1" showErrorMessage="1" sqref="F42">
      <formula1>$B$100:$B$126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139"/>
  <sheetViews>
    <sheetView topLeftCell="A43" zoomScale="80" zoomScaleNormal="80" workbookViewId="0">
      <selection activeCell="H69" sqref="H69"/>
    </sheetView>
  </sheetViews>
  <sheetFormatPr defaultColWidth="11.375" defaultRowHeight="13.5" x14ac:dyDescent="0.15"/>
  <cols>
    <col min="1" max="1" width="22.625" customWidth="1" collapsed="1"/>
    <col min="2" max="2" width="16.75" customWidth="1" collapsed="1"/>
    <col min="3" max="3" width="13.375" customWidth="1" collapsed="1"/>
    <col min="4" max="4" width="17.375" customWidth="1" collapsed="1"/>
    <col min="5" max="5" width="15.375" customWidth="1" collapsed="1"/>
    <col min="6" max="6" width="14" customWidth="1" collapsed="1"/>
    <col min="7" max="7" width="13.125" customWidth="1" collapsed="1"/>
    <col min="8" max="8" width="25" customWidth="1" collapsed="1"/>
    <col min="9" max="10" width="21.75" customWidth="1" collapsed="1"/>
    <col min="11" max="11" width="15.75" hidden="1" customWidth="1" collapsed="1"/>
    <col min="12" max="12" width="16.375" customWidth="1" collapsed="1"/>
    <col min="13" max="13" width="15" customWidth="1" collapsed="1"/>
    <col min="14" max="14" width="21.875" customWidth="1" collapsed="1"/>
    <col min="15" max="15" width="19.625" customWidth="1" collapsed="1"/>
    <col min="16" max="16" width="16.125" customWidth="1" collapsed="1"/>
    <col min="17" max="17" width="20.75" customWidth="1" collapsed="1"/>
    <col min="18" max="18" width="14.125" customWidth="1" collapsed="1"/>
    <col min="19" max="19" width="15.875" customWidth="1" collapsed="1"/>
    <col min="20" max="20" width="21.625" customWidth="1" collapsed="1"/>
  </cols>
  <sheetData>
    <row r="1" spans="1:21" x14ac:dyDescent="0.15">
      <c r="A1" s="1"/>
      <c r="B1" s="2"/>
      <c r="C1" s="2"/>
      <c r="D1" s="2"/>
      <c r="E1" s="2"/>
      <c r="F1" s="2"/>
      <c r="G1" s="2"/>
      <c r="H1" s="2"/>
      <c r="I1" s="4"/>
    </row>
    <row r="2" spans="1:21" hidden="1" x14ac:dyDescent="0.15">
      <c r="A2" s="3" t="s">
        <v>209</v>
      </c>
      <c r="B2" s="4">
        <v>1</v>
      </c>
      <c r="C2" s="4">
        <v>1</v>
      </c>
      <c r="D2" s="21">
        <v>1</v>
      </c>
      <c r="E2" s="21">
        <v>1</v>
      </c>
      <c r="F2" s="21">
        <v>1</v>
      </c>
      <c r="G2" s="21">
        <v>1</v>
      </c>
      <c r="H2" s="21">
        <v>1</v>
      </c>
      <c r="I2" s="21"/>
      <c r="K2" s="200">
        <v>1</v>
      </c>
      <c r="L2" s="200"/>
      <c r="M2" s="200"/>
      <c r="N2" s="200"/>
      <c r="O2" s="200"/>
      <c r="P2" s="200"/>
      <c r="Q2" s="200"/>
      <c r="R2" s="200"/>
      <c r="S2" s="200"/>
      <c r="T2" s="200"/>
    </row>
    <row r="3" spans="1:21" x14ac:dyDescent="0.15">
      <c r="A3" s="3"/>
      <c r="B3" s="4"/>
      <c r="C3" s="4"/>
      <c r="D3" s="4"/>
      <c r="E3" s="4"/>
      <c r="F3" s="4"/>
      <c r="G3" s="4"/>
      <c r="H3" s="4"/>
      <c r="I3" s="4"/>
      <c r="J3" s="197"/>
      <c r="K3" s="201"/>
      <c r="L3" s="201"/>
      <c r="M3" s="201"/>
      <c r="N3" s="201"/>
      <c r="O3" s="201"/>
      <c r="P3" s="201"/>
      <c r="Q3" s="201"/>
      <c r="R3" s="201"/>
      <c r="S3" s="201"/>
      <c r="T3" s="201"/>
      <c r="U3" s="4"/>
    </row>
    <row r="4" spans="1:21" x14ac:dyDescent="0.15">
      <c r="A4" s="3"/>
      <c r="B4" s="4"/>
      <c r="C4" s="4"/>
      <c r="D4" s="4"/>
      <c r="E4" s="4"/>
      <c r="F4" s="4"/>
      <c r="G4" s="4"/>
      <c r="H4" s="4"/>
      <c r="I4" s="4"/>
      <c r="J4" s="4"/>
      <c r="K4" s="201"/>
      <c r="L4" s="201"/>
      <c r="M4" s="201"/>
      <c r="N4" s="201"/>
      <c r="O4" s="201"/>
      <c r="P4" s="201"/>
      <c r="Q4" s="201"/>
      <c r="R4" s="201"/>
      <c r="S4" s="201"/>
      <c r="T4" s="201"/>
      <c r="U4" s="4"/>
    </row>
    <row r="5" spans="1:21" ht="14.25" thickBot="1" x14ac:dyDescent="0.2">
      <c r="H5" s="4"/>
      <c r="I5" s="4"/>
      <c r="J5" s="4"/>
      <c r="K5" s="201"/>
      <c r="L5" s="202"/>
      <c r="M5" s="202"/>
      <c r="N5" s="202"/>
      <c r="O5" s="202"/>
      <c r="P5" s="202"/>
      <c r="Q5" s="202"/>
      <c r="R5" s="202"/>
      <c r="S5" s="202"/>
      <c r="T5" s="201"/>
      <c r="U5" s="4"/>
    </row>
    <row r="6" spans="1:21" x14ac:dyDescent="0.15">
      <c r="B6" s="452" t="s">
        <v>118</v>
      </c>
      <c r="C6" s="453"/>
      <c r="D6" s="453"/>
      <c r="E6" s="453"/>
      <c r="F6" s="453"/>
      <c r="G6" s="453"/>
      <c r="H6" s="453"/>
      <c r="I6" s="454"/>
      <c r="J6" s="4"/>
      <c r="K6" s="201"/>
      <c r="L6" s="203"/>
      <c r="M6" s="203"/>
      <c r="N6" s="203"/>
      <c r="O6" s="203"/>
      <c r="P6" s="203"/>
      <c r="Q6" s="203"/>
      <c r="R6" s="203"/>
      <c r="S6" s="203"/>
      <c r="T6" s="201"/>
      <c r="U6" s="4"/>
    </row>
    <row r="7" spans="1:21" ht="20.25" customHeight="1" x14ac:dyDescent="0.2">
      <c r="B7" s="455"/>
      <c r="C7" s="456"/>
      <c r="D7" s="456"/>
      <c r="E7" s="456"/>
      <c r="F7" s="456"/>
      <c r="G7" s="456"/>
      <c r="H7" s="456"/>
      <c r="I7" s="457"/>
      <c r="J7" s="4"/>
      <c r="K7" s="201"/>
      <c r="L7" s="198"/>
      <c r="M7" s="199"/>
      <c r="N7" s="199"/>
      <c r="O7" s="199"/>
      <c r="P7" s="199"/>
      <c r="Q7" s="199"/>
      <c r="R7" s="199"/>
      <c r="S7" s="199"/>
      <c r="T7" s="201"/>
      <c r="U7" s="4"/>
    </row>
    <row r="8" spans="1:21" ht="17.25" customHeight="1" x14ac:dyDescent="0.2">
      <c r="B8" s="455"/>
      <c r="C8" s="456"/>
      <c r="D8" s="456"/>
      <c r="E8" s="456"/>
      <c r="F8" s="456"/>
      <c r="G8" s="456"/>
      <c r="H8" s="456"/>
      <c r="I8" s="457"/>
      <c r="J8" s="4"/>
      <c r="K8" s="201"/>
      <c r="L8" s="198"/>
      <c r="M8" s="199"/>
      <c r="N8" s="199"/>
      <c r="O8" s="199"/>
      <c r="P8" s="199"/>
      <c r="Q8" s="199"/>
      <c r="R8" s="199"/>
      <c r="S8" s="199"/>
      <c r="T8" s="201"/>
      <c r="U8" s="4"/>
    </row>
    <row r="9" spans="1:21" ht="20.25" customHeight="1" x14ac:dyDescent="0.2">
      <c r="B9" s="455"/>
      <c r="C9" s="456"/>
      <c r="D9" s="456"/>
      <c r="E9" s="456"/>
      <c r="F9" s="456"/>
      <c r="G9" s="456"/>
      <c r="H9" s="456"/>
      <c r="I9" s="457"/>
      <c r="J9" s="4"/>
      <c r="K9" s="201"/>
      <c r="L9" s="198"/>
      <c r="M9" s="199"/>
      <c r="N9" s="199"/>
      <c r="O9" s="199"/>
      <c r="P9" s="199"/>
      <c r="Q9" s="199"/>
      <c r="R9" s="199"/>
      <c r="S9" s="199"/>
      <c r="T9" s="201"/>
      <c r="U9" s="4"/>
    </row>
    <row r="10" spans="1:21" ht="21" customHeight="1" thickBot="1" x14ac:dyDescent="0.25">
      <c r="A10" s="13"/>
      <c r="B10" s="458"/>
      <c r="C10" s="459"/>
      <c r="D10" s="459"/>
      <c r="E10" s="459"/>
      <c r="F10" s="459"/>
      <c r="G10" s="459"/>
      <c r="H10" s="459"/>
      <c r="I10" s="460"/>
      <c r="J10" s="4"/>
      <c r="K10" s="201"/>
      <c r="L10" s="198"/>
      <c r="M10" s="199"/>
      <c r="N10" s="199"/>
      <c r="O10" s="199"/>
      <c r="P10" s="199"/>
      <c r="Q10" s="199"/>
      <c r="R10" s="199"/>
      <c r="S10" s="199"/>
      <c r="T10" s="201"/>
      <c r="U10" s="4"/>
    </row>
    <row r="11" spans="1:21" ht="14.25" x14ac:dyDescent="0.2">
      <c r="A11" s="4"/>
      <c r="B11" s="4"/>
      <c r="C11" s="4"/>
      <c r="D11" s="4"/>
      <c r="E11" s="4"/>
      <c r="F11" s="4"/>
      <c r="G11" s="4"/>
      <c r="H11" s="4"/>
      <c r="I11" s="4"/>
      <c r="J11" s="4"/>
      <c r="K11" s="201"/>
      <c r="L11" s="204"/>
      <c r="M11" s="204"/>
      <c r="N11" s="201"/>
      <c r="O11" s="201"/>
      <c r="P11" s="201"/>
      <c r="Q11" s="201"/>
      <c r="R11" s="201"/>
      <c r="S11" s="201"/>
      <c r="T11" s="201"/>
      <c r="U11" s="4"/>
    </row>
    <row r="12" spans="1:21" ht="14.25" x14ac:dyDescent="0.2">
      <c r="A12" s="3"/>
      <c r="B12" s="4"/>
      <c r="C12" s="4"/>
      <c r="D12" s="4"/>
      <c r="E12" s="4"/>
      <c r="F12" s="4"/>
      <c r="G12" s="4"/>
      <c r="H12" s="4"/>
      <c r="I12" s="4"/>
      <c r="J12" s="4"/>
      <c r="K12" s="201"/>
      <c r="L12" s="198"/>
      <c r="M12" s="199"/>
      <c r="N12" s="201"/>
      <c r="O12" s="201"/>
      <c r="P12" s="201"/>
      <c r="Q12" s="201"/>
      <c r="R12" s="201"/>
      <c r="S12" s="201"/>
      <c r="T12" s="201"/>
      <c r="U12" s="4"/>
    </row>
    <row r="13" spans="1:21" ht="14.25" x14ac:dyDescent="0.2">
      <c r="A13" s="15"/>
      <c r="B13" s="16"/>
      <c r="C13" s="16"/>
      <c r="D13" s="4"/>
      <c r="E13" s="4"/>
      <c r="F13" s="4"/>
      <c r="G13" s="4"/>
      <c r="H13" s="4"/>
      <c r="I13" s="4"/>
      <c r="J13" s="4"/>
      <c r="K13" s="201"/>
      <c r="L13" s="198"/>
      <c r="M13" s="199"/>
      <c r="N13" s="201"/>
      <c r="O13" s="201"/>
      <c r="P13" s="201"/>
      <c r="Q13" s="201"/>
      <c r="R13" s="201"/>
      <c r="S13" s="201"/>
      <c r="T13" s="201"/>
      <c r="U13" s="4"/>
    </row>
    <row r="14" spans="1:21" x14ac:dyDescent="0.15">
      <c r="A14" s="17" t="s">
        <v>217</v>
      </c>
      <c r="B14" s="16">
        <v>4</v>
      </c>
      <c r="C14" s="16"/>
      <c r="D14" s="4"/>
      <c r="E14" s="4"/>
      <c r="F14" s="4"/>
      <c r="G14" s="4"/>
      <c r="H14" s="4"/>
      <c r="I14" s="4"/>
      <c r="J14" s="4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4"/>
    </row>
    <row r="15" spans="1:21" ht="15" thickBot="1" x14ac:dyDescent="0.25">
      <c r="A15" s="3"/>
      <c r="B15" s="464"/>
      <c r="C15" s="464"/>
      <c r="D15" s="464"/>
      <c r="E15" s="464"/>
      <c r="F15" s="464"/>
      <c r="G15" s="464"/>
      <c r="H15" s="464"/>
      <c r="I15" s="4"/>
      <c r="J15" s="4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U15" s="4"/>
    </row>
    <row r="16" spans="1:21" ht="15" thickBot="1" x14ac:dyDescent="0.25">
      <c r="A16" s="461" t="s">
        <v>1</v>
      </c>
      <c r="B16" s="462"/>
      <c r="C16" s="462"/>
      <c r="D16" s="462"/>
      <c r="E16" s="462"/>
      <c r="F16" s="462"/>
      <c r="G16" s="463"/>
      <c r="H16" s="18"/>
      <c r="I16" s="4"/>
      <c r="J16" s="4"/>
      <c r="K16" s="204"/>
      <c r="L16" s="204"/>
      <c r="M16" s="204"/>
      <c r="N16" s="204"/>
      <c r="O16" s="204"/>
      <c r="P16" s="204"/>
      <c r="Q16" s="204"/>
      <c r="R16" s="204"/>
      <c r="S16" s="204"/>
      <c r="T16" s="204"/>
      <c r="U16" s="4"/>
    </row>
    <row r="17" spans="1:22" ht="15" thickBot="1" x14ac:dyDescent="0.25">
      <c r="A17" s="5" t="s">
        <v>2</v>
      </c>
      <c r="B17" s="6" t="s">
        <v>3</v>
      </c>
      <c r="C17" s="6" t="s">
        <v>4</v>
      </c>
      <c r="D17" s="6" t="s">
        <v>5</v>
      </c>
      <c r="E17" s="6" t="s">
        <v>6</v>
      </c>
      <c r="F17" s="6" t="s">
        <v>7</v>
      </c>
      <c r="G17" s="7" t="s">
        <v>8</v>
      </c>
      <c r="H17" s="196"/>
      <c r="J17" s="4"/>
      <c r="K17" s="204"/>
      <c r="L17" s="205"/>
      <c r="M17" s="205"/>
      <c r="N17" s="205"/>
      <c r="O17" s="205"/>
      <c r="P17" s="205"/>
      <c r="Q17" s="205"/>
      <c r="R17" s="205"/>
      <c r="S17" s="205"/>
      <c r="T17" s="205"/>
      <c r="U17" s="4"/>
    </row>
    <row r="18" spans="1:22" ht="14.25" x14ac:dyDescent="0.2">
      <c r="A18" s="9" t="s">
        <v>210</v>
      </c>
      <c r="B18" s="10">
        <f t="shared" ref="B18:G18" si="0">IF($A$18="Gun tower", B29, IF($A$18="Cannon tower", B40,IF($A$18="Poison Tower",B54,IF($A$18="Electric tower", B69, IF($A$18="Scythe tower", B84, IF($A$18="Towernaut", B100, ""))))))</f>
        <v>13</v>
      </c>
      <c r="C18" s="10">
        <f t="shared" si="0"/>
        <v>60</v>
      </c>
      <c r="D18" s="10">
        <f t="shared" si="0"/>
        <v>5</v>
      </c>
      <c r="E18" s="10">
        <f t="shared" si="0"/>
        <v>2</v>
      </c>
      <c r="F18" s="10">
        <f t="shared" si="0"/>
        <v>2.5</v>
      </c>
      <c r="G18" s="10">
        <f t="shared" si="0"/>
        <v>120</v>
      </c>
      <c r="H18" s="18"/>
      <c r="J18" s="4"/>
      <c r="K18" s="198"/>
      <c r="L18" s="199"/>
      <c r="M18" s="199"/>
      <c r="N18" s="199"/>
      <c r="O18" s="199"/>
      <c r="P18" s="199"/>
      <c r="Q18" s="199"/>
      <c r="R18" s="199"/>
      <c r="S18" s="199"/>
      <c r="T18" s="199"/>
      <c r="U18" s="4"/>
    </row>
    <row r="19" spans="1:22" ht="14.25" x14ac:dyDescent="0.2">
      <c r="A19" s="11" t="s">
        <v>113</v>
      </c>
      <c r="B19" s="10">
        <f t="shared" ref="B19:G19" si="1">IF($A$18="Gun tower", B30, IF($A$18="Cannon tower", B41,IF($A$18="Poison Tower",B55,IF($A$18="Electric tower", B70, IF($A$18="Scythe tower", B85, IF($A$18="Towernaut", B101, ""))))))</f>
        <v>19</v>
      </c>
      <c r="C19" s="10">
        <f t="shared" si="1"/>
        <v>72</v>
      </c>
      <c r="D19" s="10">
        <f t="shared" si="1"/>
        <v>6</v>
      </c>
      <c r="E19" s="10">
        <f t="shared" si="1"/>
        <v>3</v>
      </c>
      <c r="F19" s="10">
        <f t="shared" si="1"/>
        <v>2.3000000000000003</v>
      </c>
      <c r="G19" s="10">
        <f t="shared" si="1"/>
        <v>180</v>
      </c>
      <c r="H19" s="196"/>
      <c r="J19" s="4"/>
      <c r="K19" s="198"/>
      <c r="L19" s="199"/>
      <c r="M19" s="199"/>
      <c r="N19" s="199"/>
      <c r="O19" s="199"/>
      <c r="P19" s="199"/>
      <c r="Q19" s="199"/>
      <c r="R19" s="199"/>
      <c r="S19" s="199"/>
      <c r="T19" s="199"/>
      <c r="U19" s="4"/>
    </row>
    <row r="20" spans="1:22" ht="15" thickBot="1" x14ac:dyDescent="0.25">
      <c r="A20" s="12" t="s">
        <v>114</v>
      </c>
      <c r="B20" s="10">
        <f t="shared" ref="B20:G20" si="2">IF($A$18="Gun tower", B31, IF($A$18="Cannon tower", B42,IF($A$18="Poison Tower",B56,IF($A$18="Electric tower", B71, IF($A$18="Scythe tower", B86, IF($A$18="Towernaut", B102, ""))))))</f>
        <v>27</v>
      </c>
      <c r="C20" s="10">
        <f t="shared" si="2"/>
        <v>87</v>
      </c>
      <c r="D20" s="10">
        <f t="shared" si="2"/>
        <v>7</v>
      </c>
      <c r="E20" s="10">
        <f t="shared" si="2"/>
        <v>4</v>
      </c>
      <c r="F20" s="10">
        <f t="shared" si="2"/>
        <v>2</v>
      </c>
      <c r="G20" s="10">
        <f t="shared" si="2"/>
        <v>270</v>
      </c>
      <c r="H20" s="196"/>
      <c r="J20" s="4"/>
      <c r="K20" s="198"/>
      <c r="L20" s="199"/>
      <c r="M20" s="199"/>
      <c r="N20" s="199"/>
      <c r="O20" s="199"/>
      <c r="P20" s="199"/>
      <c r="Q20" s="199"/>
      <c r="R20" s="199"/>
      <c r="S20" s="199"/>
      <c r="T20" s="199"/>
      <c r="U20" s="21"/>
      <c r="V20" s="30"/>
    </row>
    <row r="21" spans="1:22" ht="14.25" x14ac:dyDescent="0.2">
      <c r="B21" s="20"/>
      <c r="C21" s="14"/>
      <c r="D21" s="14"/>
      <c r="E21" s="14"/>
      <c r="F21" s="14"/>
      <c r="G21" s="14"/>
      <c r="H21" s="14"/>
      <c r="I21" s="4"/>
      <c r="J21" s="4"/>
      <c r="K21" s="198"/>
      <c r="L21" s="199"/>
      <c r="M21" s="199"/>
      <c r="N21" s="199"/>
      <c r="O21" s="199"/>
      <c r="P21" s="199"/>
      <c r="Q21" s="199"/>
      <c r="R21" s="199"/>
      <c r="S21" s="199"/>
      <c r="T21" s="199"/>
      <c r="U21" s="21"/>
      <c r="V21" s="30"/>
    </row>
    <row r="22" spans="1:22" ht="14.25" x14ac:dyDescent="0.2">
      <c r="B22" s="20"/>
      <c r="C22" s="14"/>
      <c r="D22" s="14"/>
      <c r="E22" s="14"/>
      <c r="F22" s="14"/>
      <c r="G22" s="14"/>
      <c r="H22" s="14"/>
      <c r="I22" s="4"/>
      <c r="J22" s="4"/>
      <c r="K22" s="198"/>
      <c r="L22" s="199"/>
      <c r="M22" s="199"/>
      <c r="N22" s="199"/>
      <c r="O22" s="199"/>
      <c r="P22" s="199"/>
      <c r="Q22" s="199"/>
      <c r="R22" s="199"/>
      <c r="S22" s="199"/>
      <c r="T22" s="199"/>
      <c r="U22" s="21"/>
      <c r="V22" s="30"/>
    </row>
    <row r="23" spans="1:22" ht="14.25" x14ac:dyDescent="0.2">
      <c r="F23" s="464"/>
      <c r="G23" s="464"/>
      <c r="I23" s="4"/>
      <c r="J23" s="4"/>
      <c r="K23" s="198"/>
      <c r="L23" s="199"/>
      <c r="M23" s="199"/>
      <c r="N23" s="199"/>
      <c r="O23" s="199"/>
      <c r="P23" s="199"/>
      <c r="Q23" s="199"/>
      <c r="R23" s="199"/>
      <c r="S23" s="199"/>
      <c r="T23" s="199"/>
      <c r="U23" s="21"/>
      <c r="V23" s="30"/>
    </row>
    <row r="24" spans="1:22" ht="14.25" x14ac:dyDescent="0.2">
      <c r="F24" s="19"/>
      <c r="G24" s="21"/>
      <c r="I24" s="4"/>
      <c r="J24" s="4"/>
      <c r="K24" s="20"/>
      <c r="L24" s="196"/>
      <c r="M24" s="196"/>
      <c r="N24" s="196"/>
      <c r="O24" s="196"/>
      <c r="P24" s="196"/>
      <c r="Q24" s="196"/>
      <c r="R24" s="196"/>
      <c r="S24" s="196"/>
      <c r="T24" s="196"/>
      <c r="U24" s="21"/>
      <c r="V24" s="30"/>
    </row>
    <row r="25" spans="1:22" ht="14.25" x14ac:dyDescent="0.2">
      <c r="F25" s="20"/>
      <c r="G25" s="21"/>
      <c r="J25" s="4"/>
      <c r="K25" s="21"/>
      <c r="L25" s="21"/>
      <c r="M25" s="21"/>
      <c r="N25" s="21"/>
      <c r="O25" s="21"/>
      <c r="P25" s="21"/>
      <c r="Q25" s="20"/>
      <c r="R25" s="21"/>
      <c r="S25" s="21"/>
      <c r="T25" s="21"/>
      <c r="U25" s="21"/>
      <c r="V25" s="30"/>
    </row>
    <row r="26" spans="1:22" ht="15" thickBot="1" x14ac:dyDescent="0.25">
      <c r="J26" s="22"/>
      <c r="K26" s="30"/>
      <c r="L26" s="30"/>
      <c r="M26" s="30"/>
      <c r="N26" s="30"/>
      <c r="O26" s="30"/>
      <c r="P26" s="30"/>
      <c r="Q26" s="20"/>
      <c r="R26" s="21"/>
      <c r="S26" s="30"/>
      <c r="T26" s="30"/>
      <c r="U26" s="30"/>
      <c r="V26" s="30"/>
    </row>
    <row r="27" spans="1:22" ht="24.95" customHeight="1" thickBot="1" x14ac:dyDescent="0.25">
      <c r="A27" s="399" t="s">
        <v>119</v>
      </c>
      <c r="B27" s="400"/>
      <c r="C27" s="400"/>
      <c r="D27" s="400"/>
      <c r="E27" s="400"/>
      <c r="F27" s="400"/>
      <c r="G27" s="400"/>
      <c r="H27" s="401"/>
      <c r="I27" s="53" t="s">
        <v>120</v>
      </c>
      <c r="K27" s="23"/>
      <c r="M27" s="23"/>
      <c r="N27" s="24"/>
      <c r="O27" s="19"/>
      <c r="P27" s="21"/>
      <c r="Q27" s="21"/>
    </row>
    <row r="28" spans="1:22" ht="24.95" customHeight="1" thickBot="1" x14ac:dyDescent="0.25">
      <c r="A28" s="8"/>
      <c r="B28" s="25" t="s">
        <v>3</v>
      </c>
      <c r="C28" s="26" t="s">
        <v>4</v>
      </c>
      <c r="D28" s="26" t="s">
        <v>5</v>
      </c>
      <c r="E28" s="27" t="s">
        <v>6</v>
      </c>
      <c r="F28" s="26" t="s">
        <v>18</v>
      </c>
      <c r="G28" s="27" t="s">
        <v>8</v>
      </c>
      <c r="H28" s="27" t="s">
        <v>19</v>
      </c>
      <c r="I28" s="27" t="s">
        <v>224</v>
      </c>
      <c r="K28" s="23"/>
      <c r="M28" s="23"/>
      <c r="N28" s="21"/>
      <c r="O28" s="20"/>
      <c r="P28" s="21"/>
      <c r="Q28" s="21"/>
    </row>
    <row r="29" spans="1:22" ht="24.95" customHeight="1" x14ac:dyDescent="0.15">
      <c r="A29" s="28" t="s">
        <v>20</v>
      </c>
      <c r="B29" s="60">
        <v>12</v>
      </c>
      <c r="C29" s="29">
        <v>25</v>
      </c>
      <c r="D29" s="61">
        <v>2</v>
      </c>
      <c r="E29" s="61">
        <v>3</v>
      </c>
      <c r="F29" s="61">
        <v>1</v>
      </c>
      <c r="G29" s="61">
        <v>60</v>
      </c>
      <c r="H29" s="62">
        <v>0</v>
      </c>
      <c r="I29" s="62">
        <v>4</v>
      </c>
      <c r="K29" s="21">
        <f>I29</f>
        <v>4</v>
      </c>
      <c r="M29" s="21"/>
      <c r="N29" s="21"/>
      <c r="O29" s="21"/>
      <c r="P29" s="21"/>
      <c r="Q29" s="21"/>
    </row>
    <row r="30" spans="1:22" ht="24.95" customHeight="1" x14ac:dyDescent="0.15">
      <c r="A30" s="28" t="s">
        <v>21</v>
      </c>
      <c r="B30" s="63">
        <f>ROUNDUP(B29*(1+20%),0)</f>
        <v>15</v>
      </c>
      <c r="C30" s="64">
        <f>ROUNDUP(C29*1.2,0)</f>
        <v>30</v>
      </c>
      <c r="D30" s="64">
        <f t="shared" ref="D30:E32" si="3">ROUNDUP(D29*1.1,0)</f>
        <v>3</v>
      </c>
      <c r="E30" s="64">
        <f t="shared" si="3"/>
        <v>4</v>
      </c>
      <c r="F30" s="64">
        <f>ROUNDUP(F29*(1-10%),1)</f>
        <v>0.9</v>
      </c>
      <c r="G30" s="64">
        <f>ROUNDUP(G29*(1+50%),0)</f>
        <v>90</v>
      </c>
      <c r="H30" s="65">
        <v>0</v>
      </c>
      <c r="I30" s="65">
        <v>5</v>
      </c>
      <c r="J30" s="30"/>
      <c r="K30" s="21">
        <f>I30</f>
        <v>5</v>
      </c>
      <c r="M30" s="447"/>
      <c r="N30" s="447"/>
      <c r="O30" s="447"/>
      <c r="P30" s="447"/>
      <c r="Q30" s="447"/>
      <c r="R30" s="31"/>
      <c r="S30" s="31"/>
    </row>
    <row r="31" spans="1:22" ht="24.95" customHeight="1" thickBot="1" x14ac:dyDescent="0.2">
      <c r="A31" s="32" t="s">
        <v>22</v>
      </c>
      <c r="B31" s="63">
        <f>ROUNDUP(B30*(1+20%),0)</f>
        <v>18</v>
      </c>
      <c r="C31" s="64">
        <f>ROUNDUP(C30*1.2,0)</f>
        <v>36</v>
      </c>
      <c r="D31" s="64">
        <f t="shared" si="3"/>
        <v>4</v>
      </c>
      <c r="E31" s="64">
        <f t="shared" si="3"/>
        <v>5</v>
      </c>
      <c r="F31" s="64">
        <f>ROUNDUP(F30*(1-20%),1)</f>
        <v>0.79999999999999993</v>
      </c>
      <c r="G31" s="64">
        <f>ROUNDUP(G30*(1+50%),0)</f>
        <v>135</v>
      </c>
      <c r="H31" s="65">
        <v>0</v>
      </c>
      <c r="I31" s="65">
        <v>6</v>
      </c>
      <c r="K31" s="21">
        <f>I31</f>
        <v>6</v>
      </c>
      <c r="M31" s="447"/>
      <c r="N31" s="447"/>
      <c r="O31" s="447"/>
      <c r="P31" s="447"/>
      <c r="Q31" s="447"/>
      <c r="R31" s="31"/>
      <c r="S31" s="31"/>
    </row>
    <row r="32" spans="1:22" ht="24.95" customHeight="1" thickBot="1" x14ac:dyDescent="0.25">
      <c r="A32" s="66" t="s">
        <v>121</v>
      </c>
      <c r="B32" s="67">
        <f>ROUNDUP(B31*(1+60%),0)</f>
        <v>29</v>
      </c>
      <c r="C32" s="68">
        <f>ROUNDUP(C31*1.2,0)</f>
        <v>44</v>
      </c>
      <c r="D32" s="68">
        <f t="shared" si="3"/>
        <v>5</v>
      </c>
      <c r="E32" s="68">
        <f>ROUNDUP(E31*0.6,0)</f>
        <v>3</v>
      </c>
      <c r="F32" s="68">
        <f>ROUNDUP(F31*(1-20%),0)</f>
        <v>1</v>
      </c>
      <c r="G32" s="68">
        <f>ROUNDUP(G31*(1+40%),-1)</f>
        <v>190</v>
      </c>
      <c r="H32" s="69">
        <f>ROUNDUP(H31+4,0)</f>
        <v>4</v>
      </c>
      <c r="I32" s="69">
        <v>7</v>
      </c>
      <c r="K32" s="21">
        <f>I32</f>
        <v>7</v>
      </c>
      <c r="M32" s="447"/>
      <c r="N32" s="447"/>
      <c r="O32" s="447"/>
      <c r="P32" s="447"/>
      <c r="Q32" s="447"/>
      <c r="R32" s="19"/>
      <c r="S32" s="21"/>
    </row>
    <row r="33" spans="1:19" ht="24.95" customHeight="1" thickBot="1" x14ac:dyDescent="0.25">
      <c r="A33" s="70" t="s">
        <v>122</v>
      </c>
      <c r="B33" s="71">
        <f>B29</f>
        <v>12</v>
      </c>
      <c r="C33" s="71">
        <f>ROUNDUP(C31*1.2,0)</f>
        <v>44</v>
      </c>
      <c r="D33" s="71">
        <f>ROUNDUP(D31*1.1,0)</f>
        <v>5</v>
      </c>
      <c r="E33" s="71">
        <f>ROUNDUP(E31*1.4,0)</f>
        <v>7</v>
      </c>
      <c r="F33" s="71">
        <f>ROUNDUP(F31*(1-50%),1)</f>
        <v>0.4</v>
      </c>
      <c r="G33" s="71">
        <f>ROUNDUP(G31*(1+50%),-1)</f>
        <v>210</v>
      </c>
      <c r="H33" s="72">
        <f>ROUNDUP(H31,0)</f>
        <v>0</v>
      </c>
      <c r="I33" s="72">
        <v>7</v>
      </c>
      <c r="K33" s="21">
        <f>I33</f>
        <v>7</v>
      </c>
      <c r="M33" s="23"/>
      <c r="N33" s="23"/>
      <c r="O33" s="23"/>
      <c r="P33" s="23"/>
      <c r="Q33" s="23"/>
      <c r="R33" s="19"/>
      <c r="S33" s="21"/>
    </row>
    <row r="34" spans="1:19" ht="31.5" customHeight="1" thickBot="1" x14ac:dyDescent="0.25">
      <c r="A34" s="33" t="s">
        <v>23</v>
      </c>
      <c r="B34" s="448" t="s">
        <v>24</v>
      </c>
      <c r="C34" s="449"/>
      <c r="D34" s="450"/>
      <c r="F34" s="20"/>
      <c r="G34" s="21"/>
      <c r="K34" s="21"/>
      <c r="M34" s="451"/>
      <c r="N34" s="451"/>
      <c r="O34" s="451"/>
      <c r="P34" s="451"/>
      <c r="Q34" s="451"/>
      <c r="R34" s="21"/>
    </row>
    <row r="35" spans="1:19" ht="29.25" customHeight="1" thickBot="1" x14ac:dyDescent="0.25">
      <c r="A35" s="33" t="s">
        <v>25</v>
      </c>
      <c r="B35" s="448" t="s">
        <v>26</v>
      </c>
      <c r="C35" s="449"/>
      <c r="D35" s="450"/>
      <c r="K35" s="20"/>
      <c r="M35" s="34"/>
      <c r="N35" s="34"/>
      <c r="O35" s="34"/>
      <c r="P35" s="34"/>
      <c r="Q35" s="34"/>
      <c r="R35" s="21"/>
    </row>
    <row r="36" spans="1:19" ht="24" customHeight="1" x14ac:dyDescent="0.15">
      <c r="K36" s="21"/>
      <c r="M36" s="34"/>
      <c r="N36" s="34"/>
      <c r="O36" s="34"/>
      <c r="P36" s="34"/>
      <c r="Q36" s="34"/>
      <c r="R36" s="21"/>
    </row>
    <row r="37" spans="1:19" ht="22.5" customHeight="1" thickBot="1" x14ac:dyDescent="0.2">
      <c r="K37" s="21"/>
      <c r="M37" s="34"/>
      <c r="N37" s="34"/>
      <c r="O37" s="34"/>
      <c r="P37" s="34"/>
      <c r="Q37" s="34"/>
      <c r="R37" s="21"/>
    </row>
    <row r="38" spans="1:19" ht="25.5" customHeight="1" thickBot="1" x14ac:dyDescent="0.2">
      <c r="A38" s="399" t="s">
        <v>123</v>
      </c>
      <c r="B38" s="400"/>
      <c r="C38" s="400"/>
      <c r="D38" s="400"/>
      <c r="E38" s="400"/>
      <c r="F38" s="400"/>
      <c r="G38" s="400"/>
      <c r="H38" s="401"/>
      <c r="I38" s="74" t="s">
        <v>124</v>
      </c>
      <c r="K38" s="23"/>
      <c r="M38" s="34"/>
      <c r="N38" s="34"/>
      <c r="O38" s="34"/>
      <c r="P38" s="34"/>
      <c r="Q38" s="34"/>
      <c r="R38" s="21"/>
    </row>
    <row r="39" spans="1:19" ht="23.25" customHeight="1" thickBot="1" x14ac:dyDescent="0.2">
      <c r="A39" s="8"/>
      <c r="B39" s="25" t="s">
        <v>3</v>
      </c>
      <c r="C39" s="26" t="s">
        <v>4</v>
      </c>
      <c r="D39" s="26" t="s">
        <v>5</v>
      </c>
      <c r="E39" s="27" t="s">
        <v>6</v>
      </c>
      <c r="F39" s="26" t="s">
        <v>18</v>
      </c>
      <c r="G39" s="27" t="s">
        <v>8</v>
      </c>
      <c r="H39" s="27" t="s">
        <v>27</v>
      </c>
      <c r="I39" s="27" t="s">
        <v>224</v>
      </c>
      <c r="K39" s="23"/>
      <c r="M39" s="34"/>
      <c r="N39" s="34"/>
      <c r="O39" s="34"/>
      <c r="P39" s="34"/>
      <c r="Q39" s="34"/>
      <c r="R39" s="21"/>
    </row>
    <row r="40" spans="1:19" ht="25.5" customHeight="1" x14ac:dyDescent="0.15">
      <c r="A40" s="35" t="s">
        <v>115</v>
      </c>
      <c r="B40" s="60">
        <v>8</v>
      </c>
      <c r="C40" s="61">
        <v>20</v>
      </c>
      <c r="D40" s="61">
        <v>4</v>
      </c>
      <c r="E40" s="61">
        <v>2</v>
      </c>
      <c r="F40" s="61">
        <v>1.5</v>
      </c>
      <c r="G40" s="61">
        <v>70</v>
      </c>
      <c r="H40" s="75">
        <v>4</v>
      </c>
      <c r="I40" s="62">
        <v>7</v>
      </c>
      <c r="K40" s="21">
        <f>I40</f>
        <v>7</v>
      </c>
      <c r="M40" s="34"/>
      <c r="N40" s="34"/>
      <c r="O40" s="34"/>
      <c r="P40" s="34"/>
      <c r="Q40" s="34"/>
      <c r="R40" s="21"/>
    </row>
    <row r="41" spans="1:19" ht="23.25" customHeight="1" x14ac:dyDescent="0.15">
      <c r="A41" s="35" t="s">
        <v>116</v>
      </c>
      <c r="B41" s="63">
        <f>ROUNDUP(B40*(1+20%),0)</f>
        <v>10</v>
      </c>
      <c r="C41" s="64">
        <f>ROUNDUP(C40*1.2,0)</f>
        <v>24</v>
      </c>
      <c r="D41" s="64">
        <f>ROUNDUP(D40*1.1,0)</f>
        <v>5</v>
      </c>
      <c r="E41" s="64">
        <f>ROUNDUP(E40*1.1,0)</f>
        <v>3</v>
      </c>
      <c r="F41" s="64">
        <f>ROUNDUP(F40*(1-10%),1)</f>
        <v>1.4000000000000001</v>
      </c>
      <c r="G41" s="64">
        <f>ROUNDUP(G40*(1+50%),-1)</f>
        <v>110</v>
      </c>
      <c r="H41" s="76">
        <v>4</v>
      </c>
      <c r="I41" s="65">
        <v>8</v>
      </c>
      <c r="K41" s="21">
        <f>I41</f>
        <v>8</v>
      </c>
      <c r="M41" s="34"/>
      <c r="N41" s="34"/>
      <c r="O41" s="34"/>
      <c r="P41" s="34"/>
      <c r="Q41" s="34"/>
      <c r="R41" s="21"/>
    </row>
    <row r="42" spans="1:19" ht="22.5" customHeight="1" thickBot="1" x14ac:dyDescent="0.25">
      <c r="A42" s="36" t="s">
        <v>117</v>
      </c>
      <c r="B42" s="63">
        <f>ROUNDUP(B41*(1+20%),0)</f>
        <v>12</v>
      </c>
      <c r="C42" s="64">
        <f>ROUNDUP(C41*1.2,0)</f>
        <v>29</v>
      </c>
      <c r="D42" s="64">
        <f>ROUNDUP(D41*1.1,0)</f>
        <v>6</v>
      </c>
      <c r="E42" s="64">
        <f>ROUNDUP(E41*1.1,0)</f>
        <v>4</v>
      </c>
      <c r="F42" s="64">
        <f>ROUNDUP(F41*(1-20%),1)</f>
        <v>1.2000000000000002</v>
      </c>
      <c r="G42" s="64">
        <f>ROUNDUP(G41*(1+50%),-1)</f>
        <v>170</v>
      </c>
      <c r="H42" s="76">
        <v>4</v>
      </c>
      <c r="I42" s="65">
        <v>9</v>
      </c>
      <c r="K42" s="21">
        <f>I42</f>
        <v>9</v>
      </c>
      <c r="Q42" s="20"/>
      <c r="R42" s="21"/>
    </row>
    <row r="43" spans="1:19" ht="21.75" customHeight="1" x14ac:dyDescent="0.2">
      <c r="A43" s="77" t="s">
        <v>125</v>
      </c>
      <c r="B43" s="67">
        <f>ROUNDUP(B42*(1+20%),0)</f>
        <v>15</v>
      </c>
      <c r="C43" s="68">
        <f>ROUNDUP(C42*1.2,0)</f>
        <v>35</v>
      </c>
      <c r="D43" s="68">
        <f>ROUNDUP(D42*1.1,0)</f>
        <v>7</v>
      </c>
      <c r="E43" s="68">
        <f>E42</f>
        <v>4</v>
      </c>
      <c r="F43" s="68">
        <f>ROUNDUP(F42*(1-10%),1)</f>
        <v>1.1000000000000001</v>
      </c>
      <c r="G43" s="68">
        <f>ROUNDUP(G42*(1+40%),-1)</f>
        <v>240</v>
      </c>
      <c r="H43" s="69">
        <v>4</v>
      </c>
      <c r="I43" s="69">
        <v>10</v>
      </c>
      <c r="K43" s="21">
        <f>I43</f>
        <v>10</v>
      </c>
      <c r="Q43" s="20"/>
      <c r="R43" s="21"/>
    </row>
    <row r="44" spans="1:19" ht="21.75" customHeight="1" thickBot="1" x14ac:dyDescent="0.25">
      <c r="A44" s="78" t="s">
        <v>126</v>
      </c>
      <c r="B44" s="71">
        <f>ROUNDUP(B42*(1+60%),0)</f>
        <v>20</v>
      </c>
      <c r="C44" s="71">
        <f>ROUNDUP(C42*1.2,0)</f>
        <v>35</v>
      </c>
      <c r="D44" s="71">
        <f>ROUNDUP(D42*1.1,0)</f>
        <v>7</v>
      </c>
      <c r="E44" s="71">
        <f>E42</f>
        <v>4</v>
      </c>
      <c r="F44" s="71">
        <f>ROUNDUP(F42*(1+10%),1)</f>
        <v>1.4000000000000001</v>
      </c>
      <c r="G44" s="71">
        <f>ROUNDUP(G42*(1+50%),-1)</f>
        <v>260</v>
      </c>
      <c r="H44" s="72">
        <v>9</v>
      </c>
      <c r="I44" s="72">
        <v>10</v>
      </c>
      <c r="K44" s="21">
        <f>I44</f>
        <v>10</v>
      </c>
      <c r="Q44" s="20"/>
      <c r="R44" s="21"/>
    </row>
    <row r="45" spans="1:19" ht="28.5" customHeight="1" thickBot="1" x14ac:dyDescent="0.25">
      <c r="A45" s="73" t="s">
        <v>127</v>
      </c>
      <c r="B45" s="439" t="str">
        <f>IF(A43="Bertha Tower", "20% of chance to slow down enemies", "20% of chance to set enemies on fire")</f>
        <v>20% of chance to set enemies on fire</v>
      </c>
      <c r="C45" s="417"/>
      <c r="D45" s="430"/>
      <c r="F45" s="20"/>
      <c r="G45" s="21"/>
      <c r="K45" s="21"/>
      <c r="Q45" s="20"/>
      <c r="R45" s="21"/>
    </row>
    <row r="46" spans="1:19" ht="17.25" customHeight="1" thickBot="1" x14ac:dyDescent="0.25">
      <c r="A46" s="50"/>
      <c r="B46" s="79" t="s">
        <v>29</v>
      </c>
      <c r="C46" s="410">
        <v>5</v>
      </c>
      <c r="D46" s="425"/>
      <c r="F46" s="20"/>
      <c r="G46" s="21"/>
      <c r="K46" s="21"/>
      <c r="Q46" s="20"/>
      <c r="R46" s="21"/>
    </row>
    <row r="47" spans="1:19" ht="15.75" customHeight="1" thickBot="1" x14ac:dyDescent="0.25">
      <c r="A47" s="50"/>
      <c r="B47" s="80" t="s">
        <v>30</v>
      </c>
      <c r="C47" s="410">
        <v>4</v>
      </c>
      <c r="D47" s="425"/>
      <c r="F47" s="20"/>
      <c r="G47" s="21"/>
      <c r="K47" s="21"/>
      <c r="Q47" s="20"/>
      <c r="R47" s="21"/>
    </row>
    <row r="48" spans="1:19" ht="29.25" thickBot="1" x14ac:dyDescent="0.25">
      <c r="A48" s="81" t="s">
        <v>128</v>
      </c>
      <c r="B48" s="439" t="s">
        <v>33</v>
      </c>
      <c r="C48" s="417"/>
      <c r="D48" s="430"/>
      <c r="K48" s="21"/>
      <c r="Q48" s="20"/>
      <c r="R48" s="21"/>
    </row>
    <row r="49" spans="1:18" ht="15" thickBot="1" x14ac:dyDescent="0.25">
      <c r="A49" s="50"/>
      <c r="B49" s="79" t="s">
        <v>34</v>
      </c>
      <c r="C49" s="406">
        <v>0.5</v>
      </c>
      <c r="D49" s="425"/>
      <c r="F49" s="464"/>
      <c r="G49" s="464"/>
      <c r="K49" s="21"/>
      <c r="Q49" s="37"/>
      <c r="R49" s="30"/>
    </row>
    <row r="50" spans="1:18" ht="15" thickBot="1" x14ac:dyDescent="0.25">
      <c r="A50" s="50"/>
      <c r="B50" s="80" t="s">
        <v>30</v>
      </c>
      <c r="C50" s="410">
        <v>5</v>
      </c>
      <c r="D50" s="425"/>
      <c r="F50" s="19"/>
      <c r="G50" s="21"/>
      <c r="K50" s="21"/>
      <c r="Q50" s="38"/>
      <c r="R50" s="30"/>
    </row>
    <row r="51" spans="1:18" ht="15" thickBot="1" x14ac:dyDescent="0.25">
      <c r="B51" s="39"/>
      <c r="C51" s="40"/>
      <c r="D51" s="40"/>
      <c r="F51" s="19"/>
      <c r="G51" s="21"/>
      <c r="K51" s="21"/>
      <c r="Q51" s="38"/>
      <c r="R51" s="30"/>
    </row>
    <row r="52" spans="1:18" ht="26.25" customHeight="1" thickBot="1" x14ac:dyDescent="0.25">
      <c r="A52" s="440" t="s">
        <v>129</v>
      </c>
      <c r="B52" s="441"/>
      <c r="C52" s="441"/>
      <c r="D52" s="441"/>
      <c r="E52" s="441"/>
      <c r="F52" s="441"/>
      <c r="G52" s="441"/>
      <c r="H52" s="442"/>
      <c r="I52" s="74" t="s">
        <v>124</v>
      </c>
      <c r="K52" s="23"/>
      <c r="Q52" s="38"/>
      <c r="R52" s="41"/>
    </row>
    <row r="53" spans="1:18" ht="22.5" customHeight="1" thickBot="1" x14ac:dyDescent="0.25">
      <c r="A53" s="8"/>
      <c r="B53" s="25" t="s">
        <v>3</v>
      </c>
      <c r="C53" s="26" t="s">
        <v>4</v>
      </c>
      <c r="D53" s="26" t="s">
        <v>5</v>
      </c>
      <c r="E53" s="27" t="s">
        <v>6</v>
      </c>
      <c r="F53" s="26" t="s">
        <v>18</v>
      </c>
      <c r="G53" s="27" t="s">
        <v>8</v>
      </c>
      <c r="H53" s="27" t="s">
        <v>32</v>
      </c>
      <c r="I53" s="27" t="s">
        <v>224</v>
      </c>
      <c r="K53" s="23"/>
      <c r="Q53" s="38"/>
      <c r="R53" s="41"/>
    </row>
    <row r="54" spans="1:18" ht="23.25" customHeight="1" x14ac:dyDescent="0.2">
      <c r="A54" s="42" t="s">
        <v>130</v>
      </c>
      <c r="B54" s="60">
        <v>0</v>
      </c>
      <c r="C54" s="61">
        <v>25</v>
      </c>
      <c r="D54" s="61">
        <v>3</v>
      </c>
      <c r="E54" s="61">
        <v>3</v>
      </c>
      <c r="F54" s="61">
        <v>1.5</v>
      </c>
      <c r="G54" s="61">
        <v>50</v>
      </c>
      <c r="H54" s="82">
        <v>0.2</v>
      </c>
      <c r="I54" s="62">
        <v>11</v>
      </c>
      <c r="K54" s="21">
        <f>I54</f>
        <v>11</v>
      </c>
      <c r="Q54" s="38"/>
      <c r="R54" s="41"/>
    </row>
    <row r="55" spans="1:18" ht="20.25" customHeight="1" x14ac:dyDescent="0.2">
      <c r="A55" s="42" t="s">
        <v>223</v>
      </c>
      <c r="B55" s="63">
        <f>ROUNDUP(B54*(1+30%),0)</f>
        <v>0</v>
      </c>
      <c r="C55" s="64">
        <f>ROUNDUP(C54*1.2,0)</f>
        <v>30</v>
      </c>
      <c r="D55" s="64">
        <f>ROUNDUP(D54*1.1,0)</f>
        <v>4</v>
      </c>
      <c r="E55" s="64">
        <f>ROUNDUP(E54*1.1,0)</f>
        <v>4</v>
      </c>
      <c r="F55" s="64">
        <f>ROUNDUP(F54*(1-15%),1)</f>
        <v>1.3</v>
      </c>
      <c r="G55" s="64">
        <f>ROUNDUP(G54*(1+60%),-1)</f>
        <v>80</v>
      </c>
      <c r="H55" s="83">
        <v>0.2</v>
      </c>
      <c r="I55" s="65">
        <v>10</v>
      </c>
      <c r="K55" s="21">
        <f>I55</f>
        <v>10</v>
      </c>
      <c r="Q55" s="38"/>
      <c r="R55" s="41"/>
    </row>
    <row r="56" spans="1:18" ht="24" customHeight="1" thickBot="1" x14ac:dyDescent="0.25">
      <c r="A56" s="43" t="s">
        <v>131</v>
      </c>
      <c r="B56" s="63">
        <f>ROUNDUP(B55*(1+30%),0)</f>
        <v>0</v>
      </c>
      <c r="C56" s="64">
        <f>ROUNDUP(C55*1.2,0)</f>
        <v>36</v>
      </c>
      <c r="D56" s="64">
        <f>ROUNDUP(D55*1.1,0)</f>
        <v>5</v>
      </c>
      <c r="E56" s="64">
        <f>ROUNDUP(E55*1.1,0)</f>
        <v>5</v>
      </c>
      <c r="F56" s="64">
        <f>ROUNDUP(F55*(1-15%),1)</f>
        <v>1.2000000000000002</v>
      </c>
      <c r="G56" s="64">
        <f>ROUNDUP(G55*(1+60%),-1)</f>
        <v>130</v>
      </c>
      <c r="H56" s="83">
        <v>0.2</v>
      </c>
      <c r="I56" s="65">
        <v>7</v>
      </c>
      <c r="K56" s="21">
        <f>I56</f>
        <v>7</v>
      </c>
      <c r="Q56" s="38"/>
      <c r="R56" s="41"/>
    </row>
    <row r="57" spans="1:18" ht="21.75" customHeight="1" thickBot="1" x14ac:dyDescent="0.2">
      <c r="A57" s="84" t="s">
        <v>132</v>
      </c>
      <c r="B57" s="67">
        <f>B56</f>
        <v>0</v>
      </c>
      <c r="C57" s="68">
        <f>ROUNDUP(C56*1.2,0)</f>
        <v>44</v>
      </c>
      <c r="D57" s="68">
        <f>ROUNDUP(D56*1.1,0)</f>
        <v>6</v>
      </c>
      <c r="E57" s="68">
        <f>ROUNDUP(E56*(1+10%),0)</f>
        <v>6</v>
      </c>
      <c r="F57" s="68">
        <f>ROUNDUP(F56*(1-20%),1)</f>
        <v>1</v>
      </c>
      <c r="G57" s="68">
        <f>ROUNDUP(G56*(1+50%),-1)</f>
        <v>200</v>
      </c>
      <c r="H57" s="85">
        <v>0.2</v>
      </c>
      <c r="I57" s="69">
        <v>6</v>
      </c>
      <c r="K57" s="21">
        <f>I57</f>
        <v>6</v>
      </c>
    </row>
    <row r="58" spans="1:18" ht="21.75" customHeight="1" thickBot="1" x14ac:dyDescent="0.2">
      <c r="A58" s="86" t="s">
        <v>133</v>
      </c>
      <c r="B58" s="71">
        <f>B56</f>
        <v>0</v>
      </c>
      <c r="C58" s="71">
        <f>ROUNDUP(C56*1.2,0)</f>
        <v>44</v>
      </c>
      <c r="D58" s="71">
        <f>ROUNDUP(D56*1.1,0)</f>
        <v>6</v>
      </c>
      <c r="E58" s="71">
        <f>ROUNDUP(E56*(1+20%),0)</f>
        <v>6</v>
      </c>
      <c r="F58" s="71">
        <f>ROUNDUP(F56*(1-10%),1)</f>
        <v>1.1000000000000001</v>
      </c>
      <c r="G58" s="71">
        <f>ROUNDUP(G56*(1+60%),-1)</f>
        <v>210</v>
      </c>
      <c r="H58" s="87">
        <v>0.5</v>
      </c>
      <c r="I58" s="72">
        <v>5</v>
      </c>
      <c r="K58" s="21">
        <f>I58</f>
        <v>5</v>
      </c>
    </row>
    <row r="59" spans="1:18" ht="30" customHeight="1" thickBot="1" x14ac:dyDescent="0.2">
      <c r="A59" s="73" t="s">
        <v>134</v>
      </c>
      <c r="B59" s="429" t="s">
        <v>225</v>
      </c>
      <c r="C59" s="417"/>
      <c r="D59" s="430"/>
      <c r="E59" s="417" t="s">
        <v>31</v>
      </c>
      <c r="F59" s="417"/>
      <c r="G59" s="430"/>
      <c r="K59" s="21"/>
    </row>
    <row r="60" spans="1:18" ht="17.25" customHeight="1" thickBot="1" x14ac:dyDescent="0.25">
      <c r="A60" s="50"/>
      <c r="B60" s="79" t="s">
        <v>27</v>
      </c>
      <c r="C60" s="410" t="s">
        <v>28</v>
      </c>
      <c r="D60" s="425"/>
      <c r="E60" s="79" t="s">
        <v>29</v>
      </c>
      <c r="F60" s="410">
        <v>0</v>
      </c>
      <c r="G60" s="425"/>
      <c r="K60" s="21"/>
    </row>
    <row r="61" spans="1:18" ht="15.75" customHeight="1" thickBot="1" x14ac:dyDescent="0.25">
      <c r="A61" s="50"/>
      <c r="B61" s="50"/>
      <c r="C61" s="50"/>
      <c r="D61" s="50"/>
      <c r="E61" s="80" t="s">
        <v>30</v>
      </c>
      <c r="F61" s="410">
        <v>3</v>
      </c>
      <c r="G61" s="425"/>
      <c r="K61" s="21"/>
    </row>
    <row r="62" spans="1:18" ht="29.25" customHeight="1" thickBot="1" x14ac:dyDescent="0.2">
      <c r="A62" s="88" t="s">
        <v>135</v>
      </c>
      <c r="B62" s="446" t="s">
        <v>226</v>
      </c>
      <c r="C62" s="414"/>
      <c r="D62" s="415"/>
      <c r="E62" s="417" t="s">
        <v>35</v>
      </c>
      <c r="F62" s="417"/>
      <c r="G62" s="430"/>
      <c r="K62" s="21"/>
    </row>
    <row r="63" spans="1:18" ht="15.75" customHeight="1" thickBot="1" x14ac:dyDescent="0.25">
      <c r="A63" s="50"/>
      <c r="B63" s="79" t="s">
        <v>27</v>
      </c>
      <c r="C63" s="410" t="s">
        <v>28</v>
      </c>
      <c r="D63" s="425"/>
      <c r="E63" s="79" t="s">
        <v>34</v>
      </c>
      <c r="F63" s="406">
        <v>1</v>
      </c>
      <c r="G63" s="425"/>
      <c r="K63" s="21"/>
    </row>
    <row r="64" spans="1:18" ht="15" thickBot="1" x14ac:dyDescent="0.25">
      <c r="A64" s="50"/>
      <c r="B64" s="50"/>
      <c r="C64" s="50"/>
      <c r="D64" s="50"/>
      <c r="E64" s="80" t="s">
        <v>30</v>
      </c>
      <c r="F64" s="410">
        <v>3</v>
      </c>
      <c r="G64" s="425"/>
      <c r="K64" s="21"/>
    </row>
    <row r="65" spans="1:11" x14ac:dyDescent="0.15">
      <c r="K65" s="21"/>
    </row>
    <row r="66" spans="1:11" ht="14.25" thickBot="1" x14ac:dyDescent="0.2">
      <c r="K66" s="21"/>
    </row>
    <row r="67" spans="1:11" ht="30" customHeight="1" thickBot="1" x14ac:dyDescent="0.2">
      <c r="A67" s="440" t="s">
        <v>136</v>
      </c>
      <c r="B67" s="441"/>
      <c r="C67" s="441"/>
      <c r="D67" s="441"/>
      <c r="E67" s="441"/>
      <c r="F67" s="441"/>
      <c r="G67" s="441"/>
      <c r="H67" s="442"/>
      <c r="I67" s="53" t="s">
        <v>120</v>
      </c>
      <c r="K67" s="23"/>
    </row>
    <row r="68" spans="1:11" ht="24" customHeight="1" thickBot="1" x14ac:dyDescent="0.2">
      <c r="A68" s="8"/>
      <c r="B68" s="25" t="s">
        <v>3</v>
      </c>
      <c r="C68" s="26" t="s">
        <v>4</v>
      </c>
      <c r="D68" s="26" t="s">
        <v>5</v>
      </c>
      <c r="E68" s="27" t="s">
        <v>6</v>
      </c>
      <c r="F68" s="26" t="s">
        <v>18</v>
      </c>
      <c r="G68" s="27" t="s">
        <v>8</v>
      </c>
      <c r="H68" s="27" t="s">
        <v>19</v>
      </c>
      <c r="I68" s="27" t="s">
        <v>224</v>
      </c>
      <c r="K68" s="23"/>
    </row>
    <row r="69" spans="1:11" ht="24" customHeight="1" x14ac:dyDescent="0.15">
      <c r="A69" s="28" t="s">
        <v>36</v>
      </c>
      <c r="B69" s="60">
        <v>10</v>
      </c>
      <c r="C69" s="61">
        <v>20</v>
      </c>
      <c r="D69" s="61">
        <v>1</v>
      </c>
      <c r="E69" s="61">
        <v>2</v>
      </c>
      <c r="F69" s="61">
        <v>0.8</v>
      </c>
      <c r="G69" s="61">
        <v>100</v>
      </c>
      <c r="H69" s="62">
        <v>3</v>
      </c>
      <c r="I69" s="62">
        <v>5</v>
      </c>
      <c r="K69" s="21">
        <f>I69</f>
        <v>5</v>
      </c>
    </row>
    <row r="70" spans="1:11" ht="21.75" customHeight="1" x14ac:dyDescent="0.15">
      <c r="A70" s="28" t="s">
        <v>37</v>
      </c>
      <c r="B70" s="63">
        <f>ROUNDUP(B69*(1+20%),0)</f>
        <v>12</v>
      </c>
      <c r="C70" s="64">
        <f>ROUNDUP(C69*1.2,0)</f>
        <v>24</v>
      </c>
      <c r="D70" s="64">
        <f>ROUNDUP(D69*1.1,0)</f>
        <v>2</v>
      </c>
      <c r="E70" s="64">
        <f>ROUNDUP(E69*1.1,0)</f>
        <v>3</v>
      </c>
      <c r="F70" s="64">
        <f>ROUNDUP(F69*(1-10%),1)</f>
        <v>0.79999999999999993</v>
      </c>
      <c r="G70" s="64">
        <f>ROUNDUP(G69*(1+50%),0)</f>
        <v>150</v>
      </c>
      <c r="H70" s="65">
        <f>ROUNDUP(H69*(1+10%),0)</f>
        <v>4</v>
      </c>
      <c r="I70" s="65">
        <v>6</v>
      </c>
      <c r="K70" s="21">
        <f>I70</f>
        <v>6</v>
      </c>
    </row>
    <row r="71" spans="1:11" ht="24.75" customHeight="1" thickBot="1" x14ac:dyDescent="0.2">
      <c r="A71" s="32" t="s">
        <v>38</v>
      </c>
      <c r="B71" s="63">
        <f>ROUNDUP(B70*(1+20%),0)</f>
        <v>15</v>
      </c>
      <c r="C71" s="64">
        <f>ROUNDUP(C70*1.2,0)</f>
        <v>29</v>
      </c>
      <c r="D71" s="64">
        <f>ROUNDUP(D70*1.1,0)</f>
        <v>3</v>
      </c>
      <c r="E71" s="64">
        <f>ROUNDUP(E70*1.1,0)</f>
        <v>4</v>
      </c>
      <c r="F71" s="64">
        <f>ROUNDUP(F70*(1-20%),1)</f>
        <v>0.7</v>
      </c>
      <c r="G71" s="64">
        <f>ROUNDUP(G70*(1+50%),0)</f>
        <v>225</v>
      </c>
      <c r="H71" s="65">
        <f>ROUNDUP(H70*(1+10%),0)</f>
        <v>5</v>
      </c>
      <c r="I71" s="65">
        <v>7</v>
      </c>
      <c r="K71" s="21">
        <f>I71</f>
        <v>7</v>
      </c>
    </row>
    <row r="72" spans="1:11" ht="24.75" customHeight="1" x14ac:dyDescent="0.15">
      <c r="A72" s="89" t="s">
        <v>137</v>
      </c>
      <c r="B72" s="67">
        <f>ROUNDUP(B71*(1+10%),0)</f>
        <v>17</v>
      </c>
      <c r="C72" s="68">
        <f>ROUNDUP(C71*1.2,0)</f>
        <v>35</v>
      </c>
      <c r="D72" s="68">
        <f>ROUNDUP(D71*1.1,0)</f>
        <v>4</v>
      </c>
      <c r="E72" s="68">
        <f>ROUNDUP(E71*1.3,0)</f>
        <v>6</v>
      </c>
      <c r="F72" s="68">
        <f>F71</f>
        <v>0.7</v>
      </c>
      <c r="G72" s="68">
        <f>ROUNDUP(G71*(1+50%),-1)</f>
        <v>340</v>
      </c>
      <c r="H72" s="69">
        <f>ROUNDUP(H71*(1+10%),0)</f>
        <v>6</v>
      </c>
      <c r="I72" s="69">
        <v>8</v>
      </c>
      <c r="K72" s="21">
        <f>I72</f>
        <v>8</v>
      </c>
    </row>
    <row r="73" spans="1:11" ht="24.75" customHeight="1" thickBot="1" x14ac:dyDescent="0.2">
      <c r="A73" s="90" t="s">
        <v>138</v>
      </c>
      <c r="B73" s="71">
        <f>ROUNDUP(B71*(1+10%),0)</f>
        <v>17</v>
      </c>
      <c r="C73" s="71">
        <f>ROUNDUP(C71*1.2,0)</f>
        <v>35</v>
      </c>
      <c r="D73" s="71">
        <f>ROUNDUP(D71*1.1,0)</f>
        <v>4</v>
      </c>
      <c r="E73" s="71">
        <f>E71</f>
        <v>4</v>
      </c>
      <c r="F73" s="71">
        <f>ROUNDUP(F71*(1-50%),1)</f>
        <v>0.4</v>
      </c>
      <c r="G73" s="71">
        <f>ROUNDUP(G71*(1+40%),-1)</f>
        <v>320</v>
      </c>
      <c r="H73" s="72">
        <f>ROUNDUP(H71*(1+10%),0)</f>
        <v>6</v>
      </c>
      <c r="I73" s="72">
        <v>10</v>
      </c>
      <c r="K73" s="21">
        <f>I73</f>
        <v>10</v>
      </c>
    </row>
    <row r="74" spans="1:11" ht="35.25" customHeight="1" thickBot="1" x14ac:dyDescent="0.25">
      <c r="A74" s="81" t="s">
        <v>139</v>
      </c>
      <c r="B74" s="216" t="s">
        <v>227</v>
      </c>
      <c r="C74" s="190"/>
      <c r="D74" s="190"/>
      <c r="E74" s="191"/>
      <c r="F74" s="20"/>
      <c r="G74" s="21"/>
      <c r="K74" s="21"/>
    </row>
    <row r="75" spans="1:11" ht="17.25" customHeight="1" thickBot="1" x14ac:dyDescent="0.25">
      <c r="A75" s="91"/>
      <c r="B75" s="189" t="str">
        <f>IF(A72="Tesla Tower", "Spread damages", "Duration")</f>
        <v>Duration</v>
      </c>
      <c r="C75" s="436">
        <v>5</v>
      </c>
      <c r="D75" s="437"/>
      <c r="E75" s="438"/>
      <c r="K75" s="21"/>
    </row>
    <row r="76" spans="1:11" ht="29.25" thickBot="1" x14ac:dyDescent="0.2">
      <c r="A76" s="81" t="s">
        <v>140</v>
      </c>
      <c r="B76" s="443" t="s">
        <v>228</v>
      </c>
      <c r="C76" s="444"/>
      <c r="D76" s="444"/>
      <c r="E76" s="445"/>
      <c r="K76" s="21"/>
    </row>
    <row r="77" spans="1:11" ht="15" thickBot="1" x14ac:dyDescent="0.25">
      <c r="A77" s="50"/>
      <c r="B77" s="189" t="s">
        <v>39</v>
      </c>
      <c r="C77" s="436">
        <f>ROUNDUP(B72*(1-50%),0)</f>
        <v>9</v>
      </c>
      <c r="D77" s="437"/>
      <c r="E77" s="438"/>
      <c r="K77" s="21"/>
    </row>
    <row r="78" spans="1:11" ht="15" thickBot="1" x14ac:dyDescent="0.25">
      <c r="A78" s="50"/>
      <c r="B78" s="189" t="s">
        <v>40</v>
      </c>
      <c r="C78" s="436" t="s">
        <v>28</v>
      </c>
      <c r="D78" s="437"/>
      <c r="E78" s="438"/>
      <c r="K78" s="21"/>
    </row>
    <row r="79" spans="1:11" x14ac:dyDescent="0.15">
      <c r="K79" s="21"/>
    </row>
    <row r="80" spans="1:11" x14ac:dyDescent="0.15">
      <c r="K80" s="21"/>
    </row>
    <row r="81" spans="1:11" ht="14.25" thickBot="1" x14ac:dyDescent="0.2">
      <c r="K81" s="21"/>
    </row>
    <row r="82" spans="1:11" ht="30" customHeight="1" thickBot="1" x14ac:dyDescent="0.2">
      <c r="A82" s="426" t="s">
        <v>41</v>
      </c>
      <c r="B82" s="427"/>
      <c r="C82" s="427"/>
      <c r="D82" s="427"/>
      <c r="E82" s="427"/>
      <c r="F82" s="427"/>
      <c r="G82" s="427"/>
      <c r="H82" s="428"/>
      <c r="I82" s="53" t="s">
        <v>120</v>
      </c>
      <c r="K82" s="21"/>
    </row>
    <row r="83" spans="1:11" ht="24" customHeight="1" thickBot="1" x14ac:dyDescent="0.2">
      <c r="A83" s="8"/>
      <c r="B83" s="25" t="s">
        <v>3</v>
      </c>
      <c r="C83" s="26" t="s">
        <v>4</v>
      </c>
      <c r="D83" s="26" t="s">
        <v>5</v>
      </c>
      <c r="E83" s="27" t="s">
        <v>6</v>
      </c>
      <c r="F83" s="26" t="s">
        <v>18</v>
      </c>
      <c r="G83" s="27" t="s">
        <v>8</v>
      </c>
      <c r="H83" s="27" t="s">
        <v>27</v>
      </c>
      <c r="I83" s="27" t="s">
        <v>224</v>
      </c>
      <c r="K83" s="21"/>
    </row>
    <row r="84" spans="1:11" ht="23.25" customHeight="1" x14ac:dyDescent="0.15">
      <c r="A84" s="28" t="s">
        <v>42</v>
      </c>
      <c r="B84" s="60">
        <v>17</v>
      </c>
      <c r="C84" s="61">
        <v>40</v>
      </c>
      <c r="D84" s="61">
        <v>3</v>
      </c>
      <c r="E84" s="61">
        <v>1</v>
      </c>
      <c r="F84" s="92">
        <v>1.2</v>
      </c>
      <c r="G84" s="61">
        <v>75</v>
      </c>
      <c r="H84" s="62">
        <v>1</v>
      </c>
      <c r="I84" s="62">
        <v>7</v>
      </c>
      <c r="K84" s="21">
        <f>I84</f>
        <v>7</v>
      </c>
    </row>
    <row r="85" spans="1:11" ht="20.25" customHeight="1" x14ac:dyDescent="0.15">
      <c r="A85" s="28" t="s">
        <v>43</v>
      </c>
      <c r="B85" s="63">
        <f>ROUNDUP(B84*(1+30%),0)</f>
        <v>23</v>
      </c>
      <c r="C85" s="64">
        <f>ROUNDUP(C84*1.2,0)</f>
        <v>48</v>
      </c>
      <c r="D85" s="64">
        <f>ROUNDUP(D84*1.1,0)</f>
        <v>4</v>
      </c>
      <c r="E85" s="64">
        <f>E84</f>
        <v>1</v>
      </c>
      <c r="F85" s="64">
        <f>ROUNDUP(F84*(1-10%),1)</f>
        <v>1.1000000000000001</v>
      </c>
      <c r="G85" s="64">
        <f>ROUNDUP(G84*(1+50%),0)</f>
        <v>113</v>
      </c>
      <c r="H85" s="65">
        <f>H84</f>
        <v>1</v>
      </c>
      <c r="I85" s="65">
        <v>7</v>
      </c>
      <c r="K85" s="21">
        <f>I85</f>
        <v>7</v>
      </c>
    </row>
    <row r="86" spans="1:11" ht="21" customHeight="1" thickBot="1" x14ac:dyDescent="0.2">
      <c r="A86" s="32" t="s">
        <v>44</v>
      </c>
      <c r="B86" s="63">
        <f>ROUNDUP(B85*(1+30%),0)</f>
        <v>30</v>
      </c>
      <c r="C86" s="64">
        <f>ROUNDUP(C85*1.2,0)</f>
        <v>58</v>
      </c>
      <c r="D86" s="64">
        <f>ROUNDUP(D85*1.1,0)</f>
        <v>5</v>
      </c>
      <c r="E86" s="64">
        <f>E84</f>
        <v>1</v>
      </c>
      <c r="F86" s="64">
        <f>ROUNDUP(F85*(1-20%),1)</f>
        <v>0.9</v>
      </c>
      <c r="G86" s="64">
        <f>ROUNDUP(G85*(1+50%),0)</f>
        <v>170</v>
      </c>
      <c r="H86" s="65">
        <f>ROUNDUP(H85*(1+100%),0)</f>
        <v>2</v>
      </c>
      <c r="I86" s="65">
        <v>7</v>
      </c>
      <c r="K86" s="21">
        <f>I86</f>
        <v>7</v>
      </c>
    </row>
    <row r="87" spans="1:11" ht="25.5" customHeight="1" x14ac:dyDescent="0.15">
      <c r="A87" s="44" t="s">
        <v>45</v>
      </c>
      <c r="B87" s="67">
        <f>ROUNDUP(B86*(1+40%),0)</f>
        <v>42</v>
      </c>
      <c r="C87" s="68">
        <f>ROUNDUP(C86*1.2,0)</f>
        <v>70</v>
      </c>
      <c r="D87" s="68">
        <f>ROUNDUP(D86*1.1,0)</f>
        <v>6</v>
      </c>
      <c r="E87" s="68">
        <f>E84</f>
        <v>1</v>
      </c>
      <c r="F87" s="68">
        <f>ROUNDUP(F86*(1-30%),1)</f>
        <v>0.7</v>
      </c>
      <c r="G87" s="68">
        <f>ROUNDUP(G86*(1+50%),-1)</f>
        <v>260</v>
      </c>
      <c r="H87" s="69">
        <f>H86</f>
        <v>2</v>
      </c>
      <c r="I87" s="69">
        <v>7</v>
      </c>
      <c r="K87" s="21">
        <f>I87</f>
        <v>7</v>
      </c>
    </row>
    <row r="88" spans="1:11" ht="27" customHeight="1" thickBot="1" x14ac:dyDescent="0.2">
      <c r="A88" s="45" t="s">
        <v>46</v>
      </c>
      <c r="B88" s="71">
        <f>ROUNDUP(B86*(1+10%),0)</f>
        <v>33</v>
      </c>
      <c r="C88" s="71">
        <f>ROUNDUP(C86*1.2,0)</f>
        <v>70</v>
      </c>
      <c r="D88" s="71">
        <f>ROUNDUP(D86*1.1,0)</f>
        <v>6</v>
      </c>
      <c r="E88" s="71">
        <f>E84</f>
        <v>1</v>
      </c>
      <c r="F88" s="71">
        <f>ROUNDUP(F86*(1-30%),1)</f>
        <v>0.7</v>
      </c>
      <c r="G88" s="71">
        <f>ROUNDUP(G86*(1+40%),-1)</f>
        <v>240</v>
      </c>
      <c r="H88" s="72">
        <f>H86</f>
        <v>2</v>
      </c>
      <c r="I88" s="72">
        <v>7</v>
      </c>
      <c r="K88" s="21">
        <f>I88</f>
        <v>7</v>
      </c>
    </row>
    <row r="89" spans="1:11" ht="29.25" customHeight="1" thickBot="1" x14ac:dyDescent="0.2">
      <c r="A89" s="73" t="s">
        <v>141</v>
      </c>
      <c r="B89" s="439" t="s">
        <v>229</v>
      </c>
      <c r="C89" s="417"/>
      <c r="D89" s="430"/>
      <c r="E89" s="431" t="s">
        <v>47</v>
      </c>
      <c r="F89" s="432"/>
      <c r="G89" s="433"/>
    </row>
    <row r="90" spans="1:11" ht="15" thickBot="1" x14ac:dyDescent="0.25">
      <c r="A90" s="50"/>
      <c r="B90" s="79"/>
      <c r="C90" s="410"/>
      <c r="D90" s="425"/>
      <c r="E90" s="79" t="s">
        <v>9</v>
      </c>
      <c r="F90" s="406">
        <v>2</v>
      </c>
      <c r="G90" s="425"/>
    </row>
    <row r="91" spans="1:11" ht="15" thickBot="1" x14ac:dyDescent="0.25">
      <c r="A91" s="50"/>
      <c r="B91" s="50"/>
      <c r="C91" s="50"/>
      <c r="D91" s="50"/>
      <c r="E91" s="80"/>
      <c r="F91" s="410"/>
      <c r="G91" s="425"/>
    </row>
    <row r="92" spans="1:11" ht="29.25" thickBot="1" x14ac:dyDescent="0.2">
      <c r="A92" s="88" t="s">
        <v>142</v>
      </c>
      <c r="B92" s="413" t="s">
        <v>230</v>
      </c>
      <c r="C92" s="414"/>
      <c r="D92" s="415"/>
      <c r="E92" s="416" t="s">
        <v>48</v>
      </c>
      <c r="F92" s="417"/>
      <c r="G92" s="430"/>
    </row>
    <row r="93" spans="1:11" ht="15" thickBot="1" x14ac:dyDescent="0.25">
      <c r="A93" s="50"/>
      <c r="B93" s="80"/>
      <c r="C93" s="404"/>
      <c r="D93" s="405"/>
      <c r="E93" s="79" t="s">
        <v>49</v>
      </c>
      <c r="F93" s="406">
        <v>0.1</v>
      </c>
      <c r="G93" s="425"/>
    </row>
    <row r="94" spans="1:11" ht="15" thickBot="1" x14ac:dyDescent="0.25">
      <c r="A94" s="50"/>
      <c r="B94" s="50"/>
      <c r="C94" s="50"/>
      <c r="D94" s="50"/>
      <c r="E94" s="80" t="s">
        <v>50</v>
      </c>
      <c r="F94" s="410">
        <v>2</v>
      </c>
      <c r="G94" s="425"/>
    </row>
    <row r="97" spans="1:12" ht="14.25" thickBot="1" x14ac:dyDescent="0.2"/>
    <row r="98" spans="1:12" ht="30" customHeight="1" thickBot="1" x14ac:dyDescent="0.2">
      <c r="A98" s="426" t="s">
        <v>51</v>
      </c>
      <c r="B98" s="427"/>
      <c r="C98" s="427"/>
      <c r="D98" s="427"/>
      <c r="E98" s="427"/>
      <c r="F98" s="427"/>
      <c r="G98" s="427"/>
      <c r="H98" s="428"/>
      <c r="I98" s="53" t="s">
        <v>120</v>
      </c>
    </row>
    <row r="99" spans="1:12" ht="21.75" customHeight="1" thickBot="1" x14ac:dyDescent="0.2">
      <c r="A99" s="8"/>
      <c r="B99" s="25" t="s">
        <v>3</v>
      </c>
      <c r="C99" s="26" t="s">
        <v>4</v>
      </c>
      <c r="D99" s="26" t="s">
        <v>5</v>
      </c>
      <c r="E99" s="27" t="s">
        <v>6</v>
      </c>
      <c r="F99" s="26" t="s">
        <v>18</v>
      </c>
      <c r="G99" s="27" t="s">
        <v>8</v>
      </c>
      <c r="H99" s="27" t="s">
        <v>27</v>
      </c>
      <c r="I99" s="27" t="s">
        <v>224</v>
      </c>
    </row>
    <row r="100" spans="1:12" ht="18.75" customHeight="1" x14ac:dyDescent="0.15">
      <c r="A100" s="28" t="s">
        <v>52</v>
      </c>
      <c r="B100" s="60">
        <v>13</v>
      </c>
      <c r="C100" s="61">
        <v>60</v>
      </c>
      <c r="D100" s="61">
        <v>5</v>
      </c>
      <c r="E100" s="61">
        <v>2</v>
      </c>
      <c r="F100" s="92">
        <v>2.5</v>
      </c>
      <c r="G100" s="61">
        <v>120</v>
      </c>
      <c r="H100" s="75">
        <v>4</v>
      </c>
      <c r="I100" s="62">
        <v>15</v>
      </c>
      <c r="K100" s="21">
        <f>I100</f>
        <v>15</v>
      </c>
    </row>
    <row r="101" spans="1:12" ht="20.25" customHeight="1" x14ac:dyDescent="0.15">
      <c r="A101" s="28" t="s">
        <v>53</v>
      </c>
      <c r="B101" s="63">
        <f>ROUNDUP(B100*(1+40%),0)</f>
        <v>19</v>
      </c>
      <c r="C101" s="64">
        <f>ROUNDUP(C100*1.2,0)</f>
        <v>72</v>
      </c>
      <c r="D101" s="64">
        <f>ROUNDUP(D100*1.1,0)</f>
        <v>6</v>
      </c>
      <c r="E101" s="64">
        <f>ROUNDUP(E100*1.1,0)</f>
        <v>3</v>
      </c>
      <c r="F101" s="64">
        <f>ROUNDUP(F100*(1-10%),1)</f>
        <v>2.3000000000000003</v>
      </c>
      <c r="G101" s="64">
        <f>ROUNDUP(G100*(1+50%),0)</f>
        <v>180</v>
      </c>
      <c r="H101" s="76">
        <v>4</v>
      </c>
      <c r="I101" s="65">
        <v>15</v>
      </c>
      <c r="K101" s="21">
        <f>I101</f>
        <v>15</v>
      </c>
    </row>
    <row r="102" spans="1:12" ht="23.25" customHeight="1" thickBot="1" x14ac:dyDescent="0.2">
      <c r="A102" s="32" t="s">
        <v>54</v>
      </c>
      <c r="B102" s="63">
        <f>ROUNDUP(B101*(1+40%),0)</f>
        <v>27</v>
      </c>
      <c r="C102" s="64">
        <f>ROUNDUP(C101*1.2,0)</f>
        <v>87</v>
      </c>
      <c r="D102" s="64">
        <f>ROUNDUP(D101*1.1,0)</f>
        <v>7</v>
      </c>
      <c r="E102" s="64">
        <f>ROUNDUP(E101*1.1,0)</f>
        <v>4</v>
      </c>
      <c r="F102" s="64">
        <f>ROUNDUP(F101*(1-20%),0)</f>
        <v>2</v>
      </c>
      <c r="G102" s="64">
        <f>ROUNDUP(G101*(1+50%),0)</f>
        <v>270</v>
      </c>
      <c r="H102" s="76">
        <v>4</v>
      </c>
      <c r="I102" s="65">
        <v>15</v>
      </c>
      <c r="K102" s="21">
        <f>I102</f>
        <v>15</v>
      </c>
    </row>
    <row r="103" spans="1:12" ht="23.25" customHeight="1" x14ac:dyDescent="0.15">
      <c r="A103" s="44" t="s">
        <v>231</v>
      </c>
      <c r="B103" s="67">
        <f>ROUNDUP(B102*(1+60%),0)</f>
        <v>44</v>
      </c>
      <c r="C103" s="68">
        <f>ROUNDUP(C102*1.2,0)</f>
        <v>105</v>
      </c>
      <c r="D103" s="68">
        <f>ROUNDUP(D102*1.1,0)</f>
        <v>8</v>
      </c>
      <c r="E103" s="68">
        <f>ROUNDUP(E102*1.3,0)</f>
        <v>6</v>
      </c>
      <c r="F103" s="68">
        <f>ROUNDUP(F102*(1-20%),1)</f>
        <v>1.6</v>
      </c>
      <c r="G103" s="68">
        <f>ROUNDUP(G102*(1+50%),-1)</f>
        <v>410</v>
      </c>
      <c r="H103" s="93">
        <v>9</v>
      </c>
      <c r="I103" s="69">
        <v>15</v>
      </c>
      <c r="K103" s="21">
        <f>I103</f>
        <v>15</v>
      </c>
    </row>
    <row r="104" spans="1:12" ht="27" customHeight="1" thickBot="1" x14ac:dyDescent="0.2">
      <c r="A104" s="45" t="s">
        <v>55</v>
      </c>
      <c r="B104" s="71">
        <f>ROUNDUP(B102*(1+40%),0)</f>
        <v>38</v>
      </c>
      <c r="C104" s="71">
        <f>ROUNDUP(C102*1.2,0)</f>
        <v>105</v>
      </c>
      <c r="D104" s="71">
        <f>ROUNDUP(D102*1.1,0)</f>
        <v>8</v>
      </c>
      <c r="E104" s="71">
        <f>E102</f>
        <v>4</v>
      </c>
      <c r="F104" s="71">
        <f>ROUNDUP(F102*(1-20%),1)</f>
        <v>1.6</v>
      </c>
      <c r="G104" s="71">
        <f>ROUNDUP(G102*(1+40%),-1)</f>
        <v>380</v>
      </c>
      <c r="H104" s="94">
        <v>9</v>
      </c>
      <c r="I104" s="72">
        <v>15</v>
      </c>
      <c r="K104" s="21">
        <f>I104</f>
        <v>15</v>
      </c>
    </row>
    <row r="105" spans="1:12" ht="29.25" customHeight="1" thickBot="1" x14ac:dyDescent="0.25">
      <c r="A105" s="73" t="s">
        <v>56</v>
      </c>
      <c r="B105" s="429" t="s">
        <v>232</v>
      </c>
      <c r="C105" s="417"/>
      <c r="D105" s="430"/>
      <c r="E105" s="431" t="s">
        <v>233</v>
      </c>
      <c r="F105" s="432"/>
      <c r="G105" s="433"/>
      <c r="H105" s="50"/>
      <c r="I105" s="50"/>
      <c r="J105" s="50"/>
    </row>
    <row r="106" spans="1:12" ht="18" customHeight="1" thickBot="1" x14ac:dyDescent="0.25">
      <c r="A106" s="50"/>
      <c r="B106" s="95" t="s">
        <v>57</v>
      </c>
      <c r="C106" s="434">
        <v>20</v>
      </c>
      <c r="D106" s="435"/>
      <c r="E106" s="95" t="s">
        <v>57</v>
      </c>
      <c r="F106" s="434">
        <v>10</v>
      </c>
      <c r="G106" s="435"/>
      <c r="H106" s="50"/>
      <c r="I106" s="50"/>
      <c r="J106" s="50"/>
    </row>
    <row r="107" spans="1:12" ht="16.5" customHeight="1" thickBot="1" x14ac:dyDescent="0.25">
      <c r="A107" s="50"/>
      <c r="B107" s="96" t="s">
        <v>58</v>
      </c>
      <c r="C107" s="424">
        <v>1</v>
      </c>
      <c r="D107" s="425"/>
      <c r="E107" s="96" t="s">
        <v>58</v>
      </c>
      <c r="F107" s="424">
        <v>0.4</v>
      </c>
      <c r="G107" s="425"/>
      <c r="H107" s="50"/>
      <c r="I107" s="50"/>
      <c r="J107" s="50"/>
    </row>
    <row r="108" spans="1:12" ht="14.25" customHeight="1" thickBot="1" x14ac:dyDescent="0.25">
      <c r="A108" s="50"/>
      <c r="B108" s="96" t="s">
        <v>30</v>
      </c>
      <c r="C108" s="407">
        <v>6</v>
      </c>
      <c r="D108" s="425"/>
      <c r="E108" s="96" t="s">
        <v>59</v>
      </c>
      <c r="F108" s="407" t="s">
        <v>60</v>
      </c>
      <c r="G108" s="425"/>
      <c r="H108" s="50"/>
      <c r="I108" s="50"/>
      <c r="J108" s="50"/>
    </row>
    <row r="109" spans="1:12" ht="14.25" customHeight="1" thickBot="1" x14ac:dyDescent="0.25">
      <c r="A109" s="50"/>
      <c r="B109" s="188"/>
      <c r="C109" s="97"/>
      <c r="D109" s="97"/>
      <c r="E109" s="96" t="s">
        <v>4</v>
      </c>
      <c r="F109" s="407">
        <v>30</v>
      </c>
      <c r="G109" s="425"/>
      <c r="H109" s="50"/>
      <c r="I109" s="50"/>
      <c r="J109" s="50"/>
      <c r="K109" s="21"/>
      <c r="L109" s="21"/>
    </row>
    <row r="110" spans="1:12" ht="15" thickBot="1" x14ac:dyDescent="0.2">
      <c r="A110" s="88" t="s">
        <v>61</v>
      </c>
      <c r="B110" s="413" t="s">
        <v>62</v>
      </c>
      <c r="C110" s="414"/>
      <c r="D110" s="415"/>
      <c r="E110" s="416" t="s">
        <v>63</v>
      </c>
      <c r="F110" s="417"/>
      <c r="G110" s="417"/>
      <c r="H110" s="418" t="s">
        <v>64</v>
      </c>
      <c r="I110" s="419"/>
      <c r="J110" s="420"/>
      <c r="K110" s="46"/>
      <c r="L110" s="21"/>
    </row>
    <row r="111" spans="1:12" ht="15" thickBot="1" x14ac:dyDescent="0.25">
      <c r="A111" s="50"/>
      <c r="B111" s="80" t="s">
        <v>0</v>
      </c>
      <c r="C111" s="404">
        <v>2</v>
      </c>
      <c r="D111" s="405"/>
      <c r="E111" s="79" t="s">
        <v>49</v>
      </c>
      <c r="F111" s="406">
        <v>0.05</v>
      </c>
      <c r="G111" s="407"/>
      <c r="H111" s="98" t="s">
        <v>57</v>
      </c>
      <c r="I111" s="408">
        <v>25</v>
      </c>
      <c r="J111" s="409"/>
      <c r="K111" s="47"/>
      <c r="L111" s="21"/>
    </row>
    <row r="112" spans="1:12" ht="15" thickBot="1" x14ac:dyDescent="0.25">
      <c r="A112" s="50"/>
      <c r="B112" s="80" t="s">
        <v>65</v>
      </c>
      <c r="C112" s="404">
        <v>1.5</v>
      </c>
      <c r="D112" s="405"/>
      <c r="E112" s="80" t="s">
        <v>30</v>
      </c>
      <c r="F112" s="410">
        <v>3</v>
      </c>
      <c r="G112" s="407"/>
      <c r="H112" s="96" t="s">
        <v>29</v>
      </c>
      <c r="I112" s="411">
        <f>B104*(1+50%)</f>
        <v>57</v>
      </c>
      <c r="J112" s="412"/>
      <c r="K112" s="47"/>
      <c r="L112" s="21"/>
    </row>
    <row r="113" spans="1:12" ht="45" customHeight="1" thickBot="1" x14ac:dyDescent="0.25">
      <c r="A113" s="50"/>
      <c r="B113" s="99" t="s">
        <v>66</v>
      </c>
      <c r="C113" s="421">
        <v>0.5</v>
      </c>
      <c r="D113" s="405"/>
      <c r="E113" s="80" t="s">
        <v>67</v>
      </c>
      <c r="F113" s="406">
        <v>1</v>
      </c>
      <c r="G113" s="407"/>
      <c r="H113" s="100" t="s">
        <v>68</v>
      </c>
      <c r="I113" s="422" t="s">
        <v>69</v>
      </c>
      <c r="J113" s="423"/>
      <c r="K113" s="48"/>
      <c r="L113" s="21"/>
    </row>
    <row r="114" spans="1:12" ht="15" thickBot="1" x14ac:dyDescent="0.25">
      <c r="A114" s="50"/>
      <c r="B114" s="50"/>
      <c r="C114" s="50"/>
      <c r="D114" s="50"/>
      <c r="E114" s="50"/>
      <c r="F114" s="50"/>
      <c r="G114" s="50"/>
      <c r="H114" s="101" t="s">
        <v>6</v>
      </c>
      <c r="I114" s="402">
        <v>5</v>
      </c>
      <c r="J114" s="403"/>
      <c r="K114" s="47"/>
      <c r="L114" s="21"/>
    </row>
    <row r="115" spans="1:12" ht="14.25" thickBot="1" x14ac:dyDescent="0.2">
      <c r="K115" s="21"/>
      <c r="L115" s="21"/>
    </row>
    <row r="116" spans="1:12" ht="18.75" thickBot="1" x14ac:dyDescent="0.2">
      <c r="A116" s="426" t="s">
        <v>234</v>
      </c>
      <c r="B116" s="427"/>
      <c r="C116" s="427"/>
      <c r="D116" s="427"/>
      <c r="E116" s="427"/>
      <c r="F116" s="427"/>
      <c r="G116" s="427"/>
      <c r="H116" s="428"/>
      <c r="K116" s="21"/>
      <c r="L116" s="21"/>
    </row>
    <row r="117" spans="1:12" ht="15" thickBot="1" x14ac:dyDescent="0.2">
      <c r="A117" s="73" t="s">
        <v>237</v>
      </c>
      <c r="B117" s="429" t="s">
        <v>235</v>
      </c>
      <c r="C117" s="417"/>
      <c r="D117" s="430"/>
      <c r="K117" s="21"/>
      <c r="L117" s="21"/>
    </row>
    <row r="118" spans="1:12" ht="26.25" thickBot="1" x14ac:dyDescent="0.25">
      <c r="A118" s="50"/>
      <c r="B118" s="99" t="s">
        <v>66</v>
      </c>
      <c r="C118" s="421">
        <v>0.5</v>
      </c>
      <c r="D118" s="405"/>
    </row>
    <row r="119" spans="1:12" ht="14.25" thickBot="1" x14ac:dyDescent="0.2"/>
    <row r="120" spans="1:12" ht="15" thickBot="1" x14ac:dyDescent="0.2">
      <c r="A120" s="73" t="s">
        <v>238</v>
      </c>
      <c r="B120" s="431" t="s">
        <v>236</v>
      </c>
      <c r="C120" s="465"/>
      <c r="D120" s="466"/>
    </row>
    <row r="121" spans="1:12" ht="29.25" customHeight="1" thickBot="1" x14ac:dyDescent="0.2">
      <c r="B121" s="215" t="s">
        <v>67</v>
      </c>
      <c r="C121" s="467">
        <v>1</v>
      </c>
      <c r="D121" s="468"/>
    </row>
    <row r="125" spans="1:12" ht="14.25" x14ac:dyDescent="0.2">
      <c r="A125" s="50" t="s">
        <v>184</v>
      </c>
      <c r="B125" s="50">
        <f>IF(I27="Air",1,0)</f>
        <v>1</v>
      </c>
    </row>
    <row r="126" spans="1:12" ht="14.25" x14ac:dyDescent="0.2">
      <c r="A126" t="s">
        <v>185</v>
      </c>
      <c r="B126" s="50">
        <f>IF(I38="Air",1,0)</f>
        <v>0</v>
      </c>
    </row>
    <row r="127" spans="1:12" ht="14.25" x14ac:dyDescent="0.2">
      <c r="A127" t="s">
        <v>186</v>
      </c>
      <c r="B127" s="50">
        <f>IF(52="Air",1,0)</f>
        <v>0</v>
      </c>
    </row>
    <row r="128" spans="1:12" ht="14.25" x14ac:dyDescent="0.2">
      <c r="A128" t="s">
        <v>187</v>
      </c>
      <c r="B128" s="50">
        <f>IF(I67="Air",1,0)</f>
        <v>1</v>
      </c>
    </row>
    <row r="129" spans="1:7" ht="14.25" x14ac:dyDescent="0.2">
      <c r="A129" t="s">
        <v>188</v>
      </c>
      <c r="B129" s="50">
        <f>IF(I82="Air",1,0)</f>
        <v>1</v>
      </c>
    </row>
    <row r="130" spans="1:7" ht="14.25" x14ac:dyDescent="0.2">
      <c r="A130" t="s">
        <v>189</v>
      </c>
      <c r="B130" s="50">
        <f>IF(I98="Air",1,0)</f>
        <v>1</v>
      </c>
    </row>
    <row r="133" spans="1:7" ht="14.25" x14ac:dyDescent="0.2">
      <c r="A133" s="22" t="s">
        <v>214</v>
      </c>
    </row>
    <row r="134" spans="1:7" ht="14.25" x14ac:dyDescent="0.2">
      <c r="A134" s="22" t="s">
        <v>213</v>
      </c>
    </row>
    <row r="135" spans="1:7" ht="14.25" x14ac:dyDescent="0.2">
      <c r="A135" s="22" t="s">
        <v>212</v>
      </c>
    </row>
    <row r="136" spans="1:7" ht="14.25" x14ac:dyDescent="0.2">
      <c r="A136" s="22" t="s">
        <v>211</v>
      </c>
    </row>
    <row r="137" spans="1:7" ht="14.25" x14ac:dyDescent="0.2">
      <c r="A137" s="22" t="s">
        <v>215</v>
      </c>
    </row>
    <row r="138" spans="1:7" ht="15" thickBot="1" x14ac:dyDescent="0.25">
      <c r="A138" s="22" t="s">
        <v>210</v>
      </c>
    </row>
    <row r="139" spans="1:7" ht="18.75" thickBot="1" x14ac:dyDescent="0.2">
      <c r="E139" s="74" t="s">
        <v>124</v>
      </c>
      <c r="G139" s="53" t="s">
        <v>120</v>
      </c>
    </row>
  </sheetData>
  <mergeCells count="74">
    <mergeCell ref="A116:H116"/>
    <mergeCell ref="B117:D117"/>
    <mergeCell ref="B120:D120"/>
    <mergeCell ref="C118:D118"/>
    <mergeCell ref="C121:D121"/>
    <mergeCell ref="C46:D46"/>
    <mergeCell ref="C47:D47"/>
    <mergeCell ref="B48:D48"/>
    <mergeCell ref="C49:D49"/>
    <mergeCell ref="A38:H38"/>
    <mergeCell ref="B45:D45"/>
    <mergeCell ref="F49:G49"/>
    <mergeCell ref="B6:I10"/>
    <mergeCell ref="A16:G16"/>
    <mergeCell ref="F23:G23"/>
    <mergeCell ref="A27:H27"/>
    <mergeCell ref="M30:Q30"/>
    <mergeCell ref="B15:H15"/>
    <mergeCell ref="M31:Q31"/>
    <mergeCell ref="M32:Q32"/>
    <mergeCell ref="B34:D34"/>
    <mergeCell ref="M34:Q34"/>
    <mergeCell ref="B35:D35"/>
    <mergeCell ref="C50:D50"/>
    <mergeCell ref="A52:H52"/>
    <mergeCell ref="B59:D59"/>
    <mergeCell ref="E59:G59"/>
    <mergeCell ref="C60:D60"/>
    <mergeCell ref="F60:G60"/>
    <mergeCell ref="F61:G61"/>
    <mergeCell ref="B62:D62"/>
    <mergeCell ref="E62:G62"/>
    <mergeCell ref="C63:D63"/>
    <mergeCell ref="F63:G63"/>
    <mergeCell ref="F64:G64"/>
    <mergeCell ref="A67:H67"/>
    <mergeCell ref="C75:E75"/>
    <mergeCell ref="B76:E76"/>
    <mergeCell ref="C77:E77"/>
    <mergeCell ref="C78:E78"/>
    <mergeCell ref="A82:H82"/>
    <mergeCell ref="B89:D89"/>
    <mergeCell ref="E89:G89"/>
    <mergeCell ref="C90:D90"/>
    <mergeCell ref="F90:G90"/>
    <mergeCell ref="F91:G91"/>
    <mergeCell ref="B92:D92"/>
    <mergeCell ref="E92:G92"/>
    <mergeCell ref="C93:D93"/>
    <mergeCell ref="F93:G93"/>
    <mergeCell ref="F94:G94"/>
    <mergeCell ref="A98:H98"/>
    <mergeCell ref="B105:D105"/>
    <mergeCell ref="E105:G105"/>
    <mergeCell ref="C106:D106"/>
    <mergeCell ref="F106:G106"/>
    <mergeCell ref="C107:D107"/>
    <mergeCell ref="F107:G107"/>
    <mergeCell ref="C108:D108"/>
    <mergeCell ref="F108:G108"/>
    <mergeCell ref="F109:G109"/>
    <mergeCell ref="B110:D110"/>
    <mergeCell ref="E110:G110"/>
    <mergeCell ref="H110:J110"/>
    <mergeCell ref="C113:D113"/>
    <mergeCell ref="F113:G113"/>
    <mergeCell ref="I113:J113"/>
    <mergeCell ref="I114:J114"/>
    <mergeCell ref="C111:D111"/>
    <mergeCell ref="F111:G111"/>
    <mergeCell ref="I111:J111"/>
    <mergeCell ref="C112:D112"/>
    <mergeCell ref="F112:G112"/>
    <mergeCell ref="I112:J112"/>
  </mergeCells>
  <phoneticPr fontId="21" type="noConversion"/>
  <dataValidations xWindow="86" yWindow="446" count="1">
    <dataValidation type="list" allowBlank="1" showErrorMessage="1" promptTitle="Tower selection" prompt="You can select a tower type to see the statistics for each upgrade. " sqref="A18">
      <formula1>$A$133:$A$138</formula1>
    </dataValidation>
  </dataValidations>
  <pageMargins left="0.7" right="0.7" top="0.75" bottom="0.75" header="0.3" footer="0.3"/>
  <pageSetup paperSize="0" orientation="portrait" horizontalDpi="0" verticalDpi="0" copie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O99"/>
  <sheetViews>
    <sheetView workbookViewId="0">
      <selection activeCell="E1" sqref="E1"/>
    </sheetView>
  </sheetViews>
  <sheetFormatPr defaultRowHeight="14.25" x14ac:dyDescent="0.2"/>
  <cols>
    <col min="2" max="2" width="28.25" style="221" bestFit="1" customWidth="1" collapsed="1"/>
    <col min="3" max="3" width="7.875" style="221" bestFit="1" customWidth="1" collapsed="1"/>
    <col min="4" max="4" width="4" style="221" bestFit="1" customWidth="1" collapsed="1"/>
    <col min="5" max="5" width="6" style="221" bestFit="1" customWidth="1" collapsed="1"/>
    <col min="6" max="6" width="6.25" style="221" bestFit="1" customWidth="1" collapsed="1"/>
    <col min="7" max="7" width="10.625" style="221" bestFit="1" customWidth="1" collapsed="1"/>
    <col min="8" max="8" width="4.875" style="221" bestFit="1" customWidth="1" collapsed="1"/>
    <col min="9" max="9" width="6.25" style="221" bestFit="1" customWidth="1" collapsed="1"/>
    <col min="10" max="10" width="5.625" style="221" bestFit="1" customWidth="1" collapsed="1"/>
    <col min="11" max="11" width="11.625" style="220" customWidth="1" collapsed="1"/>
    <col min="12" max="12" width="8.75" bestFit="1" customWidth="1" collapsed="1"/>
    <col min="14" max="14" width="9.125" customWidth="1" collapsed="1"/>
    <col min="15" max="17" width="8.75" bestFit="1" customWidth="1" collapsed="1"/>
    <col min="20" max="23" width="8.75" bestFit="1" customWidth="1" collapsed="1"/>
    <col min="25" max="27" width="8.75" bestFit="1" customWidth="1" collapsed="1"/>
    <col min="30" max="30" width="8.875" bestFit="1" customWidth="1" collapsed="1"/>
    <col min="31" max="32" width="8.75" bestFit="1" customWidth="1" collapsed="1"/>
    <col min="35" max="36" width="8.75" bestFit="1" customWidth="1" collapsed="1"/>
    <col min="37" max="39" width="9.25" customWidth="1" collapsed="1"/>
    <col min="40" max="40" width="10.875" bestFit="1" customWidth="1" collapsed="1"/>
    <col min="41" max="41" width="11.25" customWidth="1" collapsed="1"/>
  </cols>
  <sheetData>
    <row r="1" spans="2:41" ht="15" thickBot="1" x14ac:dyDescent="0.25">
      <c r="B1" s="257"/>
      <c r="C1" s="257"/>
      <c r="D1" s="257"/>
      <c r="E1" s="257"/>
      <c r="F1" s="257"/>
      <c r="G1" s="257"/>
      <c r="H1" s="257"/>
      <c r="I1" s="257"/>
      <c r="J1" s="257"/>
      <c r="K1" s="387" t="s">
        <v>302</v>
      </c>
    </row>
    <row r="2" spans="2:41" ht="26.25" thickBot="1" x14ac:dyDescent="0.25">
      <c r="K2" s="256" t="s">
        <v>246</v>
      </c>
      <c r="L2" s="255">
        <v>1</v>
      </c>
      <c r="M2" s="254">
        <v>1</v>
      </c>
      <c r="N2" s="254">
        <v>1</v>
      </c>
      <c r="O2" s="254">
        <v>1</v>
      </c>
      <c r="P2" s="253">
        <v>1</v>
      </c>
      <c r="Q2" s="255">
        <v>0</v>
      </c>
      <c r="R2" s="254">
        <v>0</v>
      </c>
      <c r="S2" s="254">
        <v>0</v>
      </c>
      <c r="T2" s="254">
        <v>0</v>
      </c>
      <c r="U2" s="253">
        <v>0</v>
      </c>
      <c r="V2" s="255">
        <v>0</v>
      </c>
      <c r="W2" s="254">
        <v>0</v>
      </c>
      <c r="X2" s="254">
        <v>0</v>
      </c>
      <c r="Y2" s="254">
        <v>0</v>
      </c>
      <c r="Z2" s="253">
        <v>0</v>
      </c>
      <c r="AA2" s="255">
        <v>1</v>
      </c>
      <c r="AB2" s="254">
        <v>1</v>
      </c>
      <c r="AC2" s="254">
        <v>1</v>
      </c>
      <c r="AD2" s="254">
        <v>1</v>
      </c>
      <c r="AE2" s="253">
        <v>1</v>
      </c>
      <c r="AF2" s="255">
        <v>1</v>
      </c>
      <c r="AG2" s="254">
        <v>1</v>
      </c>
      <c r="AH2" s="254">
        <v>1</v>
      </c>
      <c r="AI2" s="254">
        <v>1</v>
      </c>
      <c r="AJ2" s="253">
        <v>1</v>
      </c>
      <c r="AK2" s="255">
        <v>1</v>
      </c>
      <c r="AL2" s="254">
        <v>1</v>
      </c>
      <c r="AM2" s="254">
        <v>1</v>
      </c>
      <c r="AN2" s="254">
        <v>1</v>
      </c>
      <c r="AO2" s="253">
        <v>1</v>
      </c>
    </row>
    <row r="3" spans="2:41" ht="38.25" x14ac:dyDescent="0.15">
      <c r="B3" s="252" t="s">
        <v>245</v>
      </c>
      <c r="C3" s="251" t="s">
        <v>3</v>
      </c>
      <c r="D3" s="251" t="s">
        <v>4</v>
      </c>
      <c r="E3" s="251" t="s">
        <v>5</v>
      </c>
      <c r="F3" s="251" t="s">
        <v>6</v>
      </c>
      <c r="G3" s="251" t="s">
        <v>18</v>
      </c>
      <c r="H3" s="251" t="s">
        <v>9</v>
      </c>
      <c r="I3" s="251" t="s">
        <v>0</v>
      </c>
      <c r="J3" s="251" t="s">
        <v>10</v>
      </c>
      <c r="K3" s="250" t="s">
        <v>244</v>
      </c>
      <c r="L3" s="239" t="s">
        <v>20</v>
      </c>
      <c r="M3" s="238" t="s">
        <v>21</v>
      </c>
      <c r="N3" s="238" t="s">
        <v>22</v>
      </c>
      <c r="O3" s="241" t="s">
        <v>121</v>
      </c>
      <c r="P3" s="240" t="s">
        <v>122</v>
      </c>
      <c r="Q3" s="249" t="s">
        <v>115</v>
      </c>
      <c r="R3" s="248" t="s">
        <v>116</v>
      </c>
      <c r="S3" s="248" t="s">
        <v>117</v>
      </c>
      <c r="T3" s="247" t="s">
        <v>125</v>
      </c>
      <c r="U3" s="246" t="s">
        <v>126</v>
      </c>
      <c r="V3" s="245" t="s">
        <v>130</v>
      </c>
      <c r="W3" s="244" t="s">
        <v>223</v>
      </c>
      <c r="X3" s="244" t="s">
        <v>131</v>
      </c>
      <c r="Y3" s="243" t="s">
        <v>132</v>
      </c>
      <c r="Z3" s="242" t="s">
        <v>133</v>
      </c>
      <c r="AA3" s="239" t="s">
        <v>36</v>
      </c>
      <c r="AB3" s="238" t="s">
        <v>37</v>
      </c>
      <c r="AC3" s="238" t="s">
        <v>38</v>
      </c>
      <c r="AD3" s="241" t="s">
        <v>137</v>
      </c>
      <c r="AE3" s="240" t="s">
        <v>138</v>
      </c>
      <c r="AF3" s="239" t="s">
        <v>42</v>
      </c>
      <c r="AG3" s="238" t="s">
        <v>43</v>
      </c>
      <c r="AH3" s="238" t="s">
        <v>44</v>
      </c>
      <c r="AI3" s="237" t="s">
        <v>45</v>
      </c>
      <c r="AJ3" s="236" t="s">
        <v>46</v>
      </c>
      <c r="AK3" s="239" t="s">
        <v>52</v>
      </c>
      <c r="AL3" s="238" t="s">
        <v>53</v>
      </c>
      <c r="AM3" s="238" t="s">
        <v>54</v>
      </c>
      <c r="AN3" s="237" t="s">
        <v>231</v>
      </c>
      <c r="AO3" s="236" t="s">
        <v>55</v>
      </c>
    </row>
    <row r="4" spans="2:41" ht="13.5" x14ac:dyDescent="0.15">
      <c r="B4" s="233" t="s">
        <v>11</v>
      </c>
      <c r="C4" s="232">
        <f>VLOOKUP($B4,'Monsters Stats'!$B$8:$L$70,2,FALSE)</f>
        <v>5</v>
      </c>
      <c r="D4" s="232">
        <f>VLOOKUP($B4,'Monsters Stats'!$B$8:$L$70,3,FALSE)</f>
        <v>15</v>
      </c>
      <c r="E4" s="232">
        <f>VLOOKUP($B4,'Monsters Stats'!$B$8:$L$70,4,FALSE)</f>
        <v>2</v>
      </c>
      <c r="F4" s="232">
        <f>VLOOKUP($B4,'Monsters Stats'!$B$8:$L$70,5,FALSE)</f>
        <v>1</v>
      </c>
      <c r="G4" s="232">
        <f>VLOOKUP($B4,'Monsters Stats'!$B$8:$L$70,6,FALSE)</f>
        <v>1</v>
      </c>
      <c r="H4" s="232">
        <f>VLOOKUP($B4,'Monsters Stats'!$B$8:$L$70,7,FALSE)</f>
        <v>2</v>
      </c>
      <c r="I4" s="232">
        <f>VLOOKUP($B4,'Monsters Stats'!$B$8:$L$70,8,FALSE)</f>
        <v>1</v>
      </c>
      <c r="J4" s="232">
        <f>VLOOKUP($B4,'Monsters Stats'!$B$8:$L$70,9,FALSE)</f>
        <v>0</v>
      </c>
      <c r="K4" s="231">
        <f>VLOOKUP($B4,'Monsters Stats'!$B$8:$L$70,11,FALSE)</f>
        <v>0</v>
      </c>
      <c r="L4" s="230" t="str">
        <f>IF(OR($K4&lt;&gt;L$2,(TowerStats!$B$29-($E4-TowerStats!$H$29))&lt;=0),"Can't Kill",ROUNDUP($D4/(TowerStats!$B$29-($E4-TowerStats!$H$29)),0))</f>
        <v>Can't Kill</v>
      </c>
      <c r="M4" s="229" t="str">
        <f>IF(OR($K4&lt;&gt;M$2,(TowerStats!$B$30-($E4-TowerStats!$H$30))&lt;=0),"Can't Kill",ROUNDUP($D4/(TowerStats!$B$30-($E4-TowerStats!$H$30)),0))</f>
        <v>Can't Kill</v>
      </c>
      <c r="N4" s="229" t="str">
        <f>IF(OR($K4&lt;&gt;N$2,(TowerStats!$B$31-($E4-TowerStats!$H$31))&lt;=0),"Can't Kill",ROUNDUP($D4/(TowerStats!$B$31-($E4-TowerStats!$H$31)),0))</f>
        <v>Can't Kill</v>
      </c>
      <c r="O4" s="229" t="str">
        <f>IF(OR($K4&lt;&gt;O$2,(TowerStats!$B$32-($E4-TowerStats!$H$32))&lt;=0),"Can't Kill",ROUNDUP($D4/(TowerStats!$B$32-($E4-TowerStats!$H$32)),0))</f>
        <v>Can't Kill</v>
      </c>
      <c r="P4" s="228" t="str">
        <f>IF(OR($K4&lt;&gt;P$2,(TowerStats!$B$33-($E4-TowerStats!$H$33))&lt;=0),"Can't Kill",ROUNDUP($D4/(TowerStats!$B$33-($E4-TowerStats!$H$33)),0))</f>
        <v>Can't Kill</v>
      </c>
      <c r="Q4" s="230">
        <f>IF(OR($K4&lt;&gt;Q$2,(TowerStats!$B$40-($E4-TowerStats!$H$40))&lt;=0),"Can't Kill",ROUNDUP($D4/(TowerStats!$B$40-($E4-TowerStats!$H$40)),0))</f>
        <v>2</v>
      </c>
      <c r="R4" s="229">
        <f>IF(OR($K4&lt;&gt;R$2,(TowerStats!$B$41-($E4-TowerStats!$H$41))&lt;=0),"Can't Kill",ROUNDUP($D4/(TowerStats!$B$41-($E4-TowerStats!$H$41)),0))</f>
        <v>2</v>
      </c>
      <c r="S4" s="229">
        <f>IF(OR($K4&lt;&gt;S$2,(TowerStats!$B$42-($E4-TowerStats!$H$42))&lt;=0),"Can't Kill",ROUNDUP($D4/(TowerStats!$B$42-($E4-TowerStats!$H$42)),0))</f>
        <v>2</v>
      </c>
      <c r="T4" s="229">
        <f>IF(OR($K4&lt;&gt;T$2,(TowerStats!$B$43-($E4-TowerStats!$H$43))&lt;=0),"Can't Kill",ROUNDUP($D4/(TowerStats!$B$43-($E4-TowerStats!$H$43)),0))</f>
        <v>1</v>
      </c>
      <c r="U4" s="228">
        <f>IF(OR($K4&lt;&gt;U$2,(TowerStats!$B$44-($E4-TowerStats!$H$44))&lt;=0),"Can't Kill",ROUNDUP($D4/(TowerStats!$B$44-($E4-TowerStats!$H$44)),0))</f>
        <v>1</v>
      </c>
      <c r="V4" s="230" t="str">
        <f>IF(OR($K4&lt;&gt;V$2,(TowerStats!$B$54-($E4-TowerStats!$H$54))&lt;=0),"Can't Kill",ROUNDUP($D4/(TowerStats!$B$54-($E4-TowerStats!$H$54)),0))</f>
        <v>Can't Kill</v>
      </c>
      <c r="W4" s="229" t="str">
        <f>IF(OR($K4&lt;&gt;W$2,(TowerStats!$B$55-($E4-TowerStats!$H$55))&lt;=0),"Can't Kill",ROUNDUP($D4/(TowerStats!$B$55-($E4-TowerStats!$H$55)),0))</f>
        <v>Can't Kill</v>
      </c>
      <c r="X4" s="229" t="str">
        <f>IF(OR($K4&lt;&gt;X$2,(TowerStats!$B$56-($E4-TowerStats!$H$56))&lt;=0),"Can't Kill",ROUNDUP($D4/(TowerStats!$B$56-($E4-TowerStats!$H$56)),0))</f>
        <v>Can't Kill</v>
      </c>
      <c r="Y4" s="229" t="str">
        <f>IF(OR($K4&lt;&gt;Y$2,(TowerStats!$B$57-($E4-TowerStats!$H$57))&lt;=0),"Can't Kill",ROUNDUP($D4/(TowerStats!$B$57-($E4-TowerStats!$H$57)),0))</f>
        <v>Can't Kill</v>
      </c>
      <c r="Z4" s="228" t="str">
        <f>IF(OR($K4&lt;&gt;Z$2,(TowerStats!$B$58-($E4-TowerStats!$H$58))&lt;=0),"Can't Kill",ROUNDUP($D4/(TowerStats!$B$58-($E4-TowerStats!$H$58)),0))</f>
        <v>Can't Kill</v>
      </c>
      <c r="AA4" s="230" t="str">
        <f>IF(OR($K4&lt;&gt;AA$2,(TowerStats!$B$69-($E4-TowerStats!$H$69))&lt;=0),"Can't Kill",ROUNDUP($D4/(TowerStats!$B$69-($E4-TowerStats!$H$69)),0))</f>
        <v>Can't Kill</v>
      </c>
      <c r="AB4" s="229" t="str">
        <f>IF(OR($K4&lt;&gt;AB$2,(TowerStats!$B$70-($E4-TowerStats!$H$70))&lt;=0),"Can't Kill",ROUNDUP($D4/(TowerStats!$B$70-($E4-TowerStats!$H$70)),0))</f>
        <v>Can't Kill</v>
      </c>
      <c r="AC4" s="229" t="str">
        <f>IF(OR($K4&lt;&gt;AC$2,(TowerStats!$B$71-($E4-TowerStats!$H$71))&lt;=0),"Can't Kill",ROUNDUP($D4/(TowerStats!$B$71-($E4-TowerStats!$H$71)),0))</f>
        <v>Can't Kill</v>
      </c>
      <c r="AD4" s="229" t="str">
        <f>IF(OR($K4&lt;&gt;AD$2,(TowerStats!$B$72-($E4-TowerStats!$H$72))&lt;=0),"Can't Kill",ROUNDUP($D4/(TowerStats!$B$72-($E4-TowerStats!$H$72)),0))</f>
        <v>Can't Kill</v>
      </c>
      <c r="AE4" s="228" t="str">
        <f>IF(OR($K4&lt;&gt;AE$2,(TowerStats!$B$73-($E4-TowerStats!$H$73))&lt;=0),"Can't Kill",ROUNDUP($D4/(TowerStats!$B$73-($E4-TowerStats!$H$73)),0))</f>
        <v>Can't Kill</v>
      </c>
      <c r="AF4" s="230" t="str">
        <f>IF(OR($K4&lt;&gt;AF$2,(TowerStats!$B$84-($E4-TowerStats!$H$84))&lt;=0),"Can't Kill",ROUNDUP($D4/(TowerStats!$B$84-($E4-TowerStats!$H$84)),0))</f>
        <v>Can't Kill</v>
      </c>
      <c r="AG4" s="229" t="str">
        <f>IF(OR($K4&lt;&gt;AG$2,(TowerStats!$B$85-($E4-TowerStats!$H$85))&lt;=0),"Can't Kill",ROUNDUP($D4/(TowerStats!$B$85-($E4-TowerStats!$H$85)),0))</f>
        <v>Can't Kill</v>
      </c>
      <c r="AH4" s="229" t="str">
        <f>IF(OR($K4&lt;&gt;AH$2,(TowerStats!$B$86-($E4-TowerStats!$H$86))&lt;=0),"Can't Kill",ROUNDUP($D4/(TowerStats!$B$86-($E4-TowerStats!$H$86)),0))</f>
        <v>Can't Kill</v>
      </c>
      <c r="AI4" s="229" t="str">
        <f>IF(OR($K4&lt;&gt;AI$2,(TowerStats!$B$87-($E4-TowerStats!$H$87))&lt;=0),"Can't Kill",ROUNDUP($D4/(TowerStats!$B$87-($E4-TowerStats!$H$87)),0))</f>
        <v>Can't Kill</v>
      </c>
      <c r="AJ4" s="228" t="str">
        <f>IF(OR($K4&lt;&gt;AJ$2,(TowerStats!$B$88-($E4-TowerStats!$H$88))&lt;=0),"Can't Kill",ROUNDUP($D4/(TowerStats!$B$88-($E4-TowerStats!$H$88)),0))</f>
        <v>Can't Kill</v>
      </c>
      <c r="AK4" s="230" t="str">
        <f>IF(OR($K4&lt;&gt;AK$2,(TowerStats!$B$100-($E4-TowerStats!$H$100))&lt;=0),"Can't Kill",ROUNDUP($D4/(TowerStats!$B$100-($E4-TowerStats!$H$100)),0))</f>
        <v>Can't Kill</v>
      </c>
      <c r="AL4" s="229" t="str">
        <f>IF(OR($K4&lt;&gt;AL$2,(TowerStats!$B$101-($E4-TowerStats!$H$101))&lt;=0),"Can't Kill",ROUNDUP($D4/(TowerStats!$B$101-($E4-TowerStats!$H$101)),0))</f>
        <v>Can't Kill</v>
      </c>
      <c r="AM4" s="229" t="str">
        <f>IF(OR($K4&lt;&gt;AM$2,(TowerStats!$B$102-($E4-TowerStats!$H$102))&lt;=0),"Can't Kill",ROUNDUP($D4/(TowerStats!$B$102-($E4-TowerStats!$H$102)),0))</f>
        <v>Can't Kill</v>
      </c>
      <c r="AN4" s="229" t="str">
        <f>IF(OR($K4&lt;&gt;AN$2,(TowerStats!$B$103-($E4-TowerStats!$H$103))&lt;=0),"Can't Kill",ROUNDUP($D4/(TowerStats!$B$103-($E4-TowerStats!$H$103)),0))</f>
        <v>Can't Kill</v>
      </c>
      <c r="AO4" s="228" t="str">
        <f>IF(OR($K4&lt;&gt;AO$2,(TowerStats!$B$104-($E4-TowerStats!$H$104))&lt;=0),"Can't Kill",ROUNDUP($D4/(TowerStats!$B$104-($E4-TowerStats!$H$104)),0))</f>
        <v>Can't Kill</v>
      </c>
    </row>
    <row r="5" spans="2:41" ht="13.5" x14ac:dyDescent="0.15">
      <c r="B5" s="233" t="s">
        <v>71</v>
      </c>
      <c r="C5" s="232">
        <f>VLOOKUP($B5,'Monsters Stats'!$B$8:$L$70,2,FALSE)</f>
        <v>7</v>
      </c>
      <c r="D5" s="232">
        <f>VLOOKUP($B5,'Monsters Stats'!$B$8:$L$70,3,FALSE)</f>
        <v>20</v>
      </c>
      <c r="E5" s="232">
        <f>VLOOKUP($B5,'Monsters Stats'!$B$8:$L$70,4,FALSE)</f>
        <v>3</v>
      </c>
      <c r="F5" s="232">
        <f>VLOOKUP($B5,'Monsters Stats'!$B$8:$L$70,5,FALSE)</f>
        <v>1</v>
      </c>
      <c r="G5" s="232">
        <f>VLOOKUP($B5,'Monsters Stats'!$B$8:$L$70,6,FALSE)</f>
        <v>0.9</v>
      </c>
      <c r="H5" s="232">
        <f>VLOOKUP($B5,'Monsters Stats'!$B$8:$L$70,7,FALSE)</f>
        <v>3</v>
      </c>
      <c r="I5" s="232">
        <f>VLOOKUP($B5,'Monsters Stats'!$B$8:$L$70,8,FALSE)</f>
        <v>1</v>
      </c>
      <c r="J5" s="232">
        <f>VLOOKUP($B5,'Monsters Stats'!$B$8:$L$70,9,FALSE)</f>
        <v>0</v>
      </c>
      <c r="K5" s="231">
        <f>VLOOKUP($B5,'Monsters Stats'!$B$8:$L$70,11,FALSE)</f>
        <v>0</v>
      </c>
      <c r="L5" s="230" t="str">
        <f>IF(OR($K5&lt;&gt;L$2,(TowerStats!$B$29-($E5-TowerStats!$H$29))&lt;=0),"Can't Kill",ROUNDUP($D5/(TowerStats!$B$29-($E5-TowerStats!$H$29)),0))</f>
        <v>Can't Kill</v>
      </c>
      <c r="M5" s="229" t="str">
        <f>IF(OR($K5&lt;&gt;M$2,(TowerStats!$B$30-($E5-TowerStats!$H$30))&lt;=0),"Can't Kill",ROUNDUP($D5/(TowerStats!$B$30-($E5-TowerStats!$H$30)),0))</f>
        <v>Can't Kill</v>
      </c>
      <c r="N5" s="229" t="str">
        <f>IF(OR($K5&lt;&gt;N$2,(TowerStats!$B$31-($E5-TowerStats!$H$31))&lt;=0),"Can't Kill",ROUNDUP($D5/(TowerStats!$B$31-($E5-TowerStats!$H$31)),0))</f>
        <v>Can't Kill</v>
      </c>
      <c r="O5" s="229" t="str">
        <f>IF(OR($K5&lt;&gt;O$2,(TowerStats!$B$32-($E5-TowerStats!$H$32))&lt;=0),"Can't Kill",ROUNDUP($D5/(TowerStats!$B$32-($E5-TowerStats!$H$32)),0))</f>
        <v>Can't Kill</v>
      </c>
      <c r="P5" s="228" t="str">
        <f>IF(OR($K5&lt;&gt;P$2,(TowerStats!$B$33-($E5-TowerStats!$H$33))&lt;=0),"Can't Kill",ROUNDUP($D5/(TowerStats!$B$33-($E5-TowerStats!$H$33)),0))</f>
        <v>Can't Kill</v>
      </c>
      <c r="Q5" s="230">
        <f>IF(OR($K5&lt;&gt;Q$2,(TowerStats!$B$40-($E5-TowerStats!$H$40))&lt;=0),"Can't Kill",ROUNDUP($D5/(TowerStats!$B$40-($E5-TowerStats!$H$40)),0))</f>
        <v>3</v>
      </c>
      <c r="R5" s="229">
        <f>IF(OR($K5&lt;&gt;R$2,(TowerStats!$B$41-($E5-TowerStats!$H$41))&lt;=0),"Can't Kill",ROUNDUP($D5/(TowerStats!$B$41-($E5-TowerStats!$H$41)),0))</f>
        <v>2</v>
      </c>
      <c r="S5" s="229">
        <f>IF(OR($K5&lt;&gt;S$2,(TowerStats!$B$42-($E5-TowerStats!$H$42))&lt;=0),"Can't Kill",ROUNDUP($D5/(TowerStats!$B$42-($E5-TowerStats!$H$42)),0))</f>
        <v>2</v>
      </c>
      <c r="T5" s="229">
        <f>IF(OR($K5&lt;&gt;T$2,(TowerStats!$B$43-($E5-TowerStats!$H$43))&lt;=0),"Can't Kill",ROUNDUP($D5/(TowerStats!$B$43-($E5-TowerStats!$H$43)),0))</f>
        <v>2</v>
      </c>
      <c r="U5" s="228">
        <f>IF(OR($K5&lt;&gt;U$2,(TowerStats!$B$44-($E5-TowerStats!$H$44))&lt;=0),"Can't Kill",ROUNDUP($D5/(TowerStats!$B$44-($E5-TowerStats!$H$44)),0))</f>
        <v>1</v>
      </c>
      <c r="V5" s="230" t="str">
        <f>IF(OR($K5&lt;&gt;V$2,(TowerStats!$B$54-($E5-TowerStats!$H$54))&lt;=0),"Can't Kill",ROUNDUP($D5/(TowerStats!$B$54-($E5-TowerStats!$H$54)),0))</f>
        <v>Can't Kill</v>
      </c>
      <c r="W5" s="229" t="str">
        <f>IF(OR($K5&lt;&gt;W$2,(TowerStats!$B$55-($E5-TowerStats!$H$55))&lt;=0),"Can't Kill",ROUNDUP($D5/(TowerStats!$B$55-($E5-TowerStats!$H$55)),0))</f>
        <v>Can't Kill</v>
      </c>
      <c r="X5" s="229" t="str">
        <f>IF(OR($K5&lt;&gt;X$2,(TowerStats!$B$56-($E5-TowerStats!$H$56))&lt;=0),"Can't Kill",ROUNDUP($D5/(TowerStats!$B$56-($E5-TowerStats!$H$56)),0))</f>
        <v>Can't Kill</v>
      </c>
      <c r="Y5" s="229" t="str">
        <f>IF(OR($K5&lt;&gt;Y$2,(TowerStats!$B$57-($E5-TowerStats!$H$57))&lt;=0),"Can't Kill",ROUNDUP($D5/(TowerStats!$B$57-($E5-TowerStats!$H$57)),0))</f>
        <v>Can't Kill</v>
      </c>
      <c r="Z5" s="228" t="str">
        <f>IF(OR($K5&lt;&gt;Z$2,(TowerStats!$B$58-($E5-TowerStats!$H$58))&lt;=0),"Can't Kill",ROUNDUP($D5/(TowerStats!$B$58-($E5-TowerStats!$H$58)),0))</f>
        <v>Can't Kill</v>
      </c>
      <c r="AA5" s="230" t="str">
        <f>IF(OR($K5&lt;&gt;AA$2,(TowerStats!$B$69-($E5-TowerStats!$H$69))&lt;=0),"Can't Kill",ROUNDUP($D5/(TowerStats!$B$69-($E5-TowerStats!$H$69)),0))</f>
        <v>Can't Kill</v>
      </c>
      <c r="AB5" s="229" t="str">
        <f>IF(OR($K5&lt;&gt;AB$2,(TowerStats!$B$70-($E5-TowerStats!$H$70))&lt;=0),"Can't Kill",ROUNDUP($D5/(TowerStats!$B$70-($E5-TowerStats!$H$70)),0))</f>
        <v>Can't Kill</v>
      </c>
      <c r="AC5" s="229" t="str">
        <f>IF(OR($K5&lt;&gt;AC$2,(TowerStats!$B$71-($E5-TowerStats!$H$71))&lt;=0),"Can't Kill",ROUNDUP($D5/(TowerStats!$B$71-($E5-TowerStats!$H$71)),0))</f>
        <v>Can't Kill</v>
      </c>
      <c r="AD5" s="229" t="str">
        <f>IF(OR($K5&lt;&gt;AD$2,(TowerStats!$B$72-($E5-TowerStats!$H$72))&lt;=0),"Can't Kill",ROUNDUP($D5/(TowerStats!$B$72-($E5-TowerStats!$H$72)),0))</f>
        <v>Can't Kill</v>
      </c>
      <c r="AE5" s="228" t="str">
        <f>IF(OR($K5&lt;&gt;AE$2,(TowerStats!$B$73-($E5-TowerStats!$H$73))&lt;=0),"Can't Kill",ROUNDUP($D5/(TowerStats!$B$73-($E5-TowerStats!$H$73)),0))</f>
        <v>Can't Kill</v>
      </c>
      <c r="AF5" s="230" t="str">
        <f>IF(OR($K5&lt;&gt;AF$2,(TowerStats!$B$84-($E5-TowerStats!$H$84))&lt;=0),"Can't Kill",ROUNDUP($D5/(TowerStats!$B$84-($E5-TowerStats!$H$84)),0))</f>
        <v>Can't Kill</v>
      </c>
      <c r="AG5" s="229" t="str">
        <f>IF(OR($K5&lt;&gt;AG$2,(TowerStats!$B$85-($E5-TowerStats!$H$85))&lt;=0),"Can't Kill",ROUNDUP($D5/(TowerStats!$B$85-($E5-TowerStats!$H$85)),0))</f>
        <v>Can't Kill</v>
      </c>
      <c r="AH5" s="229" t="str">
        <f>IF(OR($K5&lt;&gt;AH$2,(TowerStats!$B$86-($E5-TowerStats!$H$86))&lt;=0),"Can't Kill",ROUNDUP($D5/(TowerStats!$B$86-($E5-TowerStats!$H$86)),0))</f>
        <v>Can't Kill</v>
      </c>
      <c r="AI5" s="229" t="str">
        <f>IF(OR($K5&lt;&gt;AI$2,(TowerStats!$B$87-($E5-TowerStats!$H$87))&lt;=0),"Can't Kill",ROUNDUP($D5/(TowerStats!$B$87-($E5-TowerStats!$H$87)),0))</f>
        <v>Can't Kill</v>
      </c>
      <c r="AJ5" s="228" t="str">
        <f>IF(OR($K5&lt;&gt;AJ$2,(TowerStats!$B$88-($E5-TowerStats!$H$88))&lt;=0),"Can't Kill",ROUNDUP($D5/(TowerStats!$B$88-($E5-TowerStats!$H$88)),0))</f>
        <v>Can't Kill</v>
      </c>
      <c r="AK5" s="230" t="str">
        <f>IF(OR($K5&lt;&gt;AK$2,(TowerStats!$B$100-($E5-TowerStats!$H$100))&lt;=0),"Can't Kill",ROUNDUP($D5/(TowerStats!$B$100-($E5-TowerStats!$H$100)),0))</f>
        <v>Can't Kill</v>
      </c>
      <c r="AL5" s="229" t="str">
        <f>IF(OR($K5&lt;&gt;AL$2,(TowerStats!$B$101-($E5-TowerStats!$H$101))&lt;=0),"Can't Kill",ROUNDUP($D5/(TowerStats!$B$101-($E5-TowerStats!$H$101)),0))</f>
        <v>Can't Kill</v>
      </c>
      <c r="AM5" s="229" t="str">
        <f>IF(OR($K5&lt;&gt;AM$2,(TowerStats!$B$102-($E5-TowerStats!$H$102))&lt;=0),"Can't Kill",ROUNDUP($D5/(TowerStats!$B$102-($E5-TowerStats!$H$102)),0))</f>
        <v>Can't Kill</v>
      </c>
      <c r="AN5" s="229" t="str">
        <f>IF(OR($K5&lt;&gt;AN$2,(TowerStats!$B$103-($E5-TowerStats!$H$103))&lt;=0),"Can't Kill",ROUNDUP($D5/(TowerStats!$B$103-($E5-TowerStats!$H$103)),0))</f>
        <v>Can't Kill</v>
      </c>
      <c r="AO5" s="228" t="str">
        <f>IF(OR($K5&lt;&gt;AO$2,(TowerStats!$B$104-($E5-TowerStats!$H$104))&lt;=0),"Can't Kill",ROUNDUP($D5/(TowerStats!$B$104-($E5-TowerStats!$H$104)),0))</f>
        <v>Can't Kill</v>
      </c>
    </row>
    <row r="6" spans="2:41" ht="13.5" x14ac:dyDescent="0.15">
      <c r="B6" s="233" t="s">
        <v>72</v>
      </c>
      <c r="C6" s="232">
        <f>VLOOKUP($B6,'Monsters Stats'!$B$8:$L$70,2,FALSE)</f>
        <v>10</v>
      </c>
      <c r="D6" s="232">
        <f>VLOOKUP($B6,'Monsters Stats'!$B$8:$L$70,3,FALSE)</f>
        <v>26</v>
      </c>
      <c r="E6" s="232">
        <f>VLOOKUP($B6,'Monsters Stats'!$B$8:$L$70,4,FALSE)</f>
        <v>4</v>
      </c>
      <c r="F6" s="232">
        <f>VLOOKUP($B6,'Monsters Stats'!$B$8:$L$70,5,FALSE)</f>
        <v>1</v>
      </c>
      <c r="G6" s="232">
        <f>VLOOKUP($B6,'Monsters Stats'!$B$8:$L$70,6,FALSE)</f>
        <v>0.79999999999999993</v>
      </c>
      <c r="H6" s="232">
        <f>VLOOKUP($B6,'Monsters Stats'!$B$8:$L$70,7,FALSE)</f>
        <v>4</v>
      </c>
      <c r="I6" s="232">
        <f>VLOOKUP($B6,'Monsters Stats'!$B$8:$L$70,8,FALSE)</f>
        <v>1</v>
      </c>
      <c r="J6" s="232">
        <f>VLOOKUP($B6,'Monsters Stats'!$B$8:$L$70,9,FALSE)</f>
        <v>0</v>
      </c>
      <c r="K6" s="231">
        <f>VLOOKUP($B6,'Monsters Stats'!$B$8:$L$70,11,FALSE)</f>
        <v>0</v>
      </c>
      <c r="L6" s="230" t="str">
        <f>IF(OR($K6&lt;&gt;L$2,(TowerStats!$B$29-($E6-TowerStats!$H$29))&lt;=0),"Can't Kill",ROUNDUP($D6/(TowerStats!$B$29-($E6-TowerStats!$H$29)),0))</f>
        <v>Can't Kill</v>
      </c>
      <c r="M6" s="229" t="str">
        <f>IF(OR($K6&lt;&gt;M$2,(TowerStats!$B$30-($E6-TowerStats!$H$30))&lt;=0),"Can't Kill",ROUNDUP($D6/(TowerStats!$B$30-($E6-TowerStats!$H$30)),0))</f>
        <v>Can't Kill</v>
      </c>
      <c r="N6" s="229" t="str">
        <f>IF(OR($K6&lt;&gt;N$2,(TowerStats!$B$31-($E6-TowerStats!$H$31))&lt;=0),"Can't Kill",ROUNDUP($D6/(TowerStats!$B$31-($E6-TowerStats!$H$31)),0))</f>
        <v>Can't Kill</v>
      </c>
      <c r="O6" s="229" t="str">
        <f>IF(OR($K6&lt;&gt;O$2,(TowerStats!$B$32-($E6-TowerStats!$H$32))&lt;=0),"Can't Kill",ROUNDUP($D6/(TowerStats!$B$32-($E6-TowerStats!$H$32)),0))</f>
        <v>Can't Kill</v>
      </c>
      <c r="P6" s="228" t="str">
        <f>IF(OR($K6&lt;&gt;P$2,(TowerStats!$B$33-($E6-TowerStats!$H$33))&lt;=0),"Can't Kill",ROUNDUP($D6/(TowerStats!$B$33-($E6-TowerStats!$H$33)),0))</f>
        <v>Can't Kill</v>
      </c>
      <c r="Q6" s="230">
        <f>IF(OR($K6&lt;&gt;Q$2,(TowerStats!$B$40-($E6-TowerStats!$H$40))&lt;=0),"Can't Kill",ROUNDUP($D6/(TowerStats!$B$40-($E6-TowerStats!$H$40)),0))</f>
        <v>4</v>
      </c>
      <c r="R6" s="229">
        <f>IF(OR($K6&lt;&gt;R$2,(TowerStats!$B$41-($E6-TowerStats!$H$41))&lt;=0),"Can't Kill",ROUNDUP($D6/(TowerStats!$B$41-($E6-TowerStats!$H$41)),0))</f>
        <v>3</v>
      </c>
      <c r="S6" s="229">
        <f>IF(OR($K6&lt;&gt;S$2,(TowerStats!$B$42-($E6-TowerStats!$H$42))&lt;=0),"Can't Kill",ROUNDUP($D6/(TowerStats!$B$42-($E6-TowerStats!$H$42)),0))</f>
        <v>3</v>
      </c>
      <c r="T6" s="229">
        <f>IF(OR($K6&lt;&gt;T$2,(TowerStats!$B$43-($E6-TowerStats!$H$43))&lt;=0),"Can't Kill",ROUNDUP($D6/(TowerStats!$B$43-($E6-TowerStats!$H$43)),0))</f>
        <v>2</v>
      </c>
      <c r="U6" s="228">
        <f>IF(OR($K6&lt;&gt;U$2,(TowerStats!$B$44-($E6-TowerStats!$H$44))&lt;=0),"Can't Kill",ROUNDUP($D6/(TowerStats!$B$44-($E6-TowerStats!$H$44)),0))</f>
        <v>2</v>
      </c>
      <c r="V6" s="230" t="str">
        <f>IF(OR($K6&lt;&gt;V$2,(TowerStats!$B$54-($E6-TowerStats!$H$54))&lt;=0),"Can't Kill",ROUNDUP($D6/(TowerStats!$B$54-($E6-TowerStats!$H$54)),0))</f>
        <v>Can't Kill</v>
      </c>
      <c r="W6" s="229" t="str">
        <f>IF(OR($K6&lt;&gt;W$2,(TowerStats!$B$55-($E6-TowerStats!$H$55))&lt;=0),"Can't Kill",ROUNDUP($D6/(TowerStats!$B$55-($E6-TowerStats!$H$55)),0))</f>
        <v>Can't Kill</v>
      </c>
      <c r="X6" s="229" t="str">
        <f>IF(OR($K6&lt;&gt;X$2,(TowerStats!$B$56-($E6-TowerStats!$H$56))&lt;=0),"Can't Kill",ROUNDUP($D6/(TowerStats!$B$56-($E6-TowerStats!$H$56)),0))</f>
        <v>Can't Kill</v>
      </c>
      <c r="Y6" s="229" t="str">
        <f>IF(OR($K6&lt;&gt;Y$2,(TowerStats!$B$57-($E6-TowerStats!$H$57))&lt;=0),"Can't Kill",ROUNDUP($D6/(TowerStats!$B$57-($E6-TowerStats!$H$57)),0))</f>
        <v>Can't Kill</v>
      </c>
      <c r="Z6" s="228" t="str">
        <f>IF(OR($K6&lt;&gt;Z$2,(TowerStats!$B$58-($E6-TowerStats!$H$58))&lt;=0),"Can't Kill",ROUNDUP($D6/(TowerStats!$B$58-($E6-TowerStats!$H$58)),0))</f>
        <v>Can't Kill</v>
      </c>
      <c r="AA6" s="230" t="str">
        <f>IF(OR($K6&lt;&gt;AA$2,(TowerStats!$B$69-($E6-TowerStats!$H$69))&lt;=0),"Can't Kill",ROUNDUP($D6/(TowerStats!$B$69-($E6-TowerStats!$H$69)),0))</f>
        <v>Can't Kill</v>
      </c>
      <c r="AB6" s="229" t="str">
        <f>IF(OR($K6&lt;&gt;AB$2,(TowerStats!$B$70-($E6-TowerStats!$H$70))&lt;=0),"Can't Kill",ROUNDUP($D6/(TowerStats!$B$70-($E6-TowerStats!$H$70)),0))</f>
        <v>Can't Kill</v>
      </c>
      <c r="AC6" s="229" t="str">
        <f>IF(OR($K6&lt;&gt;AC$2,(TowerStats!$B$71-($E6-TowerStats!$H$71))&lt;=0),"Can't Kill",ROUNDUP($D6/(TowerStats!$B$71-($E6-TowerStats!$H$71)),0))</f>
        <v>Can't Kill</v>
      </c>
      <c r="AD6" s="229" t="str">
        <f>IF(OR($K6&lt;&gt;AD$2,(TowerStats!$B$72-($E6-TowerStats!$H$72))&lt;=0),"Can't Kill",ROUNDUP($D6/(TowerStats!$B$72-($E6-TowerStats!$H$72)),0))</f>
        <v>Can't Kill</v>
      </c>
      <c r="AE6" s="228" t="str">
        <f>IF(OR($K6&lt;&gt;AE$2,(TowerStats!$B$73-($E6-TowerStats!$H$73))&lt;=0),"Can't Kill",ROUNDUP($D6/(TowerStats!$B$73-($E6-TowerStats!$H$73)),0))</f>
        <v>Can't Kill</v>
      </c>
      <c r="AF6" s="230" t="str">
        <f>IF(OR($K6&lt;&gt;AF$2,(TowerStats!$B$84-($E6-TowerStats!$H$84))&lt;=0),"Can't Kill",ROUNDUP($D6/(TowerStats!$B$84-($E6-TowerStats!$H$84)),0))</f>
        <v>Can't Kill</v>
      </c>
      <c r="AG6" s="229" t="str">
        <f>IF(OR($K6&lt;&gt;AG$2,(TowerStats!$B$85-($E6-TowerStats!$H$85))&lt;=0),"Can't Kill",ROUNDUP($D6/(TowerStats!$B$85-($E6-TowerStats!$H$85)),0))</f>
        <v>Can't Kill</v>
      </c>
      <c r="AH6" s="229" t="str">
        <f>IF(OR($K6&lt;&gt;AH$2,(TowerStats!$B$86-($E6-TowerStats!$H$86))&lt;=0),"Can't Kill",ROUNDUP($D6/(TowerStats!$B$86-($E6-TowerStats!$H$86)),0))</f>
        <v>Can't Kill</v>
      </c>
      <c r="AI6" s="229" t="str">
        <f>IF(OR($K6&lt;&gt;AI$2,(TowerStats!$B$87-($E6-TowerStats!$H$87))&lt;=0),"Can't Kill",ROUNDUP($D6/(TowerStats!$B$87-($E6-TowerStats!$H$87)),0))</f>
        <v>Can't Kill</v>
      </c>
      <c r="AJ6" s="228" t="str">
        <f>IF(OR($K6&lt;&gt;AJ$2,(TowerStats!$B$88-($E6-TowerStats!$H$88))&lt;=0),"Can't Kill",ROUNDUP($D6/(TowerStats!$B$88-($E6-TowerStats!$H$88)),0))</f>
        <v>Can't Kill</v>
      </c>
      <c r="AK6" s="230" t="str">
        <f>IF(OR($K6&lt;&gt;AK$2,(TowerStats!$B$100-($E6-TowerStats!$H$100))&lt;=0),"Can't Kill",ROUNDUP($D6/(TowerStats!$B$100-($E6-TowerStats!$H$100)),0))</f>
        <v>Can't Kill</v>
      </c>
      <c r="AL6" s="229" t="str">
        <f>IF(OR($K6&lt;&gt;AL$2,(TowerStats!$B$101-($E6-TowerStats!$H$101))&lt;=0),"Can't Kill",ROUNDUP($D6/(TowerStats!$B$101-($E6-TowerStats!$H$101)),0))</f>
        <v>Can't Kill</v>
      </c>
      <c r="AM6" s="229" t="str">
        <f>IF(OR($K6&lt;&gt;AM$2,(TowerStats!$B$102-($E6-TowerStats!$H$102))&lt;=0),"Can't Kill",ROUNDUP($D6/(TowerStats!$B$102-($E6-TowerStats!$H$102)),0))</f>
        <v>Can't Kill</v>
      </c>
      <c r="AN6" s="229" t="str">
        <f>IF(OR($K6&lt;&gt;AN$2,(TowerStats!$B$103-($E6-TowerStats!$H$103))&lt;=0),"Can't Kill",ROUNDUP($D6/(TowerStats!$B$103-($E6-TowerStats!$H$103)),0))</f>
        <v>Can't Kill</v>
      </c>
      <c r="AO6" s="228" t="str">
        <f>IF(OR($K6&lt;&gt;AO$2,(TowerStats!$B$104-($E6-TowerStats!$H$104))&lt;=0),"Can't Kill",ROUNDUP($D6/(TowerStats!$B$104-($E6-TowerStats!$H$104)),0))</f>
        <v>Can't Kill</v>
      </c>
    </row>
    <row r="7" spans="2:41" ht="13.5" x14ac:dyDescent="0.15">
      <c r="B7" s="233" t="s">
        <v>12</v>
      </c>
      <c r="C7" s="232">
        <f>VLOOKUP($B7,'Monsters Stats'!$B$8:$L$70,2,FALSE)</f>
        <v>4</v>
      </c>
      <c r="D7" s="232">
        <f>VLOOKUP($B7,'Monsters Stats'!$B$8:$L$70,3,FALSE)</f>
        <v>12</v>
      </c>
      <c r="E7" s="232">
        <f>VLOOKUP($B7,'Monsters Stats'!$B$8:$L$70,4,FALSE)</f>
        <v>3</v>
      </c>
      <c r="F7" s="232">
        <f>VLOOKUP($B7,'Monsters Stats'!$B$8:$L$70,5,FALSE)</f>
        <v>1</v>
      </c>
      <c r="G7" s="232">
        <f>VLOOKUP($B7,'Monsters Stats'!$B$8:$L$70,6,FALSE)</f>
        <v>0.8</v>
      </c>
      <c r="H7" s="232">
        <f>VLOOKUP($B7,'Monsters Stats'!$B$8:$L$70,7,FALSE)</f>
        <v>4</v>
      </c>
      <c r="I7" s="232">
        <f>VLOOKUP($B7,'Monsters Stats'!$B$8:$L$70,8,FALSE)</f>
        <v>1.3</v>
      </c>
      <c r="J7" s="232">
        <f>VLOOKUP($B7,'Monsters Stats'!$B$8:$L$70,9,FALSE)</f>
        <v>0</v>
      </c>
      <c r="K7" s="231">
        <f>VLOOKUP($B7,'Monsters Stats'!$B$8:$L$70,11,FALSE)</f>
        <v>0</v>
      </c>
      <c r="L7" s="230" t="str">
        <f>IF(OR($K7&lt;&gt;L$2,(TowerStats!$B$29-($E7-TowerStats!$H$29))&lt;=0),"Can't Kill",ROUNDUP($D7/(TowerStats!$B$29-($E7-TowerStats!$H$29)),0))</f>
        <v>Can't Kill</v>
      </c>
      <c r="M7" s="229" t="str">
        <f>IF(OR($K7&lt;&gt;M$2,(TowerStats!$B$30-($E7-TowerStats!$H$30))&lt;=0),"Can't Kill",ROUNDUP($D7/(TowerStats!$B$30-($E7-TowerStats!$H$30)),0))</f>
        <v>Can't Kill</v>
      </c>
      <c r="N7" s="229" t="str">
        <f>IF(OR($K7&lt;&gt;N$2,(TowerStats!$B$31-($E7-TowerStats!$H$31))&lt;=0),"Can't Kill",ROUNDUP($D7/(TowerStats!$B$31-($E7-TowerStats!$H$31)),0))</f>
        <v>Can't Kill</v>
      </c>
      <c r="O7" s="229" t="str">
        <f>IF(OR($K7&lt;&gt;O$2,(TowerStats!$B$32-($E7-TowerStats!$H$32))&lt;=0),"Can't Kill",ROUNDUP($D7/(TowerStats!$B$32-($E7-TowerStats!$H$32)),0))</f>
        <v>Can't Kill</v>
      </c>
      <c r="P7" s="228" t="str">
        <f>IF(OR($K7&lt;&gt;P$2,(TowerStats!$B$33-($E7-TowerStats!$H$33))&lt;=0),"Can't Kill",ROUNDUP($D7/(TowerStats!$B$33-($E7-TowerStats!$H$33)),0))</f>
        <v>Can't Kill</v>
      </c>
      <c r="Q7" s="230">
        <f>IF(OR($K7&lt;&gt;Q$2,(TowerStats!$B$40-($E7-TowerStats!$H$40))&lt;=0),"Can't Kill",ROUNDUP($D7/(TowerStats!$B$40-($E7-TowerStats!$H$40)),0))</f>
        <v>2</v>
      </c>
      <c r="R7" s="229">
        <f>IF(OR($K7&lt;&gt;R$2,(TowerStats!$B$41-($E7-TowerStats!$H$41))&lt;=0),"Can't Kill",ROUNDUP($D7/(TowerStats!$B$41-($E7-TowerStats!$H$41)),0))</f>
        <v>2</v>
      </c>
      <c r="S7" s="229">
        <f>IF(OR($K7&lt;&gt;S$2,(TowerStats!$B$42-($E7-TowerStats!$H$42))&lt;=0),"Can't Kill",ROUNDUP($D7/(TowerStats!$B$42-($E7-TowerStats!$H$42)),0))</f>
        <v>1</v>
      </c>
      <c r="T7" s="229">
        <f>IF(OR($K7&lt;&gt;T$2,(TowerStats!$B$43-($E7-TowerStats!$H$43))&lt;=0),"Can't Kill",ROUNDUP($D7/(TowerStats!$B$43-($E7-TowerStats!$H$43)),0))</f>
        <v>1</v>
      </c>
      <c r="U7" s="228">
        <f>IF(OR($K7&lt;&gt;U$2,(TowerStats!$B$44-($E7-TowerStats!$H$44))&lt;=0),"Can't Kill",ROUNDUP($D7/(TowerStats!$B$44-($E7-TowerStats!$H$44)),0))</f>
        <v>1</v>
      </c>
      <c r="V7" s="230" t="str">
        <f>IF(OR($K7&lt;&gt;V$2,(TowerStats!$B$54-($E7-TowerStats!$H$54))&lt;=0),"Can't Kill",ROUNDUP($D7/(TowerStats!$B$54-($E7-TowerStats!$H$54)),0))</f>
        <v>Can't Kill</v>
      </c>
      <c r="W7" s="229" t="str">
        <f>IF(OR($K7&lt;&gt;W$2,(TowerStats!$B$55-($E7-TowerStats!$H$55))&lt;=0),"Can't Kill",ROUNDUP($D7/(TowerStats!$B$55-($E7-TowerStats!$H$55)),0))</f>
        <v>Can't Kill</v>
      </c>
      <c r="X7" s="229" t="str">
        <f>IF(OR($K7&lt;&gt;X$2,(TowerStats!$B$56-($E7-TowerStats!$H$56))&lt;=0),"Can't Kill",ROUNDUP($D7/(TowerStats!$B$56-($E7-TowerStats!$H$56)),0))</f>
        <v>Can't Kill</v>
      </c>
      <c r="Y7" s="229" t="str">
        <f>IF(OR($K7&lt;&gt;Y$2,(TowerStats!$B$57-($E7-TowerStats!$H$57))&lt;=0),"Can't Kill",ROUNDUP($D7/(TowerStats!$B$57-($E7-TowerStats!$H$57)),0))</f>
        <v>Can't Kill</v>
      </c>
      <c r="Z7" s="228" t="str">
        <f>IF(OR($K7&lt;&gt;Z$2,(TowerStats!$B$58-($E7-TowerStats!$H$58))&lt;=0),"Can't Kill",ROUNDUP($D7/(TowerStats!$B$58-($E7-TowerStats!$H$58)),0))</f>
        <v>Can't Kill</v>
      </c>
      <c r="AA7" s="230" t="str">
        <f>IF(OR($K7&lt;&gt;AA$2,(TowerStats!$B$69-($E7-TowerStats!$H$69))&lt;=0),"Can't Kill",ROUNDUP($D7/(TowerStats!$B$69-($E7-TowerStats!$H$69)),0))</f>
        <v>Can't Kill</v>
      </c>
      <c r="AB7" s="229" t="str">
        <f>IF(OR($K7&lt;&gt;AB$2,(TowerStats!$B$70-($E7-TowerStats!$H$70))&lt;=0),"Can't Kill",ROUNDUP($D7/(TowerStats!$B$70-($E7-TowerStats!$H$70)),0))</f>
        <v>Can't Kill</v>
      </c>
      <c r="AC7" s="229" t="str">
        <f>IF(OR($K7&lt;&gt;AC$2,(TowerStats!$B$71-($E7-TowerStats!$H$71))&lt;=0),"Can't Kill",ROUNDUP($D7/(TowerStats!$B$71-($E7-TowerStats!$H$71)),0))</f>
        <v>Can't Kill</v>
      </c>
      <c r="AD7" s="229" t="str">
        <f>IF(OR($K7&lt;&gt;AD$2,(TowerStats!$B$72-($E7-TowerStats!$H$72))&lt;=0),"Can't Kill",ROUNDUP($D7/(TowerStats!$B$72-($E7-TowerStats!$H$72)),0))</f>
        <v>Can't Kill</v>
      </c>
      <c r="AE7" s="228" t="str">
        <f>IF(OR($K7&lt;&gt;AE$2,(TowerStats!$B$73-($E7-TowerStats!$H$73))&lt;=0),"Can't Kill",ROUNDUP($D7/(TowerStats!$B$73-($E7-TowerStats!$H$73)),0))</f>
        <v>Can't Kill</v>
      </c>
      <c r="AF7" s="230" t="str">
        <f>IF(OR($K7&lt;&gt;AF$2,(TowerStats!$B$84-($E7-TowerStats!$H$84))&lt;=0),"Can't Kill",ROUNDUP($D7/(TowerStats!$B$84-($E7-TowerStats!$H$84)),0))</f>
        <v>Can't Kill</v>
      </c>
      <c r="AG7" s="229" t="str">
        <f>IF(OR($K7&lt;&gt;AG$2,(TowerStats!$B$85-($E7-TowerStats!$H$85))&lt;=0),"Can't Kill",ROUNDUP($D7/(TowerStats!$B$85-($E7-TowerStats!$H$85)),0))</f>
        <v>Can't Kill</v>
      </c>
      <c r="AH7" s="229" t="str">
        <f>IF(OR($K7&lt;&gt;AH$2,(TowerStats!$B$86-($E7-TowerStats!$H$86))&lt;=0),"Can't Kill",ROUNDUP($D7/(TowerStats!$B$86-($E7-TowerStats!$H$86)),0))</f>
        <v>Can't Kill</v>
      </c>
      <c r="AI7" s="229" t="str">
        <f>IF(OR($K7&lt;&gt;AI$2,(TowerStats!$B$87-($E7-TowerStats!$H$87))&lt;=0),"Can't Kill",ROUNDUP($D7/(TowerStats!$B$87-($E7-TowerStats!$H$87)),0))</f>
        <v>Can't Kill</v>
      </c>
      <c r="AJ7" s="228" t="str">
        <f>IF(OR($K7&lt;&gt;AJ$2,(TowerStats!$B$88-($E7-TowerStats!$H$88))&lt;=0),"Can't Kill",ROUNDUP($D7/(TowerStats!$B$88-($E7-TowerStats!$H$88)),0))</f>
        <v>Can't Kill</v>
      </c>
      <c r="AK7" s="230" t="str">
        <f>IF(OR($K7&lt;&gt;AK$2,(TowerStats!$B$100-($E7-TowerStats!$H$100))&lt;=0),"Can't Kill",ROUNDUP($D7/(TowerStats!$B$100-($E7-TowerStats!$H$100)),0))</f>
        <v>Can't Kill</v>
      </c>
      <c r="AL7" s="229" t="str">
        <f>IF(OR($K7&lt;&gt;AL$2,(TowerStats!$B$101-($E7-TowerStats!$H$101))&lt;=0),"Can't Kill",ROUNDUP($D7/(TowerStats!$B$101-($E7-TowerStats!$H$101)),0))</f>
        <v>Can't Kill</v>
      </c>
      <c r="AM7" s="229" t="str">
        <f>IF(OR($K7&lt;&gt;AM$2,(TowerStats!$B$102-($E7-TowerStats!$H$102))&lt;=0),"Can't Kill",ROUNDUP($D7/(TowerStats!$B$102-($E7-TowerStats!$H$102)),0))</f>
        <v>Can't Kill</v>
      </c>
      <c r="AN7" s="229" t="str">
        <f>IF(OR($K7&lt;&gt;AN$2,(TowerStats!$B$103-($E7-TowerStats!$H$103))&lt;=0),"Can't Kill",ROUNDUP($D7/(TowerStats!$B$103-($E7-TowerStats!$H$103)),0))</f>
        <v>Can't Kill</v>
      </c>
      <c r="AO7" s="228" t="str">
        <f>IF(OR($K7&lt;&gt;AO$2,(TowerStats!$B$104-($E7-TowerStats!$H$104))&lt;=0),"Can't Kill",ROUNDUP($D7/(TowerStats!$B$104-($E7-TowerStats!$H$104)),0))</f>
        <v>Can't Kill</v>
      </c>
    </row>
    <row r="8" spans="2:41" ht="13.5" x14ac:dyDescent="0.15">
      <c r="B8" s="233" t="s">
        <v>73</v>
      </c>
      <c r="C8" s="232">
        <f>VLOOKUP($B8,'Monsters Stats'!$B$8:$L$70,2,FALSE)</f>
        <v>6</v>
      </c>
      <c r="D8" s="232">
        <f>VLOOKUP($B8,'Monsters Stats'!$B$8:$L$70,3,FALSE)</f>
        <v>18</v>
      </c>
      <c r="E8" s="232">
        <f>VLOOKUP($B8,'Monsters Stats'!$B$8:$L$70,4,FALSE)</f>
        <v>4</v>
      </c>
      <c r="F8" s="232">
        <f>VLOOKUP($B8,'Monsters Stats'!$B$8:$L$70,5,FALSE)</f>
        <v>1</v>
      </c>
      <c r="G8" s="232">
        <f>VLOOKUP($B8,'Monsters Stats'!$B$8:$L$70,6,FALSE)</f>
        <v>0.79999999999999993</v>
      </c>
      <c r="H8" s="232">
        <f>VLOOKUP($B8,'Monsters Stats'!$B$8:$L$70,7,FALSE)</f>
        <v>6</v>
      </c>
      <c r="I8" s="232">
        <f>VLOOKUP($B8,'Monsters Stats'!$B$8:$L$70,8,FALSE)</f>
        <v>1.6</v>
      </c>
      <c r="J8" s="232">
        <f>VLOOKUP($B8,'Monsters Stats'!$B$8:$L$70,9,FALSE)</f>
        <v>0</v>
      </c>
      <c r="K8" s="231">
        <f>VLOOKUP($B8,'Monsters Stats'!$B$8:$L$70,11,FALSE)</f>
        <v>0</v>
      </c>
      <c r="L8" s="230" t="str">
        <f>IF(OR($K8&lt;&gt;L$2,(TowerStats!$B$29-($E8-TowerStats!$H$29))&lt;=0),"Can't Kill",ROUNDUP($D8/(TowerStats!$B$29-($E8-TowerStats!$H$29)),0))</f>
        <v>Can't Kill</v>
      </c>
      <c r="M8" s="229" t="str">
        <f>IF(OR($K8&lt;&gt;M$2,(TowerStats!$B$30-($E8-TowerStats!$H$30))&lt;=0),"Can't Kill",ROUNDUP($D8/(TowerStats!$B$30-($E8-TowerStats!$H$30)),0))</f>
        <v>Can't Kill</v>
      </c>
      <c r="N8" s="229" t="str">
        <f>IF(OR($K8&lt;&gt;N$2,(TowerStats!$B$31-($E8-TowerStats!$H$31))&lt;=0),"Can't Kill",ROUNDUP($D8/(TowerStats!$B$31-($E8-TowerStats!$H$31)),0))</f>
        <v>Can't Kill</v>
      </c>
      <c r="O8" s="229" t="str">
        <f>IF(OR($K8&lt;&gt;O$2,(TowerStats!$B$32-($E8-TowerStats!$H$32))&lt;=0),"Can't Kill",ROUNDUP($D8/(TowerStats!$B$32-($E8-TowerStats!$H$32)),0))</f>
        <v>Can't Kill</v>
      </c>
      <c r="P8" s="228" t="str">
        <f>IF(OR($K8&lt;&gt;P$2,(TowerStats!$B$33-($E8-TowerStats!$H$33))&lt;=0),"Can't Kill",ROUNDUP($D8/(TowerStats!$B$33-($E8-TowerStats!$H$33)),0))</f>
        <v>Can't Kill</v>
      </c>
      <c r="Q8" s="230">
        <f>IF(OR($K8&lt;&gt;Q$2,(TowerStats!$B$40-($E8-TowerStats!$H$40))&lt;=0),"Can't Kill",ROUNDUP($D8/(TowerStats!$B$40-($E8-TowerStats!$H$40)),0))</f>
        <v>3</v>
      </c>
      <c r="R8" s="229">
        <f>IF(OR($K8&lt;&gt;R$2,(TowerStats!$B$41-($E8-TowerStats!$H$41))&lt;=0),"Can't Kill",ROUNDUP($D8/(TowerStats!$B$41-($E8-TowerStats!$H$41)),0))</f>
        <v>2</v>
      </c>
      <c r="S8" s="229">
        <f>IF(OR($K8&lt;&gt;S$2,(TowerStats!$B$42-($E8-TowerStats!$H$42))&lt;=0),"Can't Kill",ROUNDUP($D8/(TowerStats!$B$42-($E8-TowerStats!$H$42)),0))</f>
        <v>2</v>
      </c>
      <c r="T8" s="229">
        <f>IF(OR($K8&lt;&gt;T$2,(TowerStats!$B$43-($E8-TowerStats!$H$43))&lt;=0),"Can't Kill",ROUNDUP($D8/(TowerStats!$B$43-($E8-TowerStats!$H$43)),0))</f>
        <v>2</v>
      </c>
      <c r="U8" s="228">
        <f>IF(OR($K8&lt;&gt;U$2,(TowerStats!$B$44-($E8-TowerStats!$H$44))&lt;=0),"Can't Kill",ROUNDUP($D8/(TowerStats!$B$44-($E8-TowerStats!$H$44)),0))</f>
        <v>1</v>
      </c>
      <c r="V8" s="230" t="str">
        <f>IF(OR($K8&lt;&gt;V$2,(TowerStats!$B$54-($E8-TowerStats!$H$54))&lt;=0),"Can't Kill",ROUNDUP($D8/(TowerStats!$B$54-($E8-TowerStats!$H$54)),0))</f>
        <v>Can't Kill</v>
      </c>
      <c r="W8" s="229" t="str">
        <f>IF(OR($K8&lt;&gt;W$2,(TowerStats!$B$55-($E8-TowerStats!$H$55))&lt;=0),"Can't Kill",ROUNDUP($D8/(TowerStats!$B$55-($E8-TowerStats!$H$55)),0))</f>
        <v>Can't Kill</v>
      </c>
      <c r="X8" s="229" t="str">
        <f>IF(OR($K8&lt;&gt;X$2,(TowerStats!$B$56-($E8-TowerStats!$H$56))&lt;=0),"Can't Kill",ROUNDUP($D8/(TowerStats!$B$56-($E8-TowerStats!$H$56)),0))</f>
        <v>Can't Kill</v>
      </c>
      <c r="Y8" s="229" t="str">
        <f>IF(OR($K8&lt;&gt;Y$2,(TowerStats!$B$57-($E8-TowerStats!$H$57))&lt;=0),"Can't Kill",ROUNDUP($D8/(TowerStats!$B$57-($E8-TowerStats!$H$57)),0))</f>
        <v>Can't Kill</v>
      </c>
      <c r="Z8" s="228" t="str">
        <f>IF(OR($K8&lt;&gt;Z$2,(TowerStats!$B$58-($E8-TowerStats!$H$58))&lt;=0),"Can't Kill",ROUNDUP($D8/(TowerStats!$B$58-($E8-TowerStats!$H$58)),0))</f>
        <v>Can't Kill</v>
      </c>
      <c r="AA8" s="230" t="str">
        <f>IF(OR($K8&lt;&gt;AA$2,(TowerStats!$B$69-($E8-TowerStats!$H$69))&lt;=0),"Can't Kill",ROUNDUP($D8/(TowerStats!$B$69-($E8-TowerStats!$H$69)),0))</f>
        <v>Can't Kill</v>
      </c>
      <c r="AB8" s="229" t="str">
        <f>IF(OR($K8&lt;&gt;AB$2,(TowerStats!$B$70-($E8-TowerStats!$H$70))&lt;=0),"Can't Kill",ROUNDUP($D8/(TowerStats!$B$70-($E8-TowerStats!$H$70)),0))</f>
        <v>Can't Kill</v>
      </c>
      <c r="AC8" s="229" t="str">
        <f>IF(OR($K8&lt;&gt;AC$2,(TowerStats!$B$71-($E8-TowerStats!$H$71))&lt;=0),"Can't Kill",ROUNDUP($D8/(TowerStats!$B$71-($E8-TowerStats!$H$71)),0))</f>
        <v>Can't Kill</v>
      </c>
      <c r="AD8" s="229" t="str">
        <f>IF(OR($K8&lt;&gt;AD$2,(TowerStats!$B$72-($E8-TowerStats!$H$72))&lt;=0),"Can't Kill",ROUNDUP($D8/(TowerStats!$B$72-($E8-TowerStats!$H$72)),0))</f>
        <v>Can't Kill</v>
      </c>
      <c r="AE8" s="228" t="str">
        <f>IF(OR($K8&lt;&gt;AE$2,(TowerStats!$B$73-($E8-TowerStats!$H$73))&lt;=0),"Can't Kill",ROUNDUP($D8/(TowerStats!$B$73-($E8-TowerStats!$H$73)),0))</f>
        <v>Can't Kill</v>
      </c>
      <c r="AF8" s="230" t="str">
        <f>IF(OR($K8&lt;&gt;AF$2,(TowerStats!$B$84-($E8-TowerStats!$H$84))&lt;=0),"Can't Kill",ROUNDUP($D8/(TowerStats!$B$84-($E8-TowerStats!$H$84)),0))</f>
        <v>Can't Kill</v>
      </c>
      <c r="AG8" s="229" t="str">
        <f>IF(OR($K8&lt;&gt;AG$2,(TowerStats!$B$85-($E8-TowerStats!$H$85))&lt;=0),"Can't Kill",ROUNDUP($D8/(TowerStats!$B$85-($E8-TowerStats!$H$85)),0))</f>
        <v>Can't Kill</v>
      </c>
      <c r="AH8" s="229" t="str">
        <f>IF(OR($K8&lt;&gt;AH$2,(TowerStats!$B$86-($E8-TowerStats!$H$86))&lt;=0),"Can't Kill",ROUNDUP($D8/(TowerStats!$B$86-($E8-TowerStats!$H$86)),0))</f>
        <v>Can't Kill</v>
      </c>
      <c r="AI8" s="229" t="str">
        <f>IF(OR($K8&lt;&gt;AI$2,(TowerStats!$B$87-($E8-TowerStats!$H$87))&lt;=0),"Can't Kill",ROUNDUP($D8/(TowerStats!$B$87-($E8-TowerStats!$H$87)),0))</f>
        <v>Can't Kill</v>
      </c>
      <c r="AJ8" s="228" t="str">
        <f>IF(OR($K8&lt;&gt;AJ$2,(TowerStats!$B$88-($E8-TowerStats!$H$88))&lt;=0),"Can't Kill",ROUNDUP($D8/(TowerStats!$B$88-($E8-TowerStats!$H$88)),0))</f>
        <v>Can't Kill</v>
      </c>
      <c r="AK8" s="230" t="str">
        <f>IF(OR($K8&lt;&gt;AK$2,(TowerStats!$B$100-($E8-TowerStats!$H$100))&lt;=0),"Can't Kill",ROUNDUP($D8/(TowerStats!$B$100-($E8-TowerStats!$H$100)),0))</f>
        <v>Can't Kill</v>
      </c>
      <c r="AL8" s="229" t="str">
        <f>IF(OR($K8&lt;&gt;AL$2,(TowerStats!$B$101-($E8-TowerStats!$H$101))&lt;=0),"Can't Kill",ROUNDUP($D8/(TowerStats!$B$101-($E8-TowerStats!$H$101)),0))</f>
        <v>Can't Kill</v>
      </c>
      <c r="AM8" s="229" t="str">
        <f>IF(OR($K8&lt;&gt;AM$2,(TowerStats!$B$102-($E8-TowerStats!$H$102))&lt;=0),"Can't Kill",ROUNDUP($D8/(TowerStats!$B$102-($E8-TowerStats!$H$102)),0))</f>
        <v>Can't Kill</v>
      </c>
      <c r="AN8" s="229" t="str">
        <f>IF(OR($K8&lt;&gt;AN$2,(TowerStats!$B$103-($E8-TowerStats!$H$103))&lt;=0),"Can't Kill",ROUNDUP($D8/(TowerStats!$B$103-($E8-TowerStats!$H$103)),0))</f>
        <v>Can't Kill</v>
      </c>
      <c r="AO8" s="228" t="str">
        <f>IF(OR($K8&lt;&gt;AO$2,(TowerStats!$B$104-($E8-TowerStats!$H$104))&lt;=0),"Can't Kill",ROUNDUP($D8/(TowerStats!$B$104-($E8-TowerStats!$H$104)),0))</f>
        <v>Can't Kill</v>
      </c>
    </row>
    <row r="9" spans="2:41" ht="13.5" x14ac:dyDescent="0.15">
      <c r="B9" s="233" t="s">
        <v>74</v>
      </c>
      <c r="C9" s="232">
        <f>VLOOKUP($B9,'Monsters Stats'!$B$8:$L$70,2,FALSE)</f>
        <v>8</v>
      </c>
      <c r="D9" s="232">
        <f>VLOOKUP($B9,'Monsters Stats'!$B$8:$L$70,3,FALSE)</f>
        <v>27</v>
      </c>
      <c r="E9" s="232">
        <f>VLOOKUP($B9,'Monsters Stats'!$B$8:$L$70,4,FALSE)</f>
        <v>5</v>
      </c>
      <c r="F9" s="232">
        <f>VLOOKUP($B9,'Monsters Stats'!$B$8:$L$70,5,FALSE)</f>
        <v>1</v>
      </c>
      <c r="G9" s="232">
        <f>VLOOKUP($B9,'Monsters Stats'!$B$8:$L$70,6,FALSE)</f>
        <v>0.7</v>
      </c>
      <c r="H9" s="232">
        <f>VLOOKUP($B9,'Monsters Stats'!$B$8:$L$70,7,FALSE)</f>
        <v>8</v>
      </c>
      <c r="I9" s="232">
        <f>VLOOKUP($B9,'Monsters Stats'!$B$8:$L$70,8,FALSE)</f>
        <v>2</v>
      </c>
      <c r="J9" s="232">
        <f>VLOOKUP($B9,'Monsters Stats'!$B$8:$L$70,9,FALSE)</f>
        <v>0</v>
      </c>
      <c r="K9" s="231">
        <f>VLOOKUP($B9,'Monsters Stats'!$B$8:$L$70,11,FALSE)</f>
        <v>0</v>
      </c>
      <c r="L9" s="230" t="str">
        <f>IF(OR($K9&lt;&gt;L$2,(TowerStats!$B$29-($E9-TowerStats!$H$29))&lt;=0),"Can't Kill",ROUNDUP($D9/(TowerStats!$B$29-($E9-TowerStats!$H$29)),0))</f>
        <v>Can't Kill</v>
      </c>
      <c r="M9" s="229" t="str">
        <f>IF(OR($K9&lt;&gt;M$2,(TowerStats!$B$30-($E9-TowerStats!$H$30))&lt;=0),"Can't Kill",ROUNDUP($D9/(TowerStats!$B$30-($E9-TowerStats!$H$30)),0))</f>
        <v>Can't Kill</v>
      </c>
      <c r="N9" s="229" t="str">
        <f>IF(OR($K9&lt;&gt;N$2,(TowerStats!$B$31-($E9-TowerStats!$H$31))&lt;=0),"Can't Kill",ROUNDUP($D9/(TowerStats!$B$31-($E9-TowerStats!$H$31)),0))</f>
        <v>Can't Kill</v>
      </c>
      <c r="O9" s="229" t="str">
        <f>IF(OR($K9&lt;&gt;O$2,(TowerStats!$B$32-($E9-TowerStats!$H$32))&lt;=0),"Can't Kill",ROUNDUP($D9/(TowerStats!$B$32-($E9-TowerStats!$H$32)),0))</f>
        <v>Can't Kill</v>
      </c>
      <c r="P9" s="228" t="str">
        <f>IF(OR($K9&lt;&gt;P$2,(TowerStats!$B$33-($E9-TowerStats!$H$33))&lt;=0),"Can't Kill",ROUNDUP($D9/(TowerStats!$B$33-($E9-TowerStats!$H$33)),0))</f>
        <v>Can't Kill</v>
      </c>
      <c r="Q9" s="230">
        <f>IF(OR($K9&lt;&gt;Q$2,(TowerStats!$B$40-($E9-TowerStats!$H$40))&lt;=0),"Can't Kill",ROUNDUP($D9/(TowerStats!$B$40-($E9-TowerStats!$H$40)),0))</f>
        <v>4</v>
      </c>
      <c r="R9" s="229">
        <f>IF(OR($K9&lt;&gt;R$2,(TowerStats!$B$41-($E9-TowerStats!$H$41))&lt;=0),"Can't Kill",ROUNDUP($D9/(TowerStats!$B$41-($E9-TowerStats!$H$41)),0))</f>
        <v>3</v>
      </c>
      <c r="S9" s="229">
        <f>IF(OR($K9&lt;&gt;S$2,(TowerStats!$B$42-($E9-TowerStats!$H$42))&lt;=0),"Can't Kill",ROUNDUP($D9/(TowerStats!$B$42-($E9-TowerStats!$H$42)),0))</f>
        <v>3</v>
      </c>
      <c r="T9" s="229">
        <f>IF(OR($K9&lt;&gt;T$2,(TowerStats!$B$43-($E9-TowerStats!$H$43))&lt;=0),"Can't Kill",ROUNDUP($D9/(TowerStats!$B$43-($E9-TowerStats!$H$43)),0))</f>
        <v>2</v>
      </c>
      <c r="U9" s="228">
        <f>IF(OR($K9&lt;&gt;U$2,(TowerStats!$B$44-($E9-TowerStats!$H$44))&lt;=0),"Can't Kill",ROUNDUP($D9/(TowerStats!$B$44-($E9-TowerStats!$H$44)),0))</f>
        <v>2</v>
      </c>
      <c r="V9" s="230" t="str">
        <f>IF(OR($K9&lt;&gt;V$2,(TowerStats!$B$54-($E9-TowerStats!$H$54))&lt;=0),"Can't Kill",ROUNDUP($D9/(TowerStats!$B$54-($E9-TowerStats!$H$54)),0))</f>
        <v>Can't Kill</v>
      </c>
      <c r="W9" s="229" t="str">
        <f>IF(OR($K9&lt;&gt;W$2,(TowerStats!$B$55-($E9-TowerStats!$H$55))&lt;=0),"Can't Kill",ROUNDUP($D9/(TowerStats!$B$55-($E9-TowerStats!$H$55)),0))</f>
        <v>Can't Kill</v>
      </c>
      <c r="X9" s="229" t="str">
        <f>IF(OR($K9&lt;&gt;X$2,(TowerStats!$B$56-($E9-TowerStats!$H$56))&lt;=0),"Can't Kill",ROUNDUP($D9/(TowerStats!$B$56-($E9-TowerStats!$H$56)),0))</f>
        <v>Can't Kill</v>
      </c>
      <c r="Y9" s="229" t="str">
        <f>IF(OR($K9&lt;&gt;Y$2,(TowerStats!$B$57-($E9-TowerStats!$H$57))&lt;=0),"Can't Kill",ROUNDUP($D9/(TowerStats!$B$57-($E9-TowerStats!$H$57)),0))</f>
        <v>Can't Kill</v>
      </c>
      <c r="Z9" s="228" t="str">
        <f>IF(OR($K9&lt;&gt;Z$2,(TowerStats!$B$58-($E9-TowerStats!$H$58))&lt;=0),"Can't Kill",ROUNDUP($D9/(TowerStats!$B$58-($E9-TowerStats!$H$58)),0))</f>
        <v>Can't Kill</v>
      </c>
      <c r="AA9" s="230" t="str">
        <f>IF(OR($K9&lt;&gt;AA$2,(TowerStats!$B$69-($E9-TowerStats!$H$69))&lt;=0),"Can't Kill",ROUNDUP($D9/(TowerStats!$B$69-($E9-TowerStats!$H$69)),0))</f>
        <v>Can't Kill</v>
      </c>
      <c r="AB9" s="229" t="str">
        <f>IF(OR($K9&lt;&gt;AB$2,(TowerStats!$B$70-($E9-TowerStats!$H$70))&lt;=0),"Can't Kill",ROUNDUP($D9/(TowerStats!$B$70-($E9-TowerStats!$H$70)),0))</f>
        <v>Can't Kill</v>
      </c>
      <c r="AC9" s="229" t="str">
        <f>IF(OR($K9&lt;&gt;AC$2,(TowerStats!$B$71-($E9-TowerStats!$H$71))&lt;=0),"Can't Kill",ROUNDUP($D9/(TowerStats!$B$71-($E9-TowerStats!$H$71)),0))</f>
        <v>Can't Kill</v>
      </c>
      <c r="AD9" s="229" t="str">
        <f>IF(OR($K9&lt;&gt;AD$2,(TowerStats!$B$72-($E9-TowerStats!$H$72))&lt;=0),"Can't Kill",ROUNDUP($D9/(TowerStats!$B$72-($E9-TowerStats!$H$72)),0))</f>
        <v>Can't Kill</v>
      </c>
      <c r="AE9" s="228" t="str">
        <f>IF(OR($K9&lt;&gt;AE$2,(TowerStats!$B$73-($E9-TowerStats!$H$73))&lt;=0),"Can't Kill",ROUNDUP($D9/(TowerStats!$B$73-($E9-TowerStats!$H$73)),0))</f>
        <v>Can't Kill</v>
      </c>
      <c r="AF9" s="230" t="str">
        <f>IF(OR($K9&lt;&gt;AF$2,(TowerStats!$B$84-($E9-TowerStats!$H$84))&lt;=0),"Can't Kill",ROUNDUP($D9/(TowerStats!$B$84-($E9-TowerStats!$H$84)),0))</f>
        <v>Can't Kill</v>
      </c>
      <c r="AG9" s="229" t="str">
        <f>IF(OR($K9&lt;&gt;AG$2,(TowerStats!$B$85-($E9-TowerStats!$H$85))&lt;=0),"Can't Kill",ROUNDUP($D9/(TowerStats!$B$85-($E9-TowerStats!$H$85)),0))</f>
        <v>Can't Kill</v>
      </c>
      <c r="AH9" s="229" t="str">
        <f>IF(OR($K9&lt;&gt;AH$2,(TowerStats!$B$86-($E9-TowerStats!$H$86))&lt;=0),"Can't Kill",ROUNDUP($D9/(TowerStats!$B$86-($E9-TowerStats!$H$86)),0))</f>
        <v>Can't Kill</v>
      </c>
      <c r="AI9" s="229" t="str">
        <f>IF(OR($K9&lt;&gt;AI$2,(TowerStats!$B$87-($E9-TowerStats!$H$87))&lt;=0),"Can't Kill",ROUNDUP($D9/(TowerStats!$B$87-($E9-TowerStats!$H$87)),0))</f>
        <v>Can't Kill</v>
      </c>
      <c r="AJ9" s="228" t="str">
        <f>IF(OR($K9&lt;&gt;AJ$2,(TowerStats!$B$88-($E9-TowerStats!$H$88))&lt;=0),"Can't Kill",ROUNDUP($D9/(TowerStats!$B$88-($E9-TowerStats!$H$88)),0))</f>
        <v>Can't Kill</v>
      </c>
      <c r="AK9" s="230" t="str">
        <f>IF(OR($K9&lt;&gt;AK$2,(TowerStats!$B$100-($E9-TowerStats!$H$100))&lt;=0),"Can't Kill",ROUNDUP($D9/(TowerStats!$B$100-($E9-TowerStats!$H$100)),0))</f>
        <v>Can't Kill</v>
      </c>
      <c r="AL9" s="229" t="str">
        <f>IF(OR($K9&lt;&gt;AL$2,(TowerStats!$B$101-($E9-TowerStats!$H$101))&lt;=0),"Can't Kill",ROUNDUP($D9/(TowerStats!$B$101-($E9-TowerStats!$H$101)),0))</f>
        <v>Can't Kill</v>
      </c>
      <c r="AM9" s="229" t="str">
        <f>IF(OR($K9&lt;&gt;AM$2,(TowerStats!$B$102-($E9-TowerStats!$H$102))&lt;=0),"Can't Kill",ROUNDUP($D9/(TowerStats!$B$102-($E9-TowerStats!$H$102)),0))</f>
        <v>Can't Kill</v>
      </c>
      <c r="AN9" s="229" t="str">
        <f>IF(OR($K9&lt;&gt;AN$2,(TowerStats!$B$103-($E9-TowerStats!$H$103))&lt;=0),"Can't Kill",ROUNDUP($D9/(TowerStats!$B$103-($E9-TowerStats!$H$103)),0))</f>
        <v>Can't Kill</v>
      </c>
      <c r="AO9" s="228" t="str">
        <f>IF(OR($K9&lt;&gt;AO$2,(TowerStats!$B$104-($E9-TowerStats!$H$104))&lt;=0),"Can't Kill",ROUNDUP($D9/(TowerStats!$B$104-($E9-TowerStats!$H$104)),0))</f>
        <v>Can't Kill</v>
      </c>
    </row>
    <row r="10" spans="2:41" ht="13.5" x14ac:dyDescent="0.15">
      <c r="B10" s="234" t="s">
        <v>13</v>
      </c>
      <c r="C10" s="232">
        <f>VLOOKUP($B10,'Monsters Stats'!$B$8:$L$70,2,FALSE)</f>
        <v>10</v>
      </c>
      <c r="D10" s="232">
        <f>VLOOKUP($B10,'Monsters Stats'!$B$8:$L$70,3,FALSE)</f>
        <v>14</v>
      </c>
      <c r="E10" s="232">
        <f>VLOOKUP($B10,'Monsters Stats'!$B$8:$L$70,4,FALSE)</f>
        <v>5</v>
      </c>
      <c r="F10" s="232">
        <f>VLOOKUP($B10,'Monsters Stats'!$B$8:$L$70,5,FALSE)</f>
        <v>2</v>
      </c>
      <c r="G10" s="232">
        <f>VLOOKUP($B10,'Monsters Stats'!$B$8:$L$70,6,FALSE)</f>
        <v>0.8</v>
      </c>
      <c r="H10" s="232">
        <f>VLOOKUP($B10,'Monsters Stats'!$B$8:$L$70,7,FALSE)</f>
        <v>6</v>
      </c>
      <c r="I10" s="232">
        <f>VLOOKUP($B10,'Monsters Stats'!$B$8:$L$70,8,FALSE)</f>
        <v>1</v>
      </c>
      <c r="J10" s="232">
        <f>VLOOKUP($B10,'Monsters Stats'!$B$8:$L$70,9,FALSE)</f>
        <v>0</v>
      </c>
      <c r="K10" s="231">
        <f>VLOOKUP($B10,'Monsters Stats'!$B$8:$L$70,11,FALSE)</f>
        <v>1</v>
      </c>
      <c r="L10" s="230">
        <f>IF(OR($K10&lt;&gt;L$2,(TowerStats!$B$29-($E10-TowerStats!$H$29))&lt;=0),"Can't Kill",ROUNDUP($D10/(TowerStats!$B$29-($E10-TowerStats!$H$29)),0))</f>
        <v>2</v>
      </c>
      <c r="M10" s="229">
        <f>IF(OR($K10&lt;&gt;M$2,(TowerStats!$B$30-($E10-TowerStats!$H$30))&lt;=0),"Can't Kill",ROUNDUP($D10/(TowerStats!$B$30-($E10-TowerStats!$H$30)),0))</f>
        <v>2</v>
      </c>
      <c r="N10" s="229">
        <f>IF(OR($K10&lt;&gt;N$2,(TowerStats!$B$31-($E10-TowerStats!$H$31))&lt;=0),"Can't Kill",ROUNDUP($D10/(TowerStats!$B$31-($E10-TowerStats!$H$31)),0))</f>
        <v>2</v>
      </c>
      <c r="O10" s="229">
        <f>IF(OR($K10&lt;&gt;O$2,(TowerStats!$B$32-($E10-TowerStats!$H$32))&lt;=0),"Can't Kill",ROUNDUP($D10/(TowerStats!$B$32-($E10-TowerStats!$H$32)),0))</f>
        <v>1</v>
      </c>
      <c r="P10" s="228">
        <f>IF(OR($K10&lt;&gt;P$2,(TowerStats!$B$33-($E10-TowerStats!$H$33))&lt;=0),"Can't Kill",ROUNDUP($D10/(TowerStats!$B$33-($E10-TowerStats!$H$33)),0))</f>
        <v>2</v>
      </c>
      <c r="Q10" s="230" t="str">
        <f>IF(OR($K10&lt;&gt;Q$2,(TowerStats!$B$40-($E10-TowerStats!$H$40))&lt;=0),"Can't Kill",ROUNDUP($D10/(TowerStats!$B$40-($E10-TowerStats!$H$40)),0))</f>
        <v>Can't Kill</v>
      </c>
      <c r="R10" s="229" t="str">
        <f>IF(OR($K10&lt;&gt;R$2,(TowerStats!$B$41-($E10-TowerStats!$H$41))&lt;=0),"Can't Kill",ROUNDUP($D10/(TowerStats!$B$41-($E10-TowerStats!$H$41)),0))</f>
        <v>Can't Kill</v>
      </c>
      <c r="S10" s="229" t="str">
        <f>IF(OR($K10&lt;&gt;S$2,(TowerStats!$B$42-($E10-TowerStats!$H$42))&lt;=0),"Can't Kill",ROUNDUP($D10/(TowerStats!$B$42-($E10-TowerStats!$H$42)),0))</f>
        <v>Can't Kill</v>
      </c>
      <c r="T10" s="229" t="str">
        <f>IF(OR($K10&lt;&gt;T$2,(TowerStats!$B$43-($E10-TowerStats!$H$43))&lt;=0),"Can't Kill",ROUNDUP($D10/(TowerStats!$B$43-($E10-TowerStats!$H$43)),0))</f>
        <v>Can't Kill</v>
      </c>
      <c r="U10" s="228" t="str">
        <f>IF(OR($K10&lt;&gt;U$2,(TowerStats!$B$44-($E10-TowerStats!$H$44))&lt;=0),"Can't Kill",ROUNDUP($D10/(TowerStats!$B$44-($E10-TowerStats!$H$44)),0))</f>
        <v>Can't Kill</v>
      </c>
      <c r="V10" s="230" t="str">
        <f>IF(OR($K10&lt;&gt;V$2,(TowerStats!$B$54-($E10-TowerStats!$H$54))&lt;=0),"Can't Kill",ROUNDUP($D10/(TowerStats!$B$54-($E10-TowerStats!$H$54)),0))</f>
        <v>Can't Kill</v>
      </c>
      <c r="W10" s="229" t="str">
        <f>IF(OR($K10&lt;&gt;W$2,(TowerStats!$B$55-($E10-TowerStats!$H$55))&lt;=0),"Can't Kill",ROUNDUP($D10/(TowerStats!$B$55-($E10-TowerStats!$H$55)),0))</f>
        <v>Can't Kill</v>
      </c>
      <c r="X10" s="229" t="str">
        <f>IF(OR($K10&lt;&gt;X$2,(TowerStats!$B$56-($E10-TowerStats!$H$56))&lt;=0),"Can't Kill",ROUNDUP($D10/(TowerStats!$B$56-($E10-TowerStats!$H$56)),0))</f>
        <v>Can't Kill</v>
      </c>
      <c r="Y10" s="229" t="str">
        <f>IF(OR($K10&lt;&gt;Y$2,(TowerStats!$B$57-($E10-TowerStats!$H$57))&lt;=0),"Can't Kill",ROUNDUP($D10/(TowerStats!$B$57-($E10-TowerStats!$H$57)),0))</f>
        <v>Can't Kill</v>
      </c>
      <c r="Z10" s="228" t="str">
        <f>IF(OR($K10&lt;&gt;Z$2,(TowerStats!$B$58-($E10-TowerStats!$H$58))&lt;=0),"Can't Kill",ROUNDUP($D10/(TowerStats!$B$58-($E10-TowerStats!$H$58)),0))</f>
        <v>Can't Kill</v>
      </c>
      <c r="AA10" s="230">
        <f>IF(OR($K10&lt;&gt;AA$2,(TowerStats!$B$69-($E10-TowerStats!$H$69))&lt;=0),"Can't Kill",ROUNDUP($D10/(TowerStats!$B$69-($E10-TowerStats!$H$69)),0))</f>
        <v>2</v>
      </c>
      <c r="AB10" s="229">
        <f>IF(OR($K10&lt;&gt;AB$2,(TowerStats!$B$70-($E10-TowerStats!$H$70))&lt;=0),"Can't Kill",ROUNDUP($D10/(TowerStats!$B$70-($E10-TowerStats!$H$70)),0))</f>
        <v>2</v>
      </c>
      <c r="AC10" s="229">
        <f>IF(OR($K10&lt;&gt;AC$2,(TowerStats!$B$71-($E10-TowerStats!$H$71))&lt;=0),"Can't Kill",ROUNDUP($D10/(TowerStats!$B$71-($E10-TowerStats!$H$71)),0))</f>
        <v>1</v>
      </c>
      <c r="AD10" s="229">
        <f>IF(OR($K10&lt;&gt;AD$2,(TowerStats!$B$72-($E10-TowerStats!$H$72))&lt;=0),"Can't Kill",ROUNDUP($D10/(TowerStats!$B$72-($E10-TowerStats!$H$72)),0))</f>
        <v>1</v>
      </c>
      <c r="AE10" s="228">
        <f>IF(OR($K10&lt;&gt;AE$2,(TowerStats!$B$73-($E10-TowerStats!$H$73))&lt;=0),"Can't Kill",ROUNDUP($D10/(TowerStats!$B$73-($E10-TowerStats!$H$73)),0))</f>
        <v>1</v>
      </c>
      <c r="AF10" s="230">
        <f>IF(OR($K10&lt;&gt;AF$2,(TowerStats!$B$84-($E10-TowerStats!$H$84))&lt;=0),"Can't Kill",ROUNDUP($D10/(TowerStats!$B$84-($E10-TowerStats!$H$84)),0))</f>
        <v>2</v>
      </c>
      <c r="AG10" s="229">
        <f>IF(OR($K10&lt;&gt;AG$2,(TowerStats!$B$85-($E10-TowerStats!$H$85))&lt;=0),"Can't Kill",ROUNDUP($D10/(TowerStats!$B$85-($E10-TowerStats!$H$85)),0))</f>
        <v>1</v>
      </c>
      <c r="AH10" s="229">
        <f>IF(OR($K10&lt;&gt;AH$2,(TowerStats!$B$86-($E10-TowerStats!$H$86))&lt;=0),"Can't Kill",ROUNDUP($D10/(TowerStats!$B$86-($E10-TowerStats!$H$86)),0))</f>
        <v>1</v>
      </c>
      <c r="AI10" s="229">
        <f>IF(OR($K10&lt;&gt;AI$2,(TowerStats!$B$87-($E10-TowerStats!$H$87))&lt;=0),"Can't Kill",ROUNDUP($D10/(TowerStats!$B$87-($E10-TowerStats!$H$87)),0))</f>
        <v>1</v>
      </c>
      <c r="AJ10" s="228">
        <f>IF(OR($K10&lt;&gt;AJ$2,(TowerStats!$B$88-($E10-TowerStats!$H$88))&lt;=0),"Can't Kill",ROUNDUP($D10/(TowerStats!$B$88-($E10-TowerStats!$H$88)),0))</f>
        <v>1</v>
      </c>
      <c r="AK10" s="230">
        <f>IF(OR($K10&lt;&gt;AK$2,(TowerStats!$B$100-($E10-TowerStats!$H$100))&lt;=0),"Can't Kill",ROUNDUP($D10/(TowerStats!$B$100-($E10-TowerStats!$H$100)),0))</f>
        <v>2</v>
      </c>
      <c r="AL10" s="229">
        <f>IF(OR($K10&lt;&gt;AL$2,(TowerStats!$B$101-($E10-TowerStats!$H$101))&lt;=0),"Can't Kill",ROUNDUP($D10/(TowerStats!$B$101-($E10-TowerStats!$H$101)),0))</f>
        <v>1</v>
      </c>
      <c r="AM10" s="229">
        <f>IF(OR($K10&lt;&gt;AM$2,(TowerStats!$B$102-($E10-TowerStats!$H$102))&lt;=0),"Can't Kill",ROUNDUP($D10/(TowerStats!$B$102-($E10-TowerStats!$H$102)),0))</f>
        <v>1</v>
      </c>
      <c r="AN10" s="229">
        <f>IF(OR($K10&lt;&gt;AN$2,(TowerStats!$B$103-($E10-TowerStats!$H$103))&lt;=0),"Can't Kill",ROUNDUP($D10/(TowerStats!$B$103-($E10-TowerStats!$H$103)),0))</f>
        <v>1</v>
      </c>
      <c r="AO10" s="228">
        <f>IF(OR($K10&lt;&gt;AO$2,(TowerStats!$B$104-($E10-TowerStats!$H$104))&lt;=0),"Can't Kill",ROUNDUP($D10/(TowerStats!$B$104-($E10-TowerStats!$H$104)),0))</f>
        <v>1</v>
      </c>
    </row>
    <row r="11" spans="2:41" ht="13.5" x14ac:dyDescent="0.15">
      <c r="B11" s="235" t="s">
        <v>196</v>
      </c>
      <c r="C11" s="232">
        <f>VLOOKUP($B11,'Monsters Stats'!$B$8:$L$70,2,FALSE)</f>
        <v>13</v>
      </c>
      <c r="D11" s="232">
        <f>VLOOKUP($B11,'Monsters Stats'!$B$8:$L$70,3,FALSE)</f>
        <v>21</v>
      </c>
      <c r="E11" s="232">
        <f>VLOOKUP($B11,'Monsters Stats'!$B$8:$L$70,4,FALSE)</f>
        <v>6</v>
      </c>
      <c r="F11" s="232">
        <f>VLOOKUP($B11,'Monsters Stats'!$B$8:$L$70,5,FALSE)</f>
        <v>2</v>
      </c>
      <c r="G11" s="232">
        <f>VLOOKUP($B11,'Monsters Stats'!$B$8:$L$70,6,FALSE)</f>
        <v>0.79999999999999993</v>
      </c>
      <c r="H11" s="232">
        <f>VLOOKUP($B11,'Monsters Stats'!$B$8:$L$70,7,FALSE)</f>
        <v>8</v>
      </c>
      <c r="I11" s="232">
        <f>VLOOKUP($B11,'Monsters Stats'!$B$8:$L$70,8,FALSE)</f>
        <v>1.3</v>
      </c>
      <c r="J11" s="232">
        <f>VLOOKUP($B11,'Monsters Stats'!$B$8:$L$70,9,FALSE)</f>
        <v>0</v>
      </c>
      <c r="K11" s="231">
        <f>VLOOKUP($B11,'Monsters Stats'!$B$8:$L$70,11,FALSE)</f>
        <v>1</v>
      </c>
      <c r="L11" s="230">
        <f>IF(OR($K11&lt;&gt;L$2,(TowerStats!$B$29-($E11-TowerStats!$H$29))&lt;=0),"Can't Kill",ROUNDUP($D11/(TowerStats!$B$29-($E11-TowerStats!$H$29)),0))</f>
        <v>4</v>
      </c>
      <c r="M11" s="229">
        <f>IF(OR($K11&lt;&gt;M$2,(TowerStats!$B$30-($E11-TowerStats!$H$30))&lt;=0),"Can't Kill",ROUNDUP($D11/(TowerStats!$B$30-($E11-TowerStats!$H$30)),0))</f>
        <v>3</v>
      </c>
      <c r="N11" s="229">
        <f>IF(OR($K11&lt;&gt;N$2,(TowerStats!$B$31-($E11-TowerStats!$H$31))&lt;=0),"Can't Kill",ROUNDUP($D11/(TowerStats!$B$31-($E11-TowerStats!$H$31)),0))</f>
        <v>2</v>
      </c>
      <c r="O11" s="229">
        <f>IF(OR($K11&lt;&gt;O$2,(TowerStats!$B$32-($E11-TowerStats!$H$32))&lt;=0),"Can't Kill",ROUNDUP($D11/(TowerStats!$B$32-($E11-TowerStats!$H$32)),0))</f>
        <v>1</v>
      </c>
      <c r="P11" s="228">
        <f>IF(OR($K11&lt;&gt;P$2,(TowerStats!$B$33-($E11-TowerStats!$H$33))&lt;=0),"Can't Kill",ROUNDUP($D11/(TowerStats!$B$33-($E11-TowerStats!$H$33)),0))</f>
        <v>4</v>
      </c>
      <c r="Q11" s="230" t="str">
        <f>IF(OR($K11&lt;&gt;Q$2,(TowerStats!$B$40-($E11-TowerStats!$H$40))&lt;=0),"Can't Kill",ROUNDUP($D11/(TowerStats!$B$40-($E11-TowerStats!$H$40)),0))</f>
        <v>Can't Kill</v>
      </c>
      <c r="R11" s="229" t="str">
        <f>IF(OR($K11&lt;&gt;R$2,(TowerStats!$B$41-($E11-TowerStats!$H$41))&lt;=0),"Can't Kill",ROUNDUP($D11/(TowerStats!$B$41-($E11-TowerStats!$H$41)),0))</f>
        <v>Can't Kill</v>
      </c>
      <c r="S11" s="229" t="str">
        <f>IF(OR($K11&lt;&gt;S$2,(TowerStats!$B$42-($E11-TowerStats!$H$42))&lt;=0),"Can't Kill",ROUNDUP($D11/(TowerStats!$B$42-($E11-TowerStats!$H$42)),0))</f>
        <v>Can't Kill</v>
      </c>
      <c r="T11" s="229" t="str">
        <f>IF(OR($K11&lt;&gt;T$2,(TowerStats!$B$43-($E11-TowerStats!$H$43))&lt;=0),"Can't Kill",ROUNDUP($D11/(TowerStats!$B$43-($E11-TowerStats!$H$43)),0))</f>
        <v>Can't Kill</v>
      </c>
      <c r="U11" s="228" t="str">
        <f>IF(OR($K11&lt;&gt;U$2,(TowerStats!$B$44-($E11-TowerStats!$H$44))&lt;=0),"Can't Kill",ROUNDUP($D11/(TowerStats!$B$44-($E11-TowerStats!$H$44)),0))</f>
        <v>Can't Kill</v>
      </c>
      <c r="V11" s="230" t="str">
        <f>IF(OR($K11&lt;&gt;V$2,(TowerStats!$B$54-($E11-TowerStats!$H$54))&lt;=0),"Can't Kill",ROUNDUP($D11/(TowerStats!$B$54-($E11-TowerStats!$H$54)),0))</f>
        <v>Can't Kill</v>
      </c>
      <c r="W11" s="229" t="str">
        <f>IF(OR($K11&lt;&gt;W$2,(TowerStats!$B$55-($E11-TowerStats!$H$55))&lt;=0),"Can't Kill",ROUNDUP($D11/(TowerStats!$B$55-($E11-TowerStats!$H$55)),0))</f>
        <v>Can't Kill</v>
      </c>
      <c r="X11" s="229" t="str">
        <f>IF(OR($K11&lt;&gt;X$2,(TowerStats!$B$56-($E11-TowerStats!$H$56))&lt;=0),"Can't Kill",ROUNDUP($D11/(TowerStats!$B$56-($E11-TowerStats!$H$56)),0))</f>
        <v>Can't Kill</v>
      </c>
      <c r="Y11" s="229" t="str">
        <f>IF(OR($K11&lt;&gt;Y$2,(TowerStats!$B$57-($E11-TowerStats!$H$57))&lt;=0),"Can't Kill",ROUNDUP($D11/(TowerStats!$B$57-($E11-TowerStats!$H$57)),0))</f>
        <v>Can't Kill</v>
      </c>
      <c r="Z11" s="228" t="str">
        <f>IF(OR($K11&lt;&gt;Z$2,(TowerStats!$B$58-($E11-TowerStats!$H$58))&lt;=0),"Can't Kill",ROUNDUP($D11/(TowerStats!$B$58-($E11-TowerStats!$H$58)),0))</f>
        <v>Can't Kill</v>
      </c>
      <c r="AA11" s="230">
        <f>IF(OR($K11&lt;&gt;AA$2,(TowerStats!$B$69-($E11-TowerStats!$H$69))&lt;=0),"Can't Kill",ROUNDUP($D11/(TowerStats!$B$69-($E11-TowerStats!$H$69)),0))</f>
        <v>3</v>
      </c>
      <c r="AB11" s="229">
        <f>IF(OR($K11&lt;&gt;AB$2,(TowerStats!$B$70-($E11-TowerStats!$H$70))&lt;=0),"Can't Kill",ROUNDUP($D11/(TowerStats!$B$70-($E11-TowerStats!$H$70)),0))</f>
        <v>3</v>
      </c>
      <c r="AC11" s="229">
        <f>IF(OR($K11&lt;&gt;AC$2,(TowerStats!$B$71-($E11-TowerStats!$H$71))&lt;=0),"Can't Kill",ROUNDUP($D11/(TowerStats!$B$71-($E11-TowerStats!$H$71)),0))</f>
        <v>2</v>
      </c>
      <c r="AD11" s="229">
        <f>IF(OR($K11&lt;&gt;AD$2,(TowerStats!$B$72-($E11-TowerStats!$H$72))&lt;=0),"Can't Kill",ROUNDUP($D11/(TowerStats!$B$72-($E11-TowerStats!$H$72)),0))</f>
        <v>2</v>
      </c>
      <c r="AE11" s="228">
        <f>IF(OR($K11&lt;&gt;AE$2,(TowerStats!$B$73-($E11-TowerStats!$H$73))&lt;=0),"Can't Kill",ROUNDUP($D11/(TowerStats!$B$73-($E11-TowerStats!$H$73)),0))</f>
        <v>2</v>
      </c>
      <c r="AF11" s="230">
        <f>IF(OR($K11&lt;&gt;AF$2,(TowerStats!$B$84-($E11-TowerStats!$H$84))&lt;=0),"Can't Kill",ROUNDUP($D11/(TowerStats!$B$84-($E11-TowerStats!$H$84)),0))</f>
        <v>2</v>
      </c>
      <c r="AG11" s="229">
        <f>IF(OR($K11&lt;&gt;AG$2,(TowerStats!$B$85-($E11-TowerStats!$H$85))&lt;=0),"Can't Kill",ROUNDUP($D11/(TowerStats!$B$85-($E11-TowerStats!$H$85)),0))</f>
        <v>2</v>
      </c>
      <c r="AH11" s="229">
        <f>IF(OR($K11&lt;&gt;AH$2,(TowerStats!$B$86-($E11-TowerStats!$H$86))&lt;=0),"Can't Kill",ROUNDUP($D11/(TowerStats!$B$86-($E11-TowerStats!$H$86)),0))</f>
        <v>1</v>
      </c>
      <c r="AI11" s="229">
        <f>IF(OR($K11&lt;&gt;AI$2,(TowerStats!$B$87-($E11-TowerStats!$H$87))&lt;=0),"Can't Kill",ROUNDUP($D11/(TowerStats!$B$87-($E11-TowerStats!$H$87)),0))</f>
        <v>1</v>
      </c>
      <c r="AJ11" s="228">
        <f>IF(OR($K11&lt;&gt;AJ$2,(TowerStats!$B$88-($E11-TowerStats!$H$88))&lt;=0),"Can't Kill",ROUNDUP($D11/(TowerStats!$B$88-($E11-TowerStats!$H$88)),0))</f>
        <v>1</v>
      </c>
      <c r="AK11" s="230">
        <f>IF(OR($K11&lt;&gt;AK$2,(TowerStats!$B$100-($E11-TowerStats!$H$100))&lt;=0),"Can't Kill",ROUNDUP($D11/(TowerStats!$B$100-($E11-TowerStats!$H$100)),0))</f>
        <v>2</v>
      </c>
      <c r="AL11" s="229">
        <f>IF(OR($K11&lt;&gt;AL$2,(TowerStats!$B$101-($E11-TowerStats!$H$101))&lt;=0),"Can't Kill",ROUNDUP($D11/(TowerStats!$B$101-($E11-TowerStats!$H$101)),0))</f>
        <v>2</v>
      </c>
      <c r="AM11" s="229">
        <f>IF(OR($K11&lt;&gt;AM$2,(TowerStats!$B$102-($E11-TowerStats!$H$102))&lt;=0),"Can't Kill",ROUNDUP($D11/(TowerStats!$B$102-($E11-TowerStats!$H$102)),0))</f>
        <v>1</v>
      </c>
      <c r="AN11" s="229">
        <f>IF(OR($K11&lt;&gt;AN$2,(TowerStats!$B$103-($E11-TowerStats!$H$103))&lt;=0),"Can't Kill",ROUNDUP($D11/(TowerStats!$B$103-($E11-TowerStats!$H$103)),0))</f>
        <v>1</v>
      </c>
      <c r="AO11" s="228">
        <f>IF(OR($K11&lt;&gt;AO$2,(TowerStats!$B$104-($E11-TowerStats!$H$104))&lt;=0),"Can't Kill",ROUNDUP($D11/(TowerStats!$B$104-($E11-TowerStats!$H$104)),0))</f>
        <v>1</v>
      </c>
    </row>
    <row r="12" spans="2:41" ht="13.5" x14ac:dyDescent="0.15">
      <c r="B12" s="234" t="s">
        <v>75</v>
      </c>
      <c r="C12" s="232">
        <f>VLOOKUP($B12,'Monsters Stats'!$B$8:$L$70,2,FALSE)</f>
        <v>17</v>
      </c>
      <c r="D12" s="232">
        <f>VLOOKUP($B12,'Monsters Stats'!$B$8:$L$70,3,FALSE)</f>
        <v>32</v>
      </c>
      <c r="E12" s="232">
        <f>VLOOKUP($B12,'Monsters Stats'!$B$8:$L$70,4,FALSE)</f>
        <v>7</v>
      </c>
      <c r="F12" s="232">
        <f>VLOOKUP($B12,'Monsters Stats'!$B$8:$L$70,5,FALSE)</f>
        <v>2</v>
      </c>
      <c r="G12" s="232">
        <f>VLOOKUP($B12,'Monsters Stats'!$B$8:$L$70,6,FALSE)</f>
        <v>0.7</v>
      </c>
      <c r="H12" s="232">
        <f>VLOOKUP($B12,'Monsters Stats'!$B$8:$L$70,7,FALSE)</f>
        <v>11</v>
      </c>
      <c r="I12" s="232">
        <f>VLOOKUP($B12,'Monsters Stats'!$B$8:$L$70,8,FALSE)</f>
        <v>1.7000000000000002</v>
      </c>
      <c r="J12" s="232">
        <f>VLOOKUP($B12,'Monsters Stats'!$B$8:$L$70,9,FALSE)</f>
        <v>0</v>
      </c>
      <c r="K12" s="231">
        <f>VLOOKUP($B12,'Monsters Stats'!$B$8:$L$70,11,FALSE)</f>
        <v>1</v>
      </c>
      <c r="L12" s="230">
        <f>IF(OR($K12&lt;&gt;L$2,(TowerStats!$B$29-($E12-TowerStats!$H$29))&lt;=0),"Can't Kill",ROUNDUP($D12/(TowerStats!$B$29-($E12-TowerStats!$H$29)),0))</f>
        <v>7</v>
      </c>
      <c r="M12" s="229">
        <f>IF(OR($K12&lt;&gt;M$2,(TowerStats!$B$30-($E12-TowerStats!$H$30))&lt;=0),"Can't Kill",ROUNDUP($D12/(TowerStats!$B$30-($E12-TowerStats!$H$30)),0))</f>
        <v>4</v>
      </c>
      <c r="N12" s="229">
        <f>IF(OR($K12&lt;&gt;N$2,(TowerStats!$B$31-($E12-TowerStats!$H$31))&lt;=0),"Can't Kill",ROUNDUP($D12/(TowerStats!$B$31-($E12-TowerStats!$H$31)),0))</f>
        <v>3</v>
      </c>
      <c r="O12" s="229">
        <f>IF(OR($K12&lt;&gt;O$2,(TowerStats!$B$32-($E12-TowerStats!$H$32))&lt;=0),"Can't Kill",ROUNDUP($D12/(TowerStats!$B$32-($E12-TowerStats!$H$32)),0))</f>
        <v>2</v>
      </c>
      <c r="P12" s="228">
        <f>IF(OR($K12&lt;&gt;P$2,(TowerStats!$B$33-($E12-TowerStats!$H$33))&lt;=0),"Can't Kill",ROUNDUP($D12/(TowerStats!$B$33-($E12-TowerStats!$H$33)),0))</f>
        <v>7</v>
      </c>
      <c r="Q12" s="230" t="str">
        <f>IF(OR($K12&lt;&gt;Q$2,(TowerStats!$B$40-($E12-TowerStats!$H$40))&lt;=0),"Can't Kill",ROUNDUP($D12/(TowerStats!$B$40-($E12-TowerStats!$H$40)),0))</f>
        <v>Can't Kill</v>
      </c>
      <c r="R12" s="229" t="str">
        <f>IF(OR($K12&lt;&gt;R$2,(TowerStats!$B$41-($E12-TowerStats!$H$41))&lt;=0),"Can't Kill",ROUNDUP($D12/(TowerStats!$B$41-($E12-TowerStats!$H$41)),0))</f>
        <v>Can't Kill</v>
      </c>
      <c r="S12" s="229" t="str">
        <f>IF(OR($K12&lt;&gt;S$2,(TowerStats!$B$42-($E12-TowerStats!$H$42))&lt;=0),"Can't Kill",ROUNDUP($D12/(TowerStats!$B$42-($E12-TowerStats!$H$42)),0))</f>
        <v>Can't Kill</v>
      </c>
      <c r="T12" s="229" t="str">
        <f>IF(OR($K12&lt;&gt;T$2,(TowerStats!$B$43-($E12-TowerStats!$H$43))&lt;=0),"Can't Kill",ROUNDUP($D12/(TowerStats!$B$43-($E12-TowerStats!$H$43)),0))</f>
        <v>Can't Kill</v>
      </c>
      <c r="U12" s="228" t="str">
        <f>IF(OR($K12&lt;&gt;U$2,(TowerStats!$B$44-($E12-TowerStats!$H$44))&lt;=0),"Can't Kill",ROUNDUP($D12/(TowerStats!$B$44-($E12-TowerStats!$H$44)),0))</f>
        <v>Can't Kill</v>
      </c>
      <c r="V12" s="230" t="str">
        <f>IF(OR($K12&lt;&gt;V$2,(TowerStats!$B$54-($E12-TowerStats!$H$54))&lt;=0),"Can't Kill",ROUNDUP($D12/(TowerStats!$B$54-($E12-TowerStats!$H$54)),0))</f>
        <v>Can't Kill</v>
      </c>
      <c r="W12" s="229" t="str">
        <f>IF(OR($K12&lt;&gt;W$2,(TowerStats!$B$55-($E12-TowerStats!$H$55))&lt;=0),"Can't Kill",ROUNDUP($D12/(TowerStats!$B$55-($E12-TowerStats!$H$55)),0))</f>
        <v>Can't Kill</v>
      </c>
      <c r="X12" s="229" t="str">
        <f>IF(OR($K12&lt;&gt;X$2,(TowerStats!$B$56-($E12-TowerStats!$H$56))&lt;=0),"Can't Kill",ROUNDUP($D12/(TowerStats!$B$56-($E12-TowerStats!$H$56)),0))</f>
        <v>Can't Kill</v>
      </c>
      <c r="Y12" s="229" t="str">
        <f>IF(OR($K12&lt;&gt;Y$2,(TowerStats!$B$57-($E12-TowerStats!$H$57))&lt;=0),"Can't Kill",ROUNDUP($D12/(TowerStats!$B$57-($E12-TowerStats!$H$57)),0))</f>
        <v>Can't Kill</v>
      </c>
      <c r="Z12" s="228" t="str">
        <f>IF(OR($K12&lt;&gt;Z$2,(TowerStats!$B$58-($E12-TowerStats!$H$58))&lt;=0),"Can't Kill",ROUNDUP($D12/(TowerStats!$B$58-($E12-TowerStats!$H$58)),0))</f>
        <v>Can't Kill</v>
      </c>
      <c r="AA12" s="230">
        <f>IF(OR($K12&lt;&gt;AA$2,(TowerStats!$B$69-($E12-TowerStats!$H$69))&lt;=0),"Can't Kill",ROUNDUP($D12/(TowerStats!$B$69-($E12-TowerStats!$H$69)),0))</f>
        <v>6</v>
      </c>
      <c r="AB12" s="229">
        <f>IF(OR($K12&lt;&gt;AB$2,(TowerStats!$B$70-($E12-TowerStats!$H$70))&lt;=0),"Can't Kill",ROUNDUP($D12/(TowerStats!$B$70-($E12-TowerStats!$H$70)),0))</f>
        <v>4</v>
      </c>
      <c r="AC12" s="229">
        <f>IF(OR($K12&lt;&gt;AC$2,(TowerStats!$B$71-($E12-TowerStats!$H$71))&lt;=0),"Can't Kill",ROUNDUP($D12/(TowerStats!$B$71-($E12-TowerStats!$H$71)),0))</f>
        <v>3</v>
      </c>
      <c r="AD12" s="229">
        <f>IF(OR($K12&lt;&gt;AD$2,(TowerStats!$B$72-($E12-TowerStats!$H$72))&lt;=0),"Can't Kill",ROUNDUP($D12/(TowerStats!$B$72-($E12-TowerStats!$H$72)),0))</f>
        <v>2</v>
      </c>
      <c r="AE12" s="228">
        <f>IF(OR($K12&lt;&gt;AE$2,(TowerStats!$B$73-($E12-TowerStats!$H$73))&lt;=0),"Can't Kill",ROUNDUP($D12/(TowerStats!$B$73-($E12-TowerStats!$H$73)),0))</f>
        <v>2</v>
      </c>
      <c r="AF12" s="230">
        <f>IF(OR($K12&lt;&gt;AF$2,(TowerStats!$B$84-($E12-TowerStats!$H$84))&lt;=0),"Can't Kill",ROUNDUP($D12/(TowerStats!$B$84-($E12-TowerStats!$H$84)),0))</f>
        <v>3</v>
      </c>
      <c r="AG12" s="229">
        <f>IF(OR($K12&lt;&gt;AG$2,(TowerStats!$B$85-($E12-TowerStats!$H$85))&lt;=0),"Can't Kill",ROUNDUP($D12/(TowerStats!$B$85-($E12-TowerStats!$H$85)),0))</f>
        <v>2</v>
      </c>
      <c r="AH12" s="229">
        <f>IF(OR($K12&lt;&gt;AH$2,(TowerStats!$B$86-($E12-TowerStats!$H$86))&lt;=0),"Can't Kill",ROUNDUP($D12/(TowerStats!$B$86-($E12-TowerStats!$H$86)),0))</f>
        <v>2</v>
      </c>
      <c r="AI12" s="229">
        <f>IF(OR($K12&lt;&gt;AI$2,(TowerStats!$B$87-($E12-TowerStats!$H$87))&lt;=0),"Can't Kill",ROUNDUP($D12/(TowerStats!$B$87-($E12-TowerStats!$H$87)),0))</f>
        <v>1</v>
      </c>
      <c r="AJ12" s="228">
        <f>IF(OR($K12&lt;&gt;AJ$2,(TowerStats!$B$88-($E12-TowerStats!$H$88))&lt;=0),"Can't Kill",ROUNDUP($D12/(TowerStats!$B$88-($E12-TowerStats!$H$88)),0))</f>
        <v>2</v>
      </c>
      <c r="AK12" s="230">
        <f>IF(OR($K12&lt;&gt;AK$2,(TowerStats!$B$100-($E12-TowerStats!$H$100))&lt;=0),"Can't Kill",ROUNDUP($D12/(TowerStats!$B$100-($E12-TowerStats!$H$100)),0))</f>
        <v>4</v>
      </c>
      <c r="AL12" s="229">
        <f>IF(OR($K12&lt;&gt;AL$2,(TowerStats!$B$101-($E12-TowerStats!$H$101))&lt;=0),"Can't Kill",ROUNDUP($D12/(TowerStats!$B$101-($E12-TowerStats!$H$101)),0))</f>
        <v>2</v>
      </c>
      <c r="AM12" s="229">
        <f>IF(OR($K12&lt;&gt;AM$2,(TowerStats!$B$102-($E12-TowerStats!$H$102))&lt;=0),"Can't Kill",ROUNDUP($D12/(TowerStats!$B$102-($E12-TowerStats!$H$102)),0))</f>
        <v>2</v>
      </c>
      <c r="AN12" s="229">
        <f>IF(OR($K12&lt;&gt;AN$2,(TowerStats!$B$103-($E12-TowerStats!$H$103))&lt;=0),"Can't Kill",ROUNDUP($D12/(TowerStats!$B$103-($E12-TowerStats!$H$103)),0))</f>
        <v>1</v>
      </c>
      <c r="AO12" s="228">
        <f>IF(OR($K12&lt;&gt;AO$2,(TowerStats!$B$104-($E12-TowerStats!$H$104))&lt;=0),"Can't Kill",ROUNDUP($D12/(TowerStats!$B$104-($E12-TowerStats!$H$104)),0))</f>
        <v>1</v>
      </c>
    </row>
    <row r="13" spans="2:41" ht="13.5" x14ac:dyDescent="0.15">
      <c r="B13" s="234" t="s">
        <v>14</v>
      </c>
      <c r="C13" s="232">
        <f>VLOOKUP($B13,'Monsters Stats'!$B$8:$L$70,2,FALSE)</f>
        <v>12</v>
      </c>
      <c r="D13" s="232">
        <f>VLOOKUP($B13,'Monsters Stats'!$B$8:$L$70,3,FALSE)</f>
        <v>35</v>
      </c>
      <c r="E13" s="232">
        <f>VLOOKUP($B13,'Monsters Stats'!$B$8:$L$70,4,FALSE)</f>
        <v>10</v>
      </c>
      <c r="F13" s="232">
        <f>VLOOKUP($B13,'Monsters Stats'!$B$8:$L$70,5,FALSE)</f>
        <v>1</v>
      </c>
      <c r="G13" s="232">
        <f>VLOOKUP($B13,'Monsters Stats'!$B$8:$L$70,6,FALSE)</f>
        <v>1.5</v>
      </c>
      <c r="H13" s="232">
        <f>VLOOKUP($B13,'Monsters Stats'!$B$8:$L$70,7,FALSE)</f>
        <v>23</v>
      </c>
      <c r="I13" s="232">
        <f>VLOOKUP($B13,'Monsters Stats'!$B$8:$L$70,8,FALSE)</f>
        <v>0.7</v>
      </c>
      <c r="J13" s="232">
        <f>VLOOKUP($B13,'Monsters Stats'!$B$8:$L$70,9,FALSE)</f>
        <v>0</v>
      </c>
      <c r="K13" s="231">
        <f>VLOOKUP($B13,'Monsters Stats'!$B$8:$L$70,11,FALSE)</f>
        <v>0</v>
      </c>
      <c r="L13" s="230" t="str">
        <f>IF(OR($K13&lt;&gt;L$2,(TowerStats!$B$29-($E13-TowerStats!$H$29))&lt;=0),"Can't Kill",ROUNDUP($D13/(TowerStats!$B$29-($E13-TowerStats!$H$29)),0))</f>
        <v>Can't Kill</v>
      </c>
      <c r="M13" s="229" t="str">
        <f>IF(OR($K13&lt;&gt;M$2,(TowerStats!$B$30-($E13-TowerStats!$H$30))&lt;=0),"Can't Kill",ROUNDUP($D13/(TowerStats!$B$30-($E13-TowerStats!$H$30)),0))</f>
        <v>Can't Kill</v>
      </c>
      <c r="N13" s="229" t="str">
        <f>IF(OR($K13&lt;&gt;N$2,(TowerStats!$B$31-($E13-TowerStats!$H$31))&lt;=0),"Can't Kill",ROUNDUP($D13/(TowerStats!$B$31-($E13-TowerStats!$H$31)),0))</f>
        <v>Can't Kill</v>
      </c>
      <c r="O13" s="229" t="str">
        <f>IF(OR($K13&lt;&gt;O$2,(TowerStats!$B$32-($E13-TowerStats!$H$32))&lt;=0),"Can't Kill",ROUNDUP($D13/(TowerStats!$B$32-($E13-TowerStats!$H$32)),0))</f>
        <v>Can't Kill</v>
      </c>
      <c r="P13" s="228" t="str">
        <f>IF(OR($K13&lt;&gt;P$2,(TowerStats!$B$33-($E13-TowerStats!$H$33))&lt;=0),"Can't Kill",ROUNDUP($D13/(TowerStats!$B$33-($E13-TowerStats!$H$33)),0))</f>
        <v>Can't Kill</v>
      </c>
      <c r="Q13" s="230">
        <f>IF(OR($K13&lt;&gt;Q$2,(TowerStats!$B$40-($E13-TowerStats!$H$40))&lt;=0),"Can't Kill",ROUNDUP($D13/(TowerStats!$B$40-($E13-TowerStats!$H$40)),0))</f>
        <v>18</v>
      </c>
      <c r="R13" s="229">
        <f>IF(OR($K13&lt;&gt;R$2,(TowerStats!$B$41-($E13-TowerStats!$H$41))&lt;=0),"Can't Kill",ROUNDUP($D13/(TowerStats!$B$41-($E13-TowerStats!$H$41)),0))</f>
        <v>9</v>
      </c>
      <c r="S13" s="229">
        <f>IF(OR($K13&lt;&gt;S$2,(TowerStats!$B$42-($E13-TowerStats!$H$42))&lt;=0),"Can't Kill",ROUNDUP($D13/(TowerStats!$B$42-($E13-TowerStats!$H$42)),0))</f>
        <v>6</v>
      </c>
      <c r="T13" s="229">
        <f>IF(OR($K13&lt;&gt;T$2,(TowerStats!$B$43-($E13-TowerStats!$H$43))&lt;=0),"Can't Kill",ROUNDUP($D13/(TowerStats!$B$43-($E13-TowerStats!$H$43)),0))</f>
        <v>4</v>
      </c>
      <c r="U13" s="228">
        <f>IF(OR($K13&lt;&gt;U$2,(TowerStats!$B$44-($E13-TowerStats!$H$44))&lt;=0),"Can't Kill",ROUNDUP($D13/(TowerStats!$B$44-($E13-TowerStats!$H$44)),0))</f>
        <v>2</v>
      </c>
      <c r="V13" s="230" t="str">
        <f>IF(OR($K13&lt;&gt;V$2,(TowerStats!$B$54-($E13-TowerStats!$H$54))&lt;=0),"Can't Kill",ROUNDUP($D13/(TowerStats!$B$54-($E13-TowerStats!$H$54)),0))</f>
        <v>Can't Kill</v>
      </c>
      <c r="W13" s="229" t="str">
        <f>IF(OR($K13&lt;&gt;W$2,(TowerStats!$B$55-($E13-TowerStats!$H$55))&lt;=0),"Can't Kill",ROUNDUP($D13/(TowerStats!$B$55-($E13-TowerStats!$H$55)),0))</f>
        <v>Can't Kill</v>
      </c>
      <c r="X13" s="229" t="str">
        <f>IF(OR($K13&lt;&gt;X$2,(TowerStats!$B$56-($E13-TowerStats!$H$56))&lt;=0),"Can't Kill",ROUNDUP($D13/(TowerStats!$B$56-($E13-TowerStats!$H$56)),0))</f>
        <v>Can't Kill</v>
      </c>
      <c r="Y13" s="229" t="str">
        <f>IF(OR($K13&lt;&gt;Y$2,(TowerStats!$B$57-($E13-TowerStats!$H$57))&lt;=0),"Can't Kill",ROUNDUP($D13/(TowerStats!$B$57-($E13-TowerStats!$H$57)),0))</f>
        <v>Can't Kill</v>
      </c>
      <c r="Z13" s="228" t="str">
        <f>IF(OR($K13&lt;&gt;Z$2,(TowerStats!$B$58-($E13-TowerStats!$H$58))&lt;=0),"Can't Kill",ROUNDUP($D13/(TowerStats!$B$58-($E13-TowerStats!$H$58)),0))</f>
        <v>Can't Kill</v>
      </c>
      <c r="AA13" s="230" t="str">
        <f>IF(OR($K13&lt;&gt;AA$2,(TowerStats!$B$69-($E13-TowerStats!$H$69))&lt;=0),"Can't Kill",ROUNDUP($D13/(TowerStats!$B$69-($E13-TowerStats!$H$69)),0))</f>
        <v>Can't Kill</v>
      </c>
      <c r="AB13" s="229" t="str">
        <f>IF(OR($K13&lt;&gt;AB$2,(TowerStats!$B$70-($E13-TowerStats!$H$70))&lt;=0),"Can't Kill",ROUNDUP($D13/(TowerStats!$B$70-($E13-TowerStats!$H$70)),0))</f>
        <v>Can't Kill</v>
      </c>
      <c r="AC13" s="229" t="str">
        <f>IF(OR($K13&lt;&gt;AC$2,(TowerStats!$B$71-($E13-TowerStats!$H$71))&lt;=0),"Can't Kill",ROUNDUP($D13/(TowerStats!$B$71-($E13-TowerStats!$H$71)),0))</f>
        <v>Can't Kill</v>
      </c>
      <c r="AD13" s="229" t="str">
        <f>IF(OR($K13&lt;&gt;AD$2,(TowerStats!$B$72-($E13-TowerStats!$H$72))&lt;=0),"Can't Kill",ROUNDUP($D13/(TowerStats!$B$72-($E13-TowerStats!$H$72)),0))</f>
        <v>Can't Kill</v>
      </c>
      <c r="AE13" s="228" t="str">
        <f>IF(OR($K13&lt;&gt;AE$2,(TowerStats!$B$73-($E13-TowerStats!$H$73))&lt;=0),"Can't Kill",ROUNDUP($D13/(TowerStats!$B$73-($E13-TowerStats!$H$73)),0))</f>
        <v>Can't Kill</v>
      </c>
      <c r="AF13" s="230" t="str">
        <f>IF(OR($K13&lt;&gt;AF$2,(TowerStats!$B$84-($E13-TowerStats!$H$84))&lt;=0),"Can't Kill",ROUNDUP($D13/(TowerStats!$B$84-($E13-TowerStats!$H$84)),0))</f>
        <v>Can't Kill</v>
      </c>
      <c r="AG13" s="229" t="str">
        <f>IF(OR($K13&lt;&gt;AG$2,(TowerStats!$B$85-($E13-TowerStats!$H$85))&lt;=0),"Can't Kill",ROUNDUP($D13/(TowerStats!$B$85-($E13-TowerStats!$H$85)),0))</f>
        <v>Can't Kill</v>
      </c>
      <c r="AH13" s="229" t="str">
        <f>IF(OR($K13&lt;&gt;AH$2,(TowerStats!$B$86-($E13-TowerStats!$H$86))&lt;=0),"Can't Kill",ROUNDUP($D13/(TowerStats!$B$86-($E13-TowerStats!$H$86)),0))</f>
        <v>Can't Kill</v>
      </c>
      <c r="AI13" s="229" t="str">
        <f>IF(OR($K13&lt;&gt;AI$2,(TowerStats!$B$87-($E13-TowerStats!$H$87))&lt;=0),"Can't Kill",ROUNDUP($D13/(TowerStats!$B$87-($E13-TowerStats!$H$87)),0))</f>
        <v>Can't Kill</v>
      </c>
      <c r="AJ13" s="228" t="str">
        <f>IF(OR($K13&lt;&gt;AJ$2,(TowerStats!$B$88-($E13-TowerStats!$H$88))&lt;=0),"Can't Kill",ROUNDUP($D13/(TowerStats!$B$88-($E13-TowerStats!$H$88)),0))</f>
        <v>Can't Kill</v>
      </c>
      <c r="AK13" s="230" t="str">
        <f>IF(OR($K13&lt;&gt;AK$2,(TowerStats!$B$100-($E13-TowerStats!$H$100))&lt;=0),"Can't Kill",ROUNDUP($D13/(TowerStats!$B$100-($E13-TowerStats!$H$100)),0))</f>
        <v>Can't Kill</v>
      </c>
      <c r="AL13" s="229" t="str">
        <f>IF(OR($K13&lt;&gt;AL$2,(TowerStats!$B$101-($E13-TowerStats!$H$101))&lt;=0),"Can't Kill",ROUNDUP($D13/(TowerStats!$B$101-($E13-TowerStats!$H$101)),0))</f>
        <v>Can't Kill</v>
      </c>
      <c r="AM13" s="229" t="str">
        <f>IF(OR($K13&lt;&gt;AM$2,(TowerStats!$B$102-($E13-TowerStats!$H$102))&lt;=0),"Can't Kill",ROUNDUP($D13/(TowerStats!$B$102-($E13-TowerStats!$H$102)),0))</f>
        <v>Can't Kill</v>
      </c>
      <c r="AN13" s="229" t="str">
        <f>IF(OR($K13&lt;&gt;AN$2,(TowerStats!$B$103-($E13-TowerStats!$H$103))&lt;=0),"Can't Kill",ROUNDUP($D13/(TowerStats!$B$103-($E13-TowerStats!$H$103)),0))</f>
        <v>Can't Kill</v>
      </c>
      <c r="AO13" s="228" t="str">
        <f>IF(OR($K13&lt;&gt;AO$2,(TowerStats!$B$104-($E13-TowerStats!$H$104))&lt;=0),"Can't Kill",ROUNDUP($D13/(TowerStats!$B$104-($E13-TowerStats!$H$104)),0))</f>
        <v>Can't Kill</v>
      </c>
    </row>
    <row r="14" spans="2:41" ht="13.5" x14ac:dyDescent="0.15">
      <c r="B14" s="234" t="s">
        <v>76</v>
      </c>
      <c r="C14" s="232">
        <f>VLOOKUP($B14,'Monsters Stats'!$B$8:$L$70,2,FALSE)</f>
        <v>16</v>
      </c>
      <c r="D14" s="232">
        <f>VLOOKUP($B14,'Monsters Stats'!$B$8:$L$70,3,FALSE)</f>
        <v>53</v>
      </c>
      <c r="E14" s="232">
        <f>VLOOKUP($B14,'Monsters Stats'!$B$8:$L$70,4,FALSE)</f>
        <v>12</v>
      </c>
      <c r="F14" s="232">
        <f>VLOOKUP($B14,'Monsters Stats'!$B$8:$L$70,5,FALSE)</f>
        <v>1</v>
      </c>
      <c r="G14" s="232">
        <f>VLOOKUP($B14,'Monsters Stats'!$B$8:$L$70,6,FALSE)</f>
        <v>1.4000000000000001</v>
      </c>
      <c r="H14" s="232">
        <f>VLOOKUP($B14,'Monsters Stats'!$B$8:$L$70,7,FALSE)</f>
        <v>30</v>
      </c>
      <c r="I14" s="232">
        <f>VLOOKUP($B14,'Monsters Stats'!$B$8:$L$70,8,FALSE)</f>
        <v>0.6</v>
      </c>
      <c r="J14" s="232">
        <f>VLOOKUP($B14,'Monsters Stats'!$B$8:$L$70,9,FALSE)</f>
        <v>0</v>
      </c>
      <c r="K14" s="231">
        <f>VLOOKUP($B14,'Monsters Stats'!$B$8:$L$70,11,FALSE)</f>
        <v>0</v>
      </c>
      <c r="L14" s="230" t="str">
        <f>IF(OR($K14&lt;&gt;L$2,(TowerStats!$B$29-($E14-TowerStats!$H$29))&lt;=0),"Can't Kill",ROUNDUP($D14/(TowerStats!$B$29-($E14-TowerStats!$H$29)),0))</f>
        <v>Can't Kill</v>
      </c>
      <c r="M14" s="229" t="str">
        <f>IF(OR($K14&lt;&gt;M$2,(TowerStats!$B$30-($E14-TowerStats!$H$30))&lt;=0),"Can't Kill",ROUNDUP($D14/(TowerStats!$B$30-($E14-TowerStats!$H$30)),0))</f>
        <v>Can't Kill</v>
      </c>
      <c r="N14" s="229" t="str">
        <f>IF(OR($K14&lt;&gt;N$2,(TowerStats!$B$31-($E14-TowerStats!$H$31))&lt;=0),"Can't Kill",ROUNDUP($D14/(TowerStats!$B$31-($E14-TowerStats!$H$31)),0))</f>
        <v>Can't Kill</v>
      </c>
      <c r="O14" s="229" t="str">
        <f>IF(OR($K14&lt;&gt;O$2,(TowerStats!$B$32-($E14-TowerStats!$H$32))&lt;=0),"Can't Kill",ROUNDUP($D14/(TowerStats!$B$32-($E14-TowerStats!$H$32)),0))</f>
        <v>Can't Kill</v>
      </c>
      <c r="P14" s="228" t="str">
        <f>IF(OR($K14&lt;&gt;P$2,(TowerStats!$B$33-($E14-TowerStats!$H$33))&lt;=0),"Can't Kill",ROUNDUP($D14/(TowerStats!$B$33-($E14-TowerStats!$H$33)),0))</f>
        <v>Can't Kill</v>
      </c>
      <c r="Q14" s="230" t="str">
        <f>IF(OR($K14&lt;&gt;Q$2,(TowerStats!$B$40-($E14-TowerStats!$H$40))&lt;=0),"Can't Kill",ROUNDUP($D14/(TowerStats!$B$40-($E14-TowerStats!$H$40)),0))</f>
        <v>Can't Kill</v>
      </c>
      <c r="R14" s="229">
        <f>IF(OR($K14&lt;&gt;R$2,(TowerStats!$B$41-($E14-TowerStats!$H$41))&lt;=0),"Can't Kill",ROUNDUP($D14/(TowerStats!$B$41-($E14-TowerStats!$H$41)),0))</f>
        <v>27</v>
      </c>
      <c r="S14" s="229">
        <f>IF(OR($K14&lt;&gt;S$2,(TowerStats!$B$42-($E14-TowerStats!$H$42))&lt;=0),"Can't Kill",ROUNDUP($D14/(TowerStats!$B$42-($E14-TowerStats!$H$42)),0))</f>
        <v>14</v>
      </c>
      <c r="T14" s="229">
        <f>IF(OR($K14&lt;&gt;T$2,(TowerStats!$B$43-($E14-TowerStats!$H$43))&lt;=0),"Can't Kill",ROUNDUP($D14/(TowerStats!$B$43-($E14-TowerStats!$H$43)),0))</f>
        <v>8</v>
      </c>
      <c r="U14" s="228">
        <f>IF(OR($K14&lt;&gt;U$2,(TowerStats!$B$44-($E14-TowerStats!$H$44))&lt;=0),"Can't Kill",ROUNDUP($D14/(TowerStats!$B$44-($E14-TowerStats!$H$44)),0))</f>
        <v>4</v>
      </c>
      <c r="V14" s="230" t="str">
        <f>IF(OR($K14&lt;&gt;V$2,(TowerStats!$B$54-($E14-TowerStats!$H$54))&lt;=0),"Can't Kill",ROUNDUP($D14/(TowerStats!$B$54-($E14-TowerStats!$H$54)),0))</f>
        <v>Can't Kill</v>
      </c>
      <c r="W14" s="229" t="str">
        <f>IF(OR($K14&lt;&gt;W$2,(TowerStats!$B$55-($E14-TowerStats!$H$55))&lt;=0),"Can't Kill",ROUNDUP($D14/(TowerStats!$B$55-($E14-TowerStats!$H$55)),0))</f>
        <v>Can't Kill</v>
      </c>
      <c r="X14" s="229" t="str">
        <f>IF(OR($K14&lt;&gt;X$2,(TowerStats!$B$56-($E14-TowerStats!$H$56))&lt;=0),"Can't Kill",ROUNDUP($D14/(TowerStats!$B$56-($E14-TowerStats!$H$56)),0))</f>
        <v>Can't Kill</v>
      </c>
      <c r="Y14" s="229" t="str">
        <f>IF(OR($K14&lt;&gt;Y$2,(TowerStats!$B$57-($E14-TowerStats!$H$57))&lt;=0),"Can't Kill",ROUNDUP($D14/(TowerStats!$B$57-($E14-TowerStats!$H$57)),0))</f>
        <v>Can't Kill</v>
      </c>
      <c r="Z14" s="228" t="str">
        <f>IF(OR($K14&lt;&gt;Z$2,(TowerStats!$B$58-($E14-TowerStats!$H$58))&lt;=0),"Can't Kill",ROUNDUP($D14/(TowerStats!$B$58-($E14-TowerStats!$H$58)),0))</f>
        <v>Can't Kill</v>
      </c>
      <c r="AA14" s="230" t="str">
        <f>IF(OR($K14&lt;&gt;AA$2,(TowerStats!$B$69-($E14-TowerStats!$H$69))&lt;=0),"Can't Kill",ROUNDUP($D14/(TowerStats!$B$69-($E14-TowerStats!$H$69)),0))</f>
        <v>Can't Kill</v>
      </c>
      <c r="AB14" s="229" t="str">
        <f>IF(OR($K14&lt;&gt;AB$2,(TowerStats!$B$70-($E14-TowerStats!$H$70))&lt;=0),"Can't Kill",ROUNDUP($D14/(TowerStats!$B$70-($E14-TowerStats!$H$70)),0))</f>
        <v>Can't Kill</v>
      </c>
      <c r="AC14" s="229" t="str">
        <f>IF(OR($K14&lt;&gt;AC$2,(TowerStats!$B$71-($E14-TowerStats!$H$71))&lt;=0),"Can't Kill",ROUNDUP($D14/(TowerStats!$B$71-($E14-TowerStats!$H$71)),0))</f>
        <v>Can't Kill</v>
      </c>
      <c r="AD14" s="229" t="str">
        <f>IF(OR($K14&lt;&gt;AD$2,(TowerStats!$B$72-($E14-TowerStats!$H$72))&lt;=0),"Can't Kill",ROUNDUP($D14/(TowerStats!$B$72-($E14-TowerStats!$H$72)),0))</f>
        <v>Can't Kill</v>
      </c>
      <c r="AE14" s="228" t="str">
        <f>IF(OR($K14&lt;&gt;AE$2,(TowerStats!$B$73-($E14-TowerStats!$H$73))&lt;=0),"Can't Kill",ROUNDUP($D14/(TowerStats!$B$73-($E14-TowerStats!$H$73)),0))</f>
        <v>Can't Kill</v>
      </c>
      <c r="AF14" s="230" t="str">
        <f>IF(OR($K14&lt;&gt;AF$2,(TowerStats!$B$84-($E14-TowerStats!$H$84))&lt;=0),"Can't Kill",ROUNDUP($D14/(TowerStats!$B$84-($E14-TowerStats!$H$84)),0))</f>
        <v>Can't Kill</v>
      </c>
      <c r="AG14" s="229" t="str">
        <f>IF(OR($K14&lt;&gt;AG$2,(TowerStats!$B$85-($E14-TowerStats!$H$85))&lt;=0),"Can't Kill",ROUNDUP($D14/(TowerStats!$B$85-($E14-TowerStats!$H$85)),0))</f>
        <v>Can't Kill</v>
      </c>
      <c r="AH14" s="229" t="str">
        <f>IF(OR($K14&lt;&gt;AH$2,(TowerStats!$B$86-($E14-TowerStats!$H$86))&lt;=0),"Can't Kill",ROUNDUP($D14/(TowerStats!$B$86-($E14-TowerStats!$H$86)),0))</f>
        <v>Can't Kill</v>
      </c>
      <c r="AI14" s="229" t="str">
        <f>IF(OR($K14&lt;&gt;AI$2,(TowerStats!$B$87-($E14-TowerStats!$H$87))&lt;=0),"Can't Kill",ROUNDUP($D14/(TowerStats!$B$87-($E14-TowerStats!$H$87)),0))</f>
        <v>Can't Kill</v>
      </c>
      <c r="AJ14" s="228" t="str">
        <f>IF(OR($K14&lt;&gt;AJ$2,(TowerStats!$B$88-($E14-TowerStats!$H$88))&lt;=0),"Can't Kill",ROUNDUP($D14/(TowerStats!$B$88-($E14-TowerStats!$H$88)),0))</f>
        <v>Can't Kill</v>
      </c>
      <c r="AK14" s="230" t="str">
        <f>IF(OR($K14&lt;&gt;AK$2,(TowerStats!$B$100-($E14-TowerStats!$H$100))&lt;=0),"Can't Kill",ROUNDUP($D14/(TowerStats!$B$100-($E14-TowerStats!$H$100)),0))</f>
        <v>Can't Kill</v>
      </c>
      <c r="AL14" s="229" t="str">
        <f>IF(OR($K14&lt;&gt;AL$2,(TowerStats!$B$101-($E14-TowerStats!$H$101))&lt;=0),"Can't Kill",ROUNDUP($D14/(TowerStats!$B$101-($E14-TowerStats!$H$101)),0))</f>
        <v>Can't Kill</v>
      </c>
      <c r="AM14" s="229" t="str">
        <f>IF(OR($K14&lt;&gt;AM$2,(TowerStats!$B$102-($E14-TowerStats!$H$102))&lt;=0),"Can't Kill",ROUNDUP($D14/(TowerStats!$B$102-($E14-TowerStats!$H$102)),0))</f>
        <v>Can't Kill</v>
      </c>
      <c r="AN14" s="229" t="str">
        <f>IF(OR($K14&lt;&gt;AN$2,(TowerStats!$B$103-($E14-TowerStats!$H$103))&lt;=0),"Can't Kill",ROUNDUP($D14/(TowerStats!$B$103-($E14-TowerStats!$H$103)),0))</f>
        <v>Can't Kill</v>
      </c>
      <c r="AO14" s="228" t="str">
        <f>IF(OR($K14&lt;&gt;AO$2,(TowerStats!$B$104-($E14-TowerStats!$H$104))&lt;=0),"Can't Kill",ROUNDUP($D14/(TowerStats!$B$104-($E14-TowerStats!$H$104)),0))</f>
        <v>Can't Kill</v>
      </c>
    </row>
    <row r="15" spans="2:41" ht="13.5" x14ac:dyDescent="0.15">
      <c r="B15" s="234" t="s">
        <v>77</v>
      </c>
      <c r="C15" s="232">
        <f>VLOOKUP($B15,'Monsters Stats'!$B$8:$L$70,2,FALSE)</f>
        <v>21</v>
      </c>
      <c r="D15" s="232">
        <f>VLOOKUP($B15,'Monsters Stats'!$B$8:$L$70,3,FALSE)</f>
        <v>80</v>
      </c>
      <c r="E15" s="232">
        <f>VLOOKUP($B15,'Monsters Stats'!$B$8:$L$70,4,FALSE)</f>
        <v>15</v>
      </c>
      <c r="F15" s="232">
        <f>VLOOKUP($B15,'Monsters Stats'!$B$8:$L$70,5,FALSE)</f>
        <v>1</v>
      </c>
      <c r="G15" s="232">
        <f>VLOOKUP($B15,'Monsters Stats'!$B$8:$L$70,6,FALSE)</f>
        <v>1.2000000000000002</v>
      </c>
      <c r="H15" s="232">
        <f>VLOOKUP($B15,'Monsters Stats'!$B$8:$L$70,7,FALSE)</f>
        <v>39</v>
      </c>
      <c r="I15" s="232">
        <f>VLOOKUP($B15,'Monsters Stats'!$B$8:$L$70,8,FALSE)</f>
        <v>0.5</v>
      </c>
      <c r="J15" s="232">
        <f>VLOOKUP($B15,'Monsters Stats'!$B$8:$L$70,9,FALSE)</f>
        <v>0</v>
      </c>
      <c r="K15" s="231">
        <f>VLOOKUP($B15,'Monsters Stats'!$B$8:$L$70,11,FALSE)</f>
        <v>0</v>
      </c>
      <c r="L15" s="230" t="str">
        <f>IF(OR($K15&lt;&gt;L$2,(TowerStats!$B$29-($E15-TowerStats!$H$29))&lt;=0),"Can't Kill",ROUNDUP($D15/(TowerStats!$B$29-($E15-TowerStats!$H$29)),0))</f>
        <v>Can't Kill</v>
      </c>
      <c r="M15" s="229" t="str">
        <f>IF(OR($K15&lt;&gt;M$2,(TowerStats!$B$30-($E15-TowerStats!$H$30))&lt;=0),"Can't Kill",ROUNDUP($D15/(TowerStats!$B$30-($E15-TowerStats!$H$30)),0))</f>
        <v>Can't Kill</v>
      </c>
      <c r="N15" s="229" t="str">
        <f>IF(OR($K15&lt;&gt;N$2,(TowerStats!$B$31-($E15-TowerStats!$H$31))&lt;=0),"Can't Kill",ROUNDUP($D15/(TowerStats!$B$31-($E15-TowerStats!$H$31)),0))</f>
        <v>Can't Kill</v>
      </c>
      <c r="O15" s="229" t="str">
        <f>IF(OR($K15&lt;&gt;O$2,(TowerStats!$B$32-($E15-TowerStats!$H$32))&lt;=0),"Can't Kill",ROUNDUP($D15/(TowerStats!$B$32-($E15-TowerStats!$H$32)),0))</f>
        <v>Can't Kill</v>
      </c>
      <c r="P15" s="228" t="str">
        <f>IF(OR($K15&lt;&gt;P$2,(TowerStats!$B$33-($E15-TowerStats!$H$33))&lt;=0),"Can't Kill",ROUNDUP($D15/(TowerStats!$B$33-($E15-TowerStats!$H$33)),0))</f>
        <v>Can't Kill</v>
      </c>
      <c r="Q15" s="230" t="str">
        <f>IF(OR($K15&lt;&gt;Q$2,(TowerStats!$B$40-($E15-TowerStats!$H$40))&lt;=0),"Can't Kill",ROUNDUP($D15/(TowerStats!$B$40-($E15-TowerStats!$H$40)),0))</f>
        <v>Can't Kill</v>
      </c>
      <c r="R15" s="229" t="str">
        <f>IF(OR($K15&lt;&gt;R$2,(TowerStats!$B$41-($E15-TowerStats!$H$41))&lt;=0),"Can't Kill",ROUNDUP($D15/(TowerStats!$B$41-($E15-TowerStats!$H$41)),0))</f>
        <v>Can't Kill</v>
      </c>
      <c r="S15" s="229">
        <f>IF(OR($K15&lt;&gt;S$2,(TowerStats!$B$42-($E15-TowerStats!$H$42))&lt;=0),"Can't Kill",ROUNDUP($D15/(TowerStats!$B$42-($E15-TowerStats!$H$42)),0))</f>
        <v>80</v>
      </c>
      <c r="T15" s="229">
        <f>IF(OR($K15&lt;&gt;T$2,(TowerStats!$B$43-($E15-TowerStats!$H$43))&lt;=0),"Can't Kill",ROUNDUP($D15/(TowerStats!$B$43-($E15-TowerStats!$H$43)),0))</f>
        <v>20</v>
      </c>
      <c r="U15" s="228">
        <f>IF(OR($K15&lt;&gt;U$2,(TowerStats!$B$44-($E15-TowerStats!$H$44))&lt;=0),"Can't Kill",ROUNDUP($D15/(TowerStats!$B$44-($E15-TowerStats!$H$44)),0))</f>
        <v>6</v>
      </c>
      <c r="V15" s="230" t="str">
        <f>IF(OR($K15&lt;&gt;V$2,(TowerStats!$B$54-($E15-TowerStats!$H$54))&lt;=0),"Can't Kill",ROUNDUP($D15/(TowerStats!$B$54-($E15-TowerStats!$H$54)),0))</f>
        <v>Can't Kill</v>
      </c>
      <c r="W15" s="229" t="str">
        <f>IF(OR($K15&lt;&gt;W$2,(TowerStats!$B$55-($E15-TowerStats!$H$55))&lt;=0),"Can't Kill",ROUNDUP($D15/(TowerStats!$B$55-($E15-TowerStats!$H$55)),0))</f>
        <v>Can't Kill</v>
      </c>
      <c r="X15" s="229" t="str">
        <f>IF(OR($K15&lt;&gt;X$2,(TowerStats!$B$56-($E15-TowerStats!$H$56))&lt;=0),"Can't Kill",ROUNDUP($D15/(TowerStats!$B$56-($E15-TowerStats!$H$56)),0))</f>
        <v>Can't Kill</v>
      </c>
      <c r="Y15" s="229" t="str">
        <f>IF(OR($K15&lt;&gt;Y$2,(TowerStats!$B$57-($E15-TowerStats!$H$57))&lt;=0),"Can't Kill",ROUNDUP($D15/(TowerStats!$B$57-($E15-TowerStats!$H$57)),0))</f>
        <v>Can't Kill</v>
      </c>
      <c r="Z15" s="228" t="str">
        <f>IF(OR($K15&lt;&gt;Z$2,(TowerStats!$B$58-($E15-TowerStats!$H$58))&lt;=0),"Can't Kill",ROUNDUP($D15/(TowerStats!$B$58-($E15-TowerStats!$H$58)),0))</f>
        <v>Can't Kill</v>
      </c>
      <c r="AA15" s="230" t="str">
        <f>IF(OR($K15&lt;&gt;AA$2,(TowerStats!$B$69-($E15-TowerStats!$H$69))&lt;=0),"Can't Kill",ROUNDUP($D15/(TowerStats!$B$69-($E15-TowerStats!$H$69)),0))</f>
        <v>Can't Kill</v>
      </c>
      <c r="AB15" s="229" t="str">
        <f>IF(OR($K15&lt;&gt;AB$2,(TowerStats!$B$70-($E15-TowerStats!$H$70))&lt;=0),"Can't Kill",ROUNDUP($D15/(TowerStats!$B$70-($E15-TowerStats!$H$70)),0))</f>
        <v>Can't Kill</v>
      </c>
      <c r="AC15" s="229" t="str">
        <f>IF(OR($K15&lt;&gt;AC$2,(TowerStats!$B$71-($E15-TowerStats!$H$71))&lt;=0),"Can't Kill",ROUNDUP($D15/(TowerStats!$B$71-($E15-TowerStats!$H$71)),0))</f>
        <v>Can't Kill</v>
      </c>
      <c r="AD15" s="229" t="str">
        <f>IF(OR($K15&lt;&gt;AD$2,(TowerStats!$B$72-($E15-TowerStats!$H$72))&lt;=0),"Can't Kill",ROUNDUP($D15/(TowerStats!$B$72-($E15-TowerStats!$H$72)),0))</f>
        <v>Can't Kill</v>
      </c>
      <c r="AE15" s="228" t="str">
        <f>IF(OR($K15&lt;&gt;AE$2,(TowerStats!$B$73-($E15-TowerStats!$H$73))&lt;=0),"Can't Kill",ROUNDUP($D15/(TowerStats!$B$73-($E15-TowerStats!$H$73)),0))</f>
        <v>Can't Kill</v>
      </c>
      <c r="AF15" s="230" t="str">
        <f>IF(OR($K15&lt;&gt;AF$2,(TowerStats!$B$84-($E15-TowerStats!$H$84))&lt;=0),"Can't Kill",ROUNDUP($D15/(TowerStats!$B$84-($E15-TowerStats!$H$84)),0))</f>
        <v>Can't Kill</v>
      </c>
      <c r="AG15" s="229" t="str">
        <f>IF(OR($K15&lt;&gt;AG$2,(TowerStats!$B$85-($E15-TowerStats!$H$85))&lt;=0),"Can't Kill",ROUNDUP($D15/(TowerStats!$B$85-($E15-TowerStats!$H$85)),0))</f>
        <v>Can't Kill</v>
      </c>
      <c r="AH15" s="229" t="str">
        <f>IF(OR($K15&lt;&gt;AH$2,(TowerStats!$B$86-($E15-TowerStats!$H$86))&lt;=0),"Can't Kill",ROUNDUP($D15/(TowerStats!$B$86-($E15-TowerStats!$H$86)),0))</f>
        <v>Can't Kill</v>
      </c>
      <c r="AI15" s="229" t="str">
        <f>IF(OR($K15&lt;&gt;AI$2,(TowerStats!$B$87-($E15-TowerStats!$H$87))&lt;=0),"Can't Kill",ROUNDUP($D15/(TowerStats!$B$87-($E15-TowerStats!$H$87)),0))</f>
        <v>Can't Kill</v>
      </c>
      <c r="AJ15" s="228" t="str">
        <f>IF(OR($K15&lt;&gt;AJ$2,(TowerStats!$B$88-($E15-TowerStats!$H$88))&lt;=0),"Can't Kill",ROUNDUP($D15/(TowerStats!$B$88-($E15-TowerStats!$H$88)),0))</f>
        <v>Can't Kill</v>
      </c>
      <c r="AK15" s="230" t="str">
        <f>IF(OR($K15&lt;&gt;AK$2,(TowerStats!$B$100-($E15-TowerStats!$H$100))&lt;=0),"Can't Kill",ROUNDUP($D15/(TowerStats!$B$100-($E15-TowerStats!$H$100)),0))</f>
        <v>Can't Kill</v>
      </c>
      <c r="AL15" s="229" t="str">
        <f>IF(OR($K15&lt;&gt;AL$2,(TowerStats!$B$101-($E15-TowerStats!$H$101))&lt;=0),"Can't Kill",ROUNDUP($D15/(TowerStats!$B$101-($E15-TowerStats!$H$101)),0))</f>
        <v>Can't Kill</v>
      </c>
      <c r="AM15" s="229" t="str">
        <f>IF(OR($K15&lt;&gt;AM$2,(TowerStats!$B$102-($E15-TowerStats!$H$102))&lt;=0),"Can't Kill",ROUNDUP($D15/(TowerStats!$B$102-($E15-TowerStats!$H$102)),0))</f>
        <v>Can't Kill</v>
      </c>
      <c r="AN15" s="229" t="str">
        <f>IF(OR($K15&lt;&gt;AN$2,(TowerStats!$B$103-($E15-TowerStats!$H$103))&lt;=0),"Can't Kill",ROUNDUP($D15/(TowerStats!$B$103-($E15-TowerStats!$H$103)),0))</f>
        <v>Can't Kill</v>
      </c>
      <c r="AO15" s="228" t="str">
        <f>IF(OR($K15&lt;&gt;AO$2,(TowerStats!$B$104-($E15-TowerStats!$H$104))&lt;=0),"Can't Kill",ROUNDUP($D15/(TowerStats!$B$104-($E15-TowerStats!$H$104)),0))</f>
        <v>Can't Kill</v>
      </c>
    </row>
    <row r="16" spans="2:41" ht="13.5" x14ac:dyDescent="0.15">
      <c r="B16" s="234" t="s">
        <v>15</v>
      </c>
      <c r="C16" s="232">
        <f>VLOOKUP($B16,'Monsters Stats'!$B$8:$L$70,2,FALSE)</f>
        <v>7</v>
      </c>
      <c r="D16" s="232">
        <f>VLOOKUP($B16,'Monsters Stats'!$B$8:$L$70,3,FALSE)</f>
        <v>13</v>
      </c>
      <c r="E16" s="232">
        <f>VLOOKUP($B16,'Monsters Stats'!$B$8:$L$70,4,FALSE)</f>
        <v>6</v>
      </c>
      <c r="F16" s="232">
        <f>VLOOKUP($B16,'Monsters Stats'!$B$8:$L$70,5,FALSE)</f>
        <v>1</v>
      </c>
      <c r="G16" s="232">
        <f>VLOOKUP($B16,'Monsters Stats'!$B$8:$L$70,6,FALSE)</f>
        <v>1.5</v>
      </c>
      <c r="H16" s="232">
        <f>VLOOKUP($B16,'Monsters Stats'!$B$8:$L$70,7,FALSE)</f>
        <v>12</v>
      </c>
      <c r="I16" s="232">
        <f>VLOOKUP($B16,'Monsters Stats'!$B$8:$L$70,8,FALSE)</f>
        <v>1</v>
      </c>
      <c r="J16" s="232">
        <f>VLOOKUP($B16,'Monsters Stats'!$B$8:$L$70,9,FALSE)</f>
        <v>0</v>
      </c>
      <c r="K16" s="231">
        <f>VLOOKUP($B16,'Monsters Stats'!$B$8:$L$70,11,FALSE)</f>
        <v>1</v>
      </c>
      <c r="L16" s="230">
        <f>IF(OR($K16&lt;&gt;L$2,(TowerStats!$B$29-($E16-TowerStats!$H$29))&lt;=0),"Can't Kill",ROUNDUP($D16/(TowerStats!$B$29-($E16-TowerStats!$H$29)),0))</f>
        <v>3</v>
      </c>
      <c r="M16" s="229">
        <f>IF(OR($K16&lt;&gt;M$2,(TowerStats!$B$30-($E16-TowerStats!$H$30))&lt;=0),"Can't Kill",ROUNDUP($D16/(TowerStats!$B$30-($E16-TowerStats!$H$30)),0))</f>
        <v>2</v>
      </c>
      <c r="N16" s="229">
        <f>IF(OR($K16&lt;&gt;N$2,(TowerStats!$B$31-($E16-TowerStats!$H$31))&lt;=0),"Can't Kill",ROUNDUP($D16/(TowerStats!$B$31-($E16-TowerStats!$H$31)),0))</f>
        <v>2</v>
      </c>
      <c r="O16" s="229">
        <f>IF(OR($K16&lt;&gt;O$2,(TowerStats!$B$32-($E16-TowerStats!$H$32))&lt;=0),"Can't Kill",ROUNDUP($D16/(TowerStats!$B$32-($E16-TowerStats!$H$32)),0))</f>
        <v>1</v>
      </c>
      <c r="P16" s="228">
        <f>IF(OR($K16&lt;&gt;P$2,(TowerStats!$B$33-($E16-TowerStats!$H$33))&lt;=0),"Can't Kill",ROUNDUP($D16/(TowerStats!$B$33-($E16-TowerStats!$H$33)),0))</f>
        <v>3</v>
      </c>
      <c r="Q16" s="230" t="str">
        <f>IF(OR($K16&lt;&gt;Q$2,(TowerStats!$B$40-($E16-TowerStats!$H$40))&lt;=0),"Can't Kill",ROUNDUP($D16/(TowerStats!$B$40-($E16-TowerStats!$H$40)),0))</f>
        <v>Can't Kill</v>
      </c>
      <c r="R16" s="229" t="str">
        <f>IF(OR($K16&lt;&gt;R$2,(TowerStats!$B$41-($E16-TowerStats!$H$41))&lt;=0),"Can't Kill",ROUNDUP($D16/(TowerStats!$B$41-($E16-TowerStats!$H$41)),0))</f>
        <v>Can't Kill</v>
      </c>
      <c r="S16" s="229" t="str">
        <f>IF(OR($K16&lt;&gt;S$2,(TowerStats!$B$42-($E16-TowerStats!$H$42))&lt;=0),"Can't Kill",ROUNDUP($D16/(TowerStats!$B$42-($E16-TowerStats!$H$42)),0))</f>
        <v>Can't Kill</v>
      </c>
      <c r="T16" s="229" t="str">
        <f>IF(OR($K16&lt;&gt;T$2,(TowerStats!$B$43-($E16-TowerStats!$H$43))&lt;=0),"Can't Kill",ROUNDUP($D16/(TowerStats!$B$43-($E16-TowerStats!$H$43)),0))</f>
        <v>Can't Kill</v>
      </c>
      <c r="U16" s="228" t="str">
        <f>IF(OR($K16&lt;&gt;U$2,(TowerStats!$B$44-($E16-TowerStats!$H$44))&lt;=0),"Can't Kill",ROUNDUP($D16/(TowerStats!$B$44-($E16-TowerStats!$H$44)),0))</f>
        <v>Can't Kill</v>
      </c>
      <c r="V16" s="230" t="str">
        <f>IF(OR($K16&lt;&gt;V$2,(TowerStats!$B$54-($E16-TowerStats!$H$54))&lt;=0),"Can't Kill",ROUNDUP($D16/(TowerStats!$B$54-($E16-TowerStats!$H$54)),0))</f>
        <v>Can't Kill</v>
      </c>
      <c r="W16" s="229" t="str">
        <f>IF(OR($K16&lt;&gt;W$2,(TowerStats!$B$55-($E16-TowerStats!$H$55))&lt;=0),"Can't Kill",ROUNDUP($D16/(TowerStats!$B$55-($E16-TowerStats!$H$55)),0))</f>
        <v>Can't Kill</v>
      </c>
      <c r="X16" s="229" t="str">
        <f>IF(OR($K16&lt;&gt;X$2,(TowerStats!$B$56-($E16-TowerStats!$H$56))&lt;=0),"Can't Kill",ROUNDUP($D16/(TowerStats!$B$56-($E16-TowerStats!$H$56)),0))</f>
        <v>Can't Kill</v>
      </c>
      <c r="Y16" s="229" t="str">
        <f>IF(OR($K16&lt;&gt;Y$2,(TowerStats!$B$57-($E16-TowerStats!$H$57))&lt;=0),"Can't Kill",ROUNDUP($D16/(TowerStats!$B$57-($E16-TowerStats!$H$57)),0))</f>
        <v>Can't Kill</v>
      </c>
      <c r="Z16" s="228" t="str">
        <f>IF(OR($K16&lt;&gt;Z$2,(TowerStats!$B$58-($E16-TowerStats!$H$58))&lt;=0),"Can't Kill",ROUNDUP($D16/(TowerStats!$B$58-($E16-TowerStats!$H$58)),0))</f>
        <v>Can't Kill</v>
      </c>
      <c r="AA16" s="230">
        <f>IF(OR($K16&lt;&gt;AA$2,(TowerStats!$B$69-($E16-TowerStats!$H$69))&lt;=0),"Can't Kill",ROUNDUP($D16/(TowerStats!$B$69-($E16-TowerStats!$H$69)),0))</f>
        <v>2</v>
      </c>
      <c r="AB16" s="229">
        <f>IF(OR($K16&lt;&gt;AB$2,(TowerStats!$B$70-($E16-TowerStats!$H$70))&lt;=0),"Can't Kill",ROUNDUP($D16/(TowerStats!$B$70-($E16-TowerStats!$H$70)),0))</f>
        <v>2</v>
      </c>
      <c r="AC16" s="229">
        <f>IF(OR($K16&lt;&gt;AC$2,(TowerStats!$B$71-($E16-TowerStats!$H$71))&lt;=0),"Can't Kill",ROUNDUP($D16/(TowerStats!$B$71-($E16-TowerStats!$H$71)),0))</f>
        <v>1</v>
      </c>
      <c r="AD16" s="229">
        <f>IF(OR($K16&lt;&gt;AD$2,(TowerStats!$B$72-($E16-TowerStats!$H$72))&lt;=0),"Can't Kill",ROUNDUP($D16/(TowerStats!$B$72-($E16-TowerStats!$H$72)),0))</f>
        <v>1</v>
      </c>
      <c r="AE16" s="228">
        <f>IF(OR($K16&lt;&gt;AE$2,(TowerStats!$B$73-($E16-TowerStats!$H$73))&lt;=0),"Can't Kill",ROUNDUP($D16/(TowerStats!$B$73-($E16-TowerStats!$H$73)),0))</f>
        <v>1</v>
      </c>
      <c r="AF16" s="230">
        <f>IF(OR($K16&lt;&gt;AF$2,(TowerStats!$B$84-($E16-TowerStats!$H$84))&lt;=0),"Can't Kill",ROUNDUP($D16/(TowerStats!$B$84-($E16-TowerStats!$H$84)),0))</f>
        <v>2</v>
      </c>
      <c r="AG16" s="229">
        <f>IF(OR($K16&lt;&gt;AG$2,(TowerStats!$B$85-($E16-TowerStats!$H$85))&lt;=0),"Can't Kill",ROUNDUP($D16/(TowerStats!$B$85-($E16-TowerStats!$H$85)),0))</f>
        <v>1</v>
      </c>
      <c r="AH16" s="229">
        <f>IF(OR($K16&lt;&gt;AH$2,(TowerStats!$B$86-($E16-TowerStats!$H$86))&lt;=0),"Can't Kill",ROUNDUP($D16/(TowerStats!$B$86-($E16-TowerStats!$H$86)),0))</f>
        <v>1</v>
      </c>
      <c r="AI16" s="229">
        <f>IF(OR($K16&lt;&gt;AI$2,(TowerStats!$B$87-($E16-TowerStats!$H$87))&lt;=0),"Can't Kill",ROUNDUP($D16/(TowerStats!$B$87-($E16-TowerStats!$H$87)),0))</f>
        <v>1</v>
      </c>
      <c r="AJ16" s="228">
        <f>IF(OR($K16&lt;&gt;AJ$2,(TowerStats!$B$88-($E16-TowerStats!$H$88))&lt;=0),"Can't Kill",ROUNDUP($D16/(TowerStats!$B$88-($E16-TowerStats!$H$88)),0))</f>
        <v>1</v>
      </c>
      <c r="AK16" s="230">
        <f>IF(OR($K16&lt;&gt;AK$2,(TowerStats!$B$100-($E16-TowerStats!$H$100))&lt;=0),"Can't Kill",ROUNDUP($D16/(TowerStats!$B$100-($E16-TowerStats!$H$100)),0))</f>
        <v>2</v>
      </c>
      <c r="AL16" s="229">
        <f>IF(OR($K16&lt;&gt;AL$2,(TowerStats!$B$101-($E16-TowerStats!$H$101))&lt;=0),"Can't Kill",ROUNDUP($D16/(TowerStats!$B$101-($E16-TowerStats!$H$101)),0))</f>
        <v>1</v>
      </c>
      <c r="AM16" s="229">
        <f>IF(OR($K16&lt;&gt;AM$2,(TowerStats!$B$102-($E16-TowerStats!$H$102))&lt;=0),"Can't Kill",ROUNDUP($D16/(TowerStats!$B$102-($E16-TowerStats!$H$102)),0))</f>
        <v>1</v>
      </c>
      <c r="AN16" s="229">
        <f>IF(OR($K16&lt;&gt;AN$2,(TowerStats!$B$103-($E16-TowerStats!$H$103))&lt;=0),"Can't Kill",ROUNDUP($D16/(TowerStats!$B$103-($E16-TowerStats!$H$103)),0))</f>
        <v>1</v>
      </c>
      <c r="AO16" s="228">
        <f>IF(OR($K16&lt;&gt;AO$2,(TowerStats!$B$104-($E16-TowerStats!$H$104))&lt;=0),"Can't Kill",ROUNDUP($D16/(TowerStats!$B$104-($E16-TowerStats!$H$104)),0))</f>
        <v>1</v>
      </c>
    </row>
    <row r="17" spans="2:41" ht="13.5" x14ac:dyDescent="0.15">
      <c r="B17" s="234" t="s">
        <v>78</v>
      </c>
      <c r="C17" s="232">
        <f>VLOOKUP($B17,'Monsters Stats'!$B$8:$L$70,2,FALSE)</f>
        <v>9</v>
      </c>
      <c r="D17" s="232">
        <f>VLOOKUP($B17,'Monsters Stats'!$B$8:$L$70,3,FALSE)</f>
        <v>17</v>
      </c>
      <c r="E17" s="232">
        <f>VLOOKUP($B17,'Monsters Stats'!$B$8:$L$70,4,FALSE)</f>
        <v>8</v>
      </c>
      <c r="F17" s="232">
        <f>VLOOKUP($B17,'Monsters Stats'!$B$8:$L$70,5,FALSE)</f>
        <v>1</v>
      </c>
      <c r="G17" s="232">
        <f>VLOOKUP($B17,'Monsters Stats'!$B$8:$L$70,6,FALSE)</f>
        <v>1.4000000000000001</v>
      </c>
      <c r="H17" s="232">
        <f>VLOOKUP($B17,'Monsters Stats'!$B$8:$L$70,7,FALSE)</f>
        <v>16</v>
      </c>
      <c r="I17" s="232">
        <f>VLOOKUP($B17,'Monsters Stats'!$B$8:$L$70,8,FALSE)</f>
        <v>1.1000000000000001</v>
      </c>
      <c r="J17" s="232">
        <f>VLOOKUP($B17,'Monsters Stats'!$B$8:$L$70,9,FALSE)</f>
        <v>10</v>
      </c>
      <c r="K17" s="231">
        <f>VLOOKUP($B17,'Monsters Stats'!$B$8:$L$70,11,FALSE)</f>
        <v>1</v>
      </c>
      <c r="L17" s="230">
        <f>IF(OR($K17&lt;&gt;L$2,(TowerStats!$B$29-($E17-TowerStats!$H$29))&lt;=0),"Can't Kill",ROUNDUP($D17/(TowerStats!$B$29-($E17-TowerStats!$H$29)),0))</f>
        <v>5</v>
      </c>
      <c r="M17" s="229">
        <f>IF(OR($K17&lt;&gt;M$2,(TowerStats!$B$30-($E17-TowerStats!$H$30))&lt;=0),"Can't Kill",ROUNDUP($D17/(TowerStats!$B$30-($E17-TowerStats!$H$30)),0))</f>
        <v>3</v>
      </c>
      <c r="N17" s="229">
        <f>IF(OR($K17&lt;&gt;N$2,(TowerStats!$B$31-($E17-TowerStats!$H$31))&lt;=0),"Can't Kill",ROUNDUP($D17/(TowerStats!$B$31-($E17-TowerStats!$H$31)),0))</f>
        <v>2</v>
      </c>
      <c r="O17" s="229">
        <f>IF(OR($K17&lt;&gt;O$2,(TowerStats!$B$32-($E17-TowerStats!$H$32))&lt;=0),"Can't Kill",ROUNDUP($D17/(TowerStats!$B$32-($E17-TowerStats!$H$32)),0))</f>
        <v>1</v>
      </c>
      <c r="P17" s="228">
        <f>IF(OR($K17&lt;&gt;P$2,(TowerStats!$B$33-($E17-TowerStats!$H$33))&lt;=0),"Can't Kill",ROUNDUP($D17/(TowerStats!$B$33-($E17-TowerStats!$H$33)),0))</f>
        <v>5</v>
      </c>
      <c r="Q17" s="230" t="str">
        <f>IF(OR($K17&lt;&gt;Q$2,(TowerStats!$B$40-($E17-TowerStats!$H$40))&lt;=0),"Can't Kill",ROUNDUP($D17/(TowerStats!$B$40-($E17-TowerStats!$H$40)),0))</f>
        <v>Can't Kill</v>
      </c>
      <c r="R17" s="229" t="str">
        <f>IF(OR($K17&lt;&gt;R$2,(TowerStats!$B$41-($E17-TowerStats!$H$41))&lt;=0),"Can't Kill",ROUNDUP($D17/(TowerStats!$B$41-($E17-TowerStats!$H$41)),0))</f>
        <v>Can't Kill</v>
      </c>
      <c r="S17" s="229" t="str">
        <f>IF(OR($K17&lt;&gt;S$2,(TowerStats!$B$42-($E17-TowerStats!$H$42))&lt;=0),"Can't Kill",ROUNDUP($D17/(TowerStats!$B$42-($E17-TowerStats!$H$42)),0))</f>
        <v>Can't Kill</v>
      </c>
      <c r="T17" s="229" t="str">
        <f>IF(OR($K17&lt;&gt;T$2,(TowerStats!$B$43-($E17-TowerStats!$H$43))&lt;=0),"Can't Kill",ROUNDUP($D17/(TowerStats!$B$43-($E17-TowerStats!$H$43)),0))</f>
        <v>Can't Kill</v>
      </c>
      <c r="U17" s="228" t="str">
        <f>IF(OR($K17&lt;&gt;U$2,(TowerStats!$B$44-($E17-TowerStats!$H$44))&lt;=0),"Can't Kill",ROUNDUP($D17/(TowerStats!$B$44-($E17-TowerStats!$H$44)),0))</f>
        <v>Can't Kill</v>
      </c>
      <c r="V17" s="230" t="str">
        <f>IF(OR($K17&lt;&gt;V$2,(TowerStats!$B$54-($E17-TowerStats!$H$54))&lt;=0),"Can't Kill",ROUNDUP($D17/(TowerStats!$B$54-($E17-TowerStats!$H$54)),0))</f>
        <v>Can't Kill</v>
      </c>
      <c r="W17" s="229" t="str">
        <f>IF(OR($K17&lt;&gt;W$2,(TowerStats!$B$55-($E17-TowerStats!$H$55))&lt;=0),"Can't Kill",ROUNDUP($D17/(TowerStats!$B$55-($E17-TowerStats!$H$55)),0))</f>
        <v>Can't Kill</v>
      </c>
      <c r="X17" s="229" t="str">
        <f>IF(OR($K17&lt;&gt;X$2,(TowerStats!$B$56-($E17-TowerStats!$H$56))&lt;=0),"Can't Kill",ROUNDUP($D17/(TowerStats!$B$56-($E17-TowerStats!$H$56)),0))</f>
        <v>Can't Kill</v>
      </c>
      <c r="Y17" s="229" t="str">
        <f>IF(OR($K17&lt;&gt;Y$2,(TowerStats!$B$57-($E17-TowerStats!$H$57))&lt;=0),"Can't Kill",ROUNDUP($D17/(TowerStats!$B$57-($E17-TowerStats!$H$57)),0))</f>
        <v>Can't Kill</v>
      </c>
      <c r="Z17" s="228" t="str">
        <f>IF(OR($K17&lt;&gt;Z$2,(TowerStats!$B$58-($E17-TowerStats!$H$58))&lt;=0),"Can't Kill",ROUNDUP($D17/(TowerStats!$B$58-($E17-TowerStats!$H$58)),0))</f>
        <v>Can't Kill</v>
      </c>
      <c r="AA17" s="230">
        <f>IF(OR($K17&lt;&gt;AA$2,(TowerStats!$B$69-($E17-TowerStats!$H$69))&lt;=0),"Can't Kill",ROUNDUP($D17/(TowerStats!$B$69-($E17-TowerStats!$H$69)),0))</f>
        <v>4</v>
      </c>
      <c r="AB17" s="229">
        <f>IF(OR($K17&lt;&gt;AB$2,(TowerStats!$B$70-($E17-TowerStats!$H$70))&lt;=0),"Can't Kill",ROUNDUP($D17/(TowerStats!$B$70-($E17-TowerStats!$H$70)),0))</f>
        <v>3</v>
      </c>
      <c r="AC17" s="229">
        <f>IF(OR($K17&lt;&gt;AC$2,(TowerStats!$B$71-($E17-TowerStats!$H$71))&lt;=0),"Can't Kill",ROUNDUP($D17/(TowerStats!$B$71-($E17-TowerStats!$H$71)),0))</f>
        <v>2</v>
      </c>
      <c r="AD17" s="229">
        <f>IF(OR($K17&lt;&gt;AD$2,(TowerStats!$B$72-($E17-TowerStats!$H$72))&lt;=0),"Can't Kill",ROUNDUP($D17/(TowerStats!$B$72-($E17-TowerStats!$H$72)),0))</f>
        <v>2</v>
      </c>
      <c r="AE17" s="228">
        <f>IF(OR($K17&lt;&gt;AE$2,(TowerStats!$B$73-($E17-TowerStats!$H$73))&lt;=0),"Can't Kill",ROUNDUP($D17/(TowerStats!$B$73-($E17-TowerStats!$H$73)),0))</f>
        <v>2</v>
      </c>
      <c r="AF17" s="230">
        <f>IF(OR($K17&lt;&gt;AF$2,(TowerStats!$B$84-($E17-TowerStats!$H$84))&lt;=0),"Can't Kill",ROUNDUP($D17/(TowerStats!$B$84-($E17-TowerStats!$H$84)),0))</f>
        <v>2</v>
      </c>
      <c r="AG17" s="229">
        <f>IF(OR($K17&lt;&gt;AG$2,(TowerStats!$B$85-($E17-TowerStats!$H$85))&lt;=0),"Can't Kill",ROUNDUP($D17/(TowerStats!$B$85-($E17-TowerStats!$H$85)),0))</f>
        <v>2</v>
      </c>
      <c r="AH17" s="229">
        <f>IF(OR($K17&lt;&gt;AH$2,(TowerStats!$B$86-($E17-TowerStats!$H$86))&lt;=0),"Can't Kill",ROUNDUP($D17/(TowerStats!$B$86-($E17-TowerStats!$H$86)),0))</f>
        <v>1</v>
      </c>
      <c r="AI17" s="229">
        <f>IF(OR($K17&lt;&gt;AI$2,(TowerStats!$B$87-($E17-TowerStats!$H$87))&lt;=0),"Can't Kill",ROUNDUP($D17/(TowerStats!$B$87-($E17-TowerStats!$H$87)),0))</f>
        <v>1</v>
      </c>
      <c r="AJ17" s="228">
        <f>IF(OR($K17&lt;&gt;AJ$2,(TowerStats!$B$88-($E17-TowerStats!$H$88))&lt;=0),"Can't Kill",ROUNDUP($D17/(TowerStats!$B$88-($E17-TowerStats!$H$88)),0))</f>
        <v>1</v>
      </c>
      <c r="AK17" s="230">
        <f>IF(OR($K17&lt;&gt;AK$2,(TowerStats!$B$100-($E17-TowerStats!$H$100))&lt;=0),"Can't Kill",ROUNDUP($D17/(TowerStats!$B$100-($E17-TowerStats!$H$100)),0))</f>
        <v>2</v>
      </c>
      <c r="AL17" s="229">
        <f>IF(OR($K17&lt;&gt;AL$2,(TowerStats!$B$101-($E17-TowerStats!$H$101))&lt;=0),"Can't Kill",ROUNDUP($D17/(TowerStats!$B$101-($E17-TowerStats!$H$101)),0))</f>
        <v>2</v>
      </c>
      <c r="AM17" s="229">
        <f>IF(OR($K17&lt;&gt;AM$2,(TowerStats!$B$102-($E17-TowerStats!$H$102))&lt;=0),"Can't Kill",ROUNDUP($D17/(TowerStats!$B$102-($E17-TowerStats!$H$102)),0))</f>
        <v>1</v>
      </c>
      <c r="AN17" s="229">
        <f>IF(OR($K17&lt;&gt;AN$2,(TowerStats!$B$103-($E17-TowerStats!$H$103))&lt;=0),"Can't Kill",ROUNDUP($D17/(TowerStats!$B$103-($E17-TowerStats!$H$103)),0))</f>
        <v>1</v>
      </c>
      <c r="AO17" s="228">
        <f>IF(OR($K17&lt;&gt;AO$2,(TowerStats!$B$104-($E17-TowerStats!$H$104))&lt;=0),"Can't Kill",ROUNDUP($D17/(TowerStats!$B$104-($E17-TowerStats!$H$104)),0))</f>
        <v>1</v>
      </c>
    </row>
    <row r="18" spans="2:41" ht="13.5" x14ac:dyDescent="0.15">
      <c r="B18" s="234" t="s">
        <v>79</v>
      </c>
      <c r="C18" s="232">
        <f>VLOOKUP($B18,'Monsters Stats'!$B$8:$L$70,2,FALSE)</f>
        <v>11</v>
      </c>
      <c r="D18" s="232">
        <f>VLOOKUP($B18,'Monsters Stats'!$B$8:$L$70,3,FALSE)</f>
        <v>23</v>
      </c>
      <c r="E18" s="232">
        <f>VLOOKUP($B18,'Monsters Stats'!$B$8:$L$70,4,FALSE)</f>
        <v>10</v>
      </c>
      <c r="F18" s="232">
        <f>VLOOKUP($B18,'Monsters Stats'!$B$8:$L$70,5,FALSE)</f>
        <v>1</v>
      </c>
      <c r="G18" s="232">
        <f>VLOOKUP($B18,'Monsters Stats'!$B$8:$L$70,6,FALSE)</f>
        <v>1.3</v>
      </c>
      <c r="H18" s="232">
        <f>VLOOKUP($B18,'Monsters Stats'!$B$8:$L$70,7,FALSE)</f>
        <v>21</v>
      </c>
      <c r="I18" s="232">
        <f>VLOOKUP($B18,'Monsters Stats'!$B$8:$L$70,8,FALSE)</f>
        <v>1.3</v>
      </c>
      <c r="J18" s="232">
        <f>VLOOKUP($B18,'Monsters Stats'!$B$8:$L$70,9,FALSE)</f>
        <v>15</v>
      </c>
      <c r="K18" s="231">
        <f>VLOOKUP($B18,'Monsters Stats'!$B$8:$L$70,11,FALSE)</f>
        <v>1</v>
      </c>
      <c r="L18" s="230">
        <f>IF(OR($K18&lt;&gt;L$2,(TowerStats!$B$29-($E18-TowerStats!$H$29))&lt;=0),"Can't Kill",ROUNDUP($D18/(TowerStats!$B$29-($E18-TowerStats!$H$29)),0))</f>
        <v>12</v>
      </c>
      <c r="M18" s="229">
        <f>IF(OR($K18&lt;&gt;M$2,(TowerStats!$B$30-($E18-TowerStats!$H$30))&lt;=0),"Can't Kill",ROUNDUP($D18/(TowerStats!$B$30-($E18-TowerStats!$H$30)),0))</f>
        <v>5</v>
      </c>
      <c r="N18" s="229">
        <f>IF(OR($K18&lt;&gt;N$2,(TowerStats!$B$31-($E18-TowerStats!$H$31))&lt;=0),"Can't Kill",ROUNDUP($D18/(TowerStats!$B$31-($E18-TowerStats!$H$31)),0))</f>
        <v>3</v>
      </c>
      <c r="O18" s="229">
        <f>IF(OR($K18&lt;&gt;O$2,(TowerStats!$B$32-($E18-TowerStats!$H$32))&lt;=0),"Can't Kill",ROUNDUP($D18/(TowerStats!$B$32-($E18-TowerStats!$H$32)),0))</f>
        <v>1</v>
      </c>
      <c r="P18" s="228">
        <f>IF(OR($K18&lt;&gt;P$2,(TowerStats!$B$33-($E18-TowerStats!$H$33))&lt;=0),"Can't Kill",ROUNDUP($D18/(TowerStats!$B$33-($E18-TowerStats!$H$33)),0))</f>
        <v>12</v>
      </c>
      <c r="Q18" s="230" t="str">
        <f>IF(OR($K18&lt;&gt;Q$2,(TowerStats!$B$40-($E18-TowerStats!$H$40))&lt;=0),"Can't Kill",ROUNDUP($D18/(TowerStats!$B$40-($E18-TowerStats!$H$40)),0))</f>
        <v>Can't Kill</v>
      </c>
      <c r="R18" s="229" t="str">
        <f>IF(OR($K18&lt;&gt;R$2,(TowerStats!$B$41-($E18-TowerStats!$H$41))&lt;=0),"Can't Kill",ROUNDUP($D18/(TowerStats!$B$41-($E18-TowerStats!$H$41)),0))</f>
        <v>Can't Kill</v>
      </c>
      <c r="S18" s="229" t="str">
        <f>IF(OR($K18&lt;&gt;S$2,(TowerStats!$B$42-($E18-TowerStats!$H$42))&lt;=0),"Can't Kill",ROUNDUP($D18/(TowerStats!$B$42-($E18-TowerStats!$H$42)),0))</f>
        <v>Can't Kill</v>
      </c>
      <c r="T18" s="229" t="str">
        <f>IF(OR($K18&lt;&gt;T$2,(TowerStats!$B$43-($E18-TowerStats!$H$43))&lt;=0),"Can't Kill",ROUNDUP($D18/(TowerStats!$B$43-($E18-TowerStats!$H$43)),0))</f>
        <v>Can't Kill</v>
      </c>
      <c r="U18" s="228" t="str">
        <f>IF(OR($K18&lt;&gt;U$2,(TowerStats!$B$44-($E18-TowerStats!$H$44))&lt;=0),"Can't Kill",ROUNDUP($D18/(TowerStats!$B$44-($E18-TowerStats!$H$44)),0))</f>
        <v>Can't Kill</v>
      </c>
      <c r="V18" s="230" t="str">
        <f>IF(OR($K18&lt;&gt;V$2,(TowerStats!$B$54-($E18-TowerStats!$H$54))&lt;=0),"Can't Kill",ROUNDUP($D18/(TowerStats!$B$54-($E18-TowerStats!$H$54)),0))</f>
        <v>Can't Kill</v>
      </c>
      <c r="W18" s="229" t="str">
        <f>IF(OR($K18&lt;&gt;W$2,(TowerStats!$B$55-($E18-TowerStats!$H$55))&lt;=0),"Can't Kill",ROUNDUP($D18/(TowerStats!$B$55-($E18-TowerStats!$H$55)),0))</f>
        <v>Can't Kill</v>
      </c>
      <c r="X18" s="229" t="str">
        <f>IF(OR($K18&lt;&gt;X$2,(TowerStats!$B$56-($E18-TowerStats!$H$56))&lt;=0),"Can't Kill",ROUNDUP($D18/(TowerStats!$B$56-($E18-TowerStats!$H$56)),0))</f>
        <v>Can't Kill</v>
      </c>
      <c r="Y18" s="229" t="str">
        <f>IF(OR($K18&lt;&gt;Y$2,(TowerStats!$B$57-($E18-TowerStats!$H$57))&lt;=0),"Can't Kill",ROUNDUP($D18/(TowerStats!$B$57-($E18-TowerStats!$H$57)),0))</f>
        <v>Can't Kill</v>
      </c>
      <c r="Z18" s="228" t="str">
        <f>IF(OR($K18&lt;&gt;Z$2,(TowerStats!$B$58-($E18-TowerStats!$H$58))&lt;=0),"Can't Kill",ROUNDUP($D18/(TowerStats!$B$58-($E18-TowerStats!$H$58)),0))</f>
        <v>Can't Kill</v>
      </c>
      <c r="AA18" s="230">
        <f>IF(OR($K18&lt;&gt;AA$2,(TowerStats!$B$69-($E18-TowerStats!$H$69))&lt;=0),"Can't Kill",ROUNDUP($D18/(TowerStats!$B$69-($E18-TowerStats!$H$69)),0))</f>
        <v>8</v>
      </c>
      <c r="AB18" s="229">
        <f>IF(OR($K18&lt;&gt;AB$2,(TowerStats!$B$70-($E18-TowerStats!$H$70))&lt;=0),"Can't Kill",ROUNDUP($D18/(TowerStats!$B$70-($E18-TowerStats!$H$70)),0))</f>
        <v>4</v>
      </c>
      <c r="AC18" s="229">
        <f>IF(OR($K18&lt;&gt;AC$2,(TowerStats!$B$71-($E18-TowerStats!$H$71))&lt;=0),"Can't Kill",ROUNDUP($D18/(TowerStats!$B$71-($E18-TowerStats!$H$71)),0))</f>
        <v>3</v>
      </c>
      <c r="AD18" s="229">
        <f>IF(OR($K18&lt;&gt;AD$2,(TowerStats!$B$72-($E18-TowerStats!$H$72))&lt;=0),"Can't Kill",ROUNDUP($D18/(TowerStats!$B$72-($E18-TowerStats!$H$72)),0))</f>
        <v>2</v>
      </c>
      <c r="AE18" s="228">
        <f>IF(OR($K18&lt;&gt;AE$2,(TowerStats!$B$73-($E18-TowerStats!$H$73))&lt;=0),"Can't Kill",ROUNDUP($D18/(TowerStats!$B$73-($E18-TowerStats!$H$73)),0))</f>
        <v>2</v>
      </c>
      <c r="AF18" s="230">
        <f>IF(OR($K18&lt;&gt;AF$2,(TowerStats!$B$84-($E18-TowerStats!$H$84))&lt;=0),"Can't Kill",ROUNDUP($D18/(TowerStats!$B$84-($E18-TowerStats!$H$84)),0))</f>
        <v>3</v>
      </c>
      <c r="AG18" s="229">
        <f>IF(OR($K18&lt;&gt;AG$2,(TowerStats!$B$85-($E18-TowerStats!$H$85))&lt;=0),"Can't Kill",ROUNDUP($D18/(TowerStats!$B$85-($E18-TowerStats!$H$85)),0))</f>
        <v>2</v>
      </c>
      <c r="AH18" s="229">
        <f>IF(OR($K18&lt;&gt;AH$2,(TowerStats!$B$86-($E18-TowerStats!$H$86))&lt;=0),"Can't Kill",ROUNDUP($D18/(TowerStats!$B$86-($E18-TowerStats!$H$86)),0))</f>
        <v>2</v>
      </c>
      <c r="AI18" s="229">
        <f>IF(OR($K18&lt;&gt;AI$2,(TowerStats!$B$87-($E18-TowerStats!$H$87))&lt;=0),"Can't Kill",ROUNDUP($D18/(TowerStats!$B$87-($E18-TowerStats!$H$87)),0))</f>
        <v>1</v>
      </c>
      <c r="AJ18" s="228">
        <f>IF(OR($K18&lt;&gt;AJ$2,(TowerStats!$B$88-($E18-TowerStats!$H$88))&lt;=0),"Can't Kill",ROUNDUP($D18/(TowerStats!$B$88-($E18-TowerStats!$H$88)),0))</f>
        <v>1</v>
      </c>
      <c r="AK18" s="230">
        <f>IF(OR($K18&lt;&gt;AK$2,(TowerStats!$B$100-($E18-TowerStats!$H$100))&lt;=0),"Can't Kill",ROUNDUP($D18/(TowerStats!$B$100-($E18-TowerStats!$H$100)),0))</f>
        <v>4</v>
      </c>
      <c r="AL18" s="229">
        <f>IF(OR($K18&lt;&gt;AL$2,(TowerStats!$B$101-($E18-TowerStats!$H$101))&lt;=0),"Can't Kill",ROUNDUP($D18/(TowerStats!$B$101-($E18-TowerStats!$H$101)),0))</f>
        <v>2</v>
      </c>
      <c r="AM18" s="229">
        <f>IF(OR($K18&lt;&gt;AM$2,(TowerStats!$B$102-($E18-TowerStats!$H$102))&lt;=0),"Can't Kill",ROUNDUP($D18/(TowerStats!$B$102-($E18-TowerStats!$H$102)),0))</f>
        <v>2</v>
      </c>
      <c r="AN18" s="229">
        <f>IF(OR($K18&lt;&gt;AN$2,(TowerStats!$B$103-($E18-TowerStats!$H$103))&lt;=0),"Can't Kill",ROUNDUP($D18/(TowerStats!$B$103-($E18-TowerStats!$H$103)),0))</f>
        <v>1</v>
      </c>
      <c r="AO18" s="228">
        <f>IF(OR($K18&lt;&gt;AO$2,(TowerStats!$B$104-($E18-TowerStats!$H$104))&lt;=0),"Can't Kill",ROUNDUP($D18/(TowerStats!$B$104-($E18-TowerStats!$H$104)),0))</f>
        <v>1</v>
      </c>
    </row>
    <row r="19" spans="2:41" ht="13.5" x14ac:dyDescent="0.15">
      <c r="B19" s="234" t="s">
        <v>16</v>
      </c>
      <c r="C19" s="232">
        <f>VLOOKUP($B19,'Monsters Stats'!$B$8:$L$70,2,FALSE)</f>
        <v>2</v>
      </c>
      <c r="D19" s="232">
        <f>VLOOKUP($B19,'Monsters Stats'!$B$8:$L$70,3,FALSE)</f>
        <v>17</v>
      </c>
      <c r="E19" s="232">
        <f>VLOOKUP($B19,'Monsters Stats'!$B$8:$L$70,4,FALSE)</f>
        <v>5</v>
      </c>
      <c r="F19" s="232">
        <f>VLOOKUP($B19,'Monsters Stats'!$B$8:$L$70,5,FALSE)</f>
        <v>1</v>
      </c>
      <c r="G19" s="232">
        <f>VLOOKUP($B19,'Monsters Stats'!$B$8:$L$70,6,FALSE)</f>
        <v>1.2</v>
      </c>
      <c r="H19" s="232">
        <f>VLOOKUP($B19,'Monsters Stats'!$B$8:$L$70,7,FALSE)</f>
        <v>14</v>
      </c>
      <c r="I19" s="232">
        <f>VLOOKUP($B19,'Monsters Stats'!$B$8:$L$70,8,FALSE)</f>
        <v>0.6</v>
      </c>
      <c r="J19" s="232">
        <f>VLOOKUP($B19,'Monsters Stats'!$B$8:$L$70,9,FALSE)</f>
        <v>10</v>
      </c>
      <c r="K19" s="231">
        <f>VLOOKUP($B19,'Monsters Stats'!$B$8:$L$70,11,FALSE)</f>
        <v>0</v>
      </c>
      <c r="L19" s="230" t="str">
        <f>IF(OR($K19&lt;&gt;L$2,(TowerStats!$B$29-($E19-TowerStats!$H$29))&lt;=0),"Can't Kill",ROUNDUP($D19/(TowerStats!$B$29-($E19-TowerStats!$H$29)),0))</f>
        <v>Can't Kill</v>
      </c>
      <c r="M19" s="229" t="str">
        <f>IF(OR($K19&lt;&gt;M$2,(TowerStats!$B$30-($E19-TowerStats!$H$30))&lt;=0),"Can't Kill",ROUNDUP($D19/(TowerStats!$B$30-($E19-TowerStats!$H$30)),0))</f>
        <v>Can't Kill</v>
      </c>
      <c r="N19" s="229" t="str">
        <f>IF(OR($K19&lt;&gt;N$2,(TowerStats!$B$31-($E19-TowerStats!$H$31))&lt;=0),"Can't Kill",ROUNDUP($D19/(TowerStats!$B$31-($E19-TowerStats!$H$31)),0))</f>
        <v>Can't Kill</v>
      </c>
      <c r="O19" s="229" t="str">
        <f>IF(OR($K19&lt;&gt;O$2,(TowerStats!$B$32-($E19-TowerStats!$H$32))&lt;=0),"Can't Kill",ROUNDUP($D19/(TowerStats!$B$32-($E19-TowerStats!$H$32)),0))</f>
        <v>Can't Kill</v>
      </c>
      <c r="P19" s="228" t="str">
        <f>IF(OR($K19&lt;&gt;P$2,(TowerStats!$B$33-($E19-TowerStats!$H$33))&lt;=0),"Can't Kill",ROUNDUP($D19/(TowerStats!$B$33-($E19-TowerStats!$H$33)),0))</f>
        <v>Can't Kill</v>
      </c>
      <c r="Q19" s="230">
        <f>IF(OR($K19&lt;&gt;Q$2,(TowerStats!$B$40-($E19-TowerStats!$H$40))&lt;=0),"Can't Kill",ROUNDUP($D19/(TowerStats!$B$40-($E19-TowerStats!$H$40)),0))</f>
        <v>3</v>
      </c>
      <c r="R19" s="229">
        <f>IF(OR($K19&lt;&gt;R$2,(TowerStats!$B$41-($E19-TowerStats!$H$41))&lt;=0),"Can't Kill",ROUNDUP($D19/(TowerStats!$B$41-($E19-TowerStats!$H$41)),0))</f>
        <v>2</v>
      </c>
      <c r="S19" s="229">
        <f>IF(OR($K19&lt;&gt;S$2,(TowerStats!$B$42-($E19-TowerStats!$H$42))&lt;=0),"Can't Kill",ROUNDUP($D19/(TowerStats!$B$42-($E19-TowerStats!$H$42)),0))</f>
        <v>2</v>
      </c>
      <c r="T19" s="229">
        <f>IF(OR($K19&lt;&gt;T$2,(TowerStats!$B$43-($E19-TowerStats!$H$43))&lt;=0),"Can't Kill",ROUNDUP($D19/(TowerStats!$B$43-($E19-TowerStats!$H$43)),0))</f>
        <v>2</v>
      </c>
      <c r="U19" s="228">
        <f>IF(OR($K19&lt;&gt;U$2,(TowerStats!$B$44-($E19-TowerStats!$H$44))&lt;=0),"Can't Kill",ROUNDUP($D19/(TowerStats!$B$44-($E19-TowerStats!$H$44)),0))</f>
        <v>1</v>
      </c>
      <c r="V19" s="230" t="str">
        <f>IF(OR($K19&lt;&gt;V$2,(TowerStats!$B$54-($E19-TowerStats!$H$54))&lt;=0),"Can't Kill",ROUNDUP($D19/(TowerStats!$B$54-($E19-TowerStats!$H$54)),0))</f>
        <v>Can't Kill</v>
      </c>
      <c r="W19" s="229" t="str">
        <f>IF(OR($K19&lt;&gt;W$2,(TowerStats!$B$55-($E19-TowerStats!$H$55))&lt;=0),"Can't Kill",ROUNDUP($D19/(TowerStats!$B$55-($E19-TowerStats!$H$55)),0))</f>
        <v>Can't Kill</v>
      </c>
      <c r="X19" s="229" t="str">
        <f>IF(OR($K19&lt;&gt;X$2,(TowerStats!$B$56-($E19-TowerStats!$H$56))&lt;=0),"Can't Kill",ROUNDUP($D19/(TowerStats!$B$56-($E19-TowerStats!$H$56)),0))</f>
        <v>Can't Kill</v>
      </c>
      <c r="Y19" s="229" t="str">
        <f>IF(OR($K19&lt;&gt;Y$2,(TowerStats!$B$57-($E19-TowerStats!$H$57))&lt;=0),"Can't Kill",ROUNDUP($D19/(TowerStats!$B$57-($E19-TowerStats!$H$57)),0))</f>
        <v>Can't Kill</v>
      </c>
      <c r="Z19" s="228" t="str">
        <f>IF(OR($K19&lt;&gt;Z$2,(TowerStats!$B$58-($E19-TowerStats!$H$58))&lt;=0),"Can't Kill",ROUNDUP($D19/(TowerStats!$B$58-($E19-TowerStats!$H$58)),0))</f>
        <v>Can't Kill</v>
      </c>
      <c r="AA19" s="230" t="str">
        <f>IF(OR($K19&lt;&gt;AA$2,(TowerStats!$B$69-($E19-TowerStats!$H$69))&lt;=0),"Can't Kill",ROUNDUP($D19/(TowerStats!$B$69-($E19-TowerStats!$H$69)),0))</f>
        <v>Can't Kill</v>
      </c>
      <c r="AB19" s="229" t="str">
        <f>IF(OR($K19&lt;&gt;AB$2,(TowerStats!$B$70-($E19-TowerStats!$H$70))&lt;=0),"Can't Kill",ROUNDUP($D19/(TowerStats!$B$70-($E19-TowerStats!$H$70)),0))</f>
        <v>Can't Kill</v>
      </c>
      <c r="AC19" s="229" t="str">
        <f>IF(OR($K19&lt;&gt;AC$2,(TowerStats!$B$71-($E19-TowerStats!$H$71))&lt;=0),"Can't Kill",ROUNDUP($D19/(TowerStats!$B$71-($E19-TowerStats!$H$71)),0))</f>
        <v>Can't Kill</v>
      </c>
      <c r="AD19" s="229" t="str">
        <f>IF(OR($K19&lt;&gt;AD$2,(TowerStats!$B$72-($E19-TowerStats!$H$72))&lt;=0),"Can't Kill",ROUNDUP($D19/(TowerStats!$B$72-($E19-TowerStats!$H$72)),0))</f>
        <v>Can't Kill</v>
      </c>
      <c r="AE19" s="228" t="str">
        <f>IF(OR($K19&lt;&gt;AE$2,(TowerStats!$B$73-($E19-TowerStats!$H$73))&lt;=0),"Can't Kill",ROUNDUP($D19/(TowerStats!$B$73-($E19-TowerStats!$H$73)),0))</f>
        <v>Can't Kill</v>
      </c>
      <c r="AF19" s="230" t="str">
        <f>IF(OR($K19&lt;&gt;AF$2,(TowerStats!$B$84-($E19-TowerStats!$H$84))&lt;=0),"Can't Kill",ROUNDUP($D19/(TowerStats!$B$84-($E19-TowerStats!$H$84)),0))</f>
        <v>Can't Kill</v>
      </c>
      <c r="AG19" s="229" t="str">
        <f>IF(OR($K19&lt;&gt;AG$2,(TowerStats!$B$85-($E19-TowerStats!$H$85))&lt;=0),"Can't Kill",ROUNDUP($D19/(TowerStats!$B$85-($E19-TowerStats!$H$85)),0))</f>
        <v>Can't Kill</v>
      </c>
      <c r="AH19" s="229" t="str">
        <f>IF(OR($K19&lt;&gt;AH$2,(TowerStats!$B$86-($E19-TowerStats!$H$86))&lt;=0),"Can't Kill",ROUNDUP($D19/(TowerStats!$B$86-($E19-TowerStats!$H$86)),0))</f>
        <v>Can't Kill</v>
      </c>
      <c r="AI19" s="229" t="str">
        <f>IF(OR($K19&lt;&gt;AI$2,(TowerStats!$B$87-($E19-TowerStats!$H$87))&lt;=0),"Can't Kill",ROUNDUP($D19/(TowerStats!$B$87-($E19-TowerStats!$H$87)),0))</f>
        <v>Can't Kill</v>
      </c>
      <c r="AJ19" s="228" t="str">
        <f>IF(OR($K19&lt;&gt;AJ$2,(TowerStats!$B$88-($E19-TowerStats!$H$88))&lt;=0),"Can't Kill",ROUNDUP($D19/(TowerStats!$B$88-($E19-TowerStats!$H$88)),0))</f>
        <v>Can't Kill</v>
      </c>
      <c r="AK19" s="230" t="str">
        <f>IF(OR($K19&lt;&gt;AK$2,(TowerStats!$B$100-($E19-TowerStats!$H$100))&lt;=0),"Can't Kill",ROUNDUP($D19/(TowerStats!$B$100-($E19-TowerStats!$H$100)),0))</f>
        <v>Can't Kill</v>
      </c>
      <c r="AL19" s="229" t="str">
        <f>IF(OR($K19&lt;&gt;AL$2,(TowerStats!$B$101-($E19-TowerStats!$H$101))&lt;=0),"Can't Kill",ROUNDUP($D19/(TowerStats!$B$101-($E19-TowerStats!$H$101)),0))</f>
        <v>Can't Kill</v>
      </c>
      <c r="AM19" s="229" t="str">
        <f>IF(OR($K19&lt;&gt;AM$2,(TowerStats!$B$102-($E19-TowerStats!$H$102))&lt;=0),"Can't Kill",ROUNDUP($D19/(TowerStats!$B$102-($E19-TowerStats!$H$102)),0))</f>
        <v>Can't Kill</v>
      </c>
      <c r="AN19" s="229" t="str">
        <f>IF(OR($K19&lt;&gt;AN$2,(TowerStats!$B$103-($E19-TowerStats!$H$103))&lt;=0),"Can't Kill",ROUNDUP($D19/(TowerStats!$B$103-($E19-TowerStats!$H$103)),0))</f>
        <v>Can't Kill</v>
      </c>
      <c r="AO19" s="228" t="str">
        <f>IF(OR($K19&lt;&gt;AO$2,(TowerStats!$B$104-($E19-TowerStats!$H$104))&lt;=0),"Can't Kill",ROUNDUP($D19/(TowerStats!$B$104-($E19-TowerStats!$H$104)),0))</f>
        <v>Can't Kill</v>
      </c>
    </row>
    <row r="20" spans="2:41" ht="13.5" x14ac:dyDescent="0.15">
      <c r="B20" s="234" t="s">
        <v>80</v>
      </c>
      <c r="C20" s="232">
        <f>VLOOKUP($B20,'Monsters Stats'!$B$8:$L$70,2,FALSE)</f>
        <v>3</v>
      </c>
      <c r="D20" s="232">
        <f>VLOOKUP($B20,'Monsters Stats'!$B$8:$L$70,3,FALSE)</f>
        <v>24</v>
      </c>
      <c r="E20" s="232">
        <f>VLOOKUP($B20,'Monsters Stats'!$B$8:$L$70,4,FALSE)</f>
        <v>6</v>
      </c>
      <c r="F20" s="232">
        <f>VLOOKUP($B20,'Monsters Stats'!$B$8:$L$70,5,FALSE)</f>
        <v>1</v>
      </c>
      <c r="G20" s="232">
        <f>VLOOKUP($B20,'Monsters Stats'!$B$8:$L$70,6,FALSE)</f>
        <v>1.1000000000000001</v>
      </c>
      <c r="H20" s="232">
        <f>VLOOKUP($B20,'Monsters Stats'!$B$8:$L$70,7,FALSE)</f>
        <v>19</v>
      </c>
      <c r="I20" s="232">
        <f>VLOOKUP($B20,'Monsters Stats'!$B$8:$L$70,8,FALSE)</f>
        <v>0.7</v>
      </c>
      <c r="J20" s="232">
        <f>VLOOKUP($B20,'Monsters Stats'!$B$8:$L$70,9,FALSE)</f>
        <v>20</v>
      </c>
      <c r="K20" s="231">
        <f>VLOOKUP($B20,'Monsters Stats'!$B$8:$L$70,11,FALSE)</f>
        <v>0</v>
      </c>
      <c r="L20" s="230" t="str">
        <f>IF(OR($K20&lt;&gt;L$2,(TowerStats!$B$29-($E20-TowerStats!$H$29))&lt;=0),"Can't Kill",ROUNDUP($D20/(TowerStats!$B$29-($E20-TowerStats!$H$29)),0))</f>
        <v>Can't Kill</v>
      </c>
      <c r="M20" s="229" t="str">
        <f>IF(OR($K20&lt;&gt;M$2,(TowerStats!$B$30-($E20-TowerStats!$H$30))&lt;=0),"Can't Kill",ROUNDUP($D20/(TowerStats!$B$30-($E20-TowerStats!$H$30)),0))</f>
        <v>Can't Kill</v>
      </c>
      <c r="N20" s="229" t="str">
        <f>IF(OR($K20&lt;&gt;N$2,(TowerStats!$B$31-($E20-TowerStats!$H$31))&lt;=0),"Can't Kill",ROUNDUP($D20/(TowerStats!$B$31-($E20-TowerStats!$H$31)),0))</f>
        <v>Can't Kill</v>
      </c>
      <c r="O20" s="229" t="str">
        <f>IF(OR($K20&lt;&gt;O$2,(TowerStats!$B$32-($E20-TowerStats!$H$32))&lt;=0),"Can't Kill",ROUNDUP($D20/(TowerStats!$B$32-($E20-TowerStats!$H$32)),0))</f>
        <v>Can't Kill</v>
      </c>
      <c r="P20" s="228" t="str">
        <f>IF(OR($K20&lt;&gt;P$2,(TowerStats!$B$33-($E20-TowerStats!$H$33))&lt;=0),"Can't Kill",ROUNDUP($D20/(TowerStats!$B$33-($E20-TowerStats!$H$33)),0))</f>
        <v>Can't Kill</v>
      </c>
      <c r="Q20" s="230">
        <f>IF(OR($K20&lt;&gt;Q$2,(TowerStats!$B$40-($E20-TowerStats!$H$40))&lt;=0),"Can't Kill",ROUNDUP($D20/(TowerStats!$B$40-($E20-TowerStats!$H$40)),0))</f>
        <v>4</v>
      </c>
      <c r="R20" s="229">
        <f>IF(OR($K20&lt;&gt;R$2,(TowerStats!$B$41-($E20-TowerStats!$H$41))&lt;=0),"Can't Kill",ROUNDUP($D20/(TowerStats!$B$41-($E20-TowerStats!$H$41)),0))</f>
        <v>3</v>
      </c>
      <c r="S20" s="229">
        <f>IF(OR($K20&lt;&gt;S$2,(TowerStats!$B$42-($E20-TowerStats!$H$42))&lt;=0),"Can't Kill",ROUNDUP($D20/(TowerStats!$B$42-($E20-TowerStats!$H$42)),0))</f>
        <v>3</v>
      </c>
      <c r="T20" s="229">
        <f>IF(OR($K20&lt;&gt;T$2,(TowerStats!$B$43-($E20-TowerStats!$H$43))&lt;=0),"Can't Kill",ROUNDUP($D20/(TowerStats!$B$43-($E20-TowerStats!$H$43)),0))</f>
        <v>2</v>
      </c>
      <c r="U20" s="228">
        <f>IF(OR($K20&lt;&gt;U$2,(TowerStats!$B$44-($E20-TowerStats!$H$44))&lt;=0),"Can't Kill",ROUNDUP($D20/(TowerStats!$B$44-($E20-TowerStats!$H$44)),0))</f>
        <v>2</v>
      </c>
      <c r="V20" s="230" t="str">
        <f>IF(OR($K20&lt;&gt;V$2,(TowerStats!$B$54-($E20-TowerStats!$H$54))&lt;=0),"Can't Kill",ROUNDUP($D20/(TowerStats!$B$54-($E20-TowerStats!$H$54)),0))</f>
        <v>Can't Kill</v>
      </c>
      <c r="W20" s="229" t="str">
        <f>IF(OR($K20&lt;&gt;W$2,(TowerStats!$B$55-($E20-TowerStats!$H$55))&lt;=0),"Can't Kill",ROUNDUP($D20/(TowerStats!$B$55-($E20-TowerStats!$H$55)),0))</f>
        <v>Can't Kill</v>
      </c>
      <c r="X20" s="229" t="str">
        <f>IF(OR($K20&lt;&gt;X$2,(TowerStats!$B$56-($E20-TowerStats!$H$56))&lt;=0),"Can't Kill",ROUNDUP($D20/(TowerStats!$B$56-($E20-TowerStats!$H$56)),0))</f>
        <v>Can't Kill</v>
      </c>
      <c r="Y20" s="229" t="str">
        <f>IF(OR($K20&lt;&gt;Y$2,(TowerStats!$B$57-($E20-TowerStats!$H$57))&lt;=0),"Can't Kill",ROUNDUP($D20/(TowerStats!$B$57-($E20-TowerStats!$H$57)),0))</f>
        <v>Can't Kill</v>
      </c>
      <c r="Z20" s="228" t="str">
        <f>IF(OR($K20&lt;&gt;Z$2,(TowerStats!$B$58-($E20-TowerStats!$H$58))&lt;=0),"Can't Kill",ROUNDUP($D20/(TowerStats!$B$58-($E20-TowerStats!$H$58)),0))</f>
        <v>Can't Kill</v>
      </c>
      <c r="AA20" s="230" t="str">
        <f>IF(OR($K20&lt;&gt;AA$2,(TowerStats!$B$69-($E20-TowerStats!$H$69))&lt;=0),"Can't Kill",ROUNDUP($D20/(TowerStats!$B$69-($E20-TowerStats!$H$69)),0))</f>
        <v>Can't Kill</v>
      </c>
      <c r="AB20" s="229" t="str">
        <f>IF(OR($K20&lt;&gt;AB$2,(TowerStats!$B$70-($E20-TowerStats!$H$70))&lt;=0),"Can't Kill",ROUNDUP($D20/(TowerStats!$B$70-($E20-TowerStats!$H$70)),0))</f>
        <v>Can't Kill</v>
      </c>
      <c r="AC20" s="229" t="str">
        <f>IF(OR($K20&lt;&gt;AC$2,(TowerStats!$B$71-($E20-TowerStats!$H$71))&lt;=0),"Can't Kill",ROUNDUP($D20/(TowerStats!$B$71-($E20-TowerStats!$H$71)),0))</f>
        <v>Can't Kill</v>
      </c>
      <c r="AD20" s="229" t="str">
        <f>IF(OR($K20&lt;&gt;AD$2,(TowerStats!$B$72-($E20-TowerStats!$H$72))&lt;=0),"Can't Kill",ROUNDUP($D20/(TowerStats!$B$72-($E20-TowerStats!$H$72)),0))</f>
        <v>Can't Kill</v>
      </c>
      <c r="AE20" s="228" t="str">
        <f>IF(OR($K20&lt;&gt;AE$2,(TowerStats!$B$73-($E20-TowerStats!$H$73))&lt;=0),"Can't Kill",ROUNDUP($D20/(TowerStats!$B$73-($E20-TowerStats!$H$73)),0))</f>
        <v>Can't Kill</v>
      </c>
      <c r="AF20" s="230" t="str">
        <f>IF(OR($K20&lt;&gt;AF$2,(TowerStats!$B$84-($E20-TowerStats!$H$84))&lt;=0),"Can't Kill",ROUNDUP($D20/(TowerStats!$B$84-($E20-TowerStats!$H$84)),0))</f>
        <v>Can't Kill</v>
      </c>
      <c r="AG20" s="229" t="str">
        <f>IF(OR($K20&lt;&gt;AG$2,(TowerStats!$B$85-($E20-TowerStats!$H$85))&lt;=0),"Can't Kill",ROUNDUP($D20/(TowerStats!$B$85-($E20-TowerStats!$H$85)),0))</f>
        <v>Can't Kill</v>
      </c>
      <c r="AH20" s="229" t="str">
        <f>IF(OR($K20&lt;&gt;AH$2,(TowerStats!$B$86-($E20-TowerStats!$H$86))&lt;=0),"Can't Kill",ROUNDUP($D20/(TowerStats!$B$86-($E20-TowerStats!$H$86)),0))</f>
        <v>Can't Kill</v>
      </c>
      <c r="AI20" s="229" t="str">
        <f>IF(OR($K20&lt;&gt;AI$2,(TowerStats!$B$87-($E20-TowerStats!$H$87))&lt;=0),"Can't Kill",ROUNDUP($D20/(TowerStats!$B$87-($E20-TowerStats!$H$87)),0))</f>
        <v>Can't Kill</v>
      </c>
      <c r="AJ20" s="228" t="str">
        <f>IF(OR($K20&lt;&gt;AJ$2,(TowerStats!$B$88-($E20-TowerStats!$H$88))&lt;=0),"Can't Kill",ROUNDUP($D20/(TowerStats!$B$88-($E20-TowerStats!$H$88)),0))</f>
        <v>Can't Kill</v>
      </c>
      <c r="AK20" s="230" t="str">
        <f>IF(OR($K20&lt;&gt;AK$2,(TowerStats!$B$100-($E20-TowerStats!$H$100))&lt;=0),"Can't Kill",ROUNDUP($D20/(TowerStats!$B$100-($E20-TowerStats!$H$100)),0))</f>
        <v>Can't Kill</v>
      </c>
      <c r="AL20" s="229" t="str">
        <f>IF(OR($K20&lt;&gt;AL$2,(TowerStats!$B$101-($E20-TowerStats!$H$101))&lt;=0),"Can't Kill",ROUNDUP($D20/(TowerStats!$B$101-($E20-TowerStats!$H$101)),0))</f>
        <v>Can't Kill</v>
      </c>
      <c r="AM20" s="229" t="str">
        <f>IF(OR($K20&lt;&gt;AM$2,(TowerStats!$B$102-($E20-TowerStats!$H$102))&lt;=0),"Can't Kill",ROUNDUP($D20/(TowerStats!$B$102-($E20-TowerStats!$H$102)),0))</f>
        <v>Can't Kill</v>
      </c>
      <c r="AN20" s="229" t="str">
        <f>IF(OR($K20&lt;&gt;AN$2,(TowerStats!$B$103-($E20-TowerStats!$H$103))&lt;=0),"Can't Kill",ROUNDUP($D20/(TowerStats!$B$103-($E20-TowerStats!$H$103)),0))</f>
        <v>Can't Kill</v>
      </c>
      <c r="AO20" s="228" t="str">
        <f>IF(OR($K20&lt;&gt;AO$2,(TowerStats!$B$104-($E20-TowerStats!$H$104))&lt;=0),"Can't Kill",ROUNDUP($D20/(TowerStats!$B$104-($E20-TowerStats!$H$104)),0))</f>
        <v>Can't Kill</v>
      </c>
    </row>
    <row r="21" spans="2:41" ht="13.5" x14ac:dyDescent="0.15">
      <c r="B21" s="234" t="s">
        <v>81</v>
      </c>
      <c r="C21" s="232">
        <f>VLOOKUP($B21,'Monsters Stats'!$B$8:$L$70,2,FALSE)</f>
        <v>4</v>
      </c>
      <c r="D21" s="232">
        <f>VLOOKUP($B21,'Monsters Stats'!$B$8:$L$70,3,FALSE)</f>
        <v>34</v>
      </c>
      <c r="E21" s="232">
        <f>VLOOKUP($B21,'Monsters Stats'!$B$8:$L$70,4,FALSE)</f>
        <v>8</v>
      </c>
      <c r="F21" s="232">
        <f>VLOOKUP($B21,'Monsters Stats'!$B$8:$L$70,5,FALSE)</f>
        <v>1</v>
      </c>
      <c r="G21" s="232">
        <f>VLOOKUP($B21,'Monsters Stats'!$B$8:$L$70,6,FALSE)</f>
        <v>1</v>
      </c>
      <c r="H21" s="232">
        <f>VLOOKUP($B21,'Monsters Stats'!$B$8:$L$70,7,FALSE)</f>
        <v>25</v>
      </c>
      <c r="I21" s="232">
        <f>VLOOKUP($B21,'Monsters Stats'!$B$8:$L$70,8,FALSE)</f>
        <v>0.79999999999999993</v>
      </c>
      <c r="J21" s="232">
        <f>VLOOKUP($B21,'Monsters Stats'!$B$8:$L$70,9,FALSE)</f>
        <v>30</v>
      </c>
      <c r="K21" s="231">
        <f>VLOOKUP($B21,'Monsters Stats'!$B$8:$L$70,11,FALSE)</f>
        <v>0</v>
      </c>
      <c r="L21" s="230" t="str">
        <f>IF(OR($K21&lt;&gt;L$2,(TowerStats!$B$29-($E21-TowerStats!$H$29))&lt;=0),"Can't Kill",ROUNDUP($D21/(TowerStats!$B$29-($E21-TowerStats!$H$29)),0))</f>
        <v>Can't Kill</v>
      </c>
      <c r="M21" s="229" t="str">
        <f>IF(OR($K21&lt;&gt;M$2,(TowerStats!$B$30-($E21-TowerStats!$H$30))&lt;=0),"Can't Kill",ROUNDUP($D21/(TowerStats!$B$30-($E21-TowerStats!$H$30)),0))</f>
        <v>Can't Kill</v>
      </c>
      <c r="N21" s="229" t="str">
        <f>IF(OR($K21&lt;&gt;N$2,(TowerStats!$B$31-($E21-TowerStats!$H$31))&lt;=0),"Can't Kill",ROUNDUP($D21/(TowerStats!$B$31-($E21-TowerStats!$H$31)),0))</f>
        <v>Can't Kill</v>
      </c>
      <c r="O21" s="229" t="str">
        <f>IF(OR($K21&lt;&gt;O$2,(TowerStats!$B$32-($E21-TowerStats!$H$32))&lt;=0),"Can't Kill",ROUNDUP($D21/(TowerStats!$B$32-($E21-TowerStats!$H$32)),0))</f>
        <v>Can't Kill</v>
      </c>
      <c r="P21" s="228" t="str">
        <f>IF(OR($K21&lt;&gt;P$2,(TowerStats!$B$33-($E21-TowerStats!$H$33))&lt;=0),"Can't Kill",ROUNDUP($D21/(TowerStats!$B$33-($E21-TowerStats!$H$33)),0))</f>
        <v>Can't Kill</v>
      </c>
      <c r="Q21" s="230">
        <f>IF(OR($K21&lt;&gt;Q$2,(TowerStats!$B$40-($E21-TowerStats!$H$40))&lt;=0),"Can't Kill",ROUNDUP($D21/(TowerStats!$B$40-($E21-TowerStats!$H$40)),0))</f>
        <v>9</v>
      </c>
      <c r="R21" s="229">
        <f>IF(OR($K21&lt;&gt;R$2,(TowerStats!$B$41-($E21-TowerStats!$H$41))&lt;=0),"Can't Kill",ROUNDUP($D21/(TowerStats!$B$41-($E21-TowerStats!$H$41)),0))</f>
        <v>6</v>
      </c>
      <c r="S21" s="229">
        <f>IF(OR($K21&lt;&gt;S$2,(TowerStats!$B$42-($E21-TowerStats!$H$42))&lt;=0),"Can't Kill",ROUNDUP($D21/(TowerStats!$B$42-($E21-TowerStats!$H$42)),0))</f>
        <v>5</v>
      </c>
      <c r="T21" s="229">
        <f>IF(OR($K21&lt;&gt;T$2,(TowerStats!$B$43-($E21-TowerStats!$H$43))&lt;=0),"Can't Kill",ROUNDUP($D21/(TowerStats!$B$43-($E21-TowerStats!$H$43)),0))</f>
        <v>4</v>
      </c>
      <c r="U21" s="228">
        <f>IF(OR($K21&lt;&gt;U$2,(TowerStats!$B$44-($E21-TowerStats!$H$44))&lt;=0),"Can't Kill",ROUNDUP($D21/(TowerStats!$B$44-($E21-TowerStats!$H$44)),0))</f>
        <v>2</v>
      </c>
      <c r="V21" s="230" t="str">
        <f>IF(OR($K21&lt;&gt;V$2,(TowerStats!$B$54-($E21-TowerStats!$H$54))&lt;=0),"Can't Kill",ROUNDUP($D21/(TowerStats!$B$54-($E21-TowerStats!$H$54)),0))</f>
        <v>Can't Kill</v>
      </c>
      <c r="W21" s="229" t="str">
        <f>IF(OR($K21&lt;&gt;W$2,(TowerStats!$B$55-($E21-TowerStats!$H$55))&lt;=0),"Can't Kill",ROUNDUP($D21/(TowerStats!$B$55-($E21-TowerStats!$H$55)),0))</f>
        <v>Can't Kill</v>
      </c>
      <c r="X21" s="229" t="str">
        <f>IF(OR($K21&lt;&gt;X$2,(TowerStats!$B$56-($E21-TowerStats!$H$56))&lt;=0),"Can't Kill",ROUNDUP($D21/(TowerStats!$B$56-($E21-TowerStats!$H$56)),0))</f>
        <v>Can't Kill</v>
      </c>
      <c r="Y21" s="229" t="str">
        <f>IF(OR($K21&lt;&gt;Y$2,(TowerStats!$B$57-($E21-TowerStats!$H$57))&lt;=0),"Can't Kill",ROUNDUP($D21/(TowerStats!$B$57-($E21-TowerStats!$H$57)),0))</f>
        <v>Can't Kill</v>
      </c>
      <c r="Z21" s="228" t="str">
        <f>IF(OR($K21&lt;&gt;Z$2,(TowerStats!$B$58-($E21-TowerStats!$H$58))&lt;=0),"Can't Kill",ROUNDUP($D21/(TowerStats!$B$58-($E21-TowerStats!$H$58)),0))</f>
        <v>Can't Kill</v>
      </c>
      <c r="AA21" s="230" t="str">
        <f>IF(OR($K21&lt;&gt;AA$2,(TowerStats!$B$69-($E21-TowerStats!$H$69))&lt;=0),"Can't Kill",ROUNDUP($D21/(TowerStats!$B$69-($E21-TowerStats!$H$69)),0))</f>
        <v>Can't Kill</v>
      </c>
      <c r="AB21" s="229" t="str">
        <f>IF(OR($K21&lt;&gt;AB$2,(TowerStats!$B$70-($E21-TowerStats!$H$70))&lt;=0),"Can't Kill",ROUNDUP($D21/(TowerStats!$B$70-($E21-TowerStats!$H$70)),0))</f>
        <v>Can't Kill</v>
      </c>
      <c r="AC21" s="229" t="str">
        <f>IF(OR($K21&lt;&gt;AC$2,(TowerStats!$B$71-($E21-TowerStats!$H$71))&lt;=0),"Can't Kill",ROUNDUP($D21/(TowerStats!$B$71-($E21-TowerStats!$H$71)),0))</f>
        <v>Can't Kill</v>
      </c>
      <c r="AD21" s="229" t="str">
        <f>IF(OR($K21&lt;&gt;AD$2,(TowerStats!$B$72-($E21-TowerStats!$H$72))&lt;=0),"Can't Kill",ROUNDUP($D21/(TowerStats!$B$72-($E21-TowerStats!$H$72)),0))</f>
        <v>Can't Kill</v>
      </c>
      <c r="AE21" s="228" t="str">
        <f>IF(OR($K21&lt;&gt;AE$2,(TowerStats!$B$73-($E21-TowerStats!$H$73))&lt;=0),"Can't Kill",ROUNDUP($D21/(TowerStats!$B$73-($E21-TowerStats!$H$73)),0))</f>
        <v>Can't Kill</v>
      </c>
      <c r="AF21" s="230" t="str">
        <f>IF(OR($K21&lt;&gt;AF$2,(TowerStats!$B$84-($E21-TowerStats!$H$84))&lt;=0),"Can't Kill",ROUNDUP($D21/(TowerStats!$B$84-($E21-TowerStats!$H$84)),0))</f>
        <v>Can't Kill</v>
      </c>
      <c r="AG21" s="229" t="str">
        <f>IF(OR($K21&lt;&gt;AG$2,(TowerStats!$B$85-($E21-TowerStats!$H$85))&lt;=0),"Can't Kill",ROUNDUP($D21/(TowerStats!$B$85-($E21-TowerStats!$H$85)),0))</f>
        <v>Can't Kill</v>
      </c>
      <c r="AH21" s="229" t="str">
        <f>IF(OR($K21&lt;&gt;AH$2,(TowerStats!$B$86-($E21-TowerStats!$H$86))&lt;=0),"Can't Kill",ROUNDUP($D21/(TowerStats!$B$86-($E21-TowerStats!$H$86)),0))</f>
        <v>Can't Kill</v>
      </c>
      <c r="AI21" s="229" t="str">
        <f>IF(OR($K21&lt;&gt;AI$2,(TowerStats!$B$87-($E21-TowerStats!$H$87))&lt;=0),"Can't Kill",ROUNDUP($D21/(TowerStats!$B$87-($E21-TowerStats!$H$87)),0))</f>
        <v>Can't Kill</v>
      </c>
      <c r="AJ21" s="228" t="str">
        <f>IF(OR($K21&lt;&gt;AJ$2,(TowerStats!$B$88-($E21-TowerStats!$H$88))&lt;=0),"Can't Kill",ROUNDUP($D21/(TowerStats!$B$88-($E21-TowerStats!$H$88)),0))</f>
        <v>Can't Kill</v>
      </c>
      <c r="AK21" s="230" t="str">
        <f>IF(OR($K21&lt;&gt;AK$2,(TowerStats!$B$100-($E21-TowerStats!$H$100))&lt;=0),"Can't Kill",ROUNDUP($D21/(TowerStats!$B$100-($E21-TowerStats!$H$100)),0))</f>
        <v>Can't Kill</v>
      </c>
      <c r="AL21" s="229" t="str">
        <f>IF(OR($K21&lt;&gt;AL$2,(TowerStats!$B$101-($E21-TowerStats!$H$101))&lt;=0),"Can't Kill",ROUNDUP($D21/(TowerStats!$B$101-($E21-TowerStats!$H$101)),0))</f>
        <v>Can't Kill</v>
      </c>
      <c r="AM21" s="229" t="str">
        <f>IF(OR($K21&lt;&gt;AM$2,(TowerStats!$B$102-($E21-TowerStats!$H$102))&lt;=0),"Can't Kill",ROUNDUP($D21/(TowerStats!$B$102-($E21-TowerStats!$H$102)),0))</f>
        <v>Can't Kill</v>
      </c>
      <c r="AN21" s="229" t="str">
        <f>IF(OR($K21&lt;&gt;AN$2,(TowerStats!$B$103-($E21-TowerStats!$H$103))&lt;=0),"Can't Kill",ROUNDUP($D21/(TowerStats!$B$103-($E21-TowerStats!$H$103)),0))</f>
        <v>Can't Kill</v>
      </c>
      <c r="AO21" s="228" t="str">
        <f>IF(OR($K21&lt;&gt;AO$2,(TowerStats!$B$104-($E21-TowerStats!$H$104))&lt;=0),"Can't Kill",ROUNDUP($D21/(TowerStats!$B$104-($E21-TowerStats!$H$104)),0))</f>
        <v>Can't Kill</v>
      </c>
    </row>
    <row r="22" spans="2:41" ht="13.5" x14ac:dyDescent="0.15">
      <c r="B22" s="234" t="s">
        <v>82</v>
      </c>
      <c r="C22" s="232">
        <f>VLOOKUP($B22,'Monsters Stats'!$B$8:$L$70,2,FALSE)</f>
        <v>15</v>
      </c>
      <c r="D22" s="232">
        <f>VLOOKUP($B22,'Monsters Stats'!$B$8:$L$70,3,FALSE)</f>
        <v>25</v>
      </c>
      <c r="E22" s="232">
        <f>VLOOKUP($B22,'Monsters Stats'!$B$8:$L$70,4,FALSE)</f>
        <v>7</v>
      </c>
      <c r="F22" s="232">
        <f>VLOOKUP($B22,'Monsters Stats'!$B$8:$L$70,5,FALSE)</f>
        <v>2</v>
      </c>
      <c r="G22" s="232">
        <f>VLOOKUP($B22,'Monsters Stats'!$B$8:$L$70,6,FALSE)</f>
        <v>1.5</v>
      </c>
      <c r="H22" s="232">
        <f>VLOOKUP($B22,'Monsters Stats'!$B$8:$L$70,7,FALSE)</f>
        <v>30</v>
      </c>
      <c r="I22" s="232">
        <f>VLOOKUP($B22,'Monsters Stats'!$B$8:$L$70,8,FALSE)</f>
        <v>1</v>
      </c>
      <c r="J22" s="232">
        <f>VLOOKUP($B22,'Monsters Stats'!$B$8:$L$70,9,FALSE)</f>
        <v>15</v>
      </c>
      <c r="K22" s="231">
        <f>VLOOKUP($B22,'Monsters Stats'!$B$8:$L$70,11,FALSE)</f>
        <v>0</v>
      </c>
      <c r="L22" s="230" t="str">
        <f>IF(OR($K22&lt;&gt;L$2,(TowerStats!$B$29-($E22-TowerStats!$H$29))&lt;=0),"Can't Kill",ROUNDUP($D22/(TowerStats!$B$29-($E22-TowerStats!$H$29)),0))</f>
        <v>Can't Kill</v>
      </c>
      <c r="M22" s="229" t="str">
        <f>IF(OR($K22&lt;&gt;M$2,(TowerStats!$B$30-($E22-TowerStats!$H$30))&lt;=0),"Can't Kill",ROUNDUP($D22/(TowerStats!$B$30-($E22-TowerStats!$H$30)),0))</f>
        <v>Can't Kill</v>
      </c>
      <c r="N22" s="229" t="str">
        <f>IF(OR($K22&lt;&gt;N$2,(TowerStats!$B$31-($E22-TowerStats!$H$31))&lt;=0),"Can't Kill",ROUNDUP($D22/(TowerStats!$B$31-($E22-TowerStats!$H$31)),0))</f>
        <v>Can't Kill</v>
      </c>
      <c r="O22" s="229" t="str">
        <f>IF(OR($K22&lt;&gt;O$2,(TowerStats!$B$32-($E22-TowerStats!$H$32))&lt;=0),"Can't Kill",ROUNDUP($D22/(TowerStats!$B$32-($E22-TowerStats!$H$32)),0))</f>
        <v>Can't Kill</v>
      </c>
      <c r="P22" s="228" t="str">
        <f>IF(OR($K22&lt;&gt;P$2,(TowerStats!$B$33-($E22-TowerStats!$H$33))&lt;=0),"Can't Kill",ROUNDUP($D22/(TowerStats!$B$33-($E22-TowerStats!$H$33)),0))</f>
        <v>Can't Kill</v>
      </c>
      <c r="Q22" s="230">
        <f>IF(OR($K22&lt;&gt;Q$2,(TowerStats!$B$40-($E22-TowerStats!$H$40))&lt;=0),"Can't Kill",ROUNDUP($D22/(TowerStats!$B$40-($E22-TowerStats!$H$40)),0))</f>
        <v>5</v>
      </c>
      <c r="R22" s="229">
        <f>IF(OR($K22&lt;&gt;R$2,(TowerStats!$B$41-($E22-TowerStats!$H$41))&lt;=0),"Can't Kill",ROUNDUP($D22/(TowerStats!$B$41-($E22-TowerStats!$H$41)),0))</f>
        <v>4</v>
      </c>
      <c r="S22" s="229">
        <f>IF(OR($K22&lt;&gt;S$2,(TowerStats!$B$42-($E22-TowerStats!$H$42))&lt;=0),"Can't Kill",ROUNDUP($D22/(TowerStats!$B$42-($E22-TowerStats!$H$42)),0))</f>
        <v>3</v>
      </c>
      <c r="T22" s="229">
        <f>IF(OR($K22&lt;&gt;T$2,(TowerStats!$B$43-($E22-TowerStats!$H$43))&lt;=0),"Can't Kill",ROUNDUP($D22/(TowerStats!$B$43-($E22-TowerStats!$H$43)),0))</f>
        <v>3</v>
      </c>
      <c r="U22" s="228">
        <f>IF(OR($K22&lt;&gt;U$2,(TowerStats!$B$44-($E22-TowerStats!$H$44))&lt;=0),"Can't Kill",ROUNDUP($D22/(TowerStats!$B$44-($E22-TowerStats!$H$44)),0))</f>
        <v>2</v>
      </c>
      <c r="V22" s="230" t="str">
        <f>IF(OR($K22&lt;&gt;V$2,(TowerStats!$B$54-($E22-TowerStats!$H$54))&lt;=0),"Can't Kill",ROUNDUP($D22/(TowerStats!$B$54-($E22-TowerStats!$H$54)),0))</f>
        <v>Can't Kill</v>
      </c>
      <c r="W22" s="229" t="str">
        <f>IF(OR($K22&lt;&gt;W$2,(TowerStats!$B$55-($E22-TowerStats!$H$55))&lt;=0),"Can't Kill",ROUNDUP($D22/(TowerStats!$B$55-($E22-TowerStats!$H$55)),0))</f>
        <v>Can't Kill</v>
      </c>
      <c r="X22" s="229" t="str">
        <f>IF(OR($K22&lt;&gt;X$2,(TowerStats!$B$56-($E22-TowerStats!$H$56))&lt;=0),"Can't Kill",ROUNDUP($D22/(TowerStats!$B$56-($E22-TowerStats!$H$56)),0))</f>
        <v>Can't Kill</v>
      </c>
      <c r="Y22" s="229" t="str">
        <f>IF(OR($K22&lt;&gt;Y$2,(TowerStats!$B$57-($E22-TowerStats!$H$57))&lt;=0),"Can't Kill",ROUNDUP($D22/(TowerStats!$B$57-($E22-TowerStats!$H$57)),0))</f>
        <v>Can't Kill</v>
      </c>
      <c r="Z22" s="228" t="str">
        <f>IF(OR($K22&lt;&gt;Z$2,(TowerStats!$B$58-($E22-TowerStats!$H$58))&lt;=0),"Can't Kill",ROUNDUP($D22/(TowerStats!$B$58-($E22-TowerStats!$H$58)),0))</f>
        <v>Can't Kill</v>
      </c>
      <c r="AA22" s="230" t="str">
        <f>IF(OR($K22&lt;&gt;AA$2,(TowerStats!$B$69-($E22-TowerStats!$H$69))&lt;=0),"Can't Kill",ROUNDUP($D22/(TowerStats!$B$69-($E22-TowerStats!$H$69)),0))</f>
        <v>Can't Kill</v>
      </c>
      <c r="AB22" s="229" t="str">
        <f>IF(OR($K22&lt;&gt;AB$2,(TowerStats!$B$70-($E22-TowerStats!$H$70))&lt;=0),"Can't Kill",ROUNDUP($D22/(TowerStats!$B$70-($E22-TowerStats!$H$70)),0))</f>
        <v>Can't Kill</v>
      </c>
      <c r="AC22" s="229" t="str">
        <f>IF(OR($K22&lt;&gt;AC$2,(TowerStats!$B$71-($E22-TowerStats!$H$71))&lt;=0),"Can't Kill",ROUNDUP($D22/(TowerStats!$B$71-($E22-TowerStats!$H$71)),0))</f>
        <v>Can't Kill</v>
      </c>
      <c r="AD22" s="229" t="str">
        <f>IF(OR($K22&lt;&gt;AD$2,(TowerStats!$B$72-($E22-TowerStats!$H$72))&lt;=0),"Can't Kill",ROUNDUP($D22/(TowerStats!$B$72-($E22-TowerStats!$H$72)),0))</f>
        <v>Can't Kill</v>
      </c>
      <c r="AE22" s="228" t="str">
        <f>IF(OR($K22&lt;&gt;AE$2,(TowerStats!$B$73-($E22-TowerStats!$H$73))&lt;=0),"Can't Kill",ROUNDUP($D22/(TowerStats!$B$73-($E22-TowerStats!$H$73)),0))</f>
        <v>Can't Kill</v>
      </c>
      <c r="AF22" s="230" t="str">
        <f>IF(OR($K22&lt;&gt;AF$2,(TowerStats!$B$84-($E22-TowerStats!$H$84))&lt;=0),"Can't Kill",ROUNDUP($D22/(TowerStats!$B$84-($E22-TowerStats!$H$84)),0))</f>
        <v>Can't Kill</v>
      </c>
      <c r="AG22" s="229" t="str">
        <f>IF(OR($K22&lt;&gt;AG$2,(TowerStats!$B$85-($E22-TowerStats!$H$85))&lt;=0),"Can't Kill",ROUNDUP($D22/(TowerStats!$B$85-($E22-TowerStats!$H$85)),0))</f>
        <v>Can't Kill</v>
      </c>
      <c r="AH22" s="229" t="str">
        <f>IF(OR($K22&lt;&gt;AH$2,(TowerStats!$B$86-($E22-TowerStats!$H$86))&lt;=0),"Can't Kill",ROUNDUP($D22/(TowerStats!$B$86-($E22-TowerStats!$H$86)),0))</f>
        <v>Can't Kill</v>
      </c>
      <c r="AI22" s="229" t="str">
        <f>IF(OR($K22&lt;&gt;AI$2,(TowerStats!$B$87-($E22-TowerStats!$H$87))&lt;=0),"Can't Kill",ROUNDUP($D22/(TowerStats!$B$87-($E22-TowerStats!$H$87)),0))</f>
        <v>Can't Kill</v>
      </c>
      <c r="AJ22" s="228" t="str">
        <f>IF(OR($K22&lt;&gt;AJ$2,(TowerStats!$B$88-($E22-TowerStats!$H$88))&lt;=0),"Can't Kill",ROUNDUP($D22/(TowerStats!$B$88-($E22-TowerStats!$H$88)),0))</f>
        <v>Can't Kill</v>
      </c>
      <c r="AK22" s="230" t="str">
        <f>IF(OR($K22&lt;&gt;AK$2,(TowerStats!$B$100-($E22-TowerStats!$H$100))&lt;=0),"Can't Kill",ROUNDUP($D22/(TowerStats!$B$100-($E22-TowerStats!$H$100)),0))</f>
        <v>Can't Kill</v>
      </c>
      <c r="AL22" s="229" t="str">
        <f>IF(OR($K22&lt;&gt;AL$2,(TowerStats!$B$101-($E22-TowerStats!$H$101))&lt;=0),"Can't Kill",ROUNDUP($D22/(TowerStats!$B$101-($E22-TowerStats!$H$101)),0))</f>
        <v>Can't Kill</v>
      </c>
      <c r="AM22" s="229" t="str">
        <f>IF(OR($K22&lt;&gt;AM$2,(TowerStats!$B$102-($E22-TowerStats!$H$102))&lt;=0),"Can't Kill",ROUNDUP($D22/(TowerStats!$B$102-($E22-TowerStats!$H$102)),0))</f>
        <v>Can't Kill</v>
      </c>
      <c r="AN22" s="229" t="str">
        <f>IF(OR($K22&lt;&gt;AN$2,(TowerStats!$B$103-($E22-TowerStats!$H$103))&lt;=0),"Can't Kill",ROUNDUP($D22/(TowerStats!$B$103-($E22-TowerStats!$H$103)),0))</f>
        <v>Can't Kill</v>
      </c>
      <c r="AO22" s="228" t="str">
        <f>IF(OR($K22&lt;&gt;AO$2,(TowerStats!$B$104-($E22-TowerStats!$H$104))&lt;=0),"Can't Kill",ROUNDUP($D22/(TowerStats!$B$104-($E22-TowerStats!$H$104)),0))</f>
        <v>Can't Kill</v>
      </c>
    </row>
    <row r="23" spans="2:41" ht="13.5" x14ac:dyDescent="0.15">
      <c r="B23" s="234" t="s">
        <v>151</v>
      </c>
      <c r="C23" s="232">
        <f>VLOOKUP($B23,'Monsters Stats'!$B$8:$L$70,2,FALSE)</f>
        <v>20</v>
      </c>
      <c r="D23" s="232">
        <f>VLOOKUP($B23,'Monsters Stats'!$B$8:$L$70,3,FALSE)</f>
        <v>35</v>
      </c>
      <c r="E23" s="232">
        <f>VLOOKUP($B23,'Monsters Stats'!$B$8:$L$70,4,FALSE)</f>
        <v>9</v>
      </c>
      <c r="F23" s="232">
        <f>VLOOKUP($B23,'Monsters Stats'!$B$8:$L$70,5,FALSE)</f>
        <v>2</v>
      </c>
      <c r="G23" s="232">
        <f>VLOOKUP($B23,'Monsters Stats'!$B$8:$L$70,6,FALSE)</f>
        <v>1.1000000000000001</v>
      </c>
      <c r="H23" s="232">
        <f>VLOOKUP($B23,'Monsters Stats'!$B$8:$L$70,7,FALSE)</f>
        <v>39</v>
      </c>
      <c r="I23" s="232">
        <f>VLOOKUP($B23,'Monsters Stats'!$B$8:$L$70,8,FALSE)</f>
        <v>1.1000000000000001</v>
      </c>
      <c r="J23" s="232">
        <f>VLOOKUP($B23,'Monsters Stats'!$B$8:$L$70,9,FALSE)</f>
        <v>25</v>
      </c>
      <c r="K23" s="231">
        <f>VLOOKUP($B23,'Monsters Stats'!$B$8:$L$70,11,FALSE)</f>
        <v>0</v>
      </c>
      <c r="L23" s="230" t="str">
        <f>IF(OR($K23&lt;&gt;L$2,(TowerStats!$B$29-($E23-TowerStats!$H$29))&lt;=0),"Can't Kill",ROUNDUP($D23/(TowerStats!$B$29-($E23-TowerStats!$H$29)),0))</f>
        <v>Can't Kill</v>
      </c>
      <c r="M23" s="229" t="str">
        <f>IF(OR($K23&lt;&gt;M$2,(TowerStats!$B$30-($E23-TowerStats!$H$30))&lt;=0),"Can't Kill",ROUNDUP($D23/(TowerStats!$B$30-($E23-TowerStats!$H$30)),0))</f>
        <v>Can't Kill</v>
      </c>
      <c r="N23" s="229" t="str">
        <f>IF(OR($K23&lt;&gt;N$2,(TowerStats!$B$31-($E23-TowerStats!$H$31))&lt;=0),"Can't Kill",ROUNDUP($D23/(TowerStats!$B$31-($E23-TowerStats!$H$31)),0))</f>
        <v>Can't Kill</v>
      </c>
      <c r="O23" s="229" t="str">
        <f>IF(OR($K23&lt;&gt;O$2,(TowerStats!$B$32-($E23-TowerStats!$H$32))&lt;=0),"Can't Kill",ROUNDUP($D23/(TowerStats!$B$32-($E23-TowerStats!$H$32)),0))</f>
        <v>Can't Kill</v>
      </c>
      <c r="P23" s="228" t="str">
        <f>IF(OR($K23&lt;&gt;P$2,(TowerStats!$B$33-($E23-TowerStats!$H$33))&lt;=0),"Can't Kill",ROUNDUP($D23/(TowerStats!$B$33-($E23-TowerStats!$H$33)),0))</f>
        <v>Can't Kill</v>
      </c>
      <c r="Q23" s="230">
        <f>IF(OR($K23&lt;&gt;Q$2,(TowerStats!$B$40-($E23-TowerStats!$H$40))&lt;=0),"Can't Kill",ROUNDUP($D23/(TowerStats!$B$40-($E23-TowerStats!$H$40)),0))</f>
        <v>12</v>
      </c>
      <c r="R23" s="229">
        <f>IF(OR($K23&lt;&gt;R$2,(TowerStats!$B$41-($E23-TowerStats!$H$41))&lt;=0),"Can't Kill",ROUNDUP($D23/(TowerStats!$B$41-($E23-TowerStats!$H$41)),0))</f>
        <v>7</v>
      </c>
      <c r="S23" s="229">
        <f>IF(OR($K23&lt;&gt;S$2,(TowerStats!$B$42-($E23-TowerStats!$H$42))&lt;=0),"Can't Kill",ROUNDUP($D23/(TowerStats!$B$42-($E23-TowerStats!$H$42)),0))</f>
        <v>5</v>
      </c>
      <c r="T23" s="229">
        <f>IF(OR($K23&lt;&gt;T$2,(TowerStats!$B$43-($E23-TowerStats!$H$43))&lt;=0),"Can't Kill",ROUNDUP($D23/(TowerStats!$B$43-($E23-TowerStats!$H$43)),0))</f>
        <v>4</v>
      </c>
      <c r="U23" s="228">
        <f>IF(OR($K23&lt;&gt;U$2,(TowerStats!$B$44-($E23-TowerStats!$H$44))&lt;=0),"Can't Kill",ROUNDUP($D23/(TowerStats!$B$44-($E23-TowerStats!$H$44)),0))</f>
        <v>2</v>
      </c>
      <c r="V23" s="230" t="str">
        <f>IF(OR($K23&lt;&gt;V$2,(TowerStats!$B$54-($E23-TowerStats!$H$54))&lt;=0),"Can't Kill",ROUNDUP($D23/(TowerStats!$B$54-($E23-TowerStats!$H$54)),0))</f>
        <v>Can't Kill</v>
      </c>
      <c r="W23" s="229" t="str">
        <f>IF(OR($K23&lt;&gt;W$2,(TowerStats!$B$55-($E23-TowerStats!$H$55))&lt;=0),"Can't Kill",ROUNDUP($D23/(TowerStats!$B$55-($E23-TowerStats!$H$55)),0))</f>
        <v>Can't Kill</v>
      </c>
      <c r="X23" s="229" t="str">
        <f>IF(OR($K23&lt;&gt;X$2,(TowerStats!$B$56-($E23-TowerStats!$H$56))&lt;=0),"Can't Kill",ROUNDUP($D23/(TowerStats!$B$56-($E23-TowerStats!$H$56)),0))</f>
        <v>Can't Kill</v>
      </c>
      <c r="Y23" s="229" t="str">
        <f>IF(OR($K23&lt;&gt;Y$2,(TowerStats!$B$57-($E23-TowerStats!$H$57))&lt;=0),"Can't Kill",ROUNDUP($D23/(TowerStats!$B$57-($E23-TowerStats!$H$57)),0))</f>
        <v>Can't Kill</v>
      </c>
      <c r="Z23" s="228" t="str">
        <f>IF(OR($K23&lt;&gt;Z$2,(TowerStats!$B$58-($E23-TowerStats!$H$58))&lt;=0),"Can't Kill",ROUNDUP($D23/(TowerStats!$B$58-($E23-TowerStats!$H$58)),0))</f>
        <v>Can't Kill</v>
      </c>
      <c r="AA23" s="230" t="str">
        <f>IF(OR($K23&lt;&gt;AA$2,(TowerStats!$B$69-($E23-TowerStats!$H$69))&lt;=0),"Can't Kill",ROUNDUP($D23/(TowerStats!$B$69-($E23-TowerStats!$H$69)),0))</f>
        <v>Can't Kill</v>
      </c>
      <c r="AB23" s="229" t="str">
        <f>IF(OR($K23&lt;&gt;AB$2,(TowerStats!$B$70-($E23-TowerStats!$H$70))&lt;=0),"Can't Kill",ROUNDUP($D23/(TowerStats!$B$70-($E23-TowerStats!$H$70)),0))</f>
        <v>Can't Kill</v>
      </c>
      <c r="AC23" s="229" t="str">
        <f>IF(OR($K23&lt;&gt;AC$2,(TowerStats!$B$71-($E23-TowerStats!$H$71))&lt;=0),"Can't Kill",ROUNDUP($D23/(TowerStats!$B$71-($E23-TowerStats!$H$71)),0))</f>
        <v>Can't Kill</v>
      </c>
      <c r="AD23" s="229" t="str">
        <f>IF(OR($K23&lt;&gt;AD$2,(TowerStats!$B$72-($E23-TowerStats!$H$72))&lt;=0),"Can't Kill",ROUNDUP($D23/(TowerStats!$B$72-($E23-TowerStats!$H$72)),0))</f>
        <v>Can't Kill</v>
      </c>
      <c r="AE23" s="228" t="str">
        <f>IF(OR($K23&lt;&gt;AE$2,(TowerStats!$B$73-($E23-TowerStats!$H$73))&lt;=0),"Can't Kill",ROUNDUP($D23/(TowerStats!$B$73-($E23-TowerStats!$H$73)),0))</f>
        <v>Can't Kill</v>
      </c>
      <c r="AF23" s="230" t="str">
        <f>IF(OR($K23&lt;&gt;AF$2,(TowerStats!$B$84-($E23-TowerStats!$H$84))&lt;=0),"Can't Kill",ROUNDUP($D23/(TowerStats!$B$84-($E23-TowerStats!$H$84)),0))</f>
        <v>Can't Kill</v>
      </c>
      <c r="AG23" s="229" t="str">
        <f>IF(OR($K23&lt;&gt;AG$2,(TowerStats!$B$85-($E23-TowerStats!$H$85))&lt;=0),"Can't Kill",ROUNDUP($D23/(TowerStats!$B$85-($E23-TowerStats!$H$85)),0))</f>
        <v>Can't Kill</v>
      </c>
      <c r="AH23" s="229" t="str">
        <f>IF(OR($K23&lt;&gt;AH$2,(TowerStats!$B$86-($E23-TowerStats!$H$86))&lt;=0),"Can't Kill",ROUNDUP($D23/(TowerStats!$B$86-($E23-TowerStats!$H$86)),0))</f>
        <v>Can't Kill</v>
      </c>
      <c r="AI23" s="229" t="str">
        <f>IF(OR($K23&lt;&gt;AI$2,(TowerStats!$B$87-($E23-TowerStats!$H$87))&lt;=0),"Can't Kill",ROUNDUP($D23/(TowerStats!$B$87-($E23-TowerStats!$H$87)),0))</f>
        <v>Can't Kill</v>
      </c>
      <c r="AJ23" s="228" t="str">
        <f>IF(OR($K23&lt;&gt;AJ$2,(TowerStats!$B$88-($E23-TowerStats!$H$88))&lt;=0),"Can't Kill",ROUNDUP($D23/(TowerStats!$B$88-($E23-TowerStats!$H$88)),0))</f>
        <v>Can't Kill</v>
      </c>
      <c r="AK23" s="230" t="str">
        <f>IF(OR($K23&lt;&gt;AK$2,(TowerStats!$B$100-($E23-TowerStats!$H$100))&lt;=0),"Can't Kill",ROUNDUP($D23/(TowerStats!$B$100-($E23-TowerStats!$H$100)),0))</f>
        <v>Can't Kill</v>
      </c>
      <c r="AL23" s="229" t="str">
        <f>IF(OR($K23&lt;&gt;AL$2,(TowerStats!$B$101-($E23-TowerStats!$H$101))&lt;=0),"Can't Kill",ROUNDUP($D23/(TowerStats!$B$101-($E23-TowerStats!$H$101)),0))</f>
        <v>Can't Kill</v>
      </c>
      <c r="AM23" s="229" t="str">
        <f>IF(OR($K23&lt;&gt;AM$2,(TowerStats!$B$102-($E23-TowerStats!$H$102))&lt;=0),"Can't Kill",ROUNDUP($D23/(TowerStats!$B$102-($E23-TowerStats!$H$102)),0))</f>
        <v>Can't Kill</v>
      </c>
      <c r="AN23" s="229" t="str">
        <f>IF(OR($K23&lt;&gt;AN$2,(TowerStats!$B$103-($E23-TowerStats!$H$103))&lt;=0),"Can't Kill",ROUNDUP($D23/(TowerStats!$B$103-($E23-TowerStats!$H$103)),0))</f>
        <v>Can't Kill</v>
      </c>
      <c r="AO23" s="228" t="str">
        <f>IF(OR($K23&lt;&gt;AO$2,(TowerStats!$B$104-($E23-TowerStats!$H$104))&lt;=0),"Can't Kill",ROUNDUP($D23/(TowerStats!$B$104-($E23-TowerStats!$H$104)),0))</f>
        <v>Can't Kill</v>
      </c>
    </row>
    <row r="24" spans="2:41" ht="13.5" x14ac:dyDescent="0.15">
      <c r="B24" s="234" t="s">
        <v>169</v>
      </c>
      <c r="C24" s="232">
        <f>VLOOKUP($B24,'Monsters Stats'!$B$8:$L$70,2,FALSE)</f>
        <v>26</v>
      </c>
      <c r="D24" s="232">
        <f>VLOOKUP($B24,'Monsters Stats'!$B$8:$L$70,3,FALSE)</f>
        <v>49</v>
      </c>
      <c r="E24" s="232">
        <f>VLOOKUP($B24,'Monsters Stats'!$B$8:$L$70,4,FALSE)</f>
        <v>11</v>
      </c>
      <c r="F24" s="232">
        <f>VLOOKUP($B24,'Monsters Stats'!$B$8:$L$70,5,FALSE)</f>
        <v>2</v>
      </c>
      <c r="G24" s="232">
        <f>VLOOKUP($B24,'Monsters Stats'!$B$8:$L$70,6,FALSE)</f>
        <v>0.79999999999999993</v>
      </c>
      <c r="H24" s="232">
        <f>VLOOKUP($B24,'Monsters Stats'!$B$8:$L$70,7,FALSE)</f>
        <v>51</v>
      </c>
      <c r="I24" s="232">
        <f>VLOOKUP($B24,'Monsters Stats'!$B$8:$L$70,8,FALSE)</f>
        <v>1.3</v>
      </c>
      <c r="J24" s="232">
        <f>VLOOKUP($B24,'Monsters Stats'!$B$8:$L$70,9,FALSE)</f>
        <v>38</v>
      </c>
      <c r="K24" s="231">
        <f>VLOOKUP($B24,'Monsters Stats'!$B$8:$L$70,11,FALSE)</f>
        <v>0</v>
      </c>
      <c r="L24" s="230" t="str">
        <f>IF(OR($K24&lt;&gt;L$2,(TowerStats!$B$29-($E24-TowerStats!$H$29))&lt;=0),"Can't Kill",ROUNDUP($D24/(TowerStats!$B$29-($E24-TowerStats!$H$29)),0))</f>
        <v>Can't Kill</v>
      </c>
      <c r="M24" s="229" t="str">
        <f>IF(OR($K24&lt;&gt;M$2,(TowerStats!$B$30-($E24-TowerStats!$H$30))&lt;=0),"Can't Kill",ROUNDUP($D24/(TowerStats!$B$30-($E24-TowerStats!$H$30)),0))</f>
        <v>Can't Kill</v>
      </c>
      <c r="N24" s="229" t="str">
        <f>IF(OR($K24&lt;&gt;N$2,(TowerStats!$B$31-($E24-TowerStats!$H$31))&lt;=0),"Can't Kill",ROUNDUP($D24/(TowerStats!$B$31-($E24-TowerStats!$H$31)),0))</f>
        <v>Can't Kill</v>
      </c>
      <c r="O24" s="229" t="str">
        <f>IF(OR($K24&lt;&gt;O$2,(TowerStats!$B$32-($E24-TowerStats!$H$32))&lt;=0),"Can't Kill",ROUNDUP($D24/(TowerStats!$B$32-($E24-TowerStats!$H$32)),0))</f>
        <v>Can't Kill</v>
      </c>
      <c r="P24" s="228" t="str">
        <f>IF(OR($K24&lt;&gt;P$2,(TowerStats!$B$33-($E24-TowerStats!$H$33))&lt;=0),"Can't Kill",ROUNDUP($D24/(TowerStats!$B$33-($E24-TowerStats!$H$33)),0))</f>
        <v>Can't Kill</v>
      </c>
      <c r="Q24" s="230">
        <f>IF(OR($K24&lt;&gt;Q$2,(TowerStats!$B$40-($E24-TowerStats!$H$40))&lt;=0),"Can't Kill",ROUNDUP($D24/(TowerStats!$B$40-($E24-TowerStats!$H$40)),0))</f>
        <v>49</v>
      </c>
      <c r="R24" s="229">
        <f>IF(OR($K24&lt;&gt;R$2,(TowerStats!$B$41-($E24-TowerStats!$H$41))&lt;=0),"Can't Kill",ROUNDUP($D24/(TowerStats!$B$41-($E24-TowerStats!$H$41)),0))</f>
        <v>17</v>
      </c>
      <c r="S24" s="229">
        <f>IF(OR($K24&lt;&gt;S$2,(TowerStats!$B$42-($E24-TowerStats!$H$42))&lt;=0),"Can't Kill",ROUNDUP($D24/(TowerStats!$B$42-($E24-TowerStats!$H$42)),0))</f>
        <v>10</v>
      </c>
      <c r="T24" s="229">
        <f>IF(OR($K24&lt;&gt;T$2,(TowerStats!$B$43-($E24-TowerStats!$H$43))&lt;=0),"Can't Kill",ROUNDUP($D24/(TowerStats!$B$43-($E24-TowerStats!$H$43)),0))</f>
        <v>7</v>
      </c>
      <c r="U24" s="228">
        <f>IF(OR($K24&lt;&gt;U$2,(TowerStats!$B$44-($E24-TowerStats!$H$44))&lt;=0),"Can't Kill",ROUNDUP($D24/(TowerStats!$B$44-($E24-TowerStats!$H$44)),0))</f>
        <v>3</v>
      </c>
      <c r="V24" s="230" t="str">
        <f>IF(OR($K24&lt;&gt;V$2,(TowerStats!$B$54-($E24-TowerStats!$H$54))&lt;=0),"Can't Kill",ROUNDUP($D24/(TowerStats!$B$54-($E24-TowerStats!$H$54)),0))</f>
        <v>Can't Kill</v>
      </c>
      <c r="W24" s="229" t="str">
        <f>IF(OR($K24&lt;&gt;W$2,(TowerStats!$B$55-($E24-TowerStats!$H$55))&lt;=0),"Can't Kill",ROUNDUP($D24/(TowerStats!$B$55-($E24-TowerStats!$H$55)),0))</f>
        <v>Can't Kill</v>
      </c>
      <c r="X24" s="229" t="str">
        <f>IF(OR($K24&lt;&gt;X$2,(TowerStats!$B$56-($E24-TowerStats!$H$56))&lt;=0),"Can't Kill",ROUNDUP($D24/(TowerStats!$B$56-($E24-TowerStats!$H$56)),0))</f>
        <v>Can't Kill</v>
      </c>
      <c r="Y24" s="229" t="str">
        <f>IF(OR($K24&lt;&gt;Y$2,(TowerStats!$B$57-($E24-TowerStats!$H$57))&lt;=0),"Can't Kill",ROUNDUP($D24/(TowerStats!$B$57-($E24-TowerStats!$H$57)),0))</f>
        <v>Can't Kill</v>
      </c>
      <c r="Z24" s="228" t="str">
        <f>IF(OR($K24&lt;&gt;Z$2,(TowerStats!$B$58-($E24-TowerStats!$H$58))&lt;=0),"Can't Kill",ROUNDUP($D24/(TowerStats!$B$58-($E24-TowerStats!$H$58)),0))</f>
        <v>Can't Kill</v>
      </c>
      <c r="AA24" s="230" t="str">
        <f>IF(OR($K24&lt;&gt;AA$2,(TowerStats!$B$69-($E24-TowerStats!$H$69))&lt;=0),"Can't Kill",ROUNDUP($D24/(TowerStats!$B$69-($E24-TowerStats!$H$69)),0))</f>
        <v>Can't Kill</v>
      </c>
      <c r="AB24" s="229" t="str">
        <f>IF(OR($K24&lt;&gt;AB$2,(TowerStats!$B$70-($E24-TowerStats!$H$70))&lt;=0),"Can't Kill",ROUNDUP($D24/(TowerStats!$B$70-($E24-TowerStats!$H$70)),0))</f>
        <v>Can't Kill</v>
      </c>
      <c r="AC24" s="229" t="str">
        <f>IF(OR($K24&lt;&gt;AC$2,(TowerStats!$B$71-($E24-TowerStats!$H$71))&lt;=0),"Can't Kill",ROUNDUP($D24/(TowerStats!$B$71-($E24-TowerStats!$H$71)),0))</f>
        <v>Can't Kill</v>
      </c>
      <c r="AD24" s="229" t="str">
        <f>IF(OR($K24&lt;&gt;AD$2,(TowerStats!$B$72-($E24-TowerStats!$H$72))&lt;=0),"Can't Kill",ROUNDUP($D24/(TowerStats!$B$72-($E24-TowerStats!$H$72)),0))</f>
        <v>Can't Kill</v>
      </c>
      <c r="AE24" s="228" t="str">
        <f>IF(OR($K24&lt;&gt;AE$2,(TowerStats!$B$73-($E24-TowerStats!$H$73))&lt;=0),"Can't Kill",ROUNDUP($D24/(TowerStats!$B$73-($E24-TowerStats!$H$73)),0))</f>
        <v>Can't Kill</v>
      </c>
      <c r="AF24" s="230" t="str">
        <f>IF(OR($K24&lt;&gt;AF$2,(TowerStats!$B$84-($E24-TowerStats!$H$84))&lt;=0),"Can't Kill",ROUNDUP($D24/(TowerStats!$B$84-($E24-TowerStats!$H$84)),0))</f>
        <v>Can't Kill</v>
      </c>
      <c r="AG24" s="229" t="str">
        <f>IF(OR($K24&lt;&gt;AG$2,(TowerStats!$B$85-($E24-TowerStats!$H$85))&lt;=0),"Can't Kill",ROUNDUP($D24/(TowerStats!$B$85-($E24-TowerStats!$H$85)),0))</f>
        <v>Can't Kill</v>
      </c>
      <c r="AH24" s="229" t="str">
        <f>IF(OR($K24&lt;&gt;AH$2,(TowerStats!$B$86-($E24-TowerStats!$H$86))&lt;=0),"Can't Kill",ROUNDUP($D24/(TowerStats!$B$86-($E24-TowerStats!$H$86)),0))</f>
        <v>Can't Kill</v>
      </c>
      <c r="AI24" s="229" t="str">
        <f>IF(OR($K24&lt;&gt;AI$2,(TowerStats!$B$87-($E24-TowerStats!$H$87))&lt;=0),"Can't Kill",ROUNDUP($D24/(TowerStats!$B$87-($E24-TowerStats!$H$87)),0))</f>
        <v>Can't Kill</v>
      </c>
      <c r="AJ24" s="228" t="str">
        <f>IF(OR($K24&lt;&gt;AJ$2,(TowerStats!$B$88-($E24-TowerStats!$H$88))&lt;=0),"Can't Kill",ROUNDUP($D24/(TowerStats!$B$88-($E24-TowerStats!$H$88)),0))</f>
        <v>Can't Kill</v>
      </c>
      <c r="AK24" s="230" t="str">
        <f>IF(OR($K24&lt;&gt;AK$2,(TowerStats!$B$100-($E24-TowerStats!$H$100))&lt;=0),"Can't Kill",ROUNDUP($D24/(TowerStats!$B$100-($E24-TowerStats!$H$100)),0))</f>
        <v>Can't Kill</v>
      </c>
      <c r="AL24" s="229" t="str">
        <f>IF(OR($K24&lt;&gt;AL$2,(TowerStats!$B$101-($E24-TowerStats!$H$101))&lt;=0),"Can't Kill",ROUNDUP($D24/(TowerStats!$B$101-($E24-TowerStats!$H$101)),0))</f>
        <v>Can't Kill</v>
      </c>
      <c r="AM24" s="229" t="str">
        <f>IF(OR($K24&lt;&gt;AM$2,(TowerStats!$B$102-($E24-TowerStats!$H$102))&lt;=0),"Can't Kill",ROUNDUP($D24/(TowerStats!$B$102-($E24-TowerStats!$H$102)),0))</f>
        <v>Can't Kill</v>
      </c>
      <c r="AN24" s="229" t="str">
        <f>IF(OR($K24&lt;&gt;AN$2,(TowerStats!$B$103-($E24-TowerStats!$H$103))&lt;=0),"Can't Kill",ROUNDUP($D24/(TowerStats!$B$103-($E24-TowerStats!$H$103)),0))</f>
        <v>Can't Kill</v>
      </c>
      <c r="AO24" s="228" t="str">
        <f>IF(OR($K24&lt;&gt;AO$2,(TowerStats!$B$104-($E24-TowerStats!$H$104))&lt;=0),"Can't Kill",ROUNDUP($D24/(TowerStats!$B$104-($E24-TowerStats!$H$104)),0))</f>
        <v>Can't Kill</v>
      </c>
    </row>
    <row r="25" spans="2:41" ht="13.5" x14ac:dyDescent="0.15">
      <c r="B25" s="234" t="s">
        <v>17</v>
      </c>
      <c r="C25" s="232">
        <f>VLOOKUP($B25,'Monsters Stats'!$B$8:$L$70,2,FALSE)</f>
        <v>10</v>
      </c>
      <c r="D25" s="232">
        <f>VLOOKUP($B25,'Monsters Stats'!$B$8:$L$70,3,FALSE)</f>
        <v>40</v>
      </c>
      <c r="E25" s="232">
        <f>VLOOKUP($B25,'Monsters Stats'!$B$8:$L$70,4,FALSE)</f>
        <v>8</v>
      </c>
      <c r="F25" s="232">
        <f>VLOOKUP($B25,'Monsters Stats'!$B$8:$L$70,5,FALSE)</f>
        <v>1</v>
      </c>
      <c r="G25" s="232">
        <f>VLOOKUP($B25,'Monsters Stats'!$B$8:$L$70,6,FALSE)</f>
        <v>1</v>
      </c>
      <c r="H25" s="232">
        <f>VLOOKUP($B25,'Monsters Stats'!$B$8:$L$70,7,FALSE)</f>
        <v>35</v>
      </c>
      <c r="I25" s="232">
        <f>VLOOKUP($B25,'Monsters Stats'!$B$8:$L$70,8,FALSE)</f>
        <v>1.2</v>
      </c>
      <c r="J25" s="232">
        <f>VLOOKUP($B25,'Monsters Stats'!$B$8:$L$70,9,FALSE)</f>
        <v>10</v>
      </c>
      <c r="K25" s="231">
        <f>VLOOKUP($B25,'Monsters Stats'!$B$8:$L$70,11,FALSE)</f>
        <v>1</v>
      </c>
      <c r="L25" s="230">
        <f>IF(OR($K25&lt;&gt;L$2,(TowerStats!$B$29-($E25-TowerStats!$H$29))&lt;=0),"Can't Kill",ROUNDUP($D25/(TowerStats!$B$29-($E25-TowerStats!$H$29)),0))</f>
        <v>10</v>
      </c>
      <c r="M25" s="229">
        <f>IF(OR($K25&lt;&gt;M$2,(TowerStats!$B$30-($E25-TowerStats!$H$30))&lt;=0),"Can't Kill",ROUNDUP($D25/(TowerStats!$B$30-($E25-TowerStats!$H$30)),0))</f>
        <v>6</v>
      </c>
      <c r="N25" s="229">
        <f>IF(OR($K25&lt;&gt;N$2,(TowerStats!$B$31-($E25-TowerStats!$H$31))&lt;=0),"Can't Kill",ROUNDUP($D25/(TowerStats!$B$31-($E25-TowerStats!$H$31)),0))</f>
        <v>4</v>
      </c>
      <c r="O25" s="229">
        <f>IF(OR($K25&lt;&gt;O$2,(TowerStats!$B$32-($E25-TowerStats!$H$32))&lt;=0),"Can't Kill",ROUNDUP($D25/(TowerStats!$B$32-($E25-TowerStats!$H$32)),0))</f>
        <v>2</v>
      </c>
      <c r="P25" s="228">
        <f>IF(OR($K25&lt;&gt;P$2,(TowerStats!$B$33-($E25-TowerStats!$H$33))&lt;=0),"Can't Kill",ROUNDUP($D25/(TowerStats!$B$33-($E25-TowerStats!$H$33)),0))</f>
        <v>10</v>
      </c>
      <c r="Q25" s="230" t="str">
        <f>IF(OR($K25&lt;&gt;Q$2,(TowerStats!$B$40-($E25-TowerStats!$H$40))&lt;=0),"Can't Kill",ROUNDUP($D25/(TowerStats!$B$40-($E25-TowerStats!$H$40)),0))</f>
        <v>Can't Kill</v>
      </c>
      <c r="R25" s="229" t="str">
        <f>IF(OR($K25&lt;&gt;R$2,(TowerStats!$B$41-($E25-TowerStats!$H$41))&lt;=0),"Can't Kill",ROUNDUP($D25/(TowerStats!$B$41-($E25-TowerStats!$H$41)),0))</f>
        <v>Can't Kill</v>
      </c>
      <c r="S25" s="229" t="str">
        <f>IF(OR($K25&lt;&gt;S$2,(TowerStats!$B$42-($E25-TowerStats!$H$42))&lt;=0),"Can't Kill",ROUNDUP($D25/(TowerStats!$B$42-($E25-TowerStats!$H$42)),0))</f>
        <v>Can't Kill</v>
      </c>
      <c r="T25" s="229" t="str">
        <f>IF(OR($K25&lt;&gt;T$2,(TowerStats!$B$43-($E25-TowerStats!$H$43))&lt;=0),"Can't Kill",ROUNDUP($D25/(TowerStats!$B$43-($E25-TowerStats!$H$43)),0))</f>
        <v>Can't Kill</v>
      </c>
      <c r="U25" s="228" t="str">
        <f>IF(OR($K25&lt;&gt;U$2,(TowerStats!$B$44-($E25-TowerStats!$H$44))&lt;=0),"Can't Kill",ROUNDUP($D25/(TowerStats!$B$44-($E25-TowerStats!$H$44)),0))</f>
        <v>Can't Kill</v>
      </c>
      <c r="V25" s="230" t="str">
        <f>IF(OR($K25&lt;&gt;V$2,(TowerStats!$B$54-($E25-TowerStats!$H$54))&lt;=0),"Can't Kill",ROUNDUP($D25/(TowerStats!$B$54-($E25-TowerStats!$H$54)),0))</f>
        <v>Can't Kill</v>
      </c>
      <c r="W25" s="229" t="str">
        <f>IF(OR($K25&lt;&gt;W$2,(TowerStats!$B$55-($E25-TowerStats!$H$55))&lt;=0),"Can't Kill",ROUNDUP($D25/(TowerStats!$B$55-($E25-TowerStats!$H$55)),0))</f>
        <v>Can't Kill</v>
      </c>
      <c r="X25" s="229" t="str">
        <f>IF(OR($K25&lt;&gt;X$2,(TowerStats!$B$56-($E25-TowerStats!$H$56))&lt;=0),"Can't Kill",ROUNDUP($D25/(TowerStats!$B$56-($E25-TowerStats!$H$56)),0))</f>
        <v>Can't Kill</v>
      </c>
      <c r="Y25" s="229" t="str">
        <f>IF(OR($K25&lt;&gt;Y$2,(TowerStats!$B$57-($E25-TowerStats!$H$57))&lt;=0),"Can't Kill",ROUNDUP($D25/(TowerStats!$B$57-($E25-TowerStats!$H$57)),0))</f>
        <v>Can't Kill</v>
      </c>
      <c r="Z25" s="228" t="str">
        <f>IF(OR($K25&lt;&gt;Z$2,(TowerStats!$B$58-($E25-TowerStats!$H$58))&lt;=0),"Can't Kill",ROUNDUP($D25/(TowerStats!$B$58-($E25-TowerStats!$H$58)),0))</f>
        <v>Can't Kill</v>
      </c>
      <c r="AA25" s="230">
        <f>IF(OR($K25&lt;&gt;AA$2,(TowerStats!$B$69-($E25-TowerStats!$H$69))&lt;=0),"Can't Kill",ROUNDUP($D25/(TowerStats!$B$69-($E25-TowerStats!$H$69)),0))</f>
        <v>8</v>
      </c>
      <c r="AB25" s="229">
        <f>IF(OR($K25&lt;&gt;AB$2,(TowerStats!$B$70-($E25-TowerStats!$H$70))&lt;=0),"Can't Kill",ROUNDUP($D25/(TowerStats!$B$70-($E25-TowerStats!$H$70)),0))</f>
        <v>5</v>
      </c>
      <c r="AC25" s="229">
        <f>IF(OR($K25&lt;&gt;AC$2,(TowerStats!$B$71-($E25-TowerStats!$H$71))&lt;=0),"Can't Kill",ROUNDUP($D25/(TowerStats!$B$71-($E25-TowerStats!$H$71)),0))</f>
        <v>4</v>
      </c>
      <c r="AD25" s="229">
        <f>IF(OR($K25&lt;&gt;AD$2,(TowerStats!$B$72-($E25-TowerStats!$H$72))&lt;=0),"Can't Kill",ROUNDUP($D25/(TowerStats!$B$72-($E25-TowerStats!$H$72)),0))</f>
        <v>3</v>
      </c>
      <c r="AE25" s="228">
        <f>IF(OR($K25&lt;&gt;AE$2,(TowerStats!$B$73-($E25-TowerStats!$H$73))&lt;=0),"Can't Kill",ROUNDUP($D25/(TowerStats!$B$73-($E25-TowerStats!$H$73)),0))</f>
        <v>3</v>
      </c>
      <c r="AF25" s="230">
        <f>IF(OR($K25&lt;&gt;AF$2,(TowerStats!$B$84-($E25-TowerStats!$H$84))&lt;=0),"Can't Kill",ROUNDUP($D25/(TowerStats!$B$84-($E25-TowerStats!$H$84)),0))</f>
        <v>4</v>
      </c>
      <c r="AG25" s="229">
        <f>IF(OR($K25&lt;&gt;AG$2,(TowerStats!$B$85-($E25-TowerStats!$H$85))&lt;=0),"Can't Kill",ROUNDUP($D25/(TowerStats!$B$85-($E25-TowerStats!$H$85)),0))</f>
        <v>3</v>
      </c>
      <c r="AH25" s="229">
        <f>IF(OR($K25&lt;&gt;AH$2,(TowerStats!$B$86-($E25-TowerStats!$H$86))&lt;=0),"Can't Kill",ROUNDUP($D25/(TowerStats!$B$86-($E25-TowerStats!$H$86)),0))</f>
        <v>2</v>
      </c>
      <c r="AI25" s="229">
        <f>IF(OR($K25&lt;&gt;AI$2,(TowerStats!$B$87-($E25-TowerStats!$H$87))&lt;=0),"Can't Kill",ROUNDUP($D25/(TowerStats!$B$87-($E25-TowerStats!$H$87)),0))</f>
        <v>2</v>
      </c>
      <c r="AJ25" s="228">
        <f>IF(OR($K25&lt;&gt;AJ$2,(TowerStats!$B$88-($E25-TowerStats!$H$88))&lt;=0),"Can't Kill",ROUNDUP($D25/(TowerStats!$B$88-($E25-TowerStats!$H$88)),0))</f>
        <v>2</v>
      </c>
      <c r="AK25" s="230">
        <f>IF(OR($K25&lt;&gt;AK$2,(TowerStats!$B$100-($E25-TowerStats!$H$100))&lt;=0),"Can't Kill",ROUNDUP($D25/(TowerStats!$B$100-($E25-TowerStats!$H$100)),0))</f>
        <v>5</v>
      </c>
      <c r="AL25" s="229">
        <f>IF(OR($K25&lt;&gt;AL$2,(TowerStats!$B$101-($E25-TowerStats!$H$101))&lt;=0),"Can't Kill",ROUNDUP($D25/(TowerStats!$B$101-($E25-TowerStats!$H$101)),0))</f>
        <v>3</v>
      </c>
      <c r="AM25" s="229">
        <f>IF(OR($K25&lt;&gt;AM$2,(TowerStats!$B$102-($E25-TowerStats!$H$102))&lt;=0),"Can't Kill",ROUNDUP($D25/(TowerStats!$B$102-($E25-TowerStats!$H$102)),0))</f>
        <v>2</v>
      </c>
      <c r="AN25" s="229">
        <f>IF(OR($K25&lt;&gt;AN$2,(TowerStats!$B$103-($E25-TowerStats!$H$103))&lt;=0),"Can't Kill",ROUNDUP($D25/(TowerStats!$B$103-($E25-TowerStats!$H$103)),0))</f>
        <v>1</v>
      </c>
      <c r="AO25" s="228">
        <f>IF(OR($K25&lt;&gt;AO$2,(TowerStats!$B$104-($E25-TowerStats!$H$104))&lt;=0),"Can't Kill",ROUNDUP($D25/(TowerStats!$B$104-($E25-TowerStats!$H$104)),0))</f>
        <v>2</v>
      </c>
    </row>
    <row r="26" spans="2:41" ht="13.5" x14ac:dyDescent="0.15">
      <c r="B26" s="234" t="s">
        <v>83</v>
      </c>
      <c r="C26" s="232">
        <f>VLOOKUP($B26,'Monsters Stats'!$B$8:$L$70,2,FALSE)</f>
        <v>13</v>
      </c>
      <c r="D26" s="232">
        <f>VLOOKUP($B26,'Monsters Stats'!$B$8:$L$70,3,FALSE)</f>
        <v>56</v>
      </c>
      <c r="E26" s="232">
        <f>VLOOKUP($B26,'Monsters Stats'!$B$8:$L$70,4,FALSE)</f>
        <v>10</v>
      </c>
      <c r="F26" s="232">
        <f>VLOOKUP($B26,'Monsters Stats'!$B$8:$L$70,5,FALSE)</f>
        <v>1</v>
      </c>
      <c r="G26" s="232">
        <f>VLOOKUP($B26,'Monsters Stats'!$B$8:$L$70,6,FALSE)</f>
        <v>0.9</v>
      </c>
      <c r="H26" s="232">
        <f>VLOOKUP($B26,'Monsters Stats'!$B$8:$L$70,7,FALSE)</f>
        <v>46</v>
      </c>
      <c r="I26" s="232">
        <f>VLOOKUP($B26,'Monsters Stats'!$B$8:$L$70,8,FALSE)</f>
        <v>1.5</v>
      </c>
      <c r="J26" s="232">
        <f>VLOOKUP($B26,'Monsters Stats'!$B$8:$L$70,9,FALSE)</f>
        <v>20</v>
      </c>
      <c r="K26" s="231">
        <f>VLOOKUP($B26,'Monsters Stats'!$B$8:$L$70,11,FALSE)</f>
        <v>1</v>
      </c>
      <c r="L26" s="230">
        <f>IF(OR($K26&lt;&gt;L$2,(TowerStats!$B$29-($E26-TowerStats!$H$29))&lt;=0),"Can't Kill",ROUNDUP($D26/(TowerStats!$B$29-($E26-TowerStats!$H$29)),0))</f>
        <v>28</v>
      </c>
      <c r="M26" s="229">
        <f>IF(OR($K26&lt;&gt;M$2,(TowerStats!$B$30-($E26-TowerStats!$H$30))&lt;=0),"Can't Kill",ROUNDUP($D26/(TowerStats!$B$30-($E26-TowerStats!$H$30)),0))</f>
        <v>12</v>
      </c>
      <c r="N26" s="229">
        <f>IF(OR($K26&lt;&gt;N$2,(TowerStats!$B$31-($E26-TowerStats!$H$31))&lt;=0),"Can't Kill",ROUNDUP($D26/(TowerStats!$B$31-($E26-TowerStats!$H$31)),0))</f>
        <v>7</v>
      </c>
      <c r="O26" s="229">
        <f>IF(OR($K26&lt;&gt;O$2,(TowerStats!$B$32-($E26-TowerStats!$H$32))&lt;=0),"Can't Kill",ROUNDUP($D26/(TowerStats!$B$32-($E26-TowerStats!$H$32)),0))</f>
        <v>3</v>
      </c>
      <c r="P26" s="228">
        <f>IF(OR($K26&lt;&gt;P$2,(TowerStats!$B$33-($E26-TowerStats!$H$33))&lt;=0),"Can't Kill",ROUNDUP($D26/(TowerStats!$B$33-($E26-TowerStats!$H$33)),0))</f>
        <v>28</v>
      </c>
      <c r="Q26" s="230" t="str">
        <f>IF(OR($K26&lt;&gt;Q$2,(TowerStats!$B$40-($E26-TowerStats!$H$40))&lt;=0),"Can't Kill",ROUNDUP($D26/(TowerStats!$B$40-($E26-TowerStats!$H$40)),0))</f>
        <v>Can't Kill</v>
      </c>
      <c r="R26" s="229" t="str">
        <f>IF(OR($K26&lt;&gt;R$2,(TowerStats!$B$41-($E26-TowerStats!$H$41))&lt;=0),"Can't Kill",ROUNDUP($D26/(TowerStats!$B$41-($E26-TowerStats!$H$41)),0))</f>
        <v>Can't Kill</v>
      </c>
      <c r="S26" s="229" t="str">
        <f>IF(OR($K26&lt;&gt;S$2,(TowerStats!$B$42-($E26-TowerStats!$H$42))&lt;=0),"Can't Kill",ROUNDUP($D26/(TowerStats!$B$42-($E26-TowerStats!$H$42)),0))</f>
        <v>Can't Kill</v>
      </c>
      <c r="T26" s="229" t="str">
        <f>IF(OR($K26&lt;&gt;T$2,(TowerStats!$B$43-($E26-TowerStats!$H$43))&lt;=0),"Can't Kill",ROUNDUP($D26/(TowerStats!$B$43-($E26-TowerStats!$H$43)),0))</f>
        <v>Can't Kill</v>
      </c>
      <c r="U26" s="228" t="str">
        <f>IF(OR($K26&lt;&gt;U$2,(TowerStats!$B$44-($E26-TowerStats!$H$44))&lt;=0),"Can't Kill",ROUNDUP($D26/(TowerStats!$B$44-($E26-TowerStats!$H$44)),0))</f>
        <v>Can't Kill</v>
      </c>
      <c r="V26" s="230" t="str">
        <f>IF(OR($K26&lt;&gt;V$2,(TowerStats!$B$54-($E26-TowerStats!$H$54))&lt;=0),"Can't Kill",ROUNDUP($D26/(TowerStats!$B$54-($E26-TowerStats!$H$54)),0))</f>
        <v>Can't Kill</v>
      </c>
      <c r="W26" s="229" t="str">
        <f>IF(OR($K26&lt;&gt;W$2,(TowerStats!$B$55-($E26-TowerStats!$H$55))&lt;=0),"Can't Kill",ROUNDUP($D26/(TowerStats!$B$55-($E26-TowerStats!$H$55)),0))</f>
        <v>Can't Kill</v>
      </c>
      <c r="X26" s="229" t="str">
        <f>IF(OR($K26&lt;&gt;X$2,(TowerStats!$B$56-($E26-TowerStats!$H$56))&lt;=0),"Can't Kill",ROUNDUP($D26/(TowerStats!$B$56-($E26-TowerStats!$H$56)),0))</f>
        <v>Can't Kill</v>
      </c>
      <c r="Y26" s="229" t="str">
        <f>IF(OR($K26&lt;&gt;Y$2,(TowerStats!$B$57-($E26-TowerStats!$H$57))&lt;=0),"Can't Kill",ROUNDUP($D26/(TowerStats!$B$57-($E26-TowerStats!$H$57)),0))</f>
        <v>Can't Kill</v>
      </c>
      <c r="Z26" s="228" t="str">
        <f>IF(OR($K26&lt;&gt;Z$2,(TowerStats!$B$58-($E26-TowerStats!$H$58))&lt;=0),"Can't Kill",ROUNDUP($D26/(TowerStats!$B$58-($E26-TowerStats!$H$58)),0))</f>
        <v>Can't Kill</v>
      </c>
      <c r="AA26" s="230">
        <f>IF(OR($K26&lt;&gt;AA$2,(TowerStats!$B$69-($E26-TowerStats!$H$69))&lt;=0),"Can't Kill",ROUNDUP($D26/(TowerStats!$B$69-($E26-TowerStats!$H$69)),0))</f>
        <v>19</v>
      </c>
      <c r="AB26" s="229">
        <f>IF(OR($K26&lt;&gt;AB$2,(TowerStats!$B$70-($E26-TowerStats!$H$70))&lt;=0),"Can't Kill",ROUNDUP($D26/(TowerStats!$B$70-($E26-TowerStats!$H$70)),0))</f>
        <v>10</v>
      </c>
      <c r="AC26" s="229">
        <f>IF(OR($K26&lt;&gt;AC$2,(TowerStats!$B$71-($E26-TowerStats!$H$71))&lt;=0),"Can't Kill",ROUNDUP($D26/(TowerStats!$B$71-($E26-TowerStats!$H$71)),0))</f>
        <v>6</v>
      </c>
      <c r="AD26" s="229">
        <f>IF(OR($K26&lt;&gt;AD$2,(TowerStats!$B$72-($E26-TowerStats!$H$72))&lt;=0),"Can't Kill",ROUNDUP($D26/(TowerStats!$B$72-($E26-TowerStats!$H$72)),0))</f>
        <v>5</v>
      </c>
      <c r="AE26" s="228">
        <f>IF(OR($K26&lt;&gt;AE$2,(TowerStats!$B$73-($E26-TowerStats!$H$73))&lt;=0),"Can't Kill",ROUNDUP($D26/(TowerStats!$B$73-($E26-TowerStats!$H$73)),0))</f>
        <v>5</v>
      </c>
      <c r="AF26" s="230">
        <f>IF(OR($K26&lt;&gt;AF$2,(TowerStats!$B$84-($E26-TowerStats!$H$84))&lt;=0),"Can't Kill",ROUNDUP($D26/(TowerStats!$B$84-($E26-TowerStats!$H$84)),0))</f>
        <v>7</v>
      </c>
      <c r="AG26" s="229">
        <f>IF(OR($K26&lt;&gt;AG$2,(TowerStats!$B$85-($E26-TowerStats!$H$85))&lt;=0),"Can't Kill",ROUNDUP($D26/(TowerStats!$B$85-($E26-TowerStats!$H$85)),0))</f>
        <v>4</v>
      </c>
      <c r="AH26" s="229">
        <f>IF(OR($K26&lt;&gt;AH$2,(TowerStats!$B$86-($E26-TowerStats!$H$86))&lt;=0),"Can't Kill",ROUNDUP($D26/(TowerStats!$B$86-($E26-TowerStats!$H$86)),0))</f>
        <v>3</v>
      </c>
      <c r="AI26" s="229">
        <f>IF(OR($K26&lt;&gt;AI$2,(TowerStats!$B$87-($E26-TowerStats!$H$87))&lt;=0),"Can't Kill",ROUNDUP($D26/(TowerStats!$B$87-($E26-TowerStats!$H$87)),0))</f>
        <v>2</v>
      </c>
      <c r="AJ26" s="228">
        <f>IF(OR($K26&lt;&gt;AJ$2,(TowerStats!$B$88-($E26-TowerStats!$H$88))&lt;=0),"Can't Kill",ROUNDUP($D26/(TowerStats!$B$88-($E26-TowerStats!$H$88)),0))</f>
        <v>3</v>
      </c>
      <c r="AK26" s="230">
        <f>IF(OR($K26&lt;&gt;AK$2,(TowerStats!$B$100-($E26-TowerStats!$H$100))&lt;=0),"Can't Kill",ROUNDUP($D26/(TowerStats!$B$100-($E26-TowerStats!$H$100)),0))</f>
        <v>8</v>
      </c>
      <c r="AL26" s="229">
        <f>IF(OR($K26&lt;&gt;AL$2,(TowerStats!$B$101-($E26-TowerStats!$H$101))&lt;=0),"Can't Kill",ROUNDUP($D26/(TowerStats!$B$101-($E26-TowerStats!$H$101)),0))</f>
        <v>5</v>
      </c>
      <c r="AM26" s="229">
        <f>IF(OR($K26&lt;&gt;AM$2,(TowerStats!$B$102-($E26-TowerStats!$H$102))&lt;=0),"Can't Kill",ROUNDUP($D26/(TowerStats!$B$102-($E26-TowerStats!$H$102)),0))</f>
        <v>3</v>
      </c>
      <c r="AN26" s="229">
        <f>IF(OR($K26&lt;&gt;AN$2,(TowerStats!$B$103-($E26-TowerStats!$H$103))&lt;=0),"Can't Kill",ROUNDUP($D26/(TowerStats!$B$103-($E26-TowerStats!$H$103)),0))</f>
        <v>2</v>
      </c>
      <c r="AO26" s="228">
        <f>IF(OR($K26&lt;&gt;AO$2,(TowerStats!$B$104-($E26-TowerStats!$H$104))&lt;=0),"Can't Kill",ROUNDUP($D26/(TowerStats!$B$104-($E26-TowerStats!$H$104)),0))</f>
        <v>2</v>
      </c>
    </row>
    <row r="27" spans="2:41" ht="13.5" x14ac:dyDescent="0.15">
      <c r="B27" s="234" t="s">
        <v>84</v>
      </c>
      <c r="C27" s="232">
        <f>VLOOKUP($B27,'Monsters Stats'!$B$8:$L$70,2,FALSE)</f>
        <v>17</v>
      </c>
      <c r="D27" s="232">
        <f>VLOOKUP($B27,'Monsters Stats'!$B$8:$L$70,3,FALSE)</f>
        <v>79</v>
      </c>
      <c r="E27" s="232">
        <f>VLOOKUP($B27,'Monsters Stats'!$B$8:$L$70,4,FALSE)</f>
        <v>12</v>
      </c>
      <c r="F27" s="232">
        <f>VLOOKUP($B27,'Monsters Stats'!$B$8:$L$70,5,FALSE)</f>
        <v>1</v>
      </c>
      <c r="G27" s="232">
        <f>VLOOKUP($B27,'Monsters Stats'!$B$8:$L$70,6,FALSE)</f>
        <v>0.9</v>
      </c>
      <c r="H27" s="232">
        <f>VLOOKUP($B27,'Monsters Stats'!$B$8:$L$70,7,FALSE)</f>
        <v>60</v>
      </c>
      <c r="I27" s="232">
        <f>VLOOKUP($B27,'Monsters Stats'!$B$8:$L$70,8,FALSE)</f>
        <v>1.8</v>
      </c>
      <c r="J27" s="232">
        <f>VLOOKUP($B27,'Monsters Stats'!$B$8:$L$70,9,FALSE)</f>
        <v>30</v>
      </c>
      <c r="K27" s="231">
        <f>VLOOKUP($B27,'Monsters Stats'!$B$8:$L$70,11,FALSE)</f>
        <v>1</v>
      </c>
      <c r="L27" s="230" t="str">
        <f>IF(OR($K27&lt;&gt;L$2,(TowerStats!$B$29-($E27-TowerStats!$H$29))&lt;=0),"Can't Kill",ROUNDUP($D27/(TowerStats!$B$29-($E27-TowerStats!$H$29)),0))</f>
        <v>Can't Kill</v>
      </c>
      <c r="M27" s="229">
        <f>IF(OR($K27&lt;&gt;M$2,(TowerStats!$B$30-($E27-TowerStats!$H$30))&lt;=0),"Can't Kill",ROUNDUP($D27/(TowerStats!$B$30-($E27-TowerStats!$H$30)),0))</f>
        <v>27</v>
      </c>
      <c r="N27" s="229">
        <f>IF(OR($K27&lt;&gt;N$2,(TowerStats!$B$31-($E27-TowerStats!$H$31))&lt;=0),"Can't Kill",ROUNDUP($D27/(TowerStats!$B$31-($E27-TowerStats!$H$31)),0))</f>
        <v>14</v>
      </c>
      <c r="O27" s="229">
        <f>IF(OR($K27&lt;&gt;O$2,(TowerStats!$B$32-($E27-TowerStats!$H$32))&lt;=0),"Can't Kill",ROUNDUP($D27/(TowerStats!$B$32-($E27-TowerStats!$H$32)),0))</f>
        <v>4</v>
      </c>
      <c r="P27" s="228" t="str">
        <f>IF(OR($K27&lt;&gt;P$2,(TowerStats!$B$33-($E27-TowerStats!$H$33))&lt;=0),"Can't Kill",ROUNDUP($D27/(TowerStats!$B$33-($E27-TowerStats!$H$33)),0))</f>
        <v>Can't Kill</v>
      </c>
      <c r="Q27" s="230" t="str">
        <f>IF(OR($K27&lt;&gt;Q$2,(TowerStats!$B$40-($E27-TowerStats!$H$40))&lt;=0),"Can't Kill",ROUNDUP($D27/(TowerStats!$B$40-($E27-TowerStats!$H$40)),0))</f>
        <v>Can't Kill</v>
      </c>
      <c r="R27" s="229" t="str">
        <f>IF(OR($K27&lt;&gt;R$2,(TowerStats!$B$41-($E27-TowerStats!$H$41))&lt;=0),"Can't Kill",ROUNDUP($D27/(TowerStats!$B$41-($E27-TowerStats!$H$41)),0))</f>
        <v>Can't Kill</v>
      </c>
      <c r="S27" s="229" t="str">
        <f>IF(OR($K27&lt;&gt;S$2,(TowerStats!$B$42-($E27-TowerStats!$H$42))&lt;=0),"Can't Kill",ROUNDUP($D27/(TowerStats!$B$42-($E27-TowerStats!$H$42)),0))</f>
        <v>Can't Kill</v>
      </c>
      <c r="T27" s="229" t="str">
        <f>IF(OR($K27&lt;&gt;T$2,(TowerStats!$B$43-($E27-TowerStats!$H$43))&lt;=0),"Can't Kill",ROUNDUP($D27/(TowerStats!$B$43-($E27-TowerStats!$H$43)),0))</f>
        <v>Can't Kill</v>
      </c>
      <c r="U27" s="228" t="str">
        <f>IF(OR($K27&lt;&gt;U$2,(TowerStats!$B$44-($E27-TowerStats!$H$44))&lt;=0),"Can't Kill",ROUNDUP($D27/(TowerStats!$B$44-($E27-TowerStats!$H$44)),0))</f>
        <v>Can't Kill</v>
      </c>
      <c r="V27" s="230" t="str">
        <f>IF(OR($K27&lt;&gt;V$2,(TowerStats!$B$54-($E27-TowerStats!$H$54))&lt;=0),"Can't Kill",ROUNDUP($D27/(TowerStats!$B$54-($E27-TowerStats!$H$54)),0))</f>
        <v>Can't Kill</v>
      </c>
      <c r="W27" s="229" t="str">
        <f>IF(OR($K27&lt;&gt;W$2,(TowerStats!$B$55-($E27-TowerStats!$H$55))&lt;=0),"Can't Kill",ROUNDUP($D27/(TowerStats!$B$55-($E27-TowerStats!$H$55)),0))</f>
        <v>Can't Kill</v>
      </c>
      <c r="X27" s="229" t="str">
        <f>IF(OR($K27&lt;&gt;X$2,(TowerStats!$B$56-($E27-TowerStats!$H$56))&lt;=0),"Can't Kill",ROUNDUP($D27/(TowerStats!$B$56-($E27-TowerStats!$H$56)),0))</f>
        <v>Can't Kill</v>
      </c>
      <c r="Y27" s="229" t="str">
        <f>IF(OR($K27&lt;&gt;Y$2,(TowerStats!$B$57-($E27-TowerStats!$H$57))&lt;=0),"Can't Kill",ROUNDUP($D27/(TowerStats!$B$57-($E27-TowerStats!$H$57)),0))</f>
        <v>Can't Kill</v>
      </c>
      <c r="Z27" s="228" t="str">
        <f>IF(OR($K27&lt;&gt;Z$2,(TowerStats!$B$58-($E27-TowerStats!$H$58))&lt;=0),"Can't Kill",ROUNDUP($D27/(TowerStats!$B$58-($E27-TowerStats!$H$58)),0))</f>
        <v>Can't Kill</v>
      </c>
      <c r="AA27" s="230">
        <f>IF(OR($K27&lt;&gt;AA$2,(TowerStats!$B$69-($E27-TowerStats!$H$69))&lt;=0),"Can't Kill",ROUNDUP($D27/(TowerStats!$B$69-($E27-TowerStats!$H$69)),0))</f>
        <v>79</v>
      </c>
      <c r="AB27" s="229">
        <f>IF(OR($K27&lt;&gt;AB$2,(TowerStats!$B$70-($E27-TowerStats!$H$70))&lt;=0),"Can't Kill",ROUNDUP($D27/(TowerStats!$B$70-($E27-TowerStats!$H$70)),0))</f>
        <v>20</v>
      </c>
      <c r="AC27" s="229">
        <f>IF(OR($K27&lt;&gt;AC$2,(TowerStats!$B$71-($E27-TowerStats!$H$71))&lt;=0),"Can't Kill",ROUNDUP($D27/(TowerStats!$B$71-($E27-TowerStats!$H$71)),0))</f>
        <v>10</v>
      </c>
      <c r="AD27" s="229">
        <f>IF(OR($K27&lt;&gt;AD$2,(TowerStats!$B$72-($E27-TowerStats!$H$72))&lt;=0),"Can't Kill",ROUNDUP($D27/(TowerStats!$B$72-($E27-TowerStats!$H$72)),0))</f>
        <v>8</v>
      </c>
      <c r="AE27" s="228">
        <f>IF(OR($K27&lt;&gt;AE$2,(TowerStats!$B$73-($E27-TowerStats!$H$73))&lt;=0),"Can't Kill",ROUNDUP($D27/(TowerStats!$B$73-($E27-TowerStats!$H$73)),0))</f>
        <v>8</v>
      </c>
      <c r="AF27" s="230">
        <f>IF(OR($K27&lt;&gt;AF$2,(TowerStats!$B$84-($E27-TowerStats!$H$84))&lt;=0),"Can't Kill",ROUNDUP($D27/(TowerStats!$B$84-($E27-TowerStats!$H$84)),0))</f>
        <v>14</v>
      </c>
      <c r="AG27" s="229">
        <f>IF(OR($K27&lt;&gt;AG$2,(TowerStats!$B$85-($E27-TowerStats!$H$85))&lt;=0),"Can't Kill",ROUNDUP($D27/(TowerStats!$B$85-($E27-TowerStats!$H$85)),0))</f>
        <v>7</v>
      </c>
      <c r="AH27" s="229">
        <f>IF(OR($K27&lt;&gt;AH$2,(TowerStats!$B$86-($E27-TowerStats!$H$86))&lt;=0),"Can't Kill",ROUNDUP($D27/(TowerStats!$B$86-($E27-TowerStats!$H$86)),0))</f>
        <v>4</v>
      </c>
      <c r="AI27" s="229">
        <f>IF(OR($K27&lt;&gt;AI$2,(TowerStats!$B$87-($E27-TowerStats!$H$87))&lt;=0),"Can't Kill",ROUNDUP($D27/(TowerStats!$B$87-($E27-TowerStats!$H$87)),0))</f>
        <v>3</v>
      </c>
      <c r="AJ27" s="228">
        <f>IF(OR($K27&lt;&gt;AJ$2,(TowerStats!$B$88-($E27-TowerStats!$H$88))&lt;=0),"Can't Kill",ROUNDUP($D27/(TowerStats!$B$88-($E27-TowerStats!$H$88)),0))</f>
        <v>4</v>
      </c>
      <c r="AK27" s="230">
        <f>IF(OR($K27&lt;&gt;AK$2,(TowerStats!$B$100-($E27-TowerStats!$H$100))&lt;=0),"Can't Kill",ROUNDUP($D27/(TowerStats!$B$100-($E27-TowerStats!$H$100)),0))</f>
        <v>16</v>
      </c>
      <c r="AL27" s="229">
        <f>IF(OR($K27&lt;&gt;AL$2,(TowerStats!$B$101-($E27-TowerStats!$H$101))&lt;=0),"Can't Kill",ROUNDUP($D27/(TowerStats!$B$101-($E27-TowerStats!$H$101)),0))</f>
        <v>8</v>
      </c>
      <c r="AM27" s="229">
        <f>IF(OR($K27&lt;&gt;AM$2,(TowerStats!$B$102-($E27-TowerStats!$H$102))&lt;=0),"Can't Kill",ROUNDUP($D27/(TowerStats!$B$102-($E27-TowerStats!$H$102)),0))</f>
        <v>5</v>
      </c>
      <c r="AN27" s="229">
        <f>IF(OR($K27&lt;&gt;AN$2,(TowerStats!$B$103-($E27-TowerStats!$H$103))&lt;=0),"Can't Kill",ROUNDUP($D27/(TowerStats!$B$103-($E27-TowerStats!$H$103)),0))</f>
        <v>2</v>
      </c>
      <c r="AO27" s="228">
        <f>IF(OR($K27&lt;&gt;AO$2,(TowerStats!$B$104-($E27-TowerStats!$H$104))&lt;=0),"Can't Kill",ROUNDUP($D27/(TowerStats!$B$104-($E27-TowerStats!$H$104)),0))</f>
        <v>3</v>
      </c>
    </row>
    <row r="28" spans="2:41" ht="13.5" x14ac:dyDescent="0.15">
      <c r="B28" s="233" t="s">
        <v>85</v>
      </c>
      <c r="C28" s="232">
        <f>VLOOKUP($B28,'Monsters Stats'!$B$8:$L$70,2,FALSE)</f>
        <v>15</v>
      </c>
      <c r="D28" s="232">
        <f>VLOOKUP($B28,'Monsters Stats'!$B$8:$L$70,3,FALSE)</f>
        <v>70</v>
      </c>
      <c r="E28" s="232">
        <f>VLOOKUP($B28,'Monsters Stats'!$B$8:$L$70,4,FALSE)</f>
        <v>10</v>
      </c>
      <c r="F28" s="232">
        <f>VLOOKUP($B28,'Monsters Stats'!$B$8:$L$70,5,FALSE)</f>
        <v>1</v>
      </c>
      <c r="G28" s="232">
        <f>VLOOKUP($B28,'Monsters Stats'!$B$8:$L$70,6,FALSE)</f>
        <v>1.3</v>
      </c>
      <c r="H28" s="232">
        <f>VLOOKUP($B28,'Monsters Stats'!$B$8:$L$70,7,FALSE)</f>
        <v>45</v>
      </c>
      <c r="I28" s="232">
        <f>VLOOKUP($B28,'Monsters Stats'!$B$8:$L$70,8,FALSE)</f>
        <v>0.6</v>
      </c>
      <c r="J28" s="232">
        <f>VLOOKUP($B28,'Monsters Stats'!$B$8:$L$70,9,FALSE)</f>
        <v>0</v>
      </c>
      <c r="K28" s="231">
        <f>VLOOKUP($B28,'Monsters Stats'!$B$8:$L$70,11,FALSE)</f>
        <v>0</v>
      </c>
      <c r="L28" s="230" t="str">
        <f>IF(OR($K28&lt;&gt;L$2,(TowerStats!$B$29-($E28-TowerStats!$H$29))&lt;=0),"Can't Kill",ROUNDUP($D28/(TowerStats!$B$29-($E28-TowerStats!$H$29)),0))</f>
        <v>Can't Kill</v>
      </c>
      <c r="M28" s="229" t="str">
        <f>IF(OR($K28&lt;&gt;M$2,(TowerStats!$B$30-($E28-TowerStats!$H$30))&lt;=0),"Can't Kill",ROUNDUP($D28/(TowerStats!$B$30-($E28-TowerStats!$H$30)),0))</f>
        <v>Can't Kill</v>
      </c>
      <c r="N28" s="229" t="str">
        <f>IF(OR($K28&lt;&gt;N$2,(TowerStats!$B$31-($E28-TowerStats!$H$31))&lt;=0),"Can't Kill",ROUNDUP($D28/(TowerStats!$B$31-($E28-TowerStats!$H$31)),0))</f>
        <v>Can't Kill</v>
      </c>
      <c r="O28" s="229" t="str">
        <f>IF(OR($K28&lt;&gt;O$2,(TowerStats!$B$32-($E28-TowerStats!$H$32))&lt;=0),"Can't Kill",ROUNDUP($D28/(TowerStats!$B$32-($E28-TowerStats!$H$32)),0))</f>
        <v>Can't Kill</v>
      </c>
      <c r="P28" s="228" t="str">
        <f>IF(OR($K28&lt;&gt;P$2,(TowerStats!$B$33-($E28-TowerStats!$H$33))&lt;=0),"Can't Kill",ROUNDUP($D28/(TowerStats!$B$33-($E28-TowerStats!$H$33)),0))</f>
        <v>Can't Kill</v>
      </c>
      <c r="Q28" s="230">
        <f>IF(OR($K28&lt;&gt;Q$2,(TowerStats!$B$40-($E28-TowerStats!$H$40))&lt;=0),"Can't Kill",ROUNDUP($D28/(TowerStats!$B$40-($E28-TowerStats!$H$40)),0))</f>
        <v>35</v>
      </c>
      <c r="R28" s="229">
        <f>IF(OR($K28&lt;&gt;R$2,(TowerStats!$B$41-($E28-TowerStats!$H$41))&lt;=0),"Can't Kill",ROUNDUP($D28/(TowerStats!$B$41-($E28-TowerStats!$H$41)),0))</f>
        <v>18</v>
      </c>
      <c r="S28" s="229">
        <f>IF(OR($K28&lt;&gt;S$2,(TowerStats!$B$42-($E28-TowerStats!$H$42))&lt;=0),"Can't Kill",ROUNDUP($D28/(TowerStats!$B$42-($E28-TowerStats!$H$42)),0))</f>
        <v>12</v>
      </c>
      <c r="T28" s="229">
        <f>IF(OR($K28&lt;&gt;T$2,(TowerStats!$B$43-($E28-TowerStats!$H$43))&lt;=0),"Can't Kill",ROUNDUP($D28/(TowerStats!$B$43-($E28-TowerStats!$H$43)),0))</f>
        <v>8</v>
      </c>
      <c r="U28" s="228">
        <f>IF(OR($K28&lt;&gt;U$2,(TowerStats!$B$44-($E28-TowerStats!$H$44))&lt;=0),"Can't Kill",ROUNDUP($D28/(TowerStats!$B$44-($E28-TowerStats!$H$44)),0))</f>
        <v>4</v>
      </c>
      <c r="V28" s="230" t="str">
        <f>IF(OR($K28&lt;&gt;V$2,(TowerStats!$B$54-($E28-TowerStats!$H$54))&lt;=0),"Can't Kill",ROUNDUP($D28/(TowerStats!$B$54-($E28-TowerStats!$H$54)),0))</f>
        <v>Can't Kill</v>
      </c>
      <c r="W28" s="229" t="str">
        <f>IF(OR($K28&lt;&gt;W$2,(TowerStats!$B$55-($E28-TowerStats!$H$55))&lt;=0),"Can't Kill",ROUNDUP($D28/(TowerStats!$B$55-($E28-TowerStats!$H$55)),0))</f>
        <v>Can't Kill</v>
      </c>
      <c r="X28" s="229" t="str">
        <f>IF(OR($K28&lt;&gt;X$2,(TowerStats!$B$56-($E28-TowerStats!$H$56))&lt;=0),"Can't Kill",ROUNDUP($D28/(TowerStats!$B$56-($E28-TowerStats!$H$56)),0))</f>
        <v>Can't Kill</v>
      </c>
      <c r="Y28" s="229" t="str">
        <f>IF(OR($K28&lt;&gt;Y$2,(TowerStats!$B$57-($E28-TowerStats!$H$57))&lt;=0),"Can't Kill",ROUNDUP($D28/(TowerStats!$B$57-($E28-TowerStats!$H$57)),0))</f>
        <v>Can't Kill</v>
      </c>
      <c r="Z28" s="228" t="str">
        <f>IF(OR($K28&lt;&gt;Z$2,(TowerStats!$B$58-($E28-TowerStats!$H$58))&lt;=0),"Can't Kill",ROUNDUP($D28/(TowerStats!$B$58-($E28-TowerStats!$H$58)),0))</f>
        <v>Can't Kill</v>
      </c>
      <c r="AA28" s="230" t="str">
        <f>IF(OR($K28&lt;&gt;AA$2,(TowerStats!$B$69-($E28-TowerStats!$H$69))&lt;=0),"Can't Kill",ROUNDUP($D28/(TowerStats!$B$69-($E28-TowerStats!$H$69)),0))</f>
        <v>Can't Kill</v>
      </c>
      <c r="AB28" s="229" t="str">
        <f>IF(OR($K28&lt;&gt;AB$2,(TowerStats!$B$70-($E28-TowerStats!$H$70))&lt;=0),"Can't Kill",ROUNDUP($D28/(TowerStats!$B$70-($E28-TowerStats!$H$70)),0))</f>
        <v>Can't Kill</v>
      </c>
      <c r="AC28" s="229" t="str">
        <f>IF(OR($K28&lt;&gt;AC$2,(TowerStats!$B$71-($E28-TowerStats!$H$71))&lt;=0),"Can't Kill",ROUNDUP($D28/(TowerStats!$B$71-($E28-TowerStats!$H$71)),0))</f>
        <v>Can't Kill</v>
      </c>
      <c r="AD28" s="229" t="str">
        <f>IF(OR($K28&lt;&gt;AD$2,(TowerStats!$B$72-($E28-TowerStats!$H$72))&lt;=0),"Can't Kill",ROUNDUP($D28/(TowerStats!$B$72-($E28-TowerStats!$H$72)),0))</f>
        <v>Can't Kill</v>
      </c>
      <c r="AE28" s="228" t="str">
        <f>IF(OR($K28&lt;&gt;AE$2,(TowerStats!$B$73-($E28-TowerStats!$H$73))&lt;=0),"Can't Kill",ROUNDUP($D28/(TowerStats!$B$73-($E28-TowerStats!$H$73)),0))</f>
        <v>Can't Kill</v>
      </c>
      <c r="AF28" s="230" t="str">
        <f>IF(OR($K28&lt;&gt;AF$2,(TowerStats!$B$84-($E28-TowerStats!$H$84))&lt;=0),"Can't Kill",ROUNDUP($D28/(TowerStats!$B$84-($E28-TowerStats!$H$84)),0))</f>
        <v>Can't Kill</v>
      </c>
      <c r="AG28" s="229" t="str">
        <f>IF(OR($K28&lt;&gt;AG$2,(TowerStats!$B$85-($E28-TowerStats!$H$85))&lt;=0),"Can't Kill",ROUNDUP($D28/(TowerStats!$B$85-($E28-TowerStats!$H$85)),0))</f>
        <v>Can't Kill</v>
      </c>
      <c r="AH28" s="229" t="str">
        <f>IF(OR($K28&lt;&gt;AH$2,(TowerStats!$B$86-($E28-TowerStats!$H$86))&lt;=0),"Can't Kill",ROUNDUP($D28/(TowerStats!$B$86-($E28-TowerStats!$H$86)),0))</f>
        <v>Can't Kill</v>
      </c>
      <c r="AI28" s="229" t="str">
        <f>IF(OR($K28&lt;&gt;AI$2,(TowerStats!$B$87-($E28-TowerStats!$H$87))&lt;=0),"Can't Kill",ROUNDUP($D28/(TowerStats!$B$87-($E28-TowerStats!$H$87)),0))</f>
        <v>Can't Kill</v>
      </c>
      <c r="AJ28" s="228" t="str">
        <f>IF(OR($K28&lt;&gt;AJ$2,(TowerStats!$B$88-($E28-TowerStats!$H$88))&lt;=0),"Can't Kill",ROUNDUP($D28/(TowerStats!$B$88-($E28-TowerStats!$H$88)),0))</f>
        <v>Can't Kill</v>
      </c>
      <c r="AK28" s="230" t="str">
        <f>IF(OR($K28&lt;&gt;AK$2,(TowerStats!$B$100-($E28-TowerStats!$H$100))&lt;=0),"Can't Kill",ROUNDUP($D28/(TowerStats!$B$100-($E28-TowerStats!$H$100)),0))</f>
        <v>Can't Kill</v>
      </c>
      <c r="AL28" s="229" t="str">
        <f>IF(OR($K28&lt;&gt;AL$2,(TowerStats!$B$101-($E28-TowerStats!$H$101))&lt;=0),"Can't Kill",ROUNDUP($D28/(TowerStats!$B$101-($E28-TowerStats!$H$101)),0))</f>
        <v>Can't Kill</v>
      </c>
      <c r="AM28" s="229" t="str">
        <f>IF(OR($K28&lt;&gt;AM$2,(TowerStats!$B$102-($E28-TowerStats!$H$102))&lt;=0),"Can't Kill",ROUNDUP($D28/(TowerStats!$B$102-($E28-TowerStats!$H$102)),0))</f>
        <v>Can't Kill</v>
      </c>
      <c r="AN28" s="229" t="str">
        <f>IF(OR($K28&lt;&gt;AN$2,(TowerStats!$B$103-($E28-TowerStats!$H$103))&lt;=0),"Can't Kill",ROUNDUP($D28/(TowerStats!$B$103-($E28-TowerStats!$H$103)),0))</f>
        <v>Can't Kill</v>
      </c>
      <c r="AO28" s="228" t="str">
        <f>IF(OR($K28&lt;&gt;AO$2,(TowerStats!$B$104-($E28-TowerStats!$H$104))&lt;=0),"Can't Kill",ROUNDUP($D28/(TowerStats!$B$104-($E28-TowerStats!$H$104)),0))</f>
        <v>Can't Kill</v>
      </c>
    </row>
    <row r="29" spans="2:41" ht="13.5" x14ac:dyDescent="0.15">
      <c r="B29" s="233" t="s">
        <v>191</v>
      </c>
      <c r="C29" s="232">
        <f>VLOOKUP($B29,'Monsters Stats'!$B$8:$L$70,2,FALSE)</f>
        <v>20</v>
      </c>
      <c r="D29" s="232">
        <f>VLOOKUP($B29,'Monsters Stats'!$B$8:$L$70,3,FALSE)</f>
        <v>105</v>
      </c>
      <c r="E29" s="232">
        <f>VLOOKUP($B29,'Monsters Stats'!$B$8:$L$70,4,FALSE)</f>
        <v>11</v>
      </c>
      <c r="F29" s="232">
        <f>VLOOKUP($B29,'Monsters Stats'!$B$8:$L$70,5,FALSE)</f>
        <v>1</v>
      </c>
      <c r="G29" s="232">
        <f>VLOOKUP($B29,'Monsters Stats'!$B$8:$L$70,6,FALSE)</f>
        <v>1.2000000000000002</v>
      </c>
      <c r="H29" s="232">
        <f>VLOOKUP($B29,'Monsters Stats'!$B$8:$L$70,7,FALSE)</f>
        <v>59</v>
      </c>
      <c r="I29" s="232">
        <f>VLOOKUP($B29,'Monsters Stats'!$B$8:$L$70,8,FALSE)</f>
        <v>0.7</v>
      </c>
      <c r="J29" s="232">
        <f>VLOOKUP($B29,'Monsters Stats'!$B$8:$L$70,9,FALSE)</f>
        <v>0</v>
      </c>
      <c r="K29" s="231">
        <f>VLOOKUP($B29,'Monsters Stats'!$B$8:$L$70,11,FALSE)</f>
        <v>0</v>
      </c>
      <c r="L29" s="230" t="str">
        <f>IF(OR($K29&lt;&gt;L$2,(TowerStats!$B$29-($E29-TowerStats!$H$29))&lt;=0),"Can't Kill",ROUNDUP($D29/(TowerStats!$B$29-($E29-TowerStats!$H$29)),0))</f>
        <v>Can't Kill</v>
      </c>
      <c r="M29" s="229" t="str">
        <f>IF(OR($K29&lt;&gt;M$2,(TowerStats!$B$30-($E29-TowerStats!$H$30))&lt;=0),"Can't Kill",ROUNDUP($D29/(TowerStats!$B$30-($E29-TowerStats!$H$30)),0))</f>
        <v>Can't Kill</v>
      </c>
      <c r="N29" s="229" t="str">
        <f>IF(OR($K29&lt;&gt;N$2,(TowerStats!$B$31-($E29-TowerStats!$H$31))&lt;=0),"Can't Kill",ROUNDUP($D29/(TowerStats!$B$31-($E29-TowerStats!$H$31)),0))</f>
        <v>Can't Kill</v>
      </c>
      <c r="O29" s="229" t="str">
        <f>IF(OR($K29&lt;&gt;O$2,(TowerStats!$B$32-($E29-TowerStats!$H$32))&lt;=0),"Can't Kill",ROUNDUP($D29/(TowerStats!$B$32-($E29-TowerStats!$H$32)),0))</f>
        <v>Can't Kill</v>
      </c>
      <c r="P29" s="228" t="str">
        <f>IF(OR($K29&lt;&gt;P$2,(TowerStats!$B$33-($E29-TowerStats!$H$33))&lt;=0),"Can't Kill",ROUNDUP($D29/(TowerStats!$B$33-($E29-TowerStats!$H$33)),0))</f>
        <v>Can't Kill</v>
      </c>
      <c r="Q29" s="230">
        <f>IF(OR($K29&lt;&gt;Q$2,(TowerStats!$B$40-($E29-TowerStats!$H$40))&lt;=0),"Can't Kill",ROUNDUP($D29/(TowerStats!$B$40-($E29-TowerStats!$H$40)),0))</f>
        <v>105</v>
      </c>
      <c r="R29" s="229">
        <f>IF(OR($K29&lt;&gt;R$2,(TowerStats!$B$41-($E29-TowerStats!$H$41))&lt;=0),"Can't Kill",ROUNDUP($D29/(TowerStats!$B$41-($E29-TowerStats!$H$41)),0))</f>
        <v>35</v>
      </c>
      <c r="S29" s="229">
        <f>IF(OR($K29&lt;&gt;S$2,(TowerStats!$B$42-($E29-TowerStats!$H$42))&lt;=0),"Can't Kill",ROUNDUP($D29/(TowerStats!$B$42-($E29-TowerStats!$H$42)),0))</f>
        <v>21</v>
      </c>
      <c r="T29" s="229">
        <f>IF(OR($K29&lt;&gt;T$2,(TowerStats!$B$43-($E29-TowerStats!$H$43))&lt;=0),"Can't Kill",ROUNDUP($D29/(TowerStats!$B$43-($E29-TowerStats!$H$43)),0))</f>
        <v>14</v>
      </c>
      <c r="U29" s="228">
        <f>IF(OR($K29&lt;&gt;U$2,(TowerStats!$B$44-($E29-TowerStats!$H$44))&lt;=0),"Can't Kill",ROUNDUP($D29/(TowerStats!$B$44-($E29-TowerStats!$H$44)),0))</f>
        <v>6</v>
      </c>
      <c r="V29" s="230" t="str">
        <f>IF(OR($K29&lt;&gt;V$2,(TowerStats!$B$54-($E29-TowerStats!$H$54))&lt;=0),"Can't Kill",ROUNDUP($D29/(TowerStats!$B$54-($E29-TowerStats!$H$54)),0))</f>
        <v>Can't Kill</v>
      </c>
      <c r="W29" s="229" t="str">
        <f>IF(OR($K29&lt;&gt;W$2,(TowerStats!$B$55-($E29-TowerStats!$H$55))&lt;=0),"Can't Kill",ROUNDUP($D29/(TowerStats!$B$55-($E29-TowerStats!$H$55)),0))</f>
        <v>Can't Kill</v>
      </c>
      <c r="X29" s="229" t="str">
        <f>IF(OR($K29&lt;&gt;X$2,(TowerStats!$B$56-($E29-TowerStats!$H$56))&lt;=0),"Can't Kill",ROUNDUP($D29/(TowerStats!$B$56-($E29-TowerStats!$H$56)),0))</f>
        <v>Can't Kill</v>
      </c>
      <c r="Y29" s="229" t="str">
        <f>IF(OR($K29&lt;&gt;Y$2,(TowerStats!$B$57-($E29-TowerStats!$H$57))&lt;=0),"Can't Kill",ROUNDUP($D29/(TowerStats!$B$57-($E29-TowerStats!$H$57)),0))</f>
        <v>Can't Kill</v>
      </c>
      <c r="Z29" s="228" t="str">
        <f>IF(OR($K29&lt;&gt;Z$2,(TowerStats!$B$58-($E29-TowerStats!$H$58))&lt;=0),"Can't Kill",ROUNDUP($D29/(TowerStats!$B$58-($E29-TowerStats!$H$58)),0))</f>
        <v>Can't Kill</v>
      </c>
      <c r="AA29" s="230" t="str">
        <f>IF(OR($K29&lt;&gt;AA$2,(TowerStats!$B$69-($E29-TowerStats!$H$69))&lt;=0),"Can't Kill",ROUNDUP($D29/(TowerStats!$B$69-($E29-TowerStats!$H$69)),0))</f>
        <v>Can't Kill</v>
      </c>
      <c r="AB29" s="229" t="str">
        <f>IF(OR($K29&lt;&gt;AB$2,(TowerStats!$B$70-($E29-TowerStats!$H$70))&lt;=0),"Can't Kill",ROUNDUP($D29/(TowerStats!$B$70-($E29-TowerStats!$H$70)),0))</f>
        <v>Can't Kill</v>
      </c>
      <c r="AC29" s="229" t="str">
        <f>IF(OR($K29&lt;&gt;AC$2,(TowerStats!$B$71-($E29-TowerStats!$H$71))&lt;=0),"Can't Kill",ROUNDUP($D29/(TowerStats!$B$71-($E29-TowerStats!$H$71)),0))</f>
        <v>Can't Kill</v>
      </c>
      <c r="AD29" s="229" t="str">
        <f>IF(OR($K29&lt;&gt;AD$2,(TowerStats!$B$72-($E29-TowerStats!$H$72))&lt;=0),"Can't Kill",ROUNDUP($D29/(TowerStats!$B$72-($E29-TowerStats!$H$72)),0))</f>
        <v>Can't Kill</v>
      </c>
      <c r="AE29" s="228" t="str">
        <f>IF(OR($K29&lt;&gt;AE$2,(TowerStats!$B$73-($E29-TowerStats!$H$73))&lt;=0),"Can't Kill",ROUNDUP($D29/(TowerStats!$B$73-($E29-TowerStats!$H$73)),0))</f>
        <v>Can't Kill</v>
      </c>
      <c r="AF29" s="230" t="str">
        <f>IF(OR($K29&lt;&gt;AF$2,(TowerStats!$B$84-($E29-TowerStats!$H$84))&lt;=0),"Can't Kill",ROUNDUP($D29/(TowerStats!$B$84-($E29-TowerStats!$H$84)),0))</f>
        <v>Can't Kill</v>
      </c>
      <c r="AG29" s="229" t="str">
        <f>IF(OR($K29&lt;&gt;AG$2,(TowerStats!$B$85-($E29-TowerStats!$H$85))&lt;=0),"Can't Kill",ROUNDUP($D29/(TowerStats!$B$85-($E29-TowerStats!$H$85)),0))</f>
        <v>Can't Kill</v>
      </c>
      <c r="AH29" s="229" t="str">
        <f>IF(OR($K29&lt;&gt;AH$2,(TowerStats!$B$86-($E29-TowerStats!$H$86))&lt;=0),"Can't Kill",ROUNDUP($D29/(TowerStats!$B$86-($E29-TowerStats!$H$86)),0))</f>
        <v>Can't Kill</v>
      </c>
      <c r="AI29" s="229" t="str">
        <f>IF(OR($K29&lt;&gt;AI$2,(TowerStats!$B$87-($E29-TowerStats!$H$87))&lt;=0),"Can't Kill",ROUNDUP($D29/(TowerStats!$B$87-($E29-TowerStats!$H$87)),0))</f>
        <v>Can't Kill</v>
      </c>
      <c r="AJ29" s="228" t="str">
        <f>IF(OR($K29&lt;&gt;AJ$2,(TowerStats!$B$88-($E29-TowerStats!$H$88))&lt;=0),"Can't Kill",ROUNDUP($D29/(TowerStats!$B$88-($E29-TowerStats!$H$88)),0))</f>
        <v>Can't Kill</v>
      </c>
      <c r="AK29" s="230" t="str">
        <f>IF(OR($K29&lt;&gt;AK$2,(TowerStats!$B$100-($E29-TowerStats!$H$100))&lt;=0),"Can't Kill",ROUNDUP($D29/(TowerStats!$B$100-($E29-TowerStats!$H$100)),0))</f>
        <v>Can't Kill</v>
      </c>
      <c r="AL29" s="229" t="str">
        <f>IF(OR($K29&lt;&gt;AL$2,(TowerStats!$B$101-($E29-TowerStats!$H$101))&lt;=0),"Can't Kill",ROUNDUP($D29/(TowerStats!$B$101-($E29-TowerStats!$H$101)),0))</f>
        <v>Can't Kill</v>
      </c>
      <c r="AM29" s="229" t="str">
        <f>IF(OR($K29&lt;&gt;AM$2,(TowerStats!$B$102-($E29-TowerStats!$H$102))&lt;=0),"Can't Kill",ROUNDUP($D29/(TowerStats!$B$102-($E29-TowerStats!$H$102)),0))</f>
        <v>Can't Kill</v>
      </c>
      <c r="AN29" s="229" t="str">
        <f>IF(OR($K29&lt;&gt;AN$2,(TowerStats!$B$103-($E29-TowerStats!$H$103))&lt;=0),"Can't Kill",ROUNDUP($D29/(TowerStats!$B$103-($E29-TowerStats!$H$103)),0))</f>
        <v>Can't Kill</v>
      </c>
      <c r="AO29" s="228" t="str">
        <f>IF(OR($K29&lt;&gt;AO$2,(TowerStats!$B$104-($E29-TowerStats!$H$104))&lt;=0),"Can't Kill",ROUNDUP($D29/(TowerStats!$B$104-($E29-TowerStats!$H$104)),0))</f>
        <v>Can't Kill</v>
      </c>
    </row>
    <row r="30" spans="2:41" thickBot="1" x14ac:dyDescent="0.2">
      <c r="B30" s="227" t="s">
        <v>192</v>
      </c>
      <c r="C30" s="226">
        <f>VLOOKUP($B30,'Monsters Stats'!$B$8:$L$70,2,FALSE)</f>
        <v>26</v>
      </c>
      <c r="D30" s="226">
        <f>VLOOKUP($B30,'Monsters Stats'!$B$8:$L$70,3,FALSE)</f>
        <v>158</v>
      </c>
      <c r="E30" s="226">
        <f>VLOOKUP($B30,'Monsters Stats'!$B$8:$L$70,4,FALSE)</f>
        <v>13</v>
      </c>
      <c r="F30" s="226">
        <f>VLOOKUP($B30,'Monsters Stats'!$B$8:$L$70,5,FALSE)</f>
        <v>1</v>
      </c>
      <c r="G30" s="226">
        <f>VLOOKUP($B30,'Monsters Stats'!$B$8:$L$70,6,FALSE)</f>
        <v>1</v>
      </c>
      <c r="H30" s="226">
        <f>VLOOKUP($B30,'Monsters Stats'!$B$8:$L$70,7,FALSE)</f>
        <v>77</v>
      </c>
      <c r="I30" s="226">
        <f>VLOOKUP($B30,'Monsters Stats'!$B$8:$L$70,8,FALSE)</f>
        <v>0.79999999999999993</v>
      </c>
      <c r="J30" s="226">
        <f>VLOOKUP($B30,'Monsters Stats'!$B$8:$L$70,9,FALSE)</f>
        <v>0</v>
      </c>
      <c r="K30" s="225">
        <f>VLOOKUP($B30,'Monsters Stats'!$B$8:$L$70,11,FALSE)</f>
        <v>0</v>
      </c>
      <c r="L30" s="224" t="str">
        <f>IF(OR($K30&lt;&gt;L$2,(TowerStats!$B$29-($E30-TowerStats!$H$29))&lt;=0),"Can't Kill",ROUNDUP($D30/(TowerStats!$B$29-($E30-TowerStats!$H$29)),0))</f>
        <v>Can't Kill</v>
      </c>
      <c r="M30" s="223" t="str">
        <f>IF(OR($K30&lt;&gt;M$2,(TowerStats!$B$30-($E30-TowerStats!$H$30))&lt;=0),"Can't Kill",ROUNDUP($D30/(TowerStats!$B$30-($E30-TowerStats!$H$30)),0))</f>
        <v>Can't Kill</v>
      </c>
      <c r="N30" s="223" t="str">
        <f>IF(OR($K30&lt;&gt;N$2,(TowerStats!$B$31-($E30-TowerStats!$H$31))&lt;=0),"Can't Kill",ROUNDUP($D30/(TowerStats!$B$31-($E30-TowerStats!$H$31)),0))</f>
        <v>Can't Kill</v>
      </c>
      <c r="O30" s="223" t="str">
        <f>IF(OR($K30&lt;&gt;O$2,(TowerStats!$B$32-($E30-TowerStats!$H$32))&lt;=0),"Can't Kill",ROUNDUP($D30/(TowerStats!$B$32-($E30-TowerStats!$H$32)),0))</f>
        <v>Can't Kill</v>
      </c>
      <c r="P30" s="222" t="str">
        <f>IF(OR($K30&lt;&gt;P$2,(TowerStats!$B$33-($E30-TowerStats!$H$33))&lt;=0),"Can't Kill",ROUNDUP($D30/(TowerStats!$B$33-($E30-TowerStats!$H$33)),0))</f>
        <v>Can't Kill</v>
      </c>
      <c r="Q30" s="224" t="str">
        <f>IF(OR($K30&lt;&gt;Q$2,(TowerStats!$B$40-($E30-TowerStats!$H$40))&lt;=0),"Can't Kill",ROUNDUP($D30/(TowerStats!$B$40-($E30-TowerStats!$H$40)),0))</f>
        <v>Can't Kill</v>
      </c>
      <c r="R30" s="223">
        <f>IF(OR($K30&lt;&gt;R$2,(TowerStats!$B$41-($E30-TowerStats!$H$41))&lt;=0),"Can't Kill",ROUNDUP($D30/(TowerStats!$B$41-($E30-TowerStats!$H$41)),0))</f>
        <v>158</v>
      </c>
      <c r="S30" s="223">
        <f>IF(OR($K30&lt;&gt;S$2,(TowerStats!$B$42-($E30-TowerStats!$H$42))&lt;=0),"Can't Kill",ROUNDUP($D30/(TowerStats!$B$42-($E30-TowerStats!$H$42)),0))</f>
        <v>53</v>
      </c>
      <c r="T30" s="223">
        <f>IF(OR($K30&lt;&gt;T$2,(TowerStats!$B$43-($E30-TowerStats!$H$43))&lt;=0),"Can't Kill",ROUNDUP($D30/(TowerStats!$B$43-($E30-TowerStats!$H$43)),0))</f>
        <v>27</v>
      </c>
      <c r="U30" s="222">
        <f>IF(OR($K30&lt;&gt;U$2,(TowerStats!$B$44-($E30-TowerStats!$H$44))&lt;=0),"Can't Kill",ROUNDUP($D30/(TowerStats!$B$44-($E30-TowerStats!$H$44)),0))</f>
        <v>10</v>
      </c>
      <c r="V30" s="224" t="str">
        <f>IF(OR($K30&lt;&gt;V$2,(TowerStats!$B$54-($E30-TowerStats!$H$54))&lt;=0),"Can't Kill",ROUNDUP($D30/(TowerStats!$B$54-($E30-TowerStats!$H$54)),0))</f>
        <v>Can't Kill</v>
      </c>
      <c r="W30" s="223" t="str">
        <f>IF(OR($K30&lt;&gt;W$2,(TowerStats!$B$55-($E30-TowerStats!$H$55))&lt;=0),"Can't Kill",ROUNDUP($D30/(TowerStats!$B$55-($E30-TowerStats!$H$55)),0))</f>
        <v>Can't Kill</v>
      </c>
      <c r="X30" s="223" t="str">
        <f>IF(OR($K30&lt;&gt;X$2,(TowerStats!$B$56-($E30-TowerStats!$H$56))&lt;=0),"Can't Kill",ROUNDUP($D30/(TowerStats!$B$56-($E30-TowerStats!$H$56)),0))</f>
        <v>Can't Kill</v>
      </c>
      <c r="Y30" s="223" t="str">
        <f>IF(OR($K30&lt;&gt;Y$2,(TowerStats!$B$57-($E30-TowerStats!$H$57))&lt;=0),"Can't Kill",ROUNDUP($D30/(TowerStats!$B$57-($E30-TowerStats!$H$57)),0))</f>
        <v>Can't Kill</v>
      </c>
      <c r="Z30" s="222" t="str">
        <f>IF(OR($K30&lt;&gt;Z$2,(TowerStats!$B$58-($E30-TowerStats!$H$58))&lt;=0),"Can't Kill",ROUNDUP($D30/(TowerStats!$B$58-($E30-TowerStats!$H$58)),0))</f>
        <v>Can't Kill</v>
      </c>
      <c r="AA30" s="224" t="str">
        <f>IF(OR($K30&lt;&gt;AA$2,(TowerStats!$B$69-($E30-TowerStats!$H$69))&lt;=0),"Can't Kill",ROUNDUP($D30/(TowerStats!$B$69-($E30-TowerStats!$H$69)),0))</f>
        <v>Can't Kill</v>
      </c>
      <c r="AB30" s="223" t="str">
        <f>IF(OR($K30&lt;&gt;AB$2,(TowerStats!$B$70-($E30-TowerStats!$H$70))&lt;=0),"Can't Kill",ROUNDUP($D30/(TowerStats!$B$70-($E30-TowerStats!$H$70)),0))</f>
        <v>Can't Kill</v>
      </c>
      <c r="AC30" s="223" t="str">
        <f>IF(OR($K30&lt;&gt;AC$2,(TowerStats!$B$71-($E30-TowerStats!$H$71))&lt;=0),"Can't Kill",ROUNDUP($D30/(TowerStats!$B$71-($E30-TowerStats!$H$71)),0))</f>
        <v>Can't Kill</v>
      </c>
      <c r="AD30" s="223" t="str">
        <f>IF(OR($K30&lt;&gt;AD$2,(TowerStats!$B$72-($E30-TowerStats!$H$72))&lt;=0),"Can't Kill",ROUNDUP($D30/(TowerStats!$B$72-($E30-TowerStats!$H$72)),0))</f>
        <v>Can't Kill</v>
      </c>
      <c r="AE30" s="222" t="str">
        <f>IF(OR($K30&lt;&gt;AE$2,(TowerStats!$B$73-($E30-TowerStats!$H$73))&lt;=0),"Can't Kill",ROUNDUP($D30/(TowerStats!$B$73-($E30-TowerStats!$H$73)),0))</f>
        <v>Can't Kill</v>
      </c>
      <c r="AF30" s="224" t="str">
        <f>IF(OR($K30&lt;&gt;AF$2,(TowerStats!$B$84-($E30-TowerStats!$H$84))&lt;=0),"Can't Kill",ROUNDUP($D30/(TowerStats!$B$84-($E30-TowerStats!$H$84)),0))</f>
        <v>Can't Kill</v>
      </c>
      <c r="AG30" s="223" t="str">
        <f>IF(OR($K30&lt;&gt;AG$2,(TowerStats!$B$85-($E30-TowerStats!$H$85))&lt;=0),"Can't Kill",ROUNDUP($D30/(TowerStats!$B$85-($E30-TowerStats!$H$85)),0))</f>
        <v>Can't Kill</v>
      </c>
      <c r="AH30" s="223" t="str">
        <f>IF(OR($K30&lt;&gt;AH$2,(TowerStats!$B$86-($E30-TowerStats!$H$86))&lt;=0),"Can't Kill",ROUNDUP($D30/(TowerStats!$B$86-($E30-TowerStats!$H$86)),0))</f>
        <v>Can't Kill</v>
      </c>
      <c r="AI30" s="223" t="str">
        <f>IF(OR($K30&lt;&gt;AI$2,(TowerStats!$B$87-($E30-TowerStats!$H$87))&lt;=0),"Can't Kill",ROUNDUP($D30/(TowerStats!$B$87-($E30-TowerStats!$H$87)),0))</f>
        <v>Can't Kill</v>
      </c>
      <c r="AJ30" s="222" t="str">
        <f>IF(OR($K30&lt;&gt;AJ$2,(TowerStats!$B$88-($E30-TowerStats!$H$88))&lt;=0),"Can't Kill",ROUNDUP($D30/(TowerStats!$B$88-($E30-TowerStats!$H$88)),0))</f>
        <v>Can't Kill</v>
      </c>
      <c r="AK30" s="224" t="str">
        <f>IF(OR($K30&lt;&gt;AK$2,(TowerStats!$B$100-($E30-TowerStats!$H$100))&lt;=0),"Can't Kill",ROUNDUP($D30/(TowerStats!$B$100-($E30-TowerStats!$H$100)),0))</f>
        <v>Can't Kill</v>
      </c>
      <c r="AL30" s="223" t="str">
        <f>IF(OR($K30&lt;&gt;AL$2,(TowerStats!$B$101-($E30-TowerStats!$H$101))&lt;=0),"Can't Kill",ROUNDUP($D30/(TowerStats!$B$101-($E30-TowerStats!$H$101)),0))</f>
        <v>Can't Kill</v>
      </c>
      <c r="AM30" s="223" t="str">
        <f>IF(OR($K30&lt;&gt;AM$2,(TowerStats!$B$102-($E30-TowerStats!$H$102))&lt;=0),"Can't Kill",ROUNDUP($D30/(TowerStats!$B$102-($E30-TowerStats!$H$102)),0))</f>
        <v>Can't Kill</v>
      </c>
      <c r="AN30" s="223" t="str">
        <f>IF(OR($K30&lt;&gt;AN$2,(TowerStats!$B$103-($E30-TowerStats!$H$103))&lt;=0),"Can't Kill",ROUNDUP($D30/(TowerStats!$B$103-($E30-TowerStats!$H$103)),0))</f>
        <v>Can't Kill</v>
      </c>
      <c r="AO30" s="222" t="str">
        <f>IF(OR($K30&lt;&gt;AO$2,(TowerStats!$B$104-($E30-TowerStats!$H$104))&lt;=0),"Can't Kill",ROUNDUP($D30/(TowerStats!$B$104-($E30-TowerStats!$H$104)),0))</f>
        <v>Can't Kill</v>
      </c>
    </row>
    <row r="60" spans="2:2" x14ac:dyDescent="0.2">
      <c r="B60" s="221" t="s">
        <v>11</v>
      </c>
    </row>
    <row r="61" spans="2:2" x14ac:dyDescent="0.2">
      <c r="B61" s="221" t="s">
        <v>71</v>
      </c>
    </row>
    <row r="62" spans="2:2" x14ac:dyDescent="0.2">
      <c r="B62" s="221" t="s">
        <v>72</v>
      </c>
    </row>
    <row r="63" spans="2:2" x14ac:dyDescent="0.2">
      <c r="B63" s="221" t="s">
        <v>12</v>
      </c>
    </row>
    <row r="64" spans="2:2" x14ac:dyDescent="0.2">
      <c r="B64" s="221" t="s">
        <v>73</v>
      </c>
    </row>
    <row r="65" spans="2:2" x14ac:dyDescent="0.2">
      <c r="B65" s="221" t="s">
        <v>74</v>
      </c>
    </row>
    <row r="66" spans="2:2" x14ac:dyDescent="0.2">
      <c r="B66" s="221" t="s">
        <v>13</v>
      </c>
    </row>
    <row r="67" spans="2:2" x14ac:dyDescent="0.2">
      <c r="B67" s="221" t="s">
        <v>196</v>
      </c>
    </row>
    <row r="68" spans="2:2" x14ac:dyDescent="0.2">
      <c r="B68" s="221" t="s">
        <v>75</v>
      </c>
    </row>
    <row r="69" spans="2:2" x14ac:dyDescent="0.2">
      <c r="B69" s="221" t="s">
        <v>14</v>
      </c>
    </row>
    <row r="70" spans="2:2" x14ac:dyDescent="0.2">
      <c r="B70" s="221" t="s">
        <v>76</v>
      </c>
    </row>
    <row r="71" spans="2:2" x14ac:dyDescent="0.2">
      <c r="B71" s="221" t="s">
        <v>77</v>
      </c>
    </row>
    <row r="72" spans="2:2" x14ac:dyDescent="0.2">
      <c r="B72" s="221" t="s">
        <v>15</v>
      </c>
    </row>
    <row r="73" spans="2:2" x14ac:dyDescent="0.2">
      <c r="B73" s="221" t="s">
        <v>78</v>
      </c>
    </row>
    <row r="74" spans="2:2" x14ac:dyDescent="0.2">
      <c r="B74" s="221" t="s">
        <v>79</v>
      </c>
    </row>
    <row r="75" spans="2:2" x14ac:dyDescent="0.2">
      <c r="B75" s="221" t="s">
        <v>16</v>
      </c>
    </row>
    <row r="76" spans="2:2" x14ac:dyDescent="0.2">
      <c r="B76" s="221" t="s">
        <v>80</v>
      </c>
    </row>
    <row r="77" spans="2:2" x14ac:dyDescent="0.2">
      <c r="B77" s="221" t="s">
        <v>81</v>
      </c>
    </row>
    <row r="78" spans="2:2" x14ac:dyDescent="0.2">
      <c r="B78" s="221" t="s">
        <v>82</v>
      </c>
    </row>
    <row r="79" spans="2:2" x14ac:dyDescent="0.2">
      <c r="B79" s="221" t="s">
        <v>151</v>
      </c>
    </row>
    <row r="80" spans="2:2" x14ac:dyDescent="0.2">
      <c r="B80" s="221" t="s">
        <v>169</v>
      </c>
    </row>
    <row r="81" spans="2:2" x14ac:dyDescent="0.2">
      <c r="B81" s="221" t="s">
        <v>17</v>
      </c>
    </row>
    <row r="82" spans="2:2" x14ac:dyDescent="0.2">
      <c r="B82" s="221" t="s">
        <v>83</v>
      </c>
    </row>
    <row r="83" spans="2:2" x14ac:dyDescent="0.2">
      <c r="B83" s="221" t="s">
        <v>84</v>
      </c>
    </row>
    <row r="84" spans="2:2" x14ac:dyDescent="0.2">
      <c r="B84" s="221" t="s">
        <v>85</v>
      </c>
    </row>
    <row r="85" spans="2:2" x14ac:dyDescent="0.2">
      <c r="B85" s="221" t="s">
        <v>191</v>
      </c>
    </row>
    <row r="86" spans="2:2" x14ac:dyDescent="0.2">
      <c r="B86" s="221" t="s">
        <v>192</v>
      </c>
    </row>
    <row r="99" spans="2:2" x14ac:dyDescent="0.2">
      <c r="B99" s="221" t="e">
        <f>#REF!</f>
        <v>#REF!</v>
      </c>
    </row>
  </sheetData>
  <phoneticPr fontId="21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AS60"/>
  <sheetViews>
    <sheetView zoomScale="80" zoomScaleNormal="80" workbookViewId="0">
      <selection activeCell="D6" sqref="D6"/>
    </sheetView>
  </sheetViews>
  <sheetFormatPr defaultColWidth="9.125" defaultRowHeight="12.75" x14ac:dyDescent="0.2"/>
  <cols>
    <col min="1" max="3" width="9.125" style="258" collapsed="1"/>
    <col min="4" max="4" width="23.625" style="258" bestFit="1" customWidth="1" collapsed="1"/>
    <col min="5" max="5" width="7.875" style="258" bestFit="1" customWidth="1" collapsed="1"/>
    <col min="6" max="6" width="5.625" style="258" bestFit="1" customWidth="1" collapsed="1"/>
    <col min="7" max="7" width="6" style="258" bestFit="1" customWidth="1" collapsed="1"/>
    <col min="8" max="8" width="6.25" style="258" bestFit="1" customWidth="1" collapsed="1"/>
    <col min="9" max="9" width="10.625" style="258" bestFit="1" customWidth="1" collapsed="1"/>
    <col min="10" max="10" width="7.75" style="258" customWidth="1" collapsed="1"/>
    <col min="11" max="11" width="6.25" style="258" bestFit="1" customWidth="1" collapsed="1"/>
    <col min="12" max="12" width="5.625" style="258" bestFit="1" customWidth="1" collapsed="1"/>
    <col min="13" max="14" width="11.125" style="258" customWidth="1" collapsed="1"/>
    <col min="15" max="15" width="24.25" style="258" bestFit="1" customWidth="1" collapsed="1"/>
    <col min="16" max="20" width="10.25" style="259" customWidth="1" collapsed="1"/>
    <col min="21" max="43" width="9.125" style="259" collapsed="1"/>
    <col min="44" max="45" width="11.25" style="259" customWidth="1" collapsed="1"/>
    <col min="46" max="16384" width="9.125" style="258" collapsed="1"/>
  </cols>
  <sheetData>
    <row r="1" spans="2:45" ht="13.5" thickBot="1" x14ac:dyDescent="0.25"/>
    <row r="2" spans="2:45" ht="13.5" thickBot="1" x14ac:dyDescent="0.25">
      <c r="O2" s="383" t="s">
        <v>246</v>
      </c>
      <c r="P2" s="382">
        <v>1</v>
      </c>
      <c r="Q2" s="381">
        <v>1</v>
      </c>
      <c r="R2" s="381">
        <v>1</v>
      </c>
      <c r="S2" s="381">
        <v>1</v>
      </c>
      <c r="T2" s="380">
        <v>1</v>
      </c>
      <c r="U2" s="255">
        <v>0</v>
      </c>
      <c r="V2" s="254">
        <v>0</v>
      </c>
      <c r="W2" s="254">
        <v>0</v>
      </c>
      <c r="X2" s="254">
        <v>0</v>
      </c>
      <c r="Y2" s="253">
        <v>0</v>
      </c>
      <c r="Z2" s="255">
        <v>0</v>
      </c>
      <c r="AA2" s="254">
        <v>0</v>
      </c>
      <c r="AB2" s="254">
        <v>0</v>
      </c>
      <c r="AC2" s="254">
        <v>0</v>
      </c>
      <c r="AD2" s="253">
        <v>0</v>
      </c>
      <c r="AE2" s="255">
        <v>1</v>
      </c>
      <c r="AF2" s="254">
        <v>1</v>
      </c>
      <c r="AG2" s="254">
        <v>1</v>
      </c>
      <c r="AH2" s="254">
        <v>1</v>
      </c>
      <c r="AI2" s="253">
        <v>1</v>
      </c>
      <c r="AJ2" s="255">
        <v>1</v>
      </c>
      <c r="AK2" s="254">
        <v>1</v>
      </c>
      <c r="AL2" s="254">
        <v>1</v>
      </c>
      <c r="AM2" s="254">
        <v>1</v>
      </c>
      <c r="AN2" s="253">
        <v>1</v>
      </c>
      <c r="AO2" s="255">
        <v>1</v>
      </c>
      <c r="AP2" s="254">
        <v>1</v>
      </c>
      <c r="AQ2" s="254">
        <v>1</v>
      </c>
      <c r="AR2" s="254">
        <v>1</v>
      </c>
      <c r="AS2" s="253">
        <v>1</v>
      </c>
    </row>
    <row r="3" spans="2:45" ht="39" thickBot="1" x14ac:dyDescent="0.2">
      <c r="B3" s="379" t="s">
        <v>143</v>
      </c>
      <c r="C3" s="378" t="s">
        <v>144</v>
      </c>
      <c r="D3" s="377" t="s">
        <v>145</v>
      </c>
      <c r="E3" s="311" t="s">
        <v>3</v>
      </c>
      <c r="F3" s="251" t="s">
        <v>4</v>
      </c>
      <c r="G3" s="251" t="s">
        <v>5</v>
      </c>
      <c r="H3" s="251" t="s">
        <v>6</v>
      </c>
      <c r="I3" s="251" t="s">
        <v>18</v>
      </c>
      <c r="J3" s="251" t="s">
        <v>9</v>
      </c>
      <c r="K3" s="251" t="s">
        <v>0</v>
      </c>
      <c r="L3" s="310" t="s">
        <v>10</v>
      </c>
      <c r="M3" s="309" t="s">
        <v>244</v>
      </c>
      <c r="O3" s="363" t="s">
        <v>145</v>
      </c>
      <c r="P3" s="297" t="s">
        <v>20</v>
      </c>
      <c r="Q3" s="296" t="s">
        <v>21</v>
      </c>
      <c r="R3" s="296" t="s">
        <v>22</v>
      </c>
      <c r="S3" s="299" t="s">
        <v>121</v>
      </c>
      <c r="T3" s="376" t="s">
        <v>122</v>
      </c>
      <c r="U3" s="307" t="s">
        <v>115</v>
      </c>
      <c r="V3" s="306" t="s">
        <v>116</v>
      </c>
      <c r="W3" s="306" t="s">
        <v>117</v>
      </c>
      <c r="X3" s="305" t="s">
        <v>125</v>
      </c>
      <c r="Y3" s="304" t="s">
        <v>126</v>
      </c>
      <c r="Z3" s="303" t="s">
        <v>130</v>
      </c>
      <c r="AA3" s="302" t="s">
        <v>223</v>
      </c>
      <c r="AB3" s="302" t="s">
        <v>131</v>
      </c>
      <c r="AC3" s="301" t="s">
        <v>132</v>
      </c>
      <c r="AD3" s="300" t="s">
        <v>133</v>
      </c>
      <c r="AE3" s="297" t="s">
        <v>36</v>
      </c>
      <c r="AF3" s="296" t="s">
        <v>37</v>
      </c>
      <c r="AG3" s="296" t="s">
        <v>38</v>
      </c>
      <c r="AH3" s="299" t="s">
        <v>137</v>
      </c>
      <c r="AI3" s="298" t="s">
        <v>138</v>
      </c>
      <c r="AJ3" s="297" t="s">
        <v>42</v>
      </c>
      <c r="AK3" s="296" t="s">
        <v>43</v>
      </c>
      <c r="AL3" s="296" t="s">
        <v>44</v>
      </c>
      <c r="AM3" s="295" t="s">
        <v>45</v>
      </c>
      <c r="AN3" s="294" t="s">
        <v>46</v>
      </c>
      <c r="AO3" s="297" t="s">
        <v>52</v>
      </c>
      <c r="AP3" s="296" t="s">
        <v>53</v>
      </c>
      <c r="AQ3" s="296" t="s">
        <v>54</v>
      </c>
      <c r="AR3" s="295" t="s">
        <v>231</v>
      </c>
      <c r="AS3" s="294" t="s">
        <v>55</v>
      </c>
    </row>
    <row r="4" spans="2:45" x14ac:dyDescent="0.2">
      <c r="B4" s="375">
        <f>Level1!O2</f>
        <v>2</v>
      </c>
      <c r="C4" s="374">
        <f>Level1!P2</f>
        <v>6</v>
      </c>
      <c r="D4" s="373" t="str">
        <f>Level1!Q2</f>
        <v>Sickly Sue Susie</v>
      </c>
      <c r="E4" s="286">
        <f>VLOOKUP($D4,'Monsters Stats'!$B$8:$L$70,2,FALSE)</f>
        <v>7</v>
      </c>
      <c r="F4" s="285">
        <f>VLOOKUP($D4,'Monsters Stats'!$B$8:$L$70,3,FALSE)</f>
        <v>13</v>
      </c>
      <c r="G4" s="285">
        <f>VLOOKUP($D4,'Monsters Stats'!$B$8:$L$70,4,FALSE)</f>
        <v>6</v>
      </c>
      <c r="H4" s="285">
        <f>VLOOKUP($D4,'Monsters Stats'!$B$8:$L$70,5,FALSE)</f>
        <v>1</v>
      </c>
      <c r="I4" s="285">
        <f>VLOOKUP($D4,'Monsters Stats'!$B$8:$L$70,6,FALSE)</f>
        <v>1.5</v>
      </c>
      <c r="J4" s="285">
        <f>VLOOKUP($D4,'Monsters Stats'!$B$8:$L$70,7,FALSE)</f>
        <v>12</v>
      </c>
      <c r="K4" s="285">
        <f>VLOOKUP($D4,'Monsters Stats'!$B$8:$L$70,8,FALSE)</f>
        <v>1</v>
      </c>
      <c r="L4" s="284">
        <f>VLOOKUP($D4,'Monsters Stats'!$B$8:$L$70,9,FALSE)</f>
        <v>0</v>
      </c>
      <c r="M4" s="283">
        <f>VLOOKUP($D4,'Monsters Stats'!$B$8:$L$70,11,FALSE)</f>
        <v>1</v>
      </c>
      <c r="O4" s="372" t="str">
        <f t="shared" ref="O4:O9" si="0">D4</f>
        <v>Sickly Sue Susie</v>
      </c>
      <c r="P4" s="280">
        <f>IF(OR($M4&lt;&gt;P$2,(TowerStats!$B$29-($G4-TowerStats!$H$29))&lt;=0),"Can't Kill",ROUNDUP($F4/(TowerStats!$B$29-($G4-TowerStats!$H$29)),0))</f>
        <v>3</v>
      </c>
      <c r="Q4" s="279">
        <f>IF(OR($M4&lt;&gt;Q$2,(TowerStats!$B$30-($G4-TowerStats!$H$30))&lt;=0),"Can't Kill",ROUNDUP($F4/(TowerStats!$B$30-($G4-TowerStats!$H$30)),0))</f>
        <v>2</v>
      </c>
      <c r="R4" s="279">
        <f>IF(OR($M4&lt;&gt;R$2,(TowerStats!$B$31-($G4-TowerStats!$H$31))&lt;=0),"Can't Kill",ROUNDUP($F4/(TowerStats!$B$31-($G4-TowerStats!$H$31)),0))</f>
        <v>2</v>
      </c>
      <c r="S4" s="279">
        <f>IF(OR($M4&lt;&gt;S$2,(TowerStats!$B$32-($G4-TowerStats!$H$32))&lt;=0),"Can't Kill",ROUNDUP($F4/(TowerStats!$B$32-($G4-TowerStats!$H$32)),0))</f>
        <v>1</v>
      </c>
      <c r="T4" s="281">
        <f>IF(OR($M4&lt;&gt;T$2,(TowerStats!$B$33-($G4-TowerStats!$H$33))&lt;=0),"Can't Kill",ROUNDUP($F4/(TowerStats!$B$33-($G4-TowerStats!$H$33)),0))</f>
        <v>3</v>
      </c>
      <c r="U4" s="280" t="str">
        <f>IF(OR($M4&lt;&gt;U$2,(TowerStats!$B$40-$G4)&lt;=0),"Can't Kill",ROUNDUP($F4/(TowerStats!$B$40-$G4),0))</f>
        <v>Can't Kill</v>
      </c>
      <c r="V4" s="279" t="str">
        <f>IF(OR($M4&lt;&gt;V$2,(TowerStats!$B$41-$G4)&lt;=0),"Can't Kill",ROUNDUP($F4/(TowerStats!$B$41-$G4),0))</f>
        <v>Can't Kill</v>
      </c>
      <c r="W4" s="279" t="str">
        <f>IF(OR($M4&lt;&gt;W$2,(TowerStats!$B$42-$G4)&lt;=0),"Can't Kill",ROUNDUP($F4/(TowerStats!$B$42-$G4),0))</f>
        <v>Can't Kill</v>
      </c>
      <c r="X4" s="279" t="str">
        <f>IF(OR($M4&lt;&gt;X$2,(TowerStats!$B$43-$G4)&lt;=0),"Can't Kill",ROUNDUP($F4/(TowerStats!$B$43-$G4),0))</f>
        <v>Can't Kill</v>
      </c>
      <c r="Y4" s="278" t="str">
        <f>IF(OR($M4&lt;&gt;Y$2,(TowerStats!$B$44-$G4)&lt;=0),"Can't Kill",ROUNDUP($F4/(TowerStats!$B$44-$G4),0))</f>
        <v>Can't Kill</v>
      </c>
      <c r="Z4" s="280" t="str">
        <f>IF(OR($M4&lt;&gt;Z$2,(TowerStats!$B$54-$G4)&lt;=0),"Can't Kill",ROUNDUP($F4/(TowerStats!$B$54-$G4),0))</f>
        <v>Can't Kill</v>
      </c>
      <c r="AA4" s="279" t="str">
        <f>IF(OR($M4&lt;&gt;AA$2,(TowerStats!$B$55-$G4)&lt;=0),"Can't Kill",ROUNDUP($F4/(TowerStats!$B$55-$G4),0))</f>
        <v>Can't Kill</v>
      </c>
      <c r="AB4" s="279" t="str">
        <f>IF(OR($M4&lt;&gt;AB$2,(TowerStats!$B$56-$G4)&lt;=0),"Can't Kill",ROUNDUP($F4/(TowerStats!$B$56-$G4),0))</f>
        <v>Can't Kill</v>
      </c>
      <c r="AC4" s="279" t="str">
        <f>IF(OR($M4&lt;&gt;AC$2,(TowerStats!$B$57-$G4)&lt;=0),"Can't Kill",ROUNDUP($F4/(TowerStats!$B$57-$G4),0))</f>
        <v>Can't Kill</v>
      </c>
      <c r="AD4" s="278" t="str">
        <f>IF(OR($M4&lt;&gt;AD$2,(TowerStats!$B$58-$G4)&lt;=0),"Can't Kill",ROUNDUP($F4/(TowerStats!$B$58-$G4),0))</f>
        <v>Can't Kill</v>
      </c>
      <c r="AE4" s="280">
        <f>IF(OR($M4&lt;&gt;AE$2,(TowerStats!$B$69-($G4-TowerStats!$H$69))&lt;=0),"Can't Kill",ROUNDUP($F4/(TowerStats!$B$69-($G4-TowerStats!$H$69)),0))</f>
        <v>2</v>
      </c>
      <c r="AF4" s="279">
        <f>IF(OR($M4&lt;&gt;AF$2,(TowerStats!$B$70-($G4-TowerStats!$H$70))&lt;=0),"Can't Kill",ROUNDUP($F4/(TowerStats!$B$70-($G4-TowerStats!$H$70)),0))</f>
        <v>2</v>
      </c>
      <c r="AG4" s="279">
        <f>IF(OR($M4&lt;&gt;AG$2,(TowerStats!$B$71-($G4-TowerStats!$H$71))&lt;=0),"Can't Kill",ROUNDUP($F4/(TowerStats!$B$71-($G4-TowerStats!$H$71)),0))</f>
        <v>1</v>
      </c>
      <c r="AH4" s="279">
        <f>IF(OR($M4&lt;&gt;AH$2,(TowerStats!$B$72-($G4-TowerStats!$H$72))&lt;=0),"Can't Kill",ROUNDUP($F4/(TowerStats!$B$72-($G4-TowerStats!$H$72)),0))</f>
        <v>1</v>
      </c>
      <c r="AI4" s="278">
        <f>IF(OR($M4&lt;&gt;AI$2,(TowerStats!$B$73-($G4-TowerStats!$H$73))&lt;=0),"Can't Kill",ROUNDUP($F4/(TowerStats!$B$73-($G4-TowerStats!$H$73)),0))</f>
        <v>1</v>
      </c>
      <c r="AJ4" s="280">
        <f>IF(OR($M4&lt;&gt;AJ$2,(TowerStats!$B$84-$G4)&lt;=0),"Can't Kill",ROUNDUP($F4/(TowerStats!$B$84-$G4),0))</f>
        <v>2</v>
      </c>
      <c r="AK4" s="279">
        <f>IF(OR($M4&lt;&gt;AK$2,(TowerStats!$B$85-$G4)&lt;=0),"Can't Kill",ROUNDUP($F4/(TowerStats!$B$85-$G4),0))</f>
        <v>1</v>
      </c>
      <c r="AL4" s="279">
        <f>IF(OR($M4&lt;&gt;AL$2,(TowerStats!$B$86-$G4)&lt;=0),"Can't Kill",ROUNDUP($F4/(TowerStats!$B$86-$G4),0))</f>
        <v>1</v>
      </c>
      <c r="AM4" s="279">
        <f>IF(OR($M4&lt;&gt;AM$2,(TowerStats!$B$87-$G4)&lt;=0),"Can't Kill",ROUNDUP($F4/(TowerStats!$B$87-$G4),0))</f>
        <v>1</v>
      </c>
      <c r="AN4" s="278">
        <f>IF(OR($M4&lt;&gt;AN$2,(TowerStats!$B$88-$G4)&lt;=0),"Can't Kill",ROUNDUP($F4/(TowerStats!$B$88-$G4),0))</f>
        <v>1</v>
      </c>
      <c r="AO4" s="280">
        <f>IF(OR($M4&lt;&gt;AO$2,(TowerStats!$B$100-$G4)&lt;=0),"Can't Kill",ROUNDUP($F4/(TowerStats!$B$100-$G4),0))</f>
        <v>2</v>
      </c>
      <c r="AP4" s="279">
        <f>IF(OR($M4&lt;&gt;AP$2,(TowerStats!$B$101-$G4)&lt;=0),"Can't Kill",ROUNDUP($F4/(TowerStats!$B$101-$G4),0))</f>
        <v>1</v>
      </c>
      <c r="AQ4" s="279">
        <f>IF(OR($M4&lt;&gt;AQ$2,(TowerStats!$B$102-$G4)&lt;=0),"Can't Kill",ROUNDUP($F4/(TowerStats!$B$102-$G4),0))</f>
        <v>1</v>
      </c>
      <c r="AR4" s="279">
        <f>IF(OR($M4&lt;&gt;AR$2,(TowerStats!$B$103-$G4)&lt;=0),"Can't Kill",ROUNDUP($F4/(TowerStats!$B$103-$G4),0))</f>
        <v>1</v>
      </c>
      <c r="AS4" s="278">
        <f>IF(OR($M4&lt;&gt;AS$2,(TowerStats!$B$104-$G4)&lt;=0),"Can't Kill",ROUNDUP($F4/(TowerStats!$B$104-$G4),0))</f>
        <v>1</v>
      </c>
    </row>
    <row r="5" spans="2:45" x14ac:dyDescent="0.2">
      <c r="B5" s="371">
        <f>Level1!O3</f>
        <v>9</v>
      </c>
      <c r="C5" s="370">
        <f>Level1!P3</f>
        <v>3</v>
      </c>
      <c r="D5" s="369" t="str">
        <f>Level1!Q3</f>
        <v>Banshee Sickly Sue Susie</v>
      </c>
      <c r="E5" s="286">
        <f>VLOOKUP($D5,'Monsters Stats'!$B$8:$L$70,2,FALSE)</f>
        <v>11</v>
      </c>
      <c r="F5" s="285">
        <f>VLOOKUP($D5,'Monsters Stats'!$B$8:$L$70,3,FALSE)</f>
        <v>23</v>
      </c>
      <c r="G5" s="285">
        <f>VLOOKUP($D5,'Monsters Stats'!$B$8:$L$70,4,FALSE)</f>
        <v>10</v>
      </c>
      <c r="H5" s="285">
        <f>VLOOKUP($D5,'Monsters Stats'!$B$8:$L$70,5,FALSE)</f>
        <v>1</v>
      </c>
      <c r="I5" s="285">
        <f>VLOOKUP($D5,'Monsters Stats'!$B$8:$L$70,6,FALSE)</f>
        <v>1.3</v>
      </c>
      <c r="J5" s="285">
        <f>VLOOKUP($D5,'Monsters Stats'!$B$8:$L$70,7,FALSE)</f>
        <v>21</v>
      </c>
      <c r="K5" s="285">
        <f>VLOOKUP($D5,'Monsters Stats'!$B$8:$L$70,8,FALSE)</f>
        <v>1.3</v>
      </c>
      <c r="L5" s="284">
        <f>VLOOKUP($D5,'Monsters Stats'!$B$8:$L$70,9,FALSE)</f>
        <v>15</v>
      </c>
      <c r="M5" s="283">
        <f>VLOOKUP($D5,'Monsters Stats'!$B$8:$L$70,11,FALSE)</f>
        <v>1</v>
      </c>
      <c r="O5" s="368" t="str">
        <f t="shared" si="0"/>
        <v>Banshee Sickly Sue Susie</v>
      </c>
      <c r="P5" s="280">
        <f>IF(OR($M5&lt;&gt;P$2,(TowerStats!$B$29-($G5-TowerStats!$H$29))&lt;=0),"Can't Kill",ROUNDUP($F5/(TowerStats!$B$29-($G5-TowerStats!$H$29)),0))</f>
        <v>12</v>
      </c>
      <c r="Q5" s="279">
        <f>IF(OR($M5&lt;&gt;Q$2,(TowerStats!$B$30-($G5-TowerStats!$H$30))&lt;=0),"Can't Kill",ROUNDUP($F5/(TowerStats!$B$30-($G5-TowerStats!$H$30)),0))</f>
        <v>5</v>
      </c>
      <c r="R5" s="279">
        <f>IF(OR($M5&lt;&gt;R$2,(TowerStats!$B$31-($G5-TowerStats!$H$31))&lt;=0),"Can't Kill",ROUNDUP($F5/(TowerStats!$B$31-($G5-TowerStats!$H$31)),0))</f>
        <v>3</v>
      </c>
      <c r="S5" s="279">
        <f>IF(OR($M5&lt;&gt;S$2,(TowerStats!$B$32-($G5-TowerStats!$H$32))&lt;=0),"Can't Kill",ROUNDUP($F5/(TowerStats!$B$32-($G5-TowerStats!$H$32)),0))</f>
        <v>1</v>
      </c>
      <c r="T5" s="281">
        <f>IF(OR($M5&lt;&gt;T$2,(TowerStats!$B$33-($G5-TowerStats!$H$33))&lt;=0),"Can't Kill",ROUNDUP($F5/(TowerStats!$B$33-($G5-TowerStats!$H$33)),0))</f>
        <v>12</v>
      </c>
      <c r="U5" s="280" t="str">
        <f>IF(OR($M5&lt;&gt;U$2,(TowerStats!$B$40-$G5)&lt;=0),"Can't Kill",ROUNDUP($F5/(TowerStats!$B$40-$G5),0))</f>
        <v>Can't Kill</v>
      </c>
      <c r="V5" s="279" t="str">
        <f>IF(OR($M5&lt;&gt;V$2,(TowerStats!$B$41-$G5)&lt;=0),"Can't Kill",ROUNDUP($F5/(TowerStats!$B$41-$G5),0))</f>
        <v>Can't Kill</v>
      </c>
      <c r="W5" s="279" t="str">
        <f>IF(OR($M5&lt;&gt;W$2,(TowerStats!$B$42-$G5)&lt;=0),"Can't Kill",ROUNDUP($F5/(TowerStats!$B$42-$G5),0))</f>
        <v>Can't Kill</v>
      </c>
      <c r="X5" s="279" t="str">
        <f>IF(OR($M5&lt;&gt;X$2,(TowerStats!$B$43-$G5)&lt;=0),"Can't Kill",ROUNDUP($F5/(TowerStats!$B$43-$G5),0))</f>
        <v>Can't Kill</v>
      </c>
      <c r="Y5" s="278" t="str">
        <f>IF(OR($M5&lt;&gt;Y$2,(TowerStats!$B$44-$G5)&lt;=0),"Can't Kill",ROUNDUP($F5/(TowerStats!$B$44-$G5),0))</f>
        <v>Can't Kill</v>
      </c>
      <c r="Z5" s="280" t="str">
        <f>IF(OR($M5&lt;&gt;Z$2,(TowerStats!$B$54-$G5)&lt;=0),"Can't Kill",ROUNDUP($F5/(TowerStats!$B$54-$G5),0))</f>
        <v>Can't Kill</v>
      </c>
      <c r="AA5" s="279" t="str">
        <f>IF(OR($M5&lt;&gt;AA$2,(TowerStats!$B$55-$G5)&lt;=0),"Can't Kill",ROUNDUP($F5/(TowerStats!$B$55-$G5),0))</f>
        <v>Can't Kill</v>
      </c>
      <c r="AB5" s="279" t="str">
        <f>IF(OR($M5&lt;&gt;AB$2,(TowerStats!$B$56-$G5)&lt;=0),"Can't Kill",ROUNDUP($F5/(TowerStats!$B$56-$G5),0))</f>
        <v>Can't Kill</v>
      </c>
      <c r="AC5" s="279" t="str">
        <f>IF(OR($M5&lt;&gt;AC$2,(TowerStats!$B$57-$G5)&lt;=0),"Can't Kill",ROUNDUP($F5/(TowerStats!$B$57-$G5),0))</f>
        <v>Can't Kill</v>
      </c>
      <c r="AD5" s="278" t="str">
        <f>IF(OR($M5&lt;&gt;AD$2,(TowerStats!$B$58-$G5)&lt;=0),"Can't Kill",ROUNDUP($F5/(TowerStats!$B$58-$G5),0))</f>
        <v>Can't Kill</v>
      </c>
      <c r="AE5" s="280">
        <f>IF(OR($M5&lt;&gt;AE$2,(TowerStats!$B$69-($G5-TowerStats!$H$69))&lt;=0),"Can't Kill",ROUNDUP($F5/(TowerStats!$B$69-($G5-TowerStats!$H$69)),0))</f>
        <v>8</v>
      </c>
      <c r="AF5" s="279">
        <f>IF(OR($M5&lt;&gt;AF$2,(TowerStats!$B$70-($G5-TowerStats!$H$70))&lt;=0),"Can't Kill",ROUNDUP($F5/(TowerStats!$B$70-($G5-TowerStats!$H$70)),0))</f>
        <v>4</v>
      </c>
      <c r="AG5" s="279">
        <f>IF(OR($M5&lt;&gt;AG$2,(TowerStats!$B$71-($G5-TowerStats!$H$71))&lt;=0),"Can't Kill",ROUNDUP($F5/(TowerStats!$B$71-($G5-TowerStats!$H$71)),0))</f>
        <v>3</v>
      </c>
      <c r="AH5" s="279">
        <f>IF(OR($M5&lt;&gt;AH$2,(TowerStats!$B$72-($G5-TowerStats!$H$72))&lt;=0),"Can't Kill",ROUNDUP($F5/(TowerStats!$B$72-($G5-TowerStats!$H$72)),0))</f>
        <v>2</v>
      </c>
      <c r="AI5" s="278">
        <f>IF(OR($M5&lt;&gt;AI$2,(TowerStats!$B$73-($G5-TowerStats!$H$73))&lt;=0),"Can't Kill",ROUNDUP($F5/(TowerStats!$B$73-($G5-TowerStats!$H$73)),0))</f>
        <v>2</v>
      </c>
      <c r="AJ5" s="280">
        <f>IF(OR($M5&lt;&gt;AJ$2,(TowerStats!$B$84-$G5)&lt;=0),"Can't Kill",ROUNDUP($F5/(TowerStats!$B$84-$G5),0))</f>
        <v>4</v>
      </c>
      <c r="AK5" s="279">
        <f>IF(OR($M5&lt;&gt;AK$2,(TowerStats!$B$85-$G5)&lt;=0),"Can't Kill",ROUNDUP($F5/(TowerStats!$B$85-$G5),0))</f>
        <v>2</v>
      </c>
      <c r="AL5" s="279">
        <f>IF(OR($M5&lt;&gt;AL$2,(TowerStats!$B$86-$G5)&lt;=0),"Can't Kill",ROUNDUP($F5/(TowerStats!$B$86-$G5),0))</f>
        <v>2</v>
      </c>
      <c r="AM5" s="279">
        <f>IF(OR($M5&lt;&gt;AM$2,(TowerStats!$B$87-$G5)&lt;=0),"Can't Kill",ROUNDUP($F5/(TowerStats!$B$87-$G5),0))</f>
        <v>1</v>
      </c>
      <c r="AN5" s="278">
        <f>IF(OR($M5&lt;&gt;AN$2,(TowerStats!$B$88-$G5)&lt;=0),"Can't Kill",ROUNDUP($F5/(TowerStats!$B$88-$G5),0))</f>
        <v>1</v>
      </c>
      <c r="AO5" s="280">
        <f>IF(OR($M5&lt;&gt;AO$2,(TowerStats!$B$100-$G5)&lt;=0),"Can't Kill",ROUNDUP($F5/(TowerStats!$B$100-$G5),0))</f>
        <v>8</v>
      </c>
      <c r="AP5" s="279">
        <f>IF(OR($M5&lt;&gt;AP$2,(TowerStats!$B$101-$G5)&lt;=0),"Can't Kill",ROUNDUP($F5/(TowerStats!$B$101-$G5),0))</f>
        <v>3</v>
      </c>
      <c r="AQ5" s="279">
        <f>IF(OR($M5&lt;&gt;AQ$2,(TowerStats!$B$102-$G5)&lt;=0),"Can't Kill",ROUNDUP($F5/(TowerStats!$B$102-$G5),0))</f>
        <v>2</v>
      </c>
      <c r="AR5" s="279">
        <f>IF(OR($M5&lt;&gt;AR$2,(TowerStats!$B$103-$G5)&lt;=0),"Can't Kill",ROUNDUP($F5/(TowerStats!$B$103-$G5),0))</f>
        <v>1</v>
      </c>
      <c r="AS5" s="278">
        <f>IF(OR($M5&lt;&gt;AS$2,(TowerStats!$B$104-$G5)&lt;=0),"Can't Kill",ROUNDUP($F5/(TowerStats!$B$104-$G5),0))</f>
        <v>1</v>
      </c>
    </row>
    <row r="6" spans="2:45" x14ac:dyDescent="0.2">
      <c r="B6" s="371">
        <f>Level1!O4</f>
        <v>5</v>
      </c>
      <c r="C6" s="370">
        <f>Level1!P4</f>
        <v>19</v>
      </c>
      <c r="D6" s="369" t="str">
        <f>Level1!Q4</f>
        <v>Red Shaman</v>
      </c>
      <c r="E6" s="286">
        <f>VLOOKUP($D6,'Monsters Stats'!$B$8:$L$70,2,FALSE)</f>
        <v>3</v>
      </c>
      <c r="F6" s="285">
        <f>VLOOKUP($D6,'Monsters Stats'!$B$8:$L$70,3,FALSE)</f>
        <v>24</v>
      </c>
      <c r="G6" s="285">
        <f>VLOOKUP($D6,'Monsters Stats'!$B$8:$L$70,4,FALSE)</f>
        <v>6</v>
      </c>
      <c r="H6" s="285">
        <f>VLOOKUP($D6,'Monsters Stats'!$B$8:$L$70,5,FALSE)</f>
        <v>1</v>
      </c>
      <c r="I6" s="285">
        <f>VLOOKUP($D6,'Monsters Stats'!$B$8:$L$70,6,FALSE)</f>
        <v>1.1000000000000001</v>
      </c>
      <c r="J6" s="285">
        <f>VLOOKUP($D6,'Monsters Stats'!$B$8:$L$70,7,FALSE)</f>
        <v>19</v>
      </c>
      <c r="K6" s="285">
        <f>VLOOKUP($D6,'Monsters Stats'!$B$8:$L$70,8,FALSE)</f>
        <v>0.7</v>
      </c>
      <c r="L6" s="284">
        <f>VLOOKUP($D6,'Monsters Stats'!$B$8:$L$70,9,FALSE)</f>
        <v>20</v>
      </c>
      <c r="M6" s="283">
        <f>VLOOKUP($D6,'Monsters Stats'!$B$8:$L$70,11,FALSE)</f>
        <v>0</v>
      </c>
      <c r="O6" s="368" t="str">
        <f t="shared" si="0"/>
        <v>Red Shaman</v>
      </c>
      <c r="P6" s="280" t="str">
        <f>IF(OR($M6&lt;&gt;P$2,(TowerStats!$B$29-($G6-TowerStats!$H$29))&lt;=0),"Can't Kill",ROUNDUP($F6/(TowerStats!$B$29-($G6-TowerStats!$H$29)),0))</f>
        <v>Can't Kill</v>
      </c>
      <c r="Q6" s="279" t="str">
        <f>IF(OR($M6&lt;&gt;Q$2,(TowerStats!$B$30-($G6-TowerStats!$H$30))&lt;=0),"Can't Kill",ROUNDUP($F6/(TowerStats!$B$30-($G6-TowerStats!$H$30)),0))</f>
        <v>Can't Kill</v>
      </c>
      <c r="R6" s="279" t="str">
        <f>IF(OR($M6&lt;&gt;R$2,(TowerStats!$B$31-($G6-TowerStats!$H$31))&lt;=0),"Can't Kill",ROUNDUP($F6/(TowerStats!$B$31-($G6-TowerStats!$H$31)),0))</f>
        <v>Can't Kill</v>
      </c>
      <c r="S6" s="279" t="str">
        <f>IF(OR($M6&lt;&gt;S$2,(TowerStats!$B$32-($G6-TowerStats!$H$32))&lt;=0),"Can't Kill",ROUNDUP($F6/(TowerStats!$B$32-($G6-TowerStats!$H$32)),0))</f>
        <v>Can't Kill</v>
      </c>
      <c r="T6" s="281" t="str">
        <f>IF(OR($M6&lt;&gt;T$2,(TowerStats!$B$33-($G6-TowerStats!$H$33))&lt;=0),"Can't Kill",ROUNDUP($F6/(TowerStats!$B$33-($G6-TowerStats!$H$33)),0))</f>
        <v>Can't Kill</v>
      </c>
      <c r="U6" s="280">
        <f>IF(OR($M6&lt;&gt;U$2,(TowerStats!$B$40-$G6)&lt;=0),"Can't Kill",ROUNDUP($F6/(TowerStats!$B$40-$G6),0))</f>
        <v>12</v>
      </c>
      <c r="V6" s="279">
        <f>IF(OR($M6&lt;&gt;V$2,(TowerStats!$B$41-$G6)&lt;=0),"Can't Kill",ROUNDUP($F6/(TowerStats!$B$41-$G6),0))</f>
        <v>6</v>
      </c>
      <c r="W6" s="279">
        <f>IF(OR($M6&lt;&gt;W$2,(TowerStats!$B$42-$G6)&lt;=0),"Can't Kill",ROUNDUP($F6/(TowerStats!$B$42-$G6),0))</f>
        <v>4</v>
      </c>
      <c r="X6" s="279">
        <f>IF(OR($M6&lt;&gt;X$2,(TowerStats!$B$43-$G6)&lt;=0),"Can't Kill",ROUNDUP($F6/(TowerStats!$B$43-$G6),0))</f>
        <v>3</v>
      </c>
      <c r="Y6" s="278">
        <f>IF(OR($M6&lt;&gt;Y$2,(TowerStats!$B$44-$G6)&lt;=0),"Can't Kill",ROUNDUP($F6/(TowerStats!$B$44-$G6),0))</f>
        <v>2</v>
      </c>
      <c r="Z6" s="280" t="str">
        <f>IF(OR($M6&lt;&gt;Z$2,(TowerStats!$B$54-$G6)&lt;=0),"Can't Kill",ROUNDUP($F6/(TowerStats!$B$54-$G6),0))</f>
        <v>Can't Kill</v>
      </c>
      <c r="AA6" s="279" t="str">
        <f>IF(OR($M6&lt;&gt;AA$2,(TowerStats!$B$55-$G6)&lt;=0),"Can't Kill",ROUNDUP($F6/(TowerStats!$B$55-$G6),0))</f>
        <v>Can't Kill</v>
      </c>
      <c r="AB6" s="279" t="str">
        <f>IF(OR($M6&lt;&gt;AB$2,(TowerStats!$B$56-$G6)&lt;=0),"Can't Kill",ROUNDUP($F6/(TowerStats!$B$56-$G6),0))</f>
        <v>Can't Kill</v>
      </c>
      <c r="AC6" s="279" t="str">
        <f>IF(OR($M6&lt;&gt;AC$2,(TowerStats!$B$57-$G6)&lt;=0),"Can't Kill",ROUNDUP($F6/(TowerStats!$B$57-$G6),0))</f>
        <v>Can't Kill</v>
      </c>
      <c r="AD6" s="278" t="str">
        <f>IF(OR($M6&lt;&gt;AD$2,(TowerStats!$B$58-$G6)&lt;=0),"Can't Kill",ROUNDUP($F6/(TowerStats!$B$58-$G6),0))</f>
        <v>Can't Kill</v>
      </c>
      <c r="AE6" s="280" t="str">
        <f>IF(OR($M6&lt;&gt;AE$2,(TowerStats!$B$69-($G6-TowerStats!$H$69))&lt;=0),"Can't Kill",ROUNDUP($F6/(TowerStats!$B$69-($G6-TowerStats!$H$69)),0))</f>
        <v>Can't Kill</v>
      </c>
      <c r="AF6" s="279" t="str">
        <f>IF(OR($M6&lt;&gt;AF$2,(TowerStats!$B$70-($G6-TowerStats!$H$70))&lt;=0),"Can't Kill",ROUNDUP($F6/(TowerStats!$B$70-($G6-TowerStats!$H$70)),0))</f>
        <v>Can't Kill</v>
      </c>
      <c r="AG6" s="279" t="str">
        <f>IF(OR($M6&lt;&gt;AG$2,(TowerStats!$B$71-($G6-TowerStats!$H$71))&lt;=0),"Can't Kill",ROUNDUP($F6/(TowerStats!$B$71-($G6-TowerStats!$H$71)),0))</f>
        <v>Can't Kill</v>
      </c>
      <c r="AH6" s="279" t="str">
        <f>IF(OR($M6&lt;&gt;AH$2,(TowerStats!$B$72-($G6-TowerStats!$H$72))&lt;=0),"Can't Kill",ROUNDUP($F6/(TowerStats!$B$72-($G6-TowerStats!$H$72)),0))</f>
        <v>Can't Kill</v>
      </c>
      <c r="AI6" s="278" t="str">
        <f>IF(OR($M6&lt;&gt;AI$2,(TowerStats!$B$73-($G6-TowerStats!$H$73))&lt;=0),"Can't Kill",ROUNDUP($F6/(TowerStats!$B$73-($G6-TowerStats!$H$73)),0))</f>
        <v>Can't Kill</v>
      </c>
      <c r="AJ6" s="280" t="str">
        <f>IF(OR($M6&lt;&gt;AJ$2,(TowerStats!$B$84-$G6)&lt;=0),"Can't Kill",ROUNDUP($F6/(TowerStats!$B$84-$G6),0))</f>
        <v>Can't Kill</v>
      </c>
      <c r="AK6" s="279" t="str">
        <f>IF(OR($M6&lt;&gt;AK$2,(TowerStats!$B$85-$G6)&lt;=0),"Can't Kill",ROUNDUP($F6/(TowerStats!$B$85-$G6),0))</f>
        <v>Can't Kill</v>
      </c>
      <c r="AL6" s="279" t="str">
        <f>IF(OR($M6&lt;&gt;AL$2,(TowerStats!$B$86-$G6)&lt;=0),"Can't Kill",ROUNDUP($F6/(TowerStats!$B$86-$G6),0))</f>
        <v>Can't Kill</v>
      </c>
      <c r="AM6" s="279" t="str">
        <f>IF(OR($M6&lt;&gt;AM$2,(TowerStats!$B$87-$G6)&lt;=0),"Can't Kill",ROUNDUP($F6/(TowerStats!$B$87-$G6),0))</f>
        <v>Can't Kill</v>
      </c>
      <c r="AN6" s="278" t="str">
        <f>IF(OR($M6&lt;&gt;AN$2,(TowerStats!$B$88-$G6)&lt;=0),"Can't Kill",ROUNDUP($F6/(TowerStats!$B$88-$G6),0))</f>
        <v>Can't Kill</v>
      </c>
      <c r="AO6" s="280" t="str">
        <f>IF(OR($M6&lt;&gt;AO$2,(TowerStats!$B$100-$G6)&lt;=0),"Can't Kill",ROUNDUP($F6/(TowerStats!$B$100-$G6),0))</f>
        <v>Can't Kill</v>
      </c>
      <c r="AP6" s="279" t="str">
        <f>IF(OR($M6&lt;&gt;AP$2,(TowerStats!$B$101-$G6)&lt;=0),"Can't Kill",ROUNDUP($F6/(TowerStats!$B$101-$G6),0))</f>
        <v>Can't Kill</v>
      </c>
      <c r="AQ6" s="279" t="str">
        <f>IF(OR($M6&lt;&gt;AQ$2,(TowerStats!$B$102-$G6)&lt;=0),"Can't Kill",ROUNDUP($F6/(TowerStats!$B$102-$G6),0))</f>
        <v>Can't Kill</v>
      </c>
      <c r="AR6" s="279" t="str">
        <f>IF(OR($M6&lt;&gt;AR$2,(TowerStats!$B$103-$G6)&lt;=0),"Can't Kill",ROUNDUP($F6/(TowerStats!$B$103-$G6),0))</f>
        <v>Can't Kill</v>
      </c>
      <c r="AS6" s="278" t="str">
        <f>IF(OR($M6&lt;&gt;AS$2,(TowerStats!$B$104-$G6)&lt;=0),"Can't Kill",ROUNDUP($F6/(TowerStats!$B$104-$G6),0))</f>
        <v>Can't Kill</v>
      </c>
    </row>
    <row r="7" spans="2:45" x14ac:dyDescent="0.2">
      <c r="B7" s="371">
        <f>Level1!O5</f>
        <v>9</v>
      </c>
      <c r="C7" s="370">
        <f>Level1!P5</f>
        <v>1</v>
      </c>
      <c r="D7" s="369" t="str">
        <f>Level1!Q5</f>
        <v>Blind Tommy Science</v>
      </c>
      <c r="E7" s="286">
        <f>VLOOKUP($D7,'Monsters Stats'!$B$8:$L$70,2,FALSE)</f>
        <v>10</v>
      </c>
      <c r="F7" s="285">
        <f>VLOOKUP($D7,'Monsters Stats'!$B$8:$L$70,3,FALSE)</f>
        <v>14</v>
      </c>
      <c r="G7" s="285">
        <f>VLOOKUP($D7,'Monsters Stats'!$B$8:$L$70,4,FALSE)</f>
        <v>5</v>
      </c>
      <c r="H7" s="285">
        <f>VLOOKUP($D7,'Monsters Stats'!$B$8:$L$70,5,FALSE)</f>
        <v>2</v>
      </c>
      <c r="I7" s="285">
        <f>VLOOKUP($D7,'Monsters Stats'!$B$8:$L$70,6,FALSE)</f>
        <v>0.8</v>
      </c>
      <c r="J7" s="285">
        <f>VLOOKUP($D7,'Monsters Stats'!$B$8:$L$70,7,FALSE)</f>
        <v>6</v>
      </c>
      <c r="K7" s="285">
        <f>VLOOKUP($D7,'Monsters Stats'!$B$8:$L$70,8,FALSE)</f>
        <v>1</v>
      </c>
      <c r="L7" s="284">
        <f>VLOOKUP($D7,'Monsters Stats'!$B$8:$L$70,9,FALSE)</f>
        <v>0</v>
      </c>
      <c r="M7" s="283">
        <f>VLOOKUP($D7,'Monsters Stats'!$B$8:$L$70,11,FALSE)</f>
        <v>1</v>
      </c>
      <c r="O7" s="368" t="str">
        <f t="shared" si="0"/>
        <v>Blind Tommy Science</v>
      </c>
      <c r="P7" s="280">
        <f>IF(OR($M7&lt;&gt;P$2,(TowerStats!$B$29-($G7-TowerStats!$H$29))&lt;=0),"Can't Kill",ROUNDUP($F7/(TowerStats!$B$29-($G7-TowerStats!$H$29)),0))</f>
        <v>2</v>
      </c>
      <c r="Q7" s="279">
        <f>IF(OR($M7&lt;&gt;Q$2,(TowerStats!$B$30-($G7-TowerStats!$H$30))&lt;=0),"Can't Kill",ROUNDUP($F7/(TowerStats!$B$30-($G7-TowerStats!$H$30)),0))</f>
        <v>2</v>
      </c>
      <c r="R7" s="279">
        <f>IF(OR($M7&lt;&gt;R$2,(TowerStats!$B$31-($G7-TowerStats!$H$31))&lt;=0),"Can't Kill",ROUNDUP($F7/(TowerStats!$B$31-($G7-TowerStats!$H$31)),0))</f>
        <v>2</v>
      </c>
      <c r="S7" s="279">
        <f>IF(OR($M7&lt;&gt;S$2,(TowerStats!$B$32-($G7-TowerStats!$H$32))&lt;=0),"Can't Kill",ROUNDUP($F7/(TowerStats!$B$32-($G7-TowerStats!$H$32)),0))</f>
        <v>1</v>
      </c>
      <c r="T7" s="281">
        <f>IF(OR($M7&lt;&gt;T$2,(TowerStats!$B$33-($G7-TowerStats!$H$33))&lt;=0),"Can't Kill",ROUNDUP($F7/(TowerStats!$B$33-($G7-TowerStats!$H$33)),0))</f>
        <v>2</v>
      </c>
      <c r="U7" s="280" t="str">
        <f>IF(OR($M7&lt;&gt;U$2,(TowerStats!$B$40-$G7)&lt;=0),"Can't Kill",ROUNDUP($F7/(TowerStats!$B$40-$G7),0))</f>
        <v>Can't Kill</v>
      </c>
      <c r="V7" s="279" t="str">
        <f>IF(OR($M7&lt;&gt;V$2,(TowerStats!$B$41-$G7)&lt;=0),"Can't Kill",ROUNDUP($F7/(TowerStats!$B$41-$G7),0))</f>
        <v>Can't Kill</v>
      </c>
      <c r="W7" s="279" t="str">
        <f>IF(OR($M7&lt;&gt;W$2,(TowerStats!$B$42-$G7)&lt;=0),"Can't Kill",ROUNDUP($F7/(TowerStats!$B$42-$G7),0))</f>
        <v>Can't Kill</v>
      </c>
      <c r="X7" s="279" t="str">
        <f>IF(OR($M7&lt;&gt;X$2,(TowerStats!$B$43-$G7)&lt;=0),"Can't Kill",ROUNDUP($F7/(TowerStats!$B$43-$G7),0))</f>
        <v>Can't Kill</v>
      </c>
      <c r="Y7" s="278" t="str">
        <f>IF(OR($M7&lt;&gt;Y$2,(TowerStats!$B$44-$G7)&lt;=0),"Can't Kill",ROUNDUP($F7/(TowerStats!$B$44-$G7),0))</f>
        <v>Can't Kill</v>
      </c>
      <c r="Z7" s="280" t="str">
        <f>IF(OR($M7&lt;&gt;Z$2,(TowerStats!$B$54-$G7)&lt;=0),"Can't Kill",ROUNDUP($F7/(TowerStats!$B$54-$G7),0))</f>
        <v>Can't Kill</v>
      </c>
      <c r="AA7" s="279" t="str">
        <f>IF(OR($M7&lt;&gt;AA$2,(TowerStats!$B$55-$G7)&lt;=0),"Can't Kill",ROUNDUP($F7/(TowerStats!$B$55-$G7),0))</f>
        <v>Can't Kill</v>
      </c>
      <c r="AB7" s="279" t="str">
        <f>IF(OR($M7&lt;&gt;AB$2,(TowerStats!$B$56-$G7)&lt;=0),"Can't Kill",ROUNDUP($F7/(TowerStats!$B$56-$G7),0))</f>
        <v>Can't Kill</v>
      </c>
      <c r="AC7" s="279" t="str">
        <f>IF(OR($M7&lt;&gt;AC$2,(TowerStats!$B$57-$G7)&lt;=0),"Can't Kill",ROUNDUP($F7/(TowerStats!$B$57-$G7),0))</f>
        <v>Can't Kill</v>
      </c>
      <c r="AD7" s="278" t="str">
        <f>IF(OR($M7&lt;&gt;AD$2,(TowerStats!$B$58-$G7)&lt;=0),"Can't Kill",ROUNDUP($F7/(TowerStats!$B$58-$G7),0))</f>
        <v>Can't Kill</v>
      </c>
      <c r="AE7" s="280">
        <f>IF(OR($M7&lt;&gt;AE$2,(TowerStats!$B$69-($G7-TowerStats!$H$69))&lt;=0),"Can't Kill",ROUNDUP($F7/(TowerStats!$B$69-($G7-TowerStats!$H$69)),0))</f>
        <v>2</v>
      </c>
      <c r="AF7" s="279">
        <f>IF(OR($M7&lt;&gt;AF$2,(TowerStats!$B$70-($G7-TowerStats!$H$70))&lt;=0),"Can't Kill",ROUNDUP($F7/(TowerStats!$B$70-($G7-TowerStats!$H$70)),0))</f>
        <v>2</v>
      </c>
      <c r="AG7" s="279">
        <f>IF(OR($M7&lt;&gt;AG$2,(TowerStats!$B$71-($G7-TowerStats!$H$71))&lt;=0),"Can't Kill",ROUNDUP($F7/(TowerStats!$B$71-($G7-TowerStats!$H$71)),0))</f>
        <v>1</v>
      </c>
      <c r="AH7" s="279">
        <f>IF(OR($M7&lt;&gt;AH$2,(TowerStats!$B$72-($G7-TowerStats!$H$72))&lt;=0),"Can't Kill",ROUNDUP($F7/(TowerStats!$B$72-($G7-TowerStats!$H$72)),0))</f>
        <v>1</v>
      </c>
      <c r="AI7" s="278">
        <f>IF(OR($M7&lt;&gt;AI$2,(TowerStats!$B$73-($G7-TowerStats!$H$73))&lt;=0),"Can't Kill",ROUNDUP($F7/(TowerStats!$B$73-($G7-TowerStats!$H$73)),0))</f>
        <v>1</v>
      </c>
      <c r="AJ7" s="280">
        <f>IF(OR($M7&lt;&gt;AJ$2,(TowerStats!$B$84-$G7)&lt;=0),"Can't Kill",ROUNDUP($F7/(TowerStats!$B$84-$G7),0))</f>
        <v>2</v>
      </c>
      <c r="AK7" s="279">
        <f>IF(OR($M7&lt;&gt;AK$2,(TowerStats!$B$85-$G7)&lt;=0),"Can't Kill",ROUNDUP($F7/(TowerStats!$B$85-$G7),0))</f>
        <v>1</v>
      </c>
      <c r="AL7" s="279">
        <f>IF(OR($M7&lt;&gt;AL$2,(TowerStats!$B$86-$G7)&lt;=0),"Can't Kill",ROUNDUP($F7/(TowerStats!$B$86-$G7),0))</f>
        <v>1</v>
      </c>
      <c r="AM7" s="279">
        <f>IF(OR($M7&lt;&gt;AM$2,(TowerStats!$B$87-$G7)&lt;=0),"Can't Kill",ROUNDUP($F7/(TowerStats!$B$87-$G7),0))</f>
        <v>1</v>
      </c>
      <c r="AN7" s="278">
        <f>IF(OR($M7&lt;&gt;AN$2,(TowerStats!$B$88-$G7)&lt;=0),"Can't Kill",ROUNDUP($F7/(TowerStats!$B$88-$G7),0))</f>
        <v>1</v>
      </c>
      <c r="AO7" s="280">
        <f>IF(OR($M7&lt;&gt;AO$2,(TowerStats!$B$100-$G7)&lt;=0),"Can't Kill",ROUNDUP($F7/(TowerStats!$B$100-$G7),0))</f>
        <v>2</v>
      </c>
      <c r="AP7" s="279">
        <f>IF(OR($M7&lt;&gt;AP$2,(TowerStats!$B$101-$G7)&lt;=0),"Can't Kill",ROUNDUP($F7/(TowerStats!$B$101-$G7),0))</f>
        <v>1</v>
      </c>
      <c r="AQ7" s="279">
        <f>IF(OR($M7&lt;&gt;AQ$2,(TowerStats!$B$102-$G7)&lt;=0),"Can't Kill",ROUNDUP($F7/(TowerStats!$B$102-$G7),0))</f>
        <v>1</v>
      </c>
      <c r="AR7" s="279">
        <f>IF(OR($M7&lt;&gt;AR$2,(TowerStats!$B$103-$G7)&lt;=0),"Can't Kill",ROUNDUP($F7/(TowerStats!$B$103-$G7),0))</f>
        <v>1</v>
      </c>
      <c r="AS7" s="278">
        <f>IF(OR($M7&lt;&gt;AS$2,(TowerStats!$B$104-$G7)&lt;=0),"Can't Kill",ROUNDUP($F7/(TowerStats!$B$104-$G7),0))</f>
        <v>1</v>
      </c>
    </row>
    <row r="8" spans="2:45" x14ac:dyDescent="0.2">
      <c r="B8" s="371">
        <f>Level1!O6</f>
        <v>4</v>
      </c>
      <c r="C8" s="370">
        <f>Level1!P6</f>
        <v>3</v>
      </c>
      <c r="D8" s="369" t="str">
        <f>Level1!Q6</f>
        <v>Sprinter Mickey</v>
      </c>
      <c r="E8" s="286">
        <f>VLOOKUP($D8,'Monsters Stats'!$B$8:$L$70,2,FALSE)</f>
        <v>8</v>
      </c>
      <c r="F8" s="285">
        <f>VLOOKUP($D8,'Monsters Stats'!$B$8:$L$70,3,FALSE)</f>
        <v>27</v>
      </c>
      <c r="G8" s="285">
        <f>VLOOKUP($D8,'Monsters Stats'!$B$8:$L$70,4,FALSE)</f>
        <v>5</v>
      </c>
      <c r="H8" s="285">
        <f>VLOOKUP($D8,'Monsters Stats'!$B$8:$L$70,5,FALSE)</f>
        <v>1</v>
      </c>
      <c r="I8" s="285">
        <f>VLOOKUP($D8,'Monsters Stats'!$B$8:$L$70,6,FALSE)</f>
        <v>0.7</v>
      </c>
      <c r="J8" s="285">
        <f>VLOOKUP($D8,'Monsters Stats'!$B$8:$L$70,7,FALSE)</f>
        <v>8</v>
      </c>
      <c r="K8" s="285">
        <f>VLOOKUP($D8,'Monsters Stats'!$B$8:$L$70,8,FALSE)</f>
        <v>2</v>
      </c>
      <c r="L8" s="284">
        <f>VLOOKUP($D8,'Monsters Stats'!$B$8:$L$70,9,FALSE)</f>
        <v>0</v>
      </c>
      <c r="M8" s="283">
        <f>VLOOKUP($D8,'Monsters Stats'!$B$8:$L$70,11,FALSE)</f>
        <v>0</v>
      </c>
      <c r="O8" s="368" t="str">
        <f t="shared" si="0"/>
        <v>Sprinter Mickey</v>
      </c>
      <c r="P8" s="280" t="str">
        <f>IF(OR($M8&lt;&gt;P$2,(TowerStats!$B$29-($G8-TowerStats!$H$29))&lt;=0),"Can't Kill",ROUNDUP($F8/(TowerStats!$B$29-($G8-TowerStats!$H$29)),0))</f>
        <v>Can't Kill</v>
      </c>
      <c r="Q8" s="279" t="str">
        <f>IF(OR($M8&lt;&gt;Q$2,(TowerStats!$B$30-($G8-TowerStats!$H$30))&lt;=0),"Can't Kill",ROUNDUP($F8/(TowerStats!$B$30-($G8-TowerStats!$H$30)),0))</f>
        <v>Can't Kill</v>
      </c>
      <c r="R8" s="279" t="str">
        <f>IF(OR($M8&lt;&gt;R$2,(TowerStats!$B$31-($G8-TowerStats!$H$31))&lt;=0),"Can't Kill",ROUNDUP($F8/(TowerStats!$B$31-($G8-TowerStats!$H$31)),0))</f>
        <v>Can't Kill</v>
      </c>
      <c r="S8" s="279" t="str">
        <f>IF(OR($M8&lt;&gt;S$2,(TowerStats!$B$32-($G8-TowerStats!$H$32))&lt;=0),"Can't Kill",ROUNDUP($F8/(TowerStats!$B$32-($G8-TowerStats!$H$32)),0))</f>
        <v>Can't Kill</v>
      </c>
      <c r="T8" s="281" t="str">
        <f>IF(OR($M8&lt;&gt;T$2,(TowerStats!$B$33-($G8-TowerStats!$H$33))&lt;=0),"Can't Kill",ROUNDUP($F8/(TowerStats!$B$33-($G8-TowerStats!$H$33)),0))</f>
        <v>Can't Kill</v>
      </c>
      <c r="U8" s="280">
        <f>IF(OR($M8&lt;&gt;U$2,(TowerStats!$B$40-$G8)&lt;=0),"Can't Kill",ROUNDUP($F8/(TowerStats!$B$40-$G8),0))</f>
        <v>9</v>
      </c>
      <c r="V8" s="279">
        <f>IF(OR($M8&lt;&gt;V$2,(TowerStats!$B$41-$G8)&lt;=0),"Can't Kill",ROUNDUP($F8/(TowerStats!$B$41-$G8),0))</f>
        <v>6</v>
      </c>
      <c r="W8" s="279">
        <f>IF(OR($M8&lt;&gt;W$2,(TowerStats!$B$42-$G8)&lt;=0),"Can't Kill",ROUNDUP($F8/(TowerStats!$B$42-$G8),0))</f>
        <v>4</v>
      </c>
      <c r="X8" s="279">
        <f>IF(OR($M8&lt;&gt;X$2,(TowerStats!$B$43-$G8)&lt;=0),"Can't Kill",ROUNDUP($F8/(TowerStats!$B$43-$G8),0))</f>
        <v>3</v>
      </c>
      <c r="Y8" s="278">
        <f>IF(OR($M8&lt;&gt;Y$2,(TowerStats!$B$44-$G8)&lt;=0),"Can't Kill",ROUNDUP($F8/(TowerStats!$B$44-$G8),0))</f>
        <v>2</v>
      </c>
      <c r="Z8" s="280" t="str">
        <f>IF(OR($M8&lt;&gt;Z$2,(TowerStats!$B$54-$G8)&lt;=0),"Can't Kill",ROUNDUP($F8/(TowerStats!$B$54-$G8),0))</f>
        <v>Can't Kill</v>
      </c>
      <c r="AA8" s="279" t="str">
        <f>IF(OR($M8&lt;&gt;AA$2,(TowerStats!$B$55-$G8)&lt;=0),"Can't Kill",ROUNDUP($F8/(TowerStats!$B$55-$G8),0))</f>
        <v>Can't Kill</v>
      </c>
      <c r="AB8" s="279" t="str">
        <f>IF(OR($M8&lt;&gt;AB$2,(TowerStats!$B$56-$G8)&lt;=0),"Can't Kill",ROUNDUP($F8/(TowerStats!$B$56-$G8),0))</f>
        <v>Can't Kill</v>
      </c>
      <c r="AC8" s="279" t="str">
        <f>IF(OR($M8&lt;&gt;AC$2,(TowerStats!$B$57-$G8)&lt;=0),"Can't Kill",ROUNDUP($F8/(TowerStats!$B$57-$G8),0))</f>
        <v>Can't Kill</v>
      </c>
      <c r="AD8" s="278" t="str">
        <f>IF(OR($M8&lt;&gt;AD$2,(TowerStats!$B$58-$G8)&lt;=0),"Can't Kill",ROUNDUP($F8/(TowerStats!$B$58-$G8),0))</f>
        <v>Can't Kill</v>
      </c>
      <c r="AE8" s="280" t="str">
        <f>IF(OR($M8&lt;&gt;AE$2,(TowerStats!$B$69-($G8-TowerStats!$H$69))&lt;=0),"Can't Kill",ROUNDUP($F8/(TowerStats!$B$69-($G8-TowerStats!$H$69)),0))</f>
        <v>Can't Kill</v>
      </c>
      <c r="AF8" s="279" t="str">
        <f>IF(OR($M8&lt;&gt;AF$2,(TowerStats!$B$70-($G8-TowerStats!$H$70))&lt;=0),"Can't Kill",ROUNDUP($F8/(TowerStats!$B$70-($G8-TowerStats!$H$70)),0))</f>
        <v>Can't Kill</v>
      </c>
      <c r="AG8" s="279" t="str">
        <f>IF(OR($M8&lt;&gt;AG$2,(TowerStats!$B$71-($G8-TowerStats!$H$71))&lt;=0),"Can't Kill",ROUNDUP($F8/(TowerStats!$B$71-($G8-TowerStats!$H$71)),0))</f>
        <v>Can't Kill</v>
      </c>
      <c r="AH8" s="279" t="str">
        <f>IF(OR($M8&lt;&gt;AH$2,(TowerStats!$B$72-($G8-TowerStats!$H$72))&lt;=0),"Can't Kill",ROUNDUP($F8/(TowerStats!$B$72-($G8-TowerStats!$H$72)),0))</f>
        <v>Can't Kill</v>
      </c>
      <c r="AI8" s="278" t="str">
        <f>IF(OR($M8&lt;&gt;AI$2,(TowerStats!$B$73-($G8-TowerStats!$H$73))&lt;=0),"Can't Kill",ROUNDUP($F8/(TowerStats!$B$73-($G8-TowerStats!$H$73)),0))</f>
        <v>Can't Kill</v>
      </c>
      <c r="AJ8" s="280" t="str">
        <f>IF(OR($M8&lt;&gt;AJ$2,(TowerStats!$B$84-$G8)&lt;=0),"Can't Kill",ROUNDUP($F8/(TowerStats!$B$84-$G8),0))</f>
        <v>Can't Kill</v>
      </c>
      <c r="AK8" s="279" t="str">
        <f>IF(OR($M8&lt;&gt;AK$2,(TowerStats!$B$85-$G8)&lt;=0),"Can't Kill",ROUNDUP($F8/(TowerStats!$B$85-$G8),0))</f>
        <v>Can't Kill</v>
      </c>
      <c r="AL8" s="279" t="str">
        <f>IF(OR($M8&lt;&gt;AL$2,(TowerStats!$B$86-$G8)&lt;=0),"Can't Kill",ROUNDUP($F8/(TowerStats!$B$86-$G8),0))</f>
        <v>Can't Kill</v>
      </c>
      <c r="AM8" s="279" t="str">
        <f>IF(OR($M8&lt;&gt;AM$2,(TowerStats!$B$87-$G8)&lt;=0),"Can't Kill",ROUNDUP($F8/(TowerStats!$B$87-$G8),0))</f>
        <v>Can't Kill</v>
      </c>
      <c r="AN8" s="278" t="str">
        <f>IF(OR($M8&lt;&gt;AN$2,(TowerStats!$B$88-$G8)&lt;=0),"Can't Kill",ROUNDUP($F8/(TowerStats!$B$88-$G8),0))</f>
        <v>Can't Kill</v>
      </c>
      <c r="AO8" s="280" t="str">
        <f>IF(OR($M8&lt;&gt;AO$2,(TowerStats!$B$100-$G8)&lt;=0),"Can't Kill",ROUNDUP($F8/(TowerStats!$B$100-$G8),0))</f>
        <v>Can't Kill</v>
      </c>
      <c r="AP8" s="279" t="str">
        <f>IF(OR($M8&lt;&gt;AP$2,(TowerStats!$B$101-$G8)&lt;=0),"Can't Kill",ROUNDUP($F8/(TowerStats!$B$101-$G8),0))</f>
        <v>Can't Kill</v>
      </c>
      <c r="AQ8" s="279" t="str">
        <f>IF(OR($M8&lt;&gt;AQ$2,(TowerStats!$B$102-$G8)&lt;=0),"Can't Kill",ROUNDUP($F8/(TowerStats!$B$102-$G8),0))</f>
        <v>Can't Kill</v>
      </c>
      <c r="AR8" s="279" t="str">
        <f>IF(OR($M8&lt;&gt;AR$2,(TowerStats!$B$103-$G8)&lt;=0),"Can't Kill",ROUNDUP($F8/(TowerStats!$B$103-$G8),0))</f>
        <v>Can't Kill</v>
      </c>
      <c r="AS8" s="278" t="str">
        <f>IF(OR($M8&lt;&gt;AS$2,(TowerStats!$B$104-$G8)&lt;=0),"Can't Kill",ROUNDUP($F8/(TowerStats!$B$104-$G8),0))</f>
        <v>Can't Kill</v>
      </c>
    </row>
    <row r="9" spans="2:45" ht="13.5" thickBot="1" x14ac:dyDescent="0.25">
      <c r="B9" s="367">
        <f>Level1!O7</f>
        <v>2</v>
      </c>
      <c r="C9" s="366">
        <f>Level1!P7</f>
        <v>3</v>
      </c>
      <c r="D9" s="365" t="str">
        <f>Level1!Q7</f>
        <v>Ancient Mummy</v>
      </c>
      <c r="E9" s="274">
        <f>VLOOKUP($D9,'Monsters Stats'!$B$8:$L$70,2,FALSE)</f>
        <v>17</v>
      </c>
      <c r="F9" s="273">
        <f>VLOOKUP($D9,'Monsters Stats'!$B$8:$L$70,3,FALSE)</f>
        <v>79</v>
      </c>
      <c r="G9" s="273">
        <f>VLOOKUP($D9,'Monsters Stats'!$B$8:$L$70,4,FALSE)</f>
        <v>12</v>
      </c>
      <c r="H9" s="273">
        <f>VLOOKUP($D9,'Monsters Stats'!$B$8:$L$70,5,FALSE)</f>
        <v>1</v>
      </c>
      <c r="I9" s="273">
        <f>VLOOKUP($D9,'Monsters Stats'!$B$8:$L$70,6,FALSE)</f>
        <v>0.9</v>
      </c>
      <c r="J9" s="273">
        <f>VLOOKUP($D9,'Monsters Stats'!$B$8:$L$70,7,FALSE)</f>
        <v>60</v>
      </c>
      <c r="K9" s="273">
        <f>VLOOKUP($D9,'Monsters Stats'!$B$8:$L$70,8,FALSE)</f>
        <v>1.8</v>
      </c>
      <c r="L9" s="272">
        <f>VLOOKUP($D9,'Monsters Stats'!$B$8:$L$70,9,FALSE)</f>
        <v>30</v>
      </c>
      <c r="M9" s="271">
        <f>VLOOKUP($D9,'Monsters Stats'!$B$8:$L$70,11,FALSE)</f>
        <v>1</v>
      </c>
      <c r="O9" s="364" t="str">
        <f t="shared" si="0"/>
        <v>Ancient Mummy</v>
      </c>
      <c r="P9" s="268" t="str">
        <f>IF(OR($M9&lt;&gt;P$2,(TowerStats!$B$29-($G9-TowerStats!$H$29))&lt;=0),"Can't Kill",ROUNDUP($F9/(TowerStats!$B$29-($G9-TowerStats!$H$29)),0))</f>
        <v>Can't Kill</v>
      </c>
      <c r="Q9" s="267">
        <f>IF(OR($M9&lt;&gt;Q$2,(TowerStats!$B$30-($G9-TowerStats!$H$30))&lt;=0),"Can't Kill",ROUNDUP($F9/(TowerStats!$B$30-($G9-TowerStats!$H$30)),0))</f>
        <v>27</v>
      </c>
      <c r="R9" s="267">
        <f>IF(OR($M9&lt;&gt;R$2,(TowerStats!$B$31-($G9-TowerStats!$H$31))&lt;=0),"Can't Kill",ROUNDUP($F9/(TowerStats!$B$31-($G9-TowerStats!$H$31)),0))</f>
        <v>14</v>
      </c>
      <c r="S9" s="267">
        <f>IF(OR($M9&lt;&gt;S$2,(TowerStats!$B$32-($G9-TowerStats!$H$32))&lt;=0),"Can't Kill",ROUNDUP($F9/(TowerStats!$B$32-($G9-TowerStats!$H$32)),0))</f>
        <v>4</v>
      </c>
      <c r="T9" s="269" t="str">
        <f>IF(OR($M9&lt;&gt;T$2,(TowerStats!$B$33-($G9-TowerStats!$H$33))&lt;=0),"Can't Kill",ROUNDUP($F9/(TowerStats!$B$33-($G9-TowerStats!$H$33)),0))</f>
        <v>Can't Kill</v>
      </c>
      <c r="U9" s="268" t="str">
        <f>IF(OR($M9&lt;&gt;U$2,(TowerStats!$B$40-$G9)&lt;=0),"Can't Kill",ROUNDUP($F9/(TowerStats!$B$40-$G9),0))</f>
        <v>Can't Kill</v>
      </c>
      <c r="V9" s="267" t="str">
        <f>IF(OR($M9&lt;&gt;V$2,(TowerStats!$B$41-$G9)&lt;=0),"Can't Kill",ROUNDUP($F9/(TowerStats!$B$41-$G9),0))</f>
        <v>Can't Kill</v>
      </c>
      <c r="W9" s="267" t="str">
        <f>IF(OR($M9&lt;&gt;W$2,(TowerStats!$B$42-$G9)&lt;=0),"Can't Kill",ROUNDUP($F9/(TowerStats!$B$42-$G9),0))</f>
        <v>Can't Kill</v>
      </c>
      <c r="X9" s="267" t="str">
        <f>IF(OR($M9&lt;&gt;X$2,(TowerStats!$B$43-$G9)&lt;=0),"Can't Kill",ROUNDUP($F9/(TowerStats!$B$43-$G9),0))</f>
        <v>Can't Kill</v>
      </c>
      <c r="Y9" s="266" t="str">
        <f>IF(OR($M9&lt;&gt;Y$2,(TowerStats!$B$44-$G9)&lt;=0),"Can't Kill",ROUNDUP($F9/(TowerStats!$B$44-$G9),0))</f>
        <v>Can't Kill</v>
      </c>
      <c r="Z9" s="268" t="str">
        <f>IF(OR($M9&lt;&gt;Z$2,(TowerStats!$B$54-$G9)&lt;=0),"Can't Kill",ROUNDUP($F9/(TowerStats!$B$54-$G9),0))</f>
        <v>Can't Kill</v>
      </c>
      <c r="AA9" s="267" t="str">
        <f>IF(OR($M9&lt;&gt;AA$2,(TowerStats!$B$55-$G9)&lt;=0),"Can't Kill",ROUNDUP($F9/(TowerStats!$B$55-$G9),0))</f>
        <v>Can't Kill</v>
      </c>
      <c r="AB9" s="267" t="str">
        <f>IF(OR($M9&lt;&gt;AB$2,(TowerStats!$B$56-$G9)&lt;=0),"Can't Kill",ROUNDUP($F9/(TowerStats!$B$56-$G9),0))</f>
        <v>Can't Kill</v>
      </c>
      <c r="AC9" s="267" t="str">
        <f>IF(OR($M9&lt;&gt;AC$2,(TowerStats!$B$57-$G9)&lt;=0),"Can't Kill",ROUNDUP($F9/(TowerStats!$B$57-$G9),0))</f>
        <v>Can't Kill</v>
      </c>
      <c r="AD9" s="266" t="str">
        <f>IF(OR($M9&lt;&gt;AD$2,(TowerStats!$B$58-$G9)&lt;=0),"Can't Kill",ROUNDUP($F9/(TowerStats!$B$58-$G9),0))</f>
        <v>Can't Kill</v>
      </c>
      <c r="AE9" s="268">
        <f>IF(OR($M9&lt;&gt;AE$2,(TowerStats!$B$69-($G9-TowerStats!$H$69))&lt;=0),"Can't Kill",ROUNDUP($F9/(TowerStats!$B$69-($G9-TowerStats!$H$69)),0))</f>
        <v>79</v>
      </c>
      <c r="AF9" s="267">
        <f>IF(OR($M9&lt;&gt;AF$2,(TowerStats!$B$70-($G9-TowerStats!$H$70))&lt;=0),"Can't Kill",ROUNDUP($F9/(TowerStats!$B$70-($G9-TowerStats!$H$70)),0))</f>
        <v>20</v>
      </c>
      <c r="AG9" s="267">
        <f>IF(OR($M9&lt;&gt;AG$2,(TowerStats!$B$71-($G9-TowerStats!$H$71))&lt;=0),"Can't Kill",ROUNDUP($F9/(TowerStats!$B$71-($G9-TowerStats!$H$71)),0))</f>
        <v>10</v>
      </c>
      <c r="AH9" s="267">
        <f>IF(OR($M9&lt;&gt;AH$2,(TowerStats!$B$72-($G9-TowerStats!$H$72))&lt;=0),"Can't Kill",ROUNDUP($F9/(TowerStats!$B$72-($G9-TowerStats!$H$72)),0))</f>
        <v>8</v>
      </c>
      <c r="AI9" s="266">
        <f>IF(OR($M9&lt;&gt;AI$2,(TowerStats!$B$73-($G9-TowerStats!$H$73))&lt;=0),"Can't Kill",ROUNDUP($F9/(TowerStats!$B$73-($G9-TowerStats!$H$73)),0))</f>
        <v>8</v>
      </c>
      <c r="AJ9" s="268">
        <f>IF(OR($M9&lt;&gt;AJ$2,(TowerStats!$B$84-$G9)&lt;=0),"Can't Kill",ROUNDUP($F9/(TowerStats!$B$84-$G9),0))</f>
        <v>16</v>
      </c>
      <c r="AK9" s="267">
        <f>IF(OR($M9&lt;&gt;AK$2,(TowerStats!$B$85-$G9)&lt;=0),"Can't Kill",ROUNDUP($F9/(TowerStats!$B$85-$G9),0))</f>
        <v>8</v>
      </c>
      <c r="AL9" s="267">
        <f>IF(OR($M9&lt;&gt;AL$2,(TowerStats!$B$86-$G9)&lt;=0),"Can't Kill",ROUNDUP($F9/(TowerStats!$B$86-$G9),0))</f>
        <v>5</v>
      </c>
      <c r="AM9" s="267">
        <f>IF(OR($M9&lt;&gt;AM$2,(TowerStats!$B$87-$G9)&lt;=0),"Can't Kill",ROUNDUP($F9/(TowerStats!$B$87-$G9),0))</f>
        <v>3</v>
      </c>
      <c r="AN9" s="266">
        <f>IF(OR($M9&lt;&gt;AN$2,(TowerStats!$B$88-$G9)&lt;=0),"Can't Kill",ROUNDUP($F9/(TowerStats!$B$88-$G9),0))</f>
        <v>4</v>
      </c>
      <c r="AO9" s="268">
        <f>IF(OR($M9&lt;&gt;AO$2,(TowerStats!$B$100-$G9)&lt;=0),"Can't Kill",ROUNDUP($F9/(TowerStats!$B$100-$G9),0))</f>
        <v>79</v>
      </c>
      <c r="AP9" s="267">
        <f>IF(OR($M9&lt;&gt;AP$2,(TowerStats!$B$101-$G9)&lt;=0),"Can't Kill",ROUNDUP($F9/(TowerStats!$B$101-$G9),0))</f>
        <v>12</v>
      </c>
      <c r="AQ9" s="267">
        <f>IF(OR($M9&lt;&gt;AQ$2,(TowerStats!$B$102-$G9)&lt;=0),"Can't Kill",ROUNDUP($F9/(TowerStats!$B$102-$G9),0))</f>
        <v>6</v>
      </c>
      <c r="AR9" s="267">
        <f>IF(OR($M9&lt;&gt;AR$2,(TowerStats!$B$103-$G9)&lt;=0),"Can't Kill",ROUNDUP($F9/(TowerStats!$B$103-$G9),0))</f>
        <v>3</v>
      </c>
      <c r="AS9" s="266">
        <f>IF(OR($M9&lt;&gt;AS$2,(TowerStats!$B$104-$G9)&lt;=0),"Can't Kill",ROUNDUP($F9/(TowerStats!$B$104-$G9),0))</f>
        <v>4</v>
      </c>
    </row>
    <row r="10" spans="2:45" ht="13.5" thickBot="1" x14ac:dyDescent="0.25">
      <c r="B10" s="265">
        <f>SUMPRODUCT(B4:B9,$C4:$C9)</f>
        <v>161</v>
      </c>
      <c r="C10" s="264">
        <f>SUM(C4:C9)</f>
        <v>35</v>
      </c>
      <c r="D10" s="263" t="s">
        <v>247</v>
      </c>
      <c r="E10" s="262">
        <f t="shared" ref="E10:J10" si="1">SUMPRODUCT(E4:E9,$C4:$C9)</f>
        <v>217</v>
      </c>
      <c r="F10" s="262">
        <f t="shared" si="1"/>
        <v>935</v>
      </c>
      <c r="G10" s="262">
        <f t="shared" si="1"/>
        <v>236</v>
      </c>
      <c r="H10" s="262">
        <f t="shared" si="1"/>
        <v>36</v>
      </c>
      <c r="I10" s="262">
        <f t="shared" si="1"/>
        <v>39.400000000000006</v>
      </c>
      <c r="J10" s="262">
        <f t="shared" si="1"/>
        <v>706</v>
      </c>
      <c r="K10" s="262">
        <f>SUMPRODUCT(K4:K9,$C4:$C9)/C10</f>
        <v>1.0171428571428571</v>
      </c>
      <c r="L10" s="261">
        <f>SUMPRODUCT(L4:L9,$C4:$C9)</f>
        <v>515</v>
      </c>
      <c r="M10" s="260"/>
      <c r="O10" s="260"/>
    </row>
    <row r="12" spans="2:45" ht="13.5" thickBot="1" x14ac:dyDescent="0.25"/>
    <row r="13" spans="2:45" ht="39" thickBot="1" x14ac:dyDescent="0.2">
      <c r="B13" s="314" t="s">
        <v>143</v>
      </c>
      <c r="C13" s="313" t="s">
        <v>144</v>
      </c>
      <c r="D13" s="312" t="s">
        <v>146</v>
      </c>
      <c r="E13" s="311" t="s">
        <v>3</v>
      </c>
      <c r="F13" s="251" t="s">
        <v>4</v>
      </c>
      <c r="G13" s="251" t="s">
        <v>5</v>
      </c>
      <c r="H13" s="251" t="s">
        <v>6</v>
      </c>
      <c r="I13" s="251" t="s">
        <v>18</v>
      </c>
      <c r="J13" s="251" t="s">
        <v>9</v>
      </c>
      <c r="K13" s="251" t="s">
        <v>0</v>
      </c>
      <c r="L13" s="310" t="s">
        <v>10</v>
      </c>
      <c r="M13" s="309" t="s">
        <v>244</v>
      </c>
      <c r="O13" s="363" t="s">
        <v>146</v>
      </c>
      <c r="P13" s="297" t="s">
        <v>20</v>
      </c>
      <c r="Q13" s="296" t="s">
        <v>21</v>
      </c>
      <c r="R13" s="296" t="s">
        <v>22</v>
      </c>
      <c r="S13" s="296" t="s">
        <v>121</v>
      </c>
      <c r="T13" s="308" t="s">
        <v>122</v>
      </c>
      <c r="U13" s="307" t="s">
        <v>115</v>
      </c>
      <c r="V13" s="306" t="s">
        <v>116</v>
      </c>
      <c r="W13" s="306" t="s">
        <v>117</v>
      </c>
      <c r="X13" s="305" t="s">
        <v>125</v>
      </c>
      <c r="Y13" s="304" t="s">
        <v>126</v>
      </c>
      <c r="Z13" s="303" t="s">
        <v>130</v>
      </c>
      <c r="AA13" s="302" t="s">
        <v>223</v>
      </c>
      <c r="AB13" s="302" t="s">
        <v>131</v>
      </c>
      <c r="AC13" s="301" t="s">
        <v>132</v>
      </c>
      <c r="AD13" s="300" t="s">
        <v>133</v>
      </c>
      <c r="AE13" s="297" t="s">
        <v>36</v>
      </c>
      <c r="AF13" s="296" t="s">
        <v>37</v>
      </c>
      <c r="AG13" s="296" t="s">
        <v>38</v>
      </c>
      <c r="AH13" s="299" t="s">
        <v>137</v>
      </c>
      <c r="AI13" s="298" t="s">
        <v>138</v>
      </c>
      <c r="AJ13" s="297" t="s">
        <v>42</v>
      </c>
      <c r="AK13" s="296" t="s">
        <v>43</v>
      </c>
      <c r="AL13" s="296" t="s">
        <v>44</v>
      </c>
      <c r="AM13" s="295" t="s">
        <v>45</v>
      </c>
      <c r="AN13" s="294" t="s">
        <v>46</v>
      </c>
      <c r="AO13" s="297" t="s">
        <v>52</v>
      </c>
      <c r="AP13" s="296" t="s">
        <v>53</v>
      </c>
      <c r="AQ13" s="296" t="s">
        <v>54</v>
      </c>
      <c r="AR13" s="295" t="s">
        <v>231</v>
      </c>
      <c r="AS13" s="294" t="s">
        <v>55</v>
      </c>
    </row>
    <row r="14" spans="2:45" x14ac:dyDescent="0.2">
      <c r="B14" s="362">
        <f>Level1!R2</f>
        <v>3</v>
      </c>
      <c r="C14" s="361">
        <f>Level1!S2</f>
        <v>3</v>
      </c>
      <c r="D14" s="360" t="str">
        <f>Level1!T2</f>
        <v>Starving Zombie</v>
      </c>
      <c r="E14" s="286">
        <f>VLOOKUP($D14,'Monsters Stats'!$B$8:$L$70,2,FALSE)</f>
        <v>10</v>
      </c>
      <c r="F14" s="285">
        <f>VLOOKUP($D14,'Monsters Stats'!$B$8:$L$70,3,FALSE)</f>
        <v>26</v>
      </c>
      <c r="G14" s="285">
        <f>VLOOKUP($D14,'Monsters Stats'!$B$8:$L$70,4,FALSE)</f>
        <v>4</v>
      </c>
      <c r="H14" s="285">
        <f>VLOOKUP($D14,'Monsters Stats'!$B$8:$L$70,5,FALSE)</f>
        <v>1</v>
      </c>
      <c r="I14" s="285">
        <f>VLOOKUP($D14,'Monsters Stats'!$B$8:$L$70,6,FALSE)</f>
        <v>0.79999999999999993</v>
      </c>
      <c r="J14" s="285">
        <f>VLOOKUP($D14,'Monsters Stats'!$B$8:$L$70,7,FALSE)</f>
        <v>4</v>
      </c>
      <c r="K14" s="285">
        <f>VLOOKUP($D14,'Monsters Stats'!$B$8:$L$70,8,FALSE)</f>
        <v>1</v>
      </c>
      <c r="L14" s="284">
        <f>VLOOKUP($D14,'Monsters Stats'!$B$8:$L$70,9,FALSE)</f>
        <v>0</v>
      </c>
      <c r="M14" s="283">
        <f>VLOOKUP($D14,'Monsters Stats'!$B$8:$L$70,11,FALSE)</f>
        <v>0</v>
      </c>
      <c r="O14" s="359" t="str">
        <f t="shared" ref="O14:O19" si="2">D14</f>
        <v>Starving Zombie</v>
      </c>
      <c r="P14" s="280" t="str">
        <f>IF(OR($M14&lt;&gt;P$2,(TowerStats!$B$29-($G14-TowerStats!$H$29))&lt;=0),"Can't Kill",ROUNDUP($F14/(TowerStats!$B$29-($G14-TowerStats!$H$29)),0))</f>
        <v>Can't Kill</v>
      </c>
      <c r="Q14" s="279" t="str">
        <f>IF(OR($M14&lt;&gt;Q$2,(TowerStats!$B$30-($G14-TowerStats!$H$30))&lt;=0),"Can't Kill",ROUNDUP($F14/(TowerStats!$B$30-($G14-TowerStats!$H$30)),0))</f>
        <v>Can't Kill</v>
      </c>
      <c r="R14" s="279" t="str">
        <f>IF(OR($M14&lt;&gt;R$2,(TowerStats!$B$31-($G14-TowerStats!$H$31))&lt;=0),"Can't Kill",ROUNDUP($F14/(TowerStats!$B$31-($G14-TowerStats!$H$31)),0))</f>
        <v>Can't Kill</v>
      </c>
      <c r="S14" s="279" t="str">
        <f>IF(OR($M14&lt;&gt;S$2,(TowerStats!$B$32-($G14-TowerStats!$H$32))&lt;=0),"Can't Kill",ROUNDUP($F14/(TowerStats!$B$32-($G14-TowerStats!$H$32)),0))</f>
        <v>Can't Kill</v>
      </c>
      <c r="T14" s="281" t="str">
        <f>IF(OR($M14&lt;&gt;T$2,(TowerStats!$B$33-($G14-TowerStats!$H$33))&lt;=0),"Can't Kill",ROUNDUP($F14/(TowerStats!$B$33-($G14-TowerStats!$H$33)),0))</f>
        <v>Can't Kill</v>
      </c>
      <c r="U14" s="280">
        <f>IF(OR($M14&lt;&gt;U$2,(TowerStats!$B$40-$G14)&lt;=0),"Can't Kill",ROUNDUP($F14/(TowerStats!$B$40-$G14),0))</f>
        <v>7</v>
      </c>
      <c r="V14" s="279">
        <f>IF(OR($M14&lt;&gt;V$2,(TowerStats!$B$41-$G14)&lt;=0),"Can't Kill",ROUNDUP($F14/(TowerStats!$B$41-$G14),0))</f>
        <v>5</v>
      </c>
      <c r="W14" s="279">
        <f>IF(OR($M14&lt;&gt;W$2,(TowerStats!$B$42-$G14)&lt;=0),"Can't Kill",ROUNDUP($F14/(TowerStats!$B$42-$G14),0))</f>
        <v>4</v>
      </c>
      <c r="X14" s="279">
        <f>IF(OR($M14&lt;&gt;X$2,(TowerStats!$B$43-$G14)&lt;=0),"Can't Kill",ROUNDUP($F14/(TowerStats!$B$43-$G14),0))</f>
        <v>3</v>
      </c>
      <c r="Y14" s="278">
        <f>IF(OR($M14&lt;&gt;Y$2,(TowerStats!$B$44-$G14)&lt;=0),"Can't Kill",ROUNDUP($F14/(TowerStats!$B$44-$G14),0))</f>
        <v>2</v>
      </c>
      <c r="Z14" s="280" t="str">
        <f>IF(OR($M14&lt;&gt;Z$2,(TowerStats!$B$54-$G14)&lt;=0),"Can't Kill",ROUNDUP($F14/(TowerStats!$B$54-$G14),0))</f>
        <v>Can't Kill</v>
      </c>
      <c r="AA14" s="279" t="str">
        <f>IF(OR($M14&lt;&gt;AA$2,(TowerStats!$B$55-$G14)&lt;=0),"Can't Kill",ROUNDUP($F14/(TowerStats!$B$55-$G14),0))</f>
        <v>Can't Kill</v>
      </c>
      <c r="AB14" s="279" t="str">
        <f>IF(OR($M14&lt;&gt;AB$2,(TowerStats!$B$56-$G14)&lt;=0),"Can't Kill",ROUNDUP($F14/(TowerStats!$B$56-$G14),0))</f>
        <v>Can't Kill</v>
      </c>
      <c r="AC14" s="279" t="str">
        <f>IF(OR($M14&lt;&gt;AC$2,(TowerStats!$B$57-$G14)&lt;=0),"Can't Kill",ROUNDUP($F14/(TowerStats!$B$57-$G14),0))</f>
        <v>Can't Kill</v>
      </c>
      <c r="AD14" s="278" t="str">
        <f>IF(OR($M14&lt;&gt;AD$2,(TowerStats!$B$58-$G14)&lt;=0),"Can't Kill",ROUNDUP($F14/(TowerStats!$B$58-$G14),0))</f>
        <v>Can't Kill</v>
      </c>
      <c r="AE14" s="280" t="str">
        <f>IF(OR($M14&lt;&gt;AE$2,(TowerStats!$B$69-($G14-TowerStats!$H$69))&lt;=0),"Can't Kill",ROUNDUP($F14/(TowerStats!$B$69-($G14-TowerStats!$H$69)),0))</f>
        <v>Can't Kill</v>
      </c>
      <c r="AF14" s="279" t="str">
        <f>IF(OR($M14&lt;&gt;AF$2,(TowerStats!$B$70-($G14-TowerStats!$H$70))&lt;=0),"Can't Kill",ROUNDUP($F14/(TowerStats!$B$70-($G14-TowerStats!$H$70)),0))</f>
        <v>Can't Kill</v>
      </c>
      <c r="AG14" s="279" t="str">
        <f>IF(OR($M14&lt;&gt;AG$2,(TowerStats!$B$71-($G14-TowerStats!$H$71))&lt;=0),"Can't Kill",ROUNDUP($F14/(TowerStats!$B$71-($G14-TowerStats!$H$71)),0))</f>
        <v>Can't Kill</v>
      </c>
      <c r="AH14" s="279" t="str">
        <f>IF(OR($M14&lt;&gt;AH$2,(TowerStats!$B$72-($G14-TowerStats!$H$72))&lt;=0),"Can't Kill",ROUNDUP($F14/(TowerStats!$B$72-($G14-TowerStats!$H$72)),0))</f>
        <v>Can't Kill</v>
      </c>
      <c r="AI14" s="278" t="str">
        <f>IF(OR($M14&lt;&gt;AI$2,(TowerStats!$B$73-($G14-TowerStats!$H$73))&lt;=0),"Can't Kill",ROUNDUP($F14/(TowerStats!$B$73-($G14-TowerStats!$H$73)),0))</f>
        <v>Can't Kill</v>
      </c>
      <c r="AJ14" s="280" t="str">
        <f>IF(OR($M14&lt;&gt;AJ$2,(TowerStats!$B$84-$G14)&lt;=0),"Can't Kill",ROUNDUP($F14/(TowerStats!$B$84-$G14),0))</f>
        <v>Can't Kill</v>
      </c>
      <c r="AK14" s="279" t="str">
        <f>IF(OR($M14&lt;&gt;AK$2,(TowerStats!$B$85-$G14)&lt;=0),"Can't Kill",ROUNDUP($F14/(TowerStats!$B$85-$G14),0))</f>
        <v>Can't Kill</v>
      </c>
      <c r="AL14" s="279" t="str">
        <f>IF(OR($M14&lt;&gt;AL$2,(TowerStats!$B$86-$G14)&lt;=0),"Can't Kill",ROUNDUP($F14/(TowerStats!$B$86-$G14),0))</f>
        <v>Can't Kill</v>
      </c>
      <c r="AM14" s="279" t="str">
        <f>IF(OR($M14&lt;&gt;AM$2,(TowerStats!$B$87-$G14)&lt;=0),"Can't Kill",ROUNDUP($F14/(TowerStats!$B$87-$G14),0))</f>
        <v>Can't Kill</v>
      </c>
      <c r="AN14" s="278" t="str">
        <f>IF(OR($M14&lt;&gt;AN$2,(TowerStats!$B$88-$G14)&lt;=0),"Can't Kill",ROUNDUP($F14/(TowerStats!$B$88-$G14),0))</f>
        <v>Can't Kill</v>
      </c>
      <c r="AO14" s="280" t="str">
        <f>IF(OR($M14&lt;&gt;AO$2,(TowerStats!$B$100-$G14)&lt;=0),"Can't Kill",ROUNDUP($F14/(TowerStats!$B$100-$G14),0))</f>
        <v>Can't Kill</v>
      </c>
      <c r="AP14" s="279" t="str">
        <f>IF(OR($M14&lt;&gt;AP$2,(TowerStats!$B$101-$G14)&lt;=0),"Can't Kill",ROUNDUP($F14/(TowerStats!$B$101-$G14),0))</f>
        <v>Can't Kill</v>
      </c>
      <c r="AQ14" s="279" t="str">
        <f>IF(OR($M14&lt;&gt;AQ$2,(TowerStats!$B$102-$G14)&lt;=0),"Can't Kill",ROUNDUP($F14/(TowerStats!$B$102-$G14),0))</f>
        <v>Can't Kill</v>
      </c>
      <c r="AR14" s="279" t="str">
        <f>IF(OR($M14&lt;&gt;AR$2,(TowerStats!$B$103-$G14)&lt;=0),"Can't Kill",ROUNDUP($F14/(TowerStats!$B$103-$G14),0))</f>
        <v>Can't Kill</v>
      </c>
      <c r="AS14" s="278" t="str">
        <f>IF(OR($M14&lt;&gt;AS$2,(TowerStats!$B$104-$G14)&lt;=0),"Can't Kill",ROUNDUP($F14/(TowerStats!$B$104-$G14),0))</f>
        <v>Can't Kill</v>
      </c>
    </row>
    <row r="15" spans="2:45" x14ac:dyDescent="0.2">
      <c r="B15" s="358">
        <f>Level1!R3</f>
        <v>6</v>
      </c>
      <c r="C15" s="357">
        <f>Level1!S3</f>
        <v>6</v>
      </c>
      <c r="D15" s="356" t="str">
        <f>Level1!T3</f>
        <v>Ancient Mummy</v>
      </c>
      <c r="E15" s="286">
        <f>VLOOKUP($D15,'Monsters Stats'!$B$8:$L$70,2,FALSE)</f>
        <v>17</v>
      </c>
      <c r="F15" s="285">
        <f>VLOOKUP($D15,'Monsters Stats'!$B$8:$L$70,3,FALSE)</f>
        <v>79</v>
      </c>
      <c r="G15" s="285">
        <f>VLOOKUP($D15,'Monsters Stats'!$B$8:$L$70,4,FALSE)</f>
        <v>12</v>
      </c>
      <c r="H15" s="285">
        <f>VLOOKUP($D15,'Monsters Stats'!$B$8:$L$70,5,FALSE)</f>
        <v>1</v>
      </c>
      <c r="I15" s="285">
        <f>VLOOKUP($D15,'Monsters Stats'!$B$8:$L$70,6,FALSE)</f>
        <v>0.9</v>
      </c>
      <c r="J15" s="285">
        <f>VLOOKUP($D15,'Monsters Stats'!$B$8:$L$70,7,FALSE)</f>
        <v>60</v>
      </c>
      <c r="K15" s="285">
        <f>VLOOKUP($D15,'Monsters Stats'!$B$8:$L$70,8,FALSE)</f>
        <v>1.8</v>
      </c>
      <c r="L15" s="284">
        <f>VLOOKUP($D15,'Monsters Stats'!$B$8:$L$70,9,FALSE)</f>
        <v>30</v>
      </c>
      <c r="M15" s="283">
        <f>VLOOKUP($D15,'Monsters Stats'!$B$8:$L$70,11,FALSE)</f>
        <v>1</v>
      </c>
      <c r="O15" s="355" t="str">
        <f t="shared" si="2"/>
        <v>Ancient Mummy</v>
      </c>
      <c r="P15" s="280" t="str">
        <f>IF(OR($M15&lt;&gt;P$2,(TowerStats!$B$29-($G15-TowerStats!$H$29))&lt;=0),"Can't Kill",ROUNDUP($F15/(TowerStats!$B$29-($G15-TowerStats!$H$29)),0))</f>
        <v>Can't Kill</v>
      </c>
      <c r="Q15" s="279">
        <f>IF(OR($M15&lt;&gt;Q$2,(TowerStats!$B$30-($G15-TowerStats!$H$30))&lt;=0),"Can't Kill",ROUNDUP($F15/(TowerStats!$B$30-($G15-TowerStats!$H$30)),0))</f>
        <v>27</v>
      </c>
      <c r="R15" s="279">
        <f>IF(OR($M15&lt;&gt;R$2,(TowerStats!$B$31-($G15-TowerStats!$H$31))&lt;=0),"Can't Kill",ROUNDUP($F15/(TowerStats!$B$31-($G15-TowerStats!$H$31)),0))</f>
        <v>14</v>
      </c>
      <c r="S15" s="279">
        <f>IF(OR($M15&lt;&gt;S$2,(TowerStats!$B$32-($G15-TowerStats!$H$32))&lt;=0),"Can't Kill",ROUNDUP($F15/(TowerStats!$B$32-($G15-TowerStats!$H$32)),0))</f>
        <v>4</v>
      </c>
      <c r="T15" s="281" t="str">
        <f>IF(OR($M15&lt;&gt;T$2,(TowerStats!$B$33-($G15-TowerStats!$H$33))&lt;=0),"Can't Kill",ROUNDUP($F15/(TowerStats!$B$33-($G15-TowerStats!$H$33)),0))</f>
        <v>Can't Kill</v>
      </c>
      <c r="U15" s="280" t="str">
        <f>IF(OR($M15&lt;&gt;U$2,(TowerStats!$B$40-$G15)&lt;=0),"Can't Kill",ROUNDUP($F15/(TowerStats!$B$40-$G15),0))</f>
        <v>Can't Kill</v>
      </c>
      <c r="V15" s="279" t="str">
        <f>IF(OR($M15&lt;&gt;V$2,(TowerStats!$B$41-$G15)&lt;=0),"Can't Kill",ROUNDUP($F15/(TowerStats!$B$41-$G15),0))</f>
        <v>Can't Kill</v>
      </c>
      <c r="W15" s="279" t="str">
        <f>IF(OR($M15&lt;&gt;W$2,(TowerStats!$B$42-$G15)&lt;=0),"Can't Kill",ROUNDUP($F15/(TowerStats!$B$42-$G15),0))</f>
        <v>Can't Kill</v>
      </c>
      <c r="X15" s="279" t="str">
        <f>IF(OR($M15&lt;&gt;X$2,(TowerStats!$B$43-$G15)&lt;=0),"Can't Kill",ROUNDUP($F15/(TowerStats!$B$43-$G15),0))</f>
        <v>Can't Kill</v>
      </c>
      <c r="Y15" s="278" t="str">
        <f>IF(OR($M15&lt;&gt;Y$2,(TowerStats!$B$44-$G15)&lt;=0),"Can't Kill",ROUNDUP($F15/(TowerStats!$B$44-$G15),0))</f>
        <v>Can't Kill</v>
      </c>
      <c r="Z15" s="280" t="str">
        <f>IF(OR($M15&lt;&gt;Z$2,(TowerStats!$B$54-$G15)&lt;=0),"Can't Kill",ROUNDUP($F15/(TowerStats!$B$54-$G15),0))</f>
        <v>Can't Kill</v>
      </c>
      <c r="AA15" s="279" t="str">
        <f>IF(OR($M15&lt;&gt;AA$2,(TowerStats!$B$55-$G15)&lt;=0),"Can't Kill",ROUNDUP($F15/(TowerStats!$B$55-$G15),0))</f>
        <v>Can't Kill</v>
      </c>
      <c r="AB15" s="279" t="str">
        <f>IF(OR($M15&lt;&gt;AB$2,(TowerStats!$B$56-$G15)&lt;=0),"Can't Kill",ROUNDUP($F15/(TowerStats!$B$56-$G15),0))</f>
        <v>Can't Kill</v>
      </c>
      <c r="AC15" s="279" t="str">
        <f>IF(OR($M15&lt;&gt;AC$2,(TowerStats!$B$57-$G15)&lt;=0),"Can't Kill",ROUNDUP($F15/(TowerStats!$B$57-$G15),0))</f>
        <v>Can't Kill</v>
      </c>
      <c r="AD15" s="278" t="str">
        <f>IF(OR($M15&lt;&gt;AD$2,(TowerStats!$B$58-$G15)&lt;=0),"Can't Kill",ROUNDUP($F15/(TowerStats!$B$58-$G15),0))</f>
        <v>Can't Kill</v>
      </c>
      <c r="AE15" s="280">
        <f>IF(OR($M15&lt;&gt;AE$2,(TowerStats!$B$69-($G15-TowerStats!$H$69))&lt;=0),"Can't Kill",ROUNDUP($F15/(TowerStats!$B$69-($G15-TowerStats!$H$69)),0))</f>
        <v>79</v>
      </c>
      <c r="AF15" s="279">
        <f>IF(OR($M15&lt;&gt;AF$2,(TowerStats!$B$70-($G15-TowerStats!$H$70))&lt;=0),"Can't Kill",ROUNDUP($F15/(TowerStats!$B$70-($G15-TowerStats!$H$70)),0))</f>
        <v>20</v>
      </c>
      <c r="AG15" s="279">
        <f>IF(OR($M15&lt;&gt;AG$2,(TowerStats!$B$71-($G15-TowerStats!$H$71))&lt;=0),"Can't Kill",ROUNDUP($F15/(TowerStats!$B$71-($G15-TowerStats!$H$71)),0))</f>
        <v>10</v>
      </c>
      <c r="AH15" s="279">
        <f>IF(OR($M15&lt;&gt;AH$2,(TowerStats!$B$72-($G15-TowerStats!$H$72))&lt;=0),"Can't Kill",ROUNDUP($F15/(TowerStats!$B$72-($G15-TowerStats!$H$72)),0))</f>
        <v>8</v>
      </c>
      <c r="AI15" s="278">
        <f>IF(OR($M15&lt;&gt;AI$2,(TowerStats!$B$73-($G15-TowerStats!$H$73))&lt;=0),"Can't Kill",ROUNDUP($F15/(TowerStats!$B$73-($G15-TowerStats!$H$73)),0))</f>
        <v>8</v>
      </c>
      <c r="AJ15" s="280">
        <f>IF(OR($M15&lt;&gt;AJ$2,(TowerStats!$B$84-$G15)&lt;=0),"Can't Kill",ROUNDUP($F15/(TowerStats!$B$84-$G15),0))</f>
        <v>16</v>
      </c>
      <c r="AK15" s="279">
        <f>IF(OR($M15&lt;&gt;AK$2,(TowerStats!$B$85-$G15)&lt;=0),"Can't Kill",ROUNDUP($F15/(TowerStats!$B$85-$G15),0))</f>
        <v>8</v>
      </c>
      <c r="AL15" s="279">
        <f>IF(OR($M15&lt;&gt;AL$2,(TowerStats!$B$86-$G15)&lt;=0),"Can't Kill",ROUNDUP($F15/(TowerStats!$B$86-$G15),0))</f>
        <v>5</v>
      </c>
      <c r="AM15" s="279">
        <f>IF(OR($M15&lt;&gt;AM$2,(TowerStats!$B$87-$G15)&lt;=0),"Can't Kill",ROUNDUP($F15/(TowerStats!$B$87-$G15),0))</f>
        <v>3</v>
      </c>
      <c r="AN15" s="278">
        <f>IF(OR($M15&lt;&gt;AN$2,(TowerStats!$B$88-$G15)&lt;=0),"Can't Kill",ROUNDUP($F15/(TowerStats!$B$88-$G15),0))</f>
        <v>4</v>
      </c>
      <c r="AO15" s="280">
        <f>IF(OR($M15&lt;&gt;AO$2,(TowerStats!$B$100-$G15)&lt;=0),"Can't Kill",ROUNDUP($F15/(TowerStats!$B$100-$G15),0))</f>
        <v>79</v>
      </c>
      <c r="AP15" s="279">
        <f>IF(OR($M15&lt;&gt;AP$2,(TowerStats!$B$101-$G15)&lt;=0),"Can't Kill",ROUNDUP($F15/(TowerStats!$B$101-$G15),0))</f>
        <v>12</v>
      </c>
      <c r="AQ15" s="279">
        <f>IF(OR($M15&lt;&gt;AQ$2,(TowerStats!$B$102-$G15)&lt;=0),"Can't Kill",ROUNDUP($F15/(TowerStats!$B$102-$G15),0))</f>
        <v>6</v>
      </c>
      <c r="AR15" s="279">
        <f>IF(OR($M15&lt;&gt;AR$2,(TowerStats!$B$103-$G15)&lt;=0),"Can't Kill",ROUNDUP($F15/(TowerStats!$B$103-$G15),0))</f>
        <v>3</v>
      </c>
      <c r="AS15" s="278">
        <f>IF(OR($M15&lt;&gt;AS$2,(TowerStats!$B$104-$G15)&lt;=0),"Can't Kill",ROUNDUP($F15/(TowerStats!$B$104-$G15),0))</f>
        <v>4</v>
      </c>
    </row>
    <row r="16" spans="2:45" x14ac:dyDescent="0.2">
      <c r="B16" s="358">
        <f>Level1!R4</f>
        <v>4</v>
      </c>
      <c r="C16" s="357">
        <f>Level1!S4</f>
        <v>4</v>
      </c>
      <c r="D16" s="356" t="str">
        <f>Level1!T4</f>
        <v>Werefallo</v>
      </c>
      <c r="E16" s="286">
        <f>VLOOKUP($D16,'Monsters Stats'!$B$8:$L$70,2,FALSE)</f>
        <v>15</v>
      </c>
      <c r="F16" s="285">
        <f>VLOOKUP($D16,'Monsters Stats'!$B$8:$L$70,3,FALSE)</f>
        <v>70</v>
      </c>
      <c r="G16" s="285">
        <f>VLOOKUP($D16,'Monsters Stats'!$B$8:$L$70,4,FALSE)</f>
        <v>10</v>
      </c>
      <c r="H16" s="285">
        <f>VLOOKUP($D16,'Monsters Stats'!$B$8:$L$70,5,FALSE)</f>
        <v>1</v>
      </c>
      <c r="I16" s="285">
        <f>VLOOKUP($D16,'Monsters Stats'!$B$8:$L$70,6,FALSE)</f>
        <v>1.3</v>
      </c>
      <c r="J16" s="285">
        <f>VLOOKUP($D16,'Monsters Stats'!$B$8:$L$70,7,FALSE)</f>
        <v>45</v>
      </c>
      <c r="K16" s="285">
        <f>VLOOKUP($D16,'Monsters Stats'!$B$8:$L$70,8,FALSE)</f>
        <v>0.6</v>
      </c>
      <c r="L16" s="284">
        <f>VLOOKUP($D16,'Monsters Stats'!$B$8:$L$70,9,FALSE)</f>
        <v>0</v>
      </c>
      <c r="M16" s="283">
        <f>VLOOKUP($D16,'Monsters Stats'!$B$8:$L$70,11,FALSE)</f>
        <v>0</v>
      </c>
      <c r="O16" s="355" t="str">
        <f t="shared" si="2"/>
        <v>Werefallo</v>
      </c>
      <c r="P16" s="280" t="str">
        <f>IF(OR($M16&lt;&gt;P$2,(TowerStats!$B$29-($G16-TowerStats!$H$29))&lt;=0),"Can't Kill",ROUNDUP($F16/(TowerStats!$B$29-($G16-TowerStats!$H$29)),0))</f>
        <v>Can't Kill</v>
      </c>
      <c r="Q16" s="279" t="str">
        <f>IF(OR($M16&lt;&gt;Q$2,(TowerStats!$B$30-($G16-TowerStats!$H$30))&lt;=0),"Can't Kill",ROUNDUP($F16/(TowerStats!$B$30-($G16-TowerStats!$H$30)),0))</f>
        <v>Can't Kill</v>
      </c>
      <c r="R16" s="279" t="str">
        <f>IF(OR($M16&lt;&gt;R$2,(TowerStats!$B$31-($G16-TowerStats!$H$31))&lt;=0),"Can't Kill",ROUNDUP($F16/(TowerStats!$B$31-($G16-TowerStats!$H$31)),0))</f>
        <v>Can't Kill</v>
      </c>
      <c r="S16" s="279" t="str">
        <f>IF(OR($M16&lt;&gt;S$2,(TowerStats!$B$32-($G16-TowerStats!$H$32))&lt;=0),"Can't Kill",ROUNDUP($F16/(TowerStats!$B$32-($G16-TowerStats!$H$32)),0))</f>
        <v>Can't Kill</v>
      </c>
      <c r="T16" s="281" t="str">
        <f>IF(OR($M16&lt;&gt;T$2,(TowerStats!$B$33-($G16-TowerStats!$H$33))&lt;=0),"Can't Kill",ROUNDUP($F16/(TowerStats!$B$33-($G16-TowerStats!$H$33)),0))</f>
        <v>Can't Kill</v>
      </c>
      <c r="U16" s="280" t="str">
        <f>IF(OR($M16&lt;&gt;U$2,(TowerStats!$B$40-$G16)&lt;=0),"Can't Kill",ROUNDUP($F16/(TowerStats!$B$40-$G16),0))</f>
        <v>Can't Kill</v>
      </c>
      <c r="V16" s="279" t="str">
        <f>IF(OR($M16&lt;&gt;V$2,(TowerStats!$B$41-$G16)&lt;=0),"Can't Kill",ROUNDUP($F16/(TowerStats!$B$41-$G16),0))</f>
        <v>Can't Kill</v>
      </c>
      <c r="W16" s="279">
        <f>IF(OR($M16&lt;&gt;W$2,(TowerStats!$B$42-$G16)&lt;=0),"Can't Kill",ROUNDUP($F16/(TowerStats!$B$42-$G16),0))</f>
        <v>35</v>
      </c>
      <c r="X16" s="279">
        <f>IF(OR($M16&lt;&gt;X$2,(TowerStats!$B$43-$G16)&lt;=0),"Can't Kill",ROUNDUP($F16/(TowerStats!$B$43-$G16),0))</f>
        <v>14</v>
      </c>
      <c r="Y16" s="278">
        <f>IF(OR($M16&lt;&gt;Y$2,(TowerStats!$B$44-$G16)&lt;=0),"Can't Kill",ROUNDUP($F16/(TowerStats!$B$44-$G16),0))</f>
        <v>7</v>
      </c>
      <c r="Z16" s="280" t="str">
        <f>IF(OR($M16&lt;&gt;Z$2,(TowerStats!$B$54-$G16)&lt;=0),"Can't Kill",ROUNDUP($F16/(TowerStats!$B$54-$G16),0))</f>
        <v>Can't Kill</v>
      </c>
      <c r="AA16" s="279" t="str">
        <f>IF(OR($M16&lt;&gt;AA$2,(TowerStats!$B$55-$G16)&lt;=0),"Can't Kill",ROUNDUP($F16/(TowerStats!$B$55-$G16),0))</f>
        <v>Can't Kill</v>
      </c>
      <c r="AB16" s="279" t="str">
        <f>IF(OR($M16&lt;&gt;AB$2,(TowerStats!$B$56-$G16)&lt;=0),"Can't Kill",ROUNDUP($F16/(TowerStats!$B$56-$G16),0))</f>
        <v>Can't Kill</v>
      </c>
      <c r="AC16" s="279" t="str">
        <f>IF(OR($M16&lt;&gt;AC$2,(TowerStats!$B$57-$G16)&lt;=0),"Can't Kill",ROUNDUP($F16/(TowerStats!$B$57-$G16),0))</f>
        <v>Can't Kill</v>
      </c>
      <c r="AD16" s="278" t="str">
        <f>IF(OR($M16&lt;&gt;AD$2,(TowerStats!$B$58-$G16)&lt;=0),"Can't Kill",ROUNDUP($F16/(TowerStats!$B$58-$G16),0))</f>
        <v>Can't Kill</v>
      </c>
      <c r="AE16" s="280" t="str">
        <f>IF(OR($M16&lt;&gt;AE$2,(TowerStats!$B$69-($G16-TowerStats!$H$69))&lt;=0),"Can't Kill",ROUNDUP($F16/(TowerStats!$B$69-($G16-TowerStats!$H$69)),0))</f>
        <v>Can't Kill</v>
      </c>
      <c r="AF16" s="279" t="str">
        <f>IF(OR($M16&lt;&gt;AF$2,(TowerStats!$B$70-($G16-TowerStats!$H$70))&lt;=0),"Can't Kill",ROUNDUP($F16/(TowerStats!$B$70-($G16-TowerStats!$H$70)),0))</f>
        <v>Can't Kill</v>
      </c>
      <c r="AG16" s="279" t="str">
        <f>IF(OR($M16&lt;&gt;AG$2,(TowerStats!$B$71-($G16-TowerStats!$H$71))&lt;=0),"Can't Kill",ROUNDUP($F16/(TowerStats!$B$71-($G16-TowerStats!$H$71)),0))</f>
        <v>Can't Kill</v>
      </c>
      <c r="AH16" s="279" t="str">
        <f>IF(OR($M16&lt;&gt;AH$2,(TowerStats!$B$72-($G16-TowerStats!$H$72))&lt;=0),"Can't Kill",ROUNDUP($F16/(TowerStats!$B$72-($G16-TowerStats!$H$72)),0))</f>
        <v>Can't Kill</v>
      </c>
      <c r="AI16" s="278" t="str">
        <f>IF(OR($M16&lt;&gt;AI$2,(TowerStats!$B$73-($G16-TowerStats!$H$73))&lt;=0),"Can't Kill",ROUNDUP($F16/(TowerStats!$B$73-($G16-TowerStats!$H$73)),0))</f>
        <v>Can't Kill</v>
      </c>
      <c r="AJ16" s="280" t="str">
        <f>IF(OR($M16&lt;&gt;AJ$2,(TowerStats!$B$84-$G16)&lt;=0),"Can't Kill",ROUNDUP($F16/(TowerStats!$B$84-$G16),0))</f>
        <v>Can't Kill</v>
      </c>
      <c r="AK16" s="279" t="str">
        <f>IF(OR($M16&lt;&gt;AK$2,(TowerStats!$B$85-$G16)&lt;=0),"Can't Kill",ROUNDUP($F16/(TowerStats!$B$85-$G16),0))</f>
        <v>Can't Kill</v>
      </c>
      <c r="AL16" s="279" t="str">
        <f>IF(OR($M16&lt;&gt;AL$2,(TowerStats!$B$86-$G16)&lt;=0),"Can't Kill",ROUNDUP($F16/(TowerStats!$B$86-$G16),0))</f>
        <v>Can't Kill</v>
      </c>
      <c r="AM16" s="279" t="str">
        <f>IF(OR($M16&lt;&gt;AM$2,(TowerStats!$B$87-$G16)&lt;=0),"Can't Kill",ROUNDUP($F16/(TowerStats!$B$87-$G16),0))</f>
        <v>Can't Kill</v>
      </c>
      <c r="AN16" s="278" t="str">
        <f>IF(OR($M16&lt;&gt;AN$2,(TowerStats!$B$88-$G16)&lt;=0),"Can't Kill",ROUNDUP($F16/(TowerStats!$B$88-$G16),0))</f>
        <v>Can't Kill</v>
      </c>
      <c r="AO16" s="280" t="str">
        <f>IF(OR($M16&lt;&gt;AO$2,(TowerStats!$B$100-$G16)&lt;=0),"Can't Kill",ROUNDUP($F16/(TowerStats!$B$100-$G16),0))</f>
        <v>Can't Kill</v>
      </c>
      <c r="AP16" s="279" t="str">
        <f>IF(OR($M16&lt;&gt;AP$2,(TowerStats!$B$101-$G16)&lt;=0),"Can't Kill",ROUNDUP($F16/(TowerStats!$B$101-$G16),0))</f>
        <v>Can't Kill</v>
      </c>
      <c r="AQ16" s="279" t="str">
        <f>IF(OR($M16&lt;&gt;AQ$2,(TowerStats!$B$102-$G16)&lt;=0),"Can't Kill",ROUNDUP($F16/(TowerStats!$B$102-$G16),0))</f>
        <v>Can't Kill</v>
      </c>
      <c r="AR16" s="279" t="str">
        <f>IF(OR($M16&lt;&gt;AR$2,(TowerStats!$B$103-$G16)&lt;=0),"Can't Kill",ROUNDUP($F16/(TowerStats!$B$103-$G16),0))</f>
        <v>Can't Kill</v>
      </c>
      <c r="AS16" s="278" t="str">
        <f>IF(OR($M16&lt;&gt;AS$2,(TowerStats!$B$104-$G16)&lt;=0),"Can't Kill",ROUNDUP($F16/(TowerStats!$B$104-$G16),0))</f>
        <v>Can't Kill</v>
      </c>
    </row>
    <row r="17" spans="2:45" x14ac:dyDescent="0.2">
      <c r="B17" s="358">
        <f>Level1!R5</f>
        <v>6</v>
      </c>
      <c r="C17" s="357">
        <f>Level1!S5</f>
        <v>3</v>
      </c>
      <c r="D17" s="356" t="str">
        <f>Level1!T5</f>
        <v>Zombie</v>
      </c>
      <c r="E17" s="286">
        <f>VLOOKUP($D17,'Monsters Stats'!$B$8:$L$70,2,FALSE)</f>
        <v>5</v>
      </c>
      <c r="F17" s="285">
        <f>VLOOKUP($D17,'Monsters Stats'!$B$8:$L$70,3,FALSE)</f>
        <v>15</v>
      </c>
      <c r="G17" s="285">
        <f>VLOOKUP($D17,'Monsters Stats'!$B$8:$L$70,4,FALSE)</f>
        <v>2</v>
      </c>
      <c r="H17" s="285">
        <f>VLOOKUP($D17,'Monsters Stats'!$B$8:$L$70,5,FALSE)</f>
        <v>1</v>
      </c>
      <c r="I17" s="285">
        <f>VLOOKUP($D17,'Monsters Stats'!$B$8:$L$70,6,FALSE)</f>
        <v>1</v>
      </c>
      <c r="J17" s="285">
        <f>VLOOKUP($D17,'Monsters Stats'!$B$8:$L$70,7,FALSE)</f>
        <v>2</v>
      </c>
      <c r="K17" s="285">
        <f>VLOOKUP($D17,'Monsters Stats'!$B$8:$L$70,8,FALSE)</f>
        <v>1</v>
      </c>
      <c r="L17" s="284">
        <f>VLOOKUP($D17,'Monsters Stats'!$B$8:$L$70,9,FALSE)</f>
        <v>0</v>
      </c>
      <c r="M17" s="283">
        <f>VLOOKUP($D17,'Monsters Stats'!$B$8:$L$70,11,FALSE)</f>
        <v>0</v>
      </c>
      <c r="O17" s="355" t="str">
        <f t="shared" si="2"/>
        <v>Zombie</v>
      </c>
      <c r="P17" s="280" t="str">
        <f>IF(OR($M17&lt;&gt;P$2,(TowerStats!$B$29-($G17-TowerStats!$H$29))&lt;=0),"Can't Kill",ROUNDUP($F17/(TowerStats!$B$29-($G17-TowerStats!$H$29)),0))</f>
        <v>Can't Kill</v>
      </c>
      <c r="Q17" s="279" t="str">
        <f>IF(OR($M17&lt;&gt;Q$2,(TowerStats!$B$30-($G17-TowerStats!$H$30))&lt;=0),"Can't Kill",ROUNDUP($F17/(TowerStats!$B$30-($G17-TowerStats!$H$30)),0))</f>
        <v>Can't Kill</v>
      </c>
      <c r="R17" s="279" t="str">
        <f>IF(OR($M17&lt;&gt;R$2,(TowerStats!$B$31-($G17-TowerStats!$H$31))&lt;=0),"Can't Kill",ROUNDUP($F17/(TowerStats!$B$31-($G17-TowerStats!$H$31)),0))</f>
        <v>Can't Kill</v>
      </c>
      <c r="S17" s="279" t="str">
        <f>IF(OR($M17&lt;&gt;S$2,(TowerStats!$B$32-($G17-TowerStats!$H$32))&lt;=0),"Can't Kill",ROUNDUP($F17/(TowerStats!$B$32-($G17-TowerStats!$H$32)),0))</f>
        <v>Can't Kill</v>
      </c>
      <c r="T17" s="281" t="str">
        <f>IF(OR($M17&lt;&gt;T$2,(TowerStats!$B$33-($G17-TowerStats!$H$33))&lt;=0),"Can't Kill",ROUNDUP($F17/(TowerStats!$B$33-($G17-TowerStats!$H$33)),0))</f>
        <v>Can't Kill</v>
      </c>
      <c r="U17" s="280">
        <f>IF(OR($M17&lt;&gt;U$2,(TowerStats!$B$40-$G17)&lt;=0),"Can't Kill",ROUNDUP($F17/(TowerStats!$B$40-$G17),0))</f>
        <v>3</v>
      </c>
      <c r="V17" s="279">
        <f>IF(OR($M17&lt;&gt;V$2,(TowerStats!$B$41-$G17)&lt;=0),"Can't Kill",ROUNDUP($F17/(TowerStats!$B$41-$G17),0))</f>
        <v>2</v>
      </c>
      <c r="W17" s="279">
        <f>IF(OR($M17&lt;&gt;W$2,(TowerStats!$B$42-$G17)&lt;=0),"Can't Kill",ROUNDUP($F17/(TowerStats!$B$42-$G17),0))</f>
        <v>2</v>
      </c>
      <c r="X17" s="279">
        <f>IF(OR($M17&lt;&gt;X$2,(TowerStats!$B$43-$G17)&lt;=0),"Can't Kill",ROUNDUP($F17/(TowerStats!$B$43-$G17),0))</f>
        <v>2</v>
      </c>
      <c r="Y17" s="278">
        <f>IF(OR($M17&lt;&gt;Y$2,(TowerStats!$B$44-$G17)&lt;=0),"Can't Kill",ROUNDUP($F17/(TowerStats!$B$44-$G17),0))</f>
        <v>1</v>
      </c>
      <c r="Z17" s="280" t="str">
        <f>IF(OR($M17&lt;&gt;Z$2,(TowerStats!$B$54-$G17)&lt;=0),"Can't Kill",ROUNDUP($F17/(TowerStats!$B$54-$G17),0))</f>
        <v>Can't Kill</v>
      </c>
      <c r="AA17" s="279" t="str">
        <f>IF(OR($M17&lt;&gt;AA$2,(TowerStats!$B$55-$G17)&lt;=0),"Can't Kill",ROUNDUP($F17/(TowerStats!$B$55-$G17),0))</f>
        <v>Can't Kill</v>
      </c>
      <c r="AB17" s="279" t="str">
        <f>IF(OR($M17&lt;&gt;AB$2,(TowerStats!$B$56-$G17)&lt;=0),"Can't Kill",ROUNDUP($F17/(TowerStats!$B$56-$G17),0))</f>
        <v>Can't Kill</v>
      </c>
      <c r="AC17" s="279" t="str">
        <f>IF(OR($M17&lt;&gt;AC$2,(TowerStats!$B$57-$G17)&lt;=0),"Can't Kill",ROUNDUP($F17/(TowerStats!$B$57-$G17),0))</f>
        <v>Can't Kill</v>
      </c>
      <c r="AD17" s="278" t="str">
        <f>IF(OR($M17&lt;&gt;AD$2,(TowerStats!$B$58-$G17)&lt;=0),"Can't Kill",ROUNDUP($F17/(TowerStats!$B$58-$G17),0))</f>
        <v>Can't Kill</v>
      </c>
      <c r="AE17" s="280" t="str">
        <f>IF(OR($M17&lt;&gt;AE$2,(TowerStats!$B$69-($G17-TowerStats!$H$69))&lt;=0),"Can't Kill",ROUNDUP($F17/(TowerStats!$B$69-($G17-TowerStats!$H$69)),0))</f>
        <v>Can't Kill</v>
      </c>
      <c r="AF17" s="279" t="str">
        <f>IF(OR($M17&lt;&gt;AF$2,(TowerStats!$B$70-($G17-TowerStats!$H$70))&lt;=0),"Can't Kill",ROUNDUP($F17/(TowerStats!$B$70-($G17-TowerStats!$H$70)),0))</f>
        <v>Can't Kill</v>
      </c>
      <c r="AG17" s="279" t="str">
        <f>IF(OR($M17&lt;&gt;AG$2,(TowerStats!$B$71-($G17-TowerStats!$H$71))&lt;=0),"Can't Kill",ROUNDUP($F17/(TowerStats!$B$71-($G17-TowerStats!$H$71)),0))</f>
        <v>Can't Kill</v>
      </c>
      <c r="AH17" s="279" t="str">
        <f>IF(OR($M17&lt;&gt;AH$2,(TowerStats!$B$72-($G17-TowerStats!$H$72))&lt;=0),"Can't Kill",ROUNDUP($F17/(TowerStats!$B$72-($G17-TowerStats!$H$72)),0))</f>
        <v>Can't Kill</v>
      </c>
      <c r="AI17" s="278" t="str">
        <f>IF(OR($M17&lt;&gt;AI$2,(TowerStats!$B$73-($G17-TowerStats!$H$73))&lt;=0),"Can't Kill",ROUNDUP($F17/(TowerStats!$B$73-($G17-TowerStats!$H$73)),0))</f>
        <v>Can't Kill</v>
      </c>
      <c r="AJ17" s="280" t="str">
        <f>IF(OR($M17&lt;&gt;AJ$2,(TowerStats!$B$84-$G17)&lt;=0),"Can't Kill",ROUNDUP($F17/(TowerStats!$B$84-$G17),0))</f>
        <v>Can't Kill</v>
      </c>
      <c r="AK17" s="279" t="str">
        <f>IF(OR($M17&lt;&gt;AK$2,(TowerStats!$B$85-$G17)&lt;=0),"Can't Kill",ROUNDUP($F17/(TowerStats!$B$85-$G17),0))</f>
        <v>Can't Kill</v>
      </c>
      <c r="AL17" s="279" t="str">
        <f>IF(OR($M17&lt;&gt;AL$2,(TowerStats!$B$86-$G17)&lt;=0),"Can't Kill",ROUNDUP($F17/(TowerStats!$B$86-$G17),0))</f>
        <v>Can't Kill</v>
      </c>
      <c r="AM17" s="279" t="str">
        <f>IF(OR($M17&lt;&gt;AM$2,(TowerStats!$B$87-$G17)&lt;=0),"Can't Kill",ROUNDUP($F17/(TowerStats!$B$87-$G17),0))</f>
        <v>Can't Kill</v>
      </c>
      <c r="AN17" s="278" t="str">
        <f>IF(OR($M17&lt;&gt;AN$2,(TowerStats!$B$88-$G17)&lt;=0),"Can't Kill",ROUNDUP($F17/(TowerStats!$B$88-$G17),0))</f>
        <v>Can't Kill</v>
      </c>
      <c r="AO17" s="280" t="str">
        <f>IF(OR($M17&lt;&gt;AO$2,(TowerStats!$B$100-$G17)&lt;=0),"Can't Kill",ROUNDUP($F17/(TowerStats!$B$100-$G17),0))</f>
        <v>Can't Kill</v>
      </c>
      <c r="AP17" s="279" t="str">
        <f>IF(OR($M17&lt;&gt;AP$2,(TowerStats!$B$101-$G17)&lt;=0),"Can't Kill",ROUNDUP($F17/(TowerStats!$B$101-$G17),0))</f>
        <v>Can't Kill</v>
      </c>
      <c r="AQ17" s="279" t="str">
        <f>IF(OR($M17&lt;&gt;AQ$2,(TowerStats!$B$102-$G17)&lt;=0),"Can't Kill",ROUNDUP($F17/(TowerStats!$B$102-$G17),0))</f>
        <v>Can't Kill</v>
      </c>
      <c r="AR17" s="279" t="str">
        <f>IF(OR($M17&lt;&gt;AR$2,(TowerStats!$B$103-$G17)&lt;=0),"Can't Kill",ROUNDUP($F17/(TowerStats!$B$103-$G17),0))</f>
        <v>Can't Kill</v>
      </c>
      <c r="AS17" s="278" t="str">
        <f>IF(OR($M17&lt;&gt;AS$2,(TowerStats!$B$104-$G17)&lt;=0),"Can't Kill",ROUNDUP($F17/(TowerStats!$B$104-$G17),0))</f>
        <v>Can't Kill</v>
      </c>
    </row>
    <row r="18" spans="2:45" x14ac:dyDescent="0.2">
      <c r="B18" s="358">
        <f>Level1!R6</f>
        <v>3</v>
      </c>
      <c r="C18" s="357">
        <f>Level1!S6</f>
        <v>7</v>
      </c>
      <c r="D18" s="356" t="str">
        <f>Level1!T6</f>
        <v>Reggie 3</v>
      </c>
      <c r="E18" s="286">
        <f>VLOOKUP($D18,'Monsters Stats'!$B$8:$L$70,2,FALSE)</f>
        <v>26</v>
      </c>
      <c r="F18" s="285">
        <f>VLOOKUP($D18,'Monsters Stats'!$B$8:$L$70,3,FALSE)</f>
        <v>49</v>
      </c>
      <c r="G18" s="285">
        <f>VLOOKUP($D18,'Monsters Stats'!$B$8:$L$70,4,FALSE)</f>
        <v>11</v>
      </c>
      <c r="H18" s="285">
        <f>VLOOKUP($D18,'Monsters Stats'!$B$8:$L$70,5,FALSE)</f>
        <v>2</v>
      </c>
      <c r="I18" s="285">
        <f>VLOOKUP($D18,'Monsters Stats'!$B$8:$L$70,6,FALSE)</f>
        <v>0.79999999999999993</v>
      </c>
      <c r="J18" s="285">
        <f>VLOOKUP($D18,'Monsters Stats'!$B$8:$L$70,7,FALSE)</f>
        <v>51</v>
      </c>
      <c r="K18" s="285">
        <f>VLOOKUP($D18,'Monsters Stats'!$B$8:$L$70,8,FALSE)</f>
        <v>1.3</v>
      </c>
      <c r="L18" s="284">
        <f>VLOOKUP($D18,'Monsters Stats'!$B$8:$L$70,9,FALSE)</f>
        <v>38</v>
      </c>
      <c r="M18" s="283">
        <f>VLOOKUP($D18,'Monsters Stats'!$B$8:$L$70,11,FALSE)</f>
        <v>0</v>
      </c>
      <c r="O18" s="355" t="str">
        <f t="shared" si="2"/>
        <v>Reggie 3</v>
      </c>
      <c r="P18" s="280" t="str">
        <f>IF(OR($M18&lt;&gt;P$2,(TowerStats!$B$29-($G18-TowerStats!$H$29))&lt;=0),"Can't Kill",ROUNDUP($F18/(TowerStats!$B$29-($G18-TowerStats!$H$29)),0))</f>
        <v>Can't Kill</v>
      </c>
      <c r="Q18" s="279" t="str">
        <f>IF(OR($M18&lt;&gt;Q$2,(TowerStats!$B$30-($G18-TowerStats!$H$30))&lt;=0),"Can't Kill",ROUNDUP($F18/(TowerStats!$B$30-($G18-TowerStats!$H$30)),0))</f>
        <v>Can't Kill</v>
      </c>
      <c r="R18" s="279" t="str">
        <f>IF(OR($M18&lt;&gt;R$2,(TowerStats!$B$31-($G18-TowerStats!$H$31))&lt;=0),"Can't Kill",ROUNDUP($F18/(TowerStats!$B$31-($G18-TowerStats!$H$31)),0))</f>
        <v>Can't Kill</v>
      </c>
      <c r="S18" s="279" t="str">
        <f>IF(OR($M18&lt;&gt;S$2,(TowerStats!$B$32-($G18-TowerStats!$H$32))&lt;=0),"Can't Kill",ROUNDUP($F18/(TowerStats!$B$32-($G18-TowerStats!$H$32)),0))</f>
        <v>Can't Kill</v>
      </c>
      <c r="T18" s="281" t="str">
        <f>IF(OR($M18&lt;&gt;T$2,(TowerStats!$B$33-($G18-TowerStats!$H$33))&lt;=0),"Can't Kill",ROUNDUP($F18/(TowerStats!$B$33-($G18-TowerStats!$H$33)),0))</f>
        <v>Can't Kill</v>
      </c>
      <c r="U18" s="280" t="str">
        <f>IF(OR($M18&lt;&gt;U$2,(TowerStats!$B$40-$G18)&lt;=0),"Can't Kill",ROUNDUP($F18/(TowerStats!$B$40-$G18),0))</f>
        <v>Can't Kill</v>
      </c>
      <c r="V18" s="279" t="str">
        <f>IF(OR($M18&lt;&gt;V$2,(TowerStats!$B$41-$G18)&lt;=0),"Can't Kill",ROUNDUP($F18/(TowerStats!$B$41-$G18),0))</f>
        <v>Can't Kill</v>
      </c>
      <c r="W18" s="279">
        <f>IF(OR($M18&lt;&gt;W$2,(TowerStats!$B$42-$G18)&lt;=0),"Can't Kill",ROUNDUP($F18/(TowerStats!$B$42-$G18),0))</f>
        <v>49</v>
      </c>
      <c r="X18" s="279">
        <f>IF(OR($M18&lt;&gt;X$2,(TowerStats!$B$43-$G18)&lt;=0),"Can't Kill",ROUNDUP($F18/(TowerStats!$B$43-$G18),0))</f>
        <v>13</v>
      </c>
      <c r="Y18" s="278">
        <f>IF(OR($M18&lt;&gt;Y$2,(TowerStats!$B$44-$G18)&lt;=0),"Can't Kill",ROUNDUP($F18/(TowerStats!$B$44-$G18),0))</f>
        <v>6</v>
      </c>
      <c r="Z18" s="280" t="str">
        <f>IF(OR($M18&lt;&gt;Z$2,(TowerStats!$B$54-$G18)&lt;=0),"Can't Kill",ROUNDUP($F18/(TowerStats!$B$54-$G18),0))</f>
        <v>Can't Kill</v>
      </c>
      <c r="AA18" s="279" t="str">
        <f>IF(OR($M18&lt;&gt;AA$2,(TowerStats!$B$55-$G18)&lt;=0),"Can't Kill",ROUNDUP($F18/(TowerStats!$B$55-$G18),0))</f>
        <v>Can't Kill</v>
      </c>
      <c r="AB18" s="279" t="str">
        <f>IF(OR($M18&lt;&gt;AB$2,(TowerStats!$B$56-$G18)&lt;=0),"Can't Kill",ROUNDUP($F18/(TowerStats!$B$56-$G18),0))</f>
        <v>Can't Kill</v>
      </c>
      <c r="AC18" s="279" t="str">
        <f>IF(OR($M18&lt;&gt;AC$2,(TowerStats!$B$57-$G18)&lt;=0),"Can't Kill",ROUNDUP($F18/(TowerStats!$B$57-$G18),0))</f>
        <v>Can't Kill</v>
      </c>
      <c r="AD18" s="278" t="str">
        <f>IF(OR($M18&lt;&gt;AD$2,(TowerStats!$B$58-$G18)&lt;=0),"Can't Kill",ROUNDUP($F18/(TowerStats!$B$58-$G18),0))</f>
        <v>Can't Kill</v>
      </c>
      <c r="AE18" s="280" t="str">
        <f>IF(OR($M18&lt;&gt;AE$2,(TowerStats!$B$69-($G18-TowerStats!$H$69))&lt;=0),"Can't Kill",ROUNDUP($F18/(TowerStats!$B$69-($G18-TowerStats!$H$69)),0))</f>
        <v>Can't Kill</v>
      </c>
      <c r="AF18" s="279" t="str">
        <f>IF(OR($M18&lt;&gt;AF$2,(TowerStats!$B$70-($G18-TowerStats!$H$70))&lt;=0),"Can't Kill",ROUNDUP($F18/(TowerStats!$B$70-($G18-TowerStats!$H$70)),0))</f>
        <v>Can't Kill</v>
      </c>
      <c r="AG18" s="279" t="str">
        <f>IF(OR($M18&lt;&gt;AG$2,(TowerStats!$B$71-($G18-TowerStats!$H$71))&lt;=0),"Can't Kill",ROUNDUP($F18/(TowerStats!$B$71-($G18-TowerStats!$H$71)),0))</f>
        <v>Can't Kill</v>
      </c>
      <c r="AH18" s="279" t="str">
        <f>IF(OR($M18&lt;&gt;AH$2,(TowerStats!$B$72-($G18-TowerStats!$H$72))&lt;=0),"Can't Kill",ROUNDUP($F18/(TowerStats!$B$72-($G18-TowerStats!$H$72)),0))</f>
        <v>Can't Kill</v>
      </c>
      <c r="AI18" s="278" t="str">
        <f>IF(OR($M18&lt;&gt;AI$2,(TowerStats!$B$73-($G18-TowerStats!$H$73))&lt;=0),"Can't Kill",ROUNDUP($F18/(TowerStats!$B$73-($G18-TowerStats!$H$73)),0))</f>
        <v>Can't Kill</v>
      </c>
      <c r="AJ18" s="280" t="str">
        <f>IF(OR($M18&lt;&gt;AJ$2,(TowerStats!$B$84-$G18)&lt;=0),"Can't Kill",ROUNDUP($F18/(TowerStats!$B$84-$G18),0))</f>
        <v>Can't Kill</v>
      </c>
      <c r="AK18" s="279" t="str">
        <f>IF(OR($M18&lt;&gt;AK$2,(TowerStats!$B$85-$G18)&lt;=0),"Can't Kill",ROUNDUP($F18/(TowerStats!$B$85-$G18),0))</f>
        <v>Can't Kill</v>
      </c>
      <c r="AL18" s="279" t="str">
        <f>IF(OR($M18&lt;&gt;AL$2,(TowerStats!$B$86-$G18)&lt;=0),"Can't Kill",ROUNDUP($F18/(TowerStats!$B$86-$G18),0))</f>
        <v>Can't Kill</v>
      </c>
      <c r="AM18" s="279" t="str">
        <f>IF(OR($M18&lt;&gt;AM$2,(TowerStats!$B$87-$G18)&lt;=0),"Can't Kill",ROUNDUP($F18/(TowerStats!$B$87-$G18),0))</f>
        <v>Can't Kill</v>
      </c>
      <c r="AN18" s="278" t="str">
        <f>IF(OR($M18&lt;&gt;AN$2,(TowerStats!$B$88-$G18)&lt;=0),"Can't Kill",ROUNDUP($F18/(TowerStats!$B$88-$G18),0))</f>
        <v>Can't Kill</v>
      </c>
      <c r="AO18" s="280" t="str">
        <f>IF(OR($M18&lt;&gt;AO$2,(TowerStats!$B$100-$G18)&lt;=0),"Can't Kill",ROUNDUP($F18/(TowerStats!$B$100-$G18),0))</f>
        <v>Can't Kill</v>
      </c>
      <c r="AP18" s="279" t="str">
        <f>IF(OR($M18&lt;&gt;AP$2,(TowerStats!$B$101-$G18)&lt;=0),"Can't Kill",ROUNDUP($F18/(TowerStats!$B$101-$G18),0))</f>
        <v>Can't Kill</v>
      </c>
      <c r="AQ18" s="279" t="str">
        <f>IF(OR($M18&lt;&gt;AQ$2,(TowerStats!$B$102-$G18)&lt;=0),"Can't Kill",ROUNDUP($F18/(TowerStats!$B$102-$G18),0))</f>
        <v>Can't Kill</v>
      </c>
      <c r="AR18" s="279" t="str">
        <f>IF(OR($M18&lt;&gt;AR$2,(TowerStats!$B$103-$G18)&lt;=0),"Can't Kill",ROUNDUP($F18/(TowerStats!$B$103-$G18),0))</f>
        <v>Can't Kill</v>
      </c>
      <c r="AS18" s="278" t="str">
        <f>IF(OR($M18&lt;&gt;AS$2,(TowerStats!$B$104-$G18)&lt;=0),"Can't Kill",ROUNDUP($F18/(TowerStats!$B$104-$G18),0))</f>
        <v>Can't Kill</v>
      </c>
    </row>
    <row r="19" spans="2:45" ht="13.5" thickBot="1" x14ac:dyDescent="0.25">
      <c r="B19" s="354">
        <f>Level1!R7</f>
        <v>6</v>
      </c>
      <c r="C19" s="353">
        <f>Level1!S7</f>
        <v>2</v>
      </c>
      <c r="D19" s="352" t="str">
        <f>Level1!T7</f>
        <v>Starving Zombie</v>
      </c>
      <c r="E19" s="274">
        <f>VLOOKUP($D19,'Monsters Stats'!$B$8:$L$70,2,FALSE)</f>
        <v>10</v>
      </c>
      <c r="F19" s="273">
        <f>VLOOKUP($D19,'Monsters Stats'!$B$8:$L$70,3,FALSE)</f>
        <v>26</v>
      </c>
      <c r="G19" s="273">
        <f>VLOOKUP($D19,'Monsters Stats'!$B$8:$L$70,4,FALSE)</f>
        <v>4</v>
      </c>
      <c r="H19" s="273">
        <f>VLOOKUP($D19,'Monsters Stats'!$B$8:$L$70,5,FALSE)</f>
        <v>1</v>
      </c>
      <c r="I19" s="273">
        <f>VLOOKUP($D19,'Monsters Stats'!$B$8:$L$70,6,FALSE)</f>
        <v>0.79999999999999993</v>
      </c>
      <c r="J19" s="273">
        <f>VLOOKUP($D19,'Monsters Stats'!$B$8:$L$70,7,FALSE)</f>
        <v>4</v>
      </c>
      <c r="K19" s="273">
        <f>VLOOKUP($D19,'Monsters Stats'!$B$8:$L$70,8,FALSE)</f>
        <v>1</v>
      </c>
      <c r="L19" s="272">
        <f>VLOOKUP($D19,'Monsters Stats'!$B$8:$L$70,9,FALSE)</f>
        <v>0</v>
      </c>
      <c r="M19" s="271">
        <f>VLOOKUP($D19,'Monsters Stats'!$B$8:$L$70,11,FALSE)</f>
        <v>0</v>
      </c>
      <c r="O19" s="351" t="str">
        <f t="shared" si="2"/>
        <v>Starving Zombie</v>
      </c>
      <c r="P19" s="268" t="str">
        <f>IF(OR($M19&lt;&gt;P$2,(TowerStats!$B$29-($G19-TowerStats!$H$29))&lt;=0),"Can't Kill",ROUNDUP($F19/(TowerStats!$B$29-($G19-TowerStats!$H$29)),0))</f>
        <v>Can't Kill</v>
      </c>
      <c r="Q19" s="267" t="str">
        <f>IF(OR($M19&lt;&gt;Q$2,(TowerStats!$B$30-($G19-TowerStats!$H$30))&lt;=0),"Can't Kill",ROUNDUP($F19/(TowerStats!$B$30-($G19-TowerStats!$H$30)),0))</f>
        <v>Can't Kill</v>
      </c>
      <c r="R19" s="267" t="str">
        <f>IF(OR($M19&lt;&gt;R$2,(TowerStats!$B$31-($G19-TowerStats!$H$31))&lt;=0),"Can't Kill",ROUNDUP($F19/(TowerStats!$B$31-($G19-TowerStats!$H$31)),0))</f>
        <v>Can't Kill</v>
      </c>
      <c r="S19" s="267" t="str">
        <f>IF(OR($M19&lt;&gt;S$2,(TowerStats!$B$32-($G19-TowerStats!$H$32))&lt;=0),"Can't Kill",ROUNDUP($F19/(TowerStats!$B$32-($G19-TowerStats!$H$32)),0))</f>
        <v>Can't Kill</v>
      </c>
      <c r="T19" s="269" t="str">
        <f>IF(OR($M19&lt;&gt;T$2,(TowerStats!$B$33-($G19-TowerStats!$H$33))&lt;=0),"Can't Kill",ROUNDUP($F19/(TowerStats!$B$33-($G19-TowerStats!$H$33)),0))</f>
        <v>Can't Kill</v>
      </c>
      <c r="U19" s="268">
        <f>IF(OR($M19&lt;&gt;U$2,(TowerStats!$B$40-$G19)&lt;=0),"Can't Kill",ROUNDUP($F19/(TowerStats!$B$40-$G19),0))</f>
        <v>7</v>
      </c>
      <c r="V19" s="267">
        <f>IF(OR($M19&lt;&gt;V$2,(TowerStats!$B$41-$G19)&lt;=0),"Can't Kill",ROUNDUP($F19/(TowerStats!$B$41-$G19),0))</f>
        <v>5</v>
      </c>
      <c r="W19" s="267">
        <f>IF(OR($M19&lt;&gt;W$2,(TowerStats!$B$42-$G19)&lt;=0),"Can't Kill",ROUNDUP($F19/(TowerStats!$B$42-$G19),0))</f>
        <v>4</v>
      </c>
      <c r="X19" s="267">
        <f>IF(OR($M19&lt;&gt;X$2,(TowerStats!$B$43-$G19)&lt;=0),"Can't Kill",ROUNDUP($F19/(TowerStats!$B$43-$G19),0))</f>
        <v>3</v>
      </c>
      <c r="Y19" s="266">
        <f>IF(OR($M19&lt;&gt;Y$2,(TowerStats!$B$44-$G19)&lt;=0),"Can't Kill",ROUNDUP($F19/(TowerStats!$B$44-$G19),0))</f>
        <v>2</v>
      </c>
      <c r="Z19" s="268" t="str">
        <f>IF(OR($M19&lt;&gt;Z$2,(TowerStats!$B$54-$G19)&lt;=0),"Can't Kill",ROUNDUP($F19/(TowerStats!$B$54-$G19),0))</f>
        <v>Can't Kill</v>
      </c>
      <c r="AA19" s="267" t="str">
        <f>IF(OR($M19&lt;&gt;AA$2,(TowerStats!$B$55-$G19)&lt;=0),"Can't Kill",ROUNDUP($F19/(TowerStats!$B$55-$G19),0))</f>
        <v>Can't Kill</v>
      </c>
      <c r="AB19" s="267" t="str">
        <f>IF(OR($M19&lt;&gt;AB$2,(TowerStats!$B$56-$G19)&lt;=0),"Can't Kill",ROUNDUP($F19/(TowerStats!$B$56-$G19),0))</f>
        <v>Can't Kill</v>
      </c>
      <c r="AC19" s="267" t="str">
        <f>IF(OR($M19&lt;&gt;AC$2,(TowerStats!$B$57-$G19)&lt;=0),"Can't Kill",ROUNDUP($F19/(TowerStats!$B$57-$G19),0))</f>
        <v>Can't Kill</v>
      </c>
      <c r="AD19" s="266" t="str">
        <f>IF(OR($M19&lt;&gt;AD$2,(TowerStats!$B$58-$G19)&lt;=0),"Can't Kill",ROUNDUP($F19/(TowerStats!$B$58-$G19),0))</f>
        <v>Can't Kill</v>
      </c>
      <c r="AE19" s="268" t="str">
        <f>IF(OR($M19&lt;&gt;AE$2,(TowerStats!$B$69-($G19-TowerStats!$H$69))&lt;=0),"Can't Kill",ROUNDUP($F19/(TowerStats!$B$69-($G19-TowerStats!$H$69)),0))</f>
        <v>Can't Kill</v>
      </c>
      <c r="AF19" s="267" t="str">
        <f>IF(OR($M19&lt;&gt;AF$2,(TowerStats!$B$70-($G19-TowerStats!$H$70))&lt;=0),"Can't Kill",ROUNDUP($F19/(TowerStats!$B$70-($G19-TowerStats!$H$70)),0))</f>
        <v>Can't Kill</v>
      </c>
      <c r="AG19" s="267" t="str">
        <f>IF(OR($M19&lt;&gt;AG$2,(TowerStats!$B$71-($G19-TowerStats!$H$71))&lt;=0),"Can't Kill",ROUNDUP($F19/(TowerStats!$B$71-($G19-TowerStats!$H$71)),0))</f>
        <v>Can't Kill</v>
      </c>
      <c r="AH19" s="267" t="str">
        <f>IF(OR($M19&lt;&gt;AH$2,(TowerStats!$B$72-($G19-TowerStats!$H$72))&lt;=0),"Can't Kill",ROUNDUP($F19/(TowerStats!$B$72-($G19-TowerStats!$H$72)),0))</f>
        <v>Can't Kill</v>
      </c>
      <c r="AI19" s="266" t="str">
        <f>IF(OR($M19&lt;&gt;AI$2,(TowerStats!$B$73-($G19-TowerStats!$H$73))&lt;=0),"Can't Kill",ROUNDUP($F19/(TowerStats!$B$73-($G19-TowerStats!$H$73)),0))</f>
        <v>Can't Kill</v>
      </c>
      <c r="AJ19" s="268" t="str">
        <f>IF(OR($M19&lt;&gt;AJ$2,(TowerStats!$B$84-$G19)&lt;=0),"Can't Kill",ROUNDUP($F19/(TowerStats!$B$84-$G19),0))</f>
        <v>Can't Kill</v>
      </c>
      <c r="AK19" s="267" t="str">
        <f>IF(OR($M19&lt;&gt;AK$2,(TowerStats!$B$85-$G19)&lt;=0),"Can't Kill",ROUNDUP($F19/(TowerStats!$B$85-$G19),0))</f>
        <v>Can't Kill</v>
      </c>
      <c r="AL19" s="267" t="str">
        <f>IF(OR($M19&lt;&gt;AL$2,(TowerStats!$B$86-$G19)&lt;=0),"Can't Kill",ROUNDUP($F19/(TowerStats!$B$86-$G19),0))</f>
        <v>Can't Kill</v>
      </c>
      <c r="AM19" s="267" t="str">
        <f>IF(OR($M19&lt;&gt;AM$2,(TowerStats!$B$87-$G19)&lt;=0),"Can't Kill",ROUNDUP($F19/(TowerStats!$B$87-$G19),0))</f>
        <v>Can't Kill</v>
      </c>
      <c r="AN19" s="266" t="str">
        <f>IF(OR($M19&lt;&gt;AN$2,(TowerStats!$B$88-$G19)&lt;=0),"Can't Kill",ROUNDUP($F19/(TowerStats!$B$88-$G19),0))</f>
        <v>Can't Kill</v>
      </c>
      <c r="AO19" s="268" t="str">
        <f>IF(OR($M19&lt;&gt;AO$2,(TowerStats!$B$100-$G19)&lt;=0),"Can't Kill",ROUNDUP($F19/(TowerStats!$B$100-$G19),0))</f>
        <v>Can't Kill</v>
      </c>
      <c r="AP19" s="267" t="str">
        <f>IF(OR($M19&lt;&gt;AP$2,(TowerStats!$B$101-$G19)&lt;=0),"Can't Kill",ROUNDUP($F19/(TowerStats!$B$101-$G19),0))</f>
        <v>Can't Kill</v>
      </c>
      <c r="AQ19" s="267" t="str">
        <f>IF(OR($M19&lt;&gt;AQ$2,(TowerStats!$B$102-$G19)&lt;=0),"Can't Kill",ROUNDUP($F19/(TowerStats!$B$102-$G19),0))</f>
        <v>Can't Kill</v>
      </c>
      <c r="AR19" s="267" t="str">
        <f>IF(OR($M19&lt;&gt;AR$2,(TowerStats!$B$103-$G19)&lt;=0),"Can't Kill",ROUNDUP($F19/(TowerStats!$B$103-$G19),0))</f>
        <v>Can't Kill</v>
      </c>
      <c r="AS19" s="266" t="str">
        <f>IF(OR($M19&lt;&gt;AS$2,(TowerStats!$B$104-$G19)&lt;=0),"Can't Kill",ROUNDUP($F19/(TowerStats!$B$104-$G19),0))</f>
        <v>Can't Kill</v>
      </c>
    </row>
    <row r="20" spans="2:45" ht="13.5" thickBot="1" x14ac:dyDescent="0.25">
      <c r="B20" s="265">
        <f>SUMPRODUCT(B14:B19,$C14:$C19)</f>
        <v>112</v>
      </c>
      <c r="C20" s="264">
        <f>SUM(C14:C19)</f>
        <v>25</v>
      </c>
      <c r="D20" s="263" t="s">
        <v>247</v>
      </c>
      <c r="E20" s="262">
        <f t="shared" ref="E20:J20" si="3">SUMPRODUCT(E14:E19,$C14:$C19)</f>
        <v>409</v>
      </c>
      <c r="F20" s="262">
        <f t="shared" si="3"/>
        <v>1272</v>
      </c>
      <c r="G20" s="262">
        <f t="shared" si="3"/>
        <v>215</v>
      </c>
      <c r="H20" s="262">
        <f t="shared" si="3"/>
        <v>32</v>
      </c>
      <c r="I20" s="262">
        <f t="shared" si="3"/>
        <v>23.200000000000003</v>
      </c>
      <c r="J20" s="262">
        <f t="shared" si="3"/>
        <v>923</v>
      </c>
      <c r="K20" s="262">
        <f>SUMPRODUCT(K14:K19,$C14:$C19)/C20</f>
        <v>1.212</v>
      </c>
      <c r="L20" s="261">
        <f>SUMPRODUCT(L14:L19,$C14:$C19)</f>
        <v>446</v>
      </c>
      <c r="M20" s="260"/>
      <c r="O20" s="260"/>
    </row>
    <row r="22" spans="2:45" ht="13.5" thickBot="1" x14ac:dyDescent="0.25"/>
    <row r="23" spans="2:45" ht="39" thickBot="1" x14ac:dyDescent="0.2">
      <c r="B23" s="314" t="s">
        <v>143</v>
      </c>
      <c r="C23" s="313" t="s">
        <v>144</v>
      </c>
      <c r="D23" s="312" t="s">
        <v>147</v>
      </c>
      <c r="E23" s="311" t="s">
        <v>3</v>
      </c>
      <c r="F23" s="251" t="s">
        <v>4</v>
      </c>
      <c r="G23" s="251" t="s">
        <v>5</v>
      </c>
      <c r="H23" s="251" t="s">
        <v>6</v>
      </c>
      <c r="I23" s="251" t="s">
        <v>18</v>
      </c>
      <c r="J23" s="251" t="s">
        <v>9</v>
      </c>
      <c r="K23" s="251" t="s">
        <v>0</v>
      </c>
      <c r="L23" s="310" t="s">
        <v>10</v>
      </c>
      <c r="M23" s="309" t="s">
        <v>244</v>
      </c>
      <c r="O23" s="309" t="s">
        <v>147</v>
      </c>
      <c r="P23" s="297" t="s">
        <v>20</v>
      </c>
      <c r="Q23" s="296" t="s">
        <v>21</v>
      </c>
      <c r="R23" s="296" t="s">
        <v>22</v>
      </c>
      <c r="S23" s="296" t="s">
        <v>121</v>
      </c>
      <c r="T23" s="308" t="s">
        <v>122</v>
      </c>
      <c r="U23" s="307" t="s">
        <v>115</v>
      </c>
      <c r="V23" s="306" t="s">
        <v>116</v>
      </c>
      <c r="W23" s="306" t="s">
        <v>117</v>
      </c>
      <c r="X23" s="305" t="s">
        <v>125</v>
      </c>
      <c r="Y23" s="304" t="s">
        <v>126</v>
      </c>
      <c r="Z23" s="303" t="s">
        <v>130</v>
      </c>
      <c r="AA23" s="302" t="s">
        <v>223</v>
      </c>
      <c r="AB23" s="302" t="s">
        <v>131</v>
      </c>
      <c r="AC23" s="301" t="s">
        <v>132</v>
      </c>
      <c r="AD23" s="300" t="s">
        <v>133</v>
      </c>
      <c r="AE23" s="297" t="s">
        <v>36</v>
      </c>
      <c r="AF23" s="296" t="s">
        <v>37</v>
      </c>
      <c r="AG23" s="296" t="s">
        <v>38</v>
      </c>
      <c r="AH23" s="299" t="s">
        <v>137</v>
      </c>
      <c r="AI23" s="298" t="s">
        <v>138</v>
      </c>
      <c r="AJ23" s="297" t="s">
        <v>42</v>
      </c>
      <c r="AK23" s="296" t="s">
        <v>43</v>
      </c>
      <c r="AL23" s="296" t="s">
        <v>44</v>
      </c>
      <c r="AM23" s="295" t="s">
        <v>45</v>
      </c>
      <c r="AN23" s="294" t="s">
        <v>46</v>
      </c>
      <c r="AO23" s="297" t="s">
        <v>52</v>
      </c>
      <c r="AP23" s="296" t="s">
        <v>53</v>
      </c>
      <c r="AQ23" s="296" t="s">
        <v>54</v>
      </c>
      <c r="AR23" s="295" t="s">
        <v>231</v>
      </c>
      <c r="AS23" s="294" t="s">
        <v>55</v>
      </c>
    </row>
    <row r="24" spans="2:45" x14ac:dyDescent="0.2">
      <c r="B24" s="350">
        <f>Level1!U2</f>
        <v>5</v>
      </c>
      <c r="C24" s="349">
        <f>Level1!V2</f>
        <v>2</v>
      </c>
      <c r="D24" s="348" t="str">
        <f>Level1!W2</f>
        <v>Sprinter Mickey</v>
      </c>
      <c r="E24" s="286">
        <f>VLOOKUP($D24,'Monsters Stats'!$B$8:$L$70,2,FALSE)</f>
        <v>8</v>
      </c>
      <c r="F24" s="285">
        <f>VLOOKUP($D24,'Monsters Stats'!$B$8:$L$70,3,FALSE)</f>
        <v>27</v>
      </c>
      <c r="G24" s="285">
        <f>VLOOKUP($D24,'Monsters Stats'!$B$8:$L$70,4,FALSE)</f>
        <v>5</v>
      </c>
      <c r="H24" s="285">
        <f>VLOOKUP($D24,'Monsters Stats'!$B$8:$L$70,5,FALSE)</f>
        <v>1</v>
      </c>
      <c r="I24" s="285">
        <f>VLOOKUP($D24,'Monsters Stats'!$B$8:$L$70,6,FALSE)</f>
        <v>0.7</v>
      </c>
      <c r="J24" s="285">
        <f>VLOOKUP($D24,'Monsters Stats'!$B$8:$L$70,7,FALSE)</f>
        <v>8</v>
      </c>
      <c r="K24" s="285">
        <f>VLOOKUP($D24,'Monsters Stats'!$B$8:$L$70,8,FALSE)</f>
        <v>2</v>
      </c>
      <c r="L24" s="284">
        <f>VLOOKUP($D24,'Monsters Stats'!$B$8:$L$70,9,FALSE)</f>
        <v>0</v>
      </c>
      <c r="M24" s="283">
        <f>VLOOKUP($D24,'Monsters Stats'!$B$8:$L$70,11,FALSE)</f>
        <v>0</v>
      </c>
      <c r="O24" s="347" t="str">
        <f t="shared" ref="O24:O29" si="4">D24</f>
        <v>Sprinter Mickey</v>
      </c>
      <c r="P24" s="280" t="str">
        <f>IF(OR($M24&lt;&gt;P$2,(TowerStats!$B$29-($G24-TowerStats!$H$29))&lt;=0),"Can't Kill",ROUNDUP($F24/(TowerStats!$B$29-($G24-TowerStats!$H$29)),0))</f>
        <v>Can't Kill</v>
      </c>
      <c r="Q24" s="279" t="str">
        <f>IF(OR($M24&lt;&gt;Q$2,(TowerStats!$B$30-($G24-TowerStats!$H$30))&lt;=0),"Can't Kill",ROUNDUP($F24/(TowerStats!$B$30-($G24-TowerStats!$H$30)),0))</f>
        <v>Can't Kill</v>
      </c>
      <c r="R24" s="279" t="str">
        <f>IF(OR($M24&lt;&gt;R$2,(TowerStats!$B$31-($G24-TowerStats!$H$31))&lt;=0),"Can't Kill",ROUNDUP($F24/(TowerStats!$B$31-($G24-TowerStats!$H$31)),0))</f>
        <v>Can't Kill</v>
      </c>
      <c r="S24" s="279" t="str">
        <f>IF(OR($M24&lt;&gt;S$2,(TowerStats!$B$32-($G24-TowerStats!$H$32))&lt;=0),"Can't Kill",ROUNDUP($F24/(TowerStats!$B$32-($G24-TowerStats!$H$32)),0))</f>
        <v>Can't Kill</v>
      </c>
      <c r="T24" s="281" t="str">
        <f>IF(OR($M24&lt;&gt;T$2,(TowerStats!$B$33-($G24-TowerStats!$H$33))&lt;=0),"Can't Kill",ROUNDUP($F24/(TowerStats!$B$33-($G24-TowerStats!$H$33)),0))</f>
        <v>Can't Kill</v>
      </c>
      <c r="U24" s="280">
        <f>IF(OR($M24&lt;&gt;U$2,(TowerStats!$B$40-$G24)&lt;=0),"Can't Kill",ROUNDUP($F24/(TowerStats!$B$40-$G24),0))</f>
        <v>9</v>
      </c>
      <c r="V24" s="279">
        <f>IF(OR($M24&lt;&gt;V$2,(TowerStats!$B$41-$G24)&lt;=0),"Can't Kill",ROUNDUP($F24/(TowerStats!$B$41-$G24),0))</f>
        <v>6</v>
      </c>
      <c r="W24" s="279">
        <f>IF(OR($M24&lt;&gt;W$2,(TowerStats!$B$42-$G24)&lt;=0),"Can't Kill",ROUNDUP($F24/(TowerStats!$B$42-$G24),0))</f>
        <v>4</v>
      </c>
      <c r="X24" s="279">
        <f>IF(OR($M24&lt;&gt;X$2,(TowerStats!$B$43-$G24)&lt;=0),"Can't Kill",ROUNDUP($F24/(TowerStats!$B$43-$G24),0))</f>
        <v>3</v>
      </c>
      <c r="Y24" s="278">
        <f>IF(OR($M24&lt;&gt;Y$2,(TowerStats!$B$44-$G24)&lt;=0),"Can't Kill",ROUNDUP($F24/(TowerStats!$B$44-$G24),0))</f>
        <v>2</v>
      </c>
      <c r="Z24" s="280" t="str">
        <f>IF(OR($M24&lt;&gt;Z$2,(TowerStats!$B$54-$G24)&lt;=0),"Can't Kill",ROUNDUP($F24/(TowerStats!$B$54-$G24),0))</f>
        <v>Can't Kill</v>
      </c>
      <c r="AA24" s="279" t="str">
        <f>IF(OR($M24&lt;&gt;AA$2,(TowerStats!$B$55-$G24)&lt;=0),"Can't Kill",ROUNDUP($F24/(TowerStats!$B$55-$G24),0))</f>
        <v>Can't Kill</v>
      </c>
      <c r="AB24" s="279" t="str">
        <f>IF(OR($M24&lt;&gt;AB$2,(TowerStats!$B$56-$G24)&lt;=0),"Can't Kill",ROUNDUP($F24/(TowerStats!$B$56-$G24),0))</f>
        <v>Can't Kill</v>
      </c>
      <c r="AC24" s="279" t="str">
        <f>IF(OR($M24&lt;&gt;AC$2,(TowerStats!$B$57-$G24)&lt;=0),"Can't Kill",ROUNDUP($F24/(TowerStats!$B$57-$G24),0))</f>
        <v>Can't Kill</v>
      </c>
      <c r="AD24" s="278" t="str">
        <f>IF(OR($M24&lt;&gt;AD$2,(TowerStats!$B$58-$G24)&lt;=0),"Can't Kill",ROUNDUP($F24/(TowerStats!$B$58-$G24),0))</f>
        <v>Can't Kill</v>
      </c>
      <c r="AE24" s="280" t="str">
        <f>IF(OR($M24&lt;&gt;AE$2,(TowerStats!$B$69-($G24-TowerStats!$H$69))&lt;=0),"Can't Kill",ROUNDUP($F24/(TowerStats!$B$69-($G24-TowerStats!$H$69)),0))</f>
        <v>Can't Kill</v>
      </c>
      <c r="AF24" s="279" t="str">
        <f>IF(OR($M24&lt;&gt;AF$2,(TowerStats!$B$70-($G24-TowerStats!$H$70))&lt;=0),"Can't Kill",ROUNDUP($F24/(TowerStats!$B$70-($G24-TowerStats!$H$70)),0))</f>
        <v>Can't Kill</v>
      </c>
      <c r="AG24" s="279" t="str">
        <f>IF(OR($M24&lt;&gt;AG$2,(TowerStats!$B$71-($G24-TowerStats!$H$71))&lt;=0),"Can't Kill",ROUNDUP($F24/(TowerStats!$B$71-($G24-TowerStats!$H$71)),0))</f>
        <v>Can't Kill</v>
      </c>
      <c r="AH24" s="279" t="str">
        <f>IF(OR($M24&lt;&gt;AH$2,(TowerStats!$B$72-($G24-TowerStats!$H$72))&lt;=0),"Can't Kill",ROUNDUP($F24/(TowerStats!$B$72-($G24-TowerStats!$H$72)),0))</f>
        <v>Can't Kill</v>
      </c>
      <c r="AI24" s="278" t="str">
        <f>IF(OR($M24&lt;&gt;AI$2,(TowerStats!$B$73-($G24-TowerStats!$H$73))&lt;=0),"Can't Kill",ROUNDUP($F24/(TowerStats!$B$73-($G24-TowerStats!$H$73)),0))</f>
        <v>Can't Kill</v>
      </c>
      <c r="AJ24" s="280" t="str">
        <f>IF(OR($M24&lt;&gt;AJ$2,(TowerStats!$B$84-$G24)&lt;=0),"Can't Kill",ROUNDUP($F24/(TowerStats!$B$84-$G24),0))</f>
        <v>Can't Kill</v>
      </c>
      <c r="AK24" s="279" t="str">
        <f>IF(OR($M24&lt;&gt;AK$2,(TowerStats!$B$85-$G24)&lt;=0),"Can't Kill",ROUNDUP($F24/(TowerStats!$B$85-$G24),0))</f>
        <v>Can't Kill</v>
      </c>
      <c r="AL24" s="279" t="str">
        <f>IF(OR($M24&lt;&gt;AL$2,(TowerStats!$B$86-$G24)&lt;=0),"Can't Kill",ROUNDUP($F24/(TowerStats!$B$86-$G24),0))</f>
        <v>Can't Kill</v>
      </c>
      <c r="AM24" s="279" t="str">
        <f>IF(OR($M24&lt;&gt;AM$2,(TowerStats!$B$87-$G24)&lt;=0),"Can't Kill",ROUNDUP($F24/(TowerStats!$B$87-$G24),0))</f>
        <v>Can't Kill</v>
      </c>
      <c r="AN24" s="278" t="str">
        <f>IF(OR($M24&lt;&gt;AN$2,(TowerStats!$B$88-$G24)&lt;=0),"Can't Kill",ROUNDUP($F24/(TowerStats!$B$88-$G24),0))</f>
        <v>Can't Kill</v>
      </c>
      <c r="AO24" s="280" t="str">
        <f>IF(OR($M24&lt;&gt;AO$2,(TowerStats!$B$100-$G24)&lt;=0),"Can't Kill",ROUNDUP($F24/(TowerStats!$B$100-$G24),0))</f>
        <v>Can't Kill</v>
      </c>
      <c r="AP24" s="279" t="str">
        <f>IF(OR($M24&lt;&gt;AP$2,(TowerStats!$B$101-$G24)&lt;=0),"Can't Kill",ROUNDUP($F24/(TowerStats!$B$101-$G24),0))</f>
        <v>Can't Kill</v>
      </c>
      <c r="AQ24" s="279" t="str">
        <f>IF(OR($M24&lt;&gt;AQ$2,(TowerStats!$B$102-$G24)&lt;=0),"Can't Kill",ROUNDUP($F24/(TowerStats!$B$102-$G24),0))</f>
        <v>Can't Kill</v>
      </c>
      <c r="AR24" s="279" t="str">
        <f>IF(OR($M24&lt;&gt;AR$2,(TowerStats!$B$103-$G24)&lt;=0),"Can't Kill",ROUNDUP($F24/(TowerStats!$B$103-$G24),0))</f>
        <v>Can't Kill</v>
      </c>
      <c r="AS24" s="278" t="str">
        <f>IF(OR($M24&lt;&gt;AS$2,(TowerStats!$B$104-$G24)&lt;=0),"Can't Kill",ROUNDUP($F24/(TowerStats!$B$104-$G24),0))</f>
        <v>Can't Kill</v>
      </c>
    </row>
    <row r="25" spans="2:45" x14ac:dyDescent="0.2">
      <c r="B25" s="346">
        <f>Level1!U3</f>
        <v>3</v>
      </c>
      <c r="C25" s="345">
        <f>Level1!V3</f>
        <v>3</v>
      </c>
      <c r="D25" s="344" t="str">
        <f>Level1!W3</f>
        <v>Sprinter Mickey</v>
      </c>
      <c r="E25" s="286">
        <f>VLOOKUP($D25,'Monsters Stats'!$B$8:$L$70,2,FALSE)</f>
        <v>8</v>
      </c>
      <c r="F25" s="285">
        <f>VLOOKUP($D25,'Monsters Stats'!$B$8:$L$70,3,FALSE)</f>
        <v>27</v>
      </c>
      <c r="G25" s="285">
        <f>VLOOKUP($D25,'Monsters Stats'!$B$8:$L$70,4,FALSE)</f>
        <v>5</v>
      </c>
      <c r="H25" s="285">
        <f>VLOOKUP($D25,'Monsters Stats'!$B$8:$L$70,5,FALSE)</f>
        <v>1</v>
      </c>
      <c r="I25" s="285">
        <f>VLOOKUP($D25,'Monsters Stats'!$B$8:$L$70,6,FALSE)</f>
        <v>0.7</v>
      </c>
      <c r="J25" s="285">
        <f>VLOOKUP($D25,'Monsters Stats'!$B$8:$L$70,7,FALSE)</f>
        <v>8</v>
      </c>
      <c r="K25" s="285">
        <f>VLOOKUP($D25,'Monsters Stats'!$B$8:$L$70,8,FALSE)</f>
        <v>2</v>
      </c>
      <c r="L25" s="284">
        <f>VLOOKUP($D25,'Monsters Stats'!$B$8:$L$70,9,FALSE)</f>
        <v>0</v>
      </c>
      <c r="M25" s="283">
        <f>VLOOKUP($D25,'Monsters Stats'!$B$8:$L$70,11,FALSE)</f>
        <v>0</v>
      </c>
      <c r="O25" s="343" t="str">
        <f t="shared" si="4"/>
        <v>Sprinter Mickey</v>
      </c>
      <c r="P25" s="280" t="str">
        <f>IF(OR($M25&lt;&gt;P$2,(TowerStats!$B$29-($G25-TowerStats!$H$29))&lt;=0),"Can't Kill",ROUNDUP($F25/(TowerStats!$B$29-($G25-TowerStats!$H$29)),0))</f>
        <v>Can't Kill</v>
      </c>
      <c r="Q25" s="279" t="str">
        <f>IF(OR($M25&lt;&gt;Q$2,(TowerStats!$B$30-($G25-TowerStats!$H$30))&lt;=0),"Can't Kill",ROUNDUP($F25/(TowerStats!$B$30-($G25-TowerStats!$H$30)),0))</f>
        <v>Can't Kill</v>
      </c>
      <c r="R25" s="279" t="str">
        <f>IF(OR($M25&lt;&gt;R$2,(TowerStats!$B$31-($G25-TowerStats!$H$31))&lt;=0),"Can't Kill",ROUNDUP($F25/(TowerStats!$B$31-($G25-TowerStats!$H$31)),0))</f>
        <v>Can't Kill</v>
      </c>
      <c r="S25" s="279" t="str">
        <f>IF(OR($M25&lt;&gt;S$2,(TowerStats!$B$32-($G25-TowerStats!$H$32))&lt;=0),"Can't Kill",ROUNDUP($F25/(TowerStats!$B$32-($G25-TowerStats!$H$32)),0))</f>
        <v>Can't Kill</v>
      </c>
      <c r="T25" s="281" t="str">
        <f>IF(OR($M25&lt;&gt;T$2,(TowerStats!$B$33-($G25-TowerStats!$H$33))&lt;=0),"Can't Kill",ROUNDUP($F25/(TowerStats!$B$33-($G25-TowerStats!$H$33)),0))</f>
        <v>Can't Kill</v>
      </c>
      <c r="U25" s="280">
        <f>IF(OR($M25&lt;&gt;U$2,(TowerStats!$B$40-$G25)&lt;=0),"Can't Kill",ROUNDUP($F25/(TowerStats!$B$40-$G25),0))</f>
        <v>9</v>
      </c>
      <c r="V25" s="279">
        <f>IF(OR($M25&lt;&gt;V$2,(TowerStats!$B$41-$G25)&lt;=0),"Can't Kill",ROUNDUP($F25/(TowerStats!$B$41-$G25),0))</f>
        <v>6</v>
      </c>
      <c r="W25" s="279">
        <f>IF(OR($M25&lt;&gt;W$2,(TowerStats!$B$42-$G25)&lt;=0),"Can't Kill",ROUNDUP($F25/(TowerStats!$B$42-$G25),0))</f>
        <v>4</v>
      </c>
      <c r="X25" s="279">
        <f>IF(OR($M25&lt;&gt;X$2,(TowerStats!$B$43-$G25)&lt;=0),"Can't Kill",ROUNDUP($F25/(TowerStats!$B$43-$G25),0))</f>
        <v>3</v>
      </c>
      <c r="Y25" s="278">
        <f>IF(OR($M25&lt;&gt;Y$2,(TowerStats!$B$44-$G25)&lt;=0),"Can't Kill",ROUNDUP($F25/(TowerStats!$B$44-$G25),0))</f>
        <v>2</v>
      </c>
      <c r="Z25" s="280" t="str">
        <f>IF(OR($M25&lt;&gt;Z$2,(TowerStats!$B$54-$G25)&lt;=0),"Can't Kill",ROUNDUP($F25/(TowerStats!$B$54-$G25),0))</f>
        <v>Can't Kill</v>
      </c>
      <c r="AA25" s="279" t="str">
        <f>IF(OR($M25&lt;&gt;AA$2,(TowerStats!$B$55-$G25)&lt;=0),"Can't Kill",ROUNDUP($F25/(TowerStats!$B$55-$G25),0))</f>
        <v>Can't Kill</v>
      </c>
      <c r="AB25" s="279" t="str">
        <f>IF(OR($M25&lt;&gt;AB$2,(TowerStats!$B$56-$G25)&lt;=0),"Can't Kill",ROUNDUP($F25/(TowerStats!$B$56-$G25),0))</f>
        <v>Can't Kill</v>
      </c>
      <c r="AC25" s="279" t="str">
        <f>IF(OR($M25&lt;&gt;AC$2,(TowerStats!$B$57-$G25)&lt;=0),"Can't Kill",ROUNDUP($F25/(TowerStats!$B$57-$G25),0))</f>
        <v>Can't Kill</v>
      </c>
      <c r="AD25" s="278" t="str">
        <f>IF(OR($M25&lt;&gt;AD$2,(TowerStats!$B$58-$G25)&lt;=0),"Can't Kill",ROUNDUP($F25/(TowerStats!$B$58-$G25),0))</f>
        <v>Can't Kill</v>
      </c>
      <c r="AE25" s="280" t="str">
        <f>IF(OR($M25&lt;&gt;AE$2,(TowerStats!$B$69-($G25-TowerStats!$H$69))&lt;=0),"Can't Kill",ROUNDUP($F25/(TowerStats!$B$69-($G25-TowerStats!$H$69)),0))</f>
        <v>Can't Kill</v>
      </c>
      <c r="AF25" s="279" t="str">
        <f>IF(OR($M25&lt;&gt;AF$2,(TowerStats!$B$70-($G25-TowerStats!$H$70))&lt;=0),"Can't Kill",ROUNDUP($F25/(TowerStats!$B$70-($G25-TowerStats!$H$70)),0))</f>
        <v>Can't Kill</v>
      </c>
      <c r="AG25" s="279" t="str">
        <f>IF(OR($M25&lt;&gt;AG$2,(TowerStats!$B$71-($G25-TowerStats!$H$71))&lt;=0),"Can't Kill",ROUNDUP($F25/(TowerStats!$B$71-($G25-TowerStats!$H$71)),0))</f>
        <v>Can't Kill</v>
      </c>
      <c r="AH25" s="279" t="str">
        <f>IF(OR($M25&lt;&gt;AH$2,(TowerStats!$B$72-($G25-TowerStats!$H$72))&lt;=0),"Can't Kill",ROUNDUP($F25/(TowerStats!$B$72-($G25-TowerStats!$H$72)),0))</f>
        <v>Can't Kill</v>
      </c>
      <c r="AI25" s="278" t="str">
        <f>IF(OR($M25&lt;&gt;AI$2,(TowerStats!$B$73-($G25-TowerStats!$H$73))&lt;=0),"Can't Kill",ROUNDUP($F25/(TowerStats!$B$73-($G25-TowerStats!$H$73)),0))</f>
        <v>Can't Kill</v>
      </c>
      <c r="AJ25" s="280" t="str">
        <f>IF(OR($M25&lt;&gt;AJ$2,(TowerStats!$B$84-$G25)&lt;=0),"Can't Kill",ROUNDUP($F25/(TowerStats!$B$84-$G25),0))</f>
        <v>Can't Kill</v>
      </c>
      <c r="AK25" s="279" t="str">
        <f>IF(OR($M25&lt;&gt;AK$2,(TowerStats!$B$85-$G25)&lt;=0),"Can't Kill",ROUNDUP($F25/(TowerStats!$B$85-$G25),0))</f>
        <v>Can't Kill</v>
      </c>
      <c r="AL25" s="279" t="str">
        <f>IF(OR($M25&lt;&gt;AL$2,(TowerStats!$B$86-$G25)&lt;=0),"Can't Kill",ROUNDUP($F25/(TowerStats!$B$86-$G25),0))</f>
        <v>Can't Kill</v>
      </c>
      <c r="AM25" s="279" t="str">
        <f>IF(OR($M25&lt;&gt;AM$2,(TowerStats!$B$87-$G25)&lt;=0),"Can't Kill",ROUNDUP($F25/(TowerStats!$B$87-$G25),0))</f>
        <v>Can't Kill</v>
      </c>
      <c r="AN25" s="278" t="str">
        <f>IF(OR($M25&lt;&gt;AN$2,(TowerStats!$B$88-$G25)&lt;=0),"Can't Kill",ROUNDUP($F25/(TowerStats!$B$88-$G25),0))</f>
        <v>Can't Kill</v>
      </c>
      <c r="AO25" s="280" t="str">
        <f>IF(OR($M25&lt;&gt;AO$2,(TowerStats!$B$100-$G25)&lt;=0),"Can't Kill",ROUNDUP($F25/(TowerStats!$B$100-$G25),0))</f>
        <v>Can't Kill</v>
      </c>
      <c r="AP25" s="279" t="str">
        <f>IF(OR($M25&lt;&gt;AP$2,(TowerStats!$B$101-$G25)&lt;=0),"Can't Kill",ROUNDUP($F25/(TowerStats!$B$101-$G25),0))</f>
        <v>Can't Kill</v>
      </c>
      <c r="AQ25" s="279" t="str">
        <f>IF(OR($M25&lt;&gt;AQ$2,(TowerStats!$B$102-$G25)&lt;=0),"Can't Kill",ROUNDUP($F25/(TowerStats!$B$102-$G25),0))</f>
        <v>Can't Kill</v>
      </c>
      <c r="AR25" s="279" t="str">
        <f>IF(OR($M25&lt;&gt;AR$2,(TowerStats!$B$103-$G25)&lt;=0),"Can't Kill",ROUNDUP($F25/(TowerStats!$B$103-$G25),0))</f>
        <v>Can't Kill</v>
      </c>
      <c r="AS25" s="278" t="str">
        <f>IF(OR($M25&lt;&gt;AS$2,(TowerStats!$B$104-$G25)&lt;=0),"Can't Kill",ROUNDUP($F25/(TowerStats!$B$104-$G25),0))</f>
        <v>Can't Kill</v>
      </c>
    </row>
    <row r="26" spans="2:45" x14ac:dyDescent="0.2">
      <c r="B26" s="346">
        <f>Level1!U4</f>
        <v>1</v>
      </c>
      <c r="C26" s="345">
        <f>Level1!V4</f>
        <v>1</v>
      </c>
      <c r="D26" s="344" t="str">
        <f>Level1!W4</f>
        <v>Jogged Mickey</v>
      </c>
      <c r="E26" s="286">
        <f>VLOOKUP($D26,'Monsters Stats'!$B$8:$L$70,2,FALSE)</f>
        <v>4</v>
      </c>
      <c r="F26" s="285">
        <f>VLOOKUP($D26,'Monsters Stats'!$B$8:$L$70,3,FALSE)</f>
        <v>12</v>
      </c>
      <c r="G26" s="285">
        <f>VLOOKUP($D26,'Monsters Stats'!$B$8:$L$70,4,FALSE)</f>
        <v>3</v>
      </c>
      <c r="H26" s="285">
        <f>VLOOKUP($D26,'Monsters Stats'!$B$8:$L$70,5,FALSE)</f>
        <v>1</v>
      </c>
      <c r="I26" s="285">
        <f>VLOOKUP($D26,'Monsters Stats'!$B$8:$L$70,6,FALSE)</f>
        <v>0.8</v>
      </c>
      <c r="J26" s="285">
        <f>VLOOKUP($D26,'Monsters Stats'!$B$8:$L$70,7,FALSE)</f>
        <v>4</v>
      </c>
      <c r="K26" s="285">
        <f>VLOOKUP($D26,'Monsters Stats'!$B$8:$L$70,8,FALSE)</f>
        <v>1.3</v>
      </c>
      <c r="L26" s="284">
        <f>VLOOKUP($D26,'Monsters Stats'!$B$8:$L$70,9,FALSE)</f>
        <v>0</v>
      </c>
      <c r="M26" s="283">
        <f>VLOOKUP($D26,'Monsters Stats'!$B$8:$L$70,11,FALSE)</f>
        <v>0</v>
      </c>
      <c r="O26" s="343" t="str">
        <f t="shared" si="4"/>
        <v>Jogged Mickey</v>
      </c>
      <c r="P26" s="280" t="str">
        <f>IF(OR($M26&lt;&gt;P$2,(TowerStats!$B$29-($G26-TowerStats!$H$29))&lt;=0),"Can't Kill",ROUNDUP($F26/(TowerStats!$B$29-($G26-TowerStats!$H$29)),0))</f>
        <v>Can't Kill</v>
      </c>
      <c r="Q26" s="279" t="str">
        <f>IF(OR($M26&lt;&gt;Q$2,(TowerStats!$B$30-($G26-TowerStats!$H$30))&lt;=0),"Can't Kill",ROUNDUP($F26/(TowerStats!$B$30-($G26-TowerStats!$H$30)),0))</f>
        <v>Can't Kill</v>
      </c>
      <c r="R26" s="279" t="str">
        <f>IF(OR($M26&lt;&gt;R$2,(TowerStats!$B$31-($G26-TowerStats!$H$31))&lt;=0),"Can't Kill",ROUNDUP($F26/(TowerStats!$B$31-($G26-TowerStats!$H$31)),0))</f>
        <v>Can't Kill</v>
      </c>
      <c r="S26" s="279" t="str">
        <f>IF(OR($M26&lt;&gt;S$2,(TowerStats!$B$32-($G26-TowerStats!$H$32))&lt;=0),"Can't Kill",ROUNDUP($F26/(TowerStats!$B$32-($G26-TowerStats!$H$32)),0))</f>
        <v>Can't Kill</v>
      </c>
      <c r="T26" s="281" t="str">
        <f>IF(OR($M26&lt;&gt;T$2,(TowerStats!$B$33-($G26-TowerStats!$H$33))&lt;=0),"Can't Kill",ROUNDUP($F26/(TowerStats!$B$33-($G26-TowerStats!$H$33)),0))</f>
        <v>Can't Kill</v>
      </c>
      <c r="U26" s="280">
        <f>IF(OR($M26&lt;&gt;U$2,(TowerStats!$B$40-$G26)&lt;=0),"Can't Kill",ROUNDUP($F26/(TowerStats!$B$40-$G26),0))</f>
        <v>3</v>
      </c>
      <c r="V26" s="279">
        <f>IF(OR($M26&lt;&gt;V$2,(TowerStats!$B$41-$G26)&lt;=0),"Can't Kill",ROUNDUP($F26/(TowerStats!$B$41-$G26),0))</f>
        <v>2</v>
      </c>
      <c r="W26" s="279">
        <f>IF(OR($M26&lt;&gt;W$2,(TowerStats!$B$42-$G26)&lt;=0),"Can't Kill",ROUNDUP($F26/(TowerStats!$B$42-$G26),0))</f>
        <v>2</v>
      </c>
      <c r="X26" s="279">
        <f>IF(OR($M26&lt;&gt;X$2,(TowerStats!$B$43-$G26)&lt;=0),"Can't Kill",ROUNDUP($F26/(TowerStats!$B$43-$G26),0))</f>
        <v>1</v>
      </c>
      <c r="Y26" s="278">
        <f>IF(OR($M26&lt;&gt;Y$2,(TowerStats!$B$44-$G26)&lt;=0),"Can't Kill",ROUNDUP($F26/(TowerStats!$B$44-$G26),0))</f>
        <v>1</v>
      </c>
      <c r="Z26" s="280" t="str">
        <f>IF(OR($M26&lt;&gt;Z$2,(TowerStats!$B$54-$G26)&lt;=0),"Can't Kill",ROUNDUP($F26/(TowerStats!$B$54-$G26),0))</f>
        <v>Can't Kill</v>
      </c>
      <c r="AA26" s="279" t="str">
        <f>IF(OR($M26&lt;&gt;AA$2,(TowerStats!$B$55-$G26)&lt;=0),"Can't Kill",ROUNDUP($F26/(TowerStats!$B$55-$G26),0))</f>
        <v>Can't Kill</v>
      </c>
      <c r="AB26" s="279" t="str">
        <f>IF(OR($M26&lt;&gt;AB$2,(TowerStats!$B$56-$G26)&lt;=0),"Can't Kill",ROUNDUP($F26/(TowerStats!$B$56-$G26),0))</f>
        <v>Can't Kill</v>
      </c>
      <c r="AC26" s="279" t="str">
        <f>IF(OR($M26&lt;&gt;AC$2,(TowerStats!$B$57-$G26)&lt;=0),"Can't Kill",ROUNDUP($F26/(TowerStats!$B$57-$G26),0))</f>
        <v>Can't Kill</v>
      </c>
      <c r="AD26" s="278" t="str">
        <f>IF(OR($M26&lt;&gt;AD$2,(TowerStats!$B$58-$G26)&lt;=0),"Can't Kill",ROUNDUP($F26/(TowerStats!$B$58-$G26),0))</f>
        <v>Can't Kill</v>
      </c>
      <c r="AE26" s="280" t="str">
        <f>IF(OR($M26&lt;&gt;AE$2,(TowerStats!$B$69-($G26-TowerStats!$H$69))&lt;=0),"Can't Kill",ROUNDUP($F26/(TowerStats!$B$69-($G26-TowerStats!$H$69)),0))</f>
        <v>Can't Kill</v>
      </c>
      <c r="AF26" s="279" t="str">
        <f>IF(OR($M26&lt;&gt;AF$2,(TowerStats!$B$70-($G26-TowerStats!$H$70))&lt;=0),"Can't Kill",ROUNDUP($F26/(TowerStats!$B$70-($G26-TowerStats!$H$70)),0))</f>
        <v>Can't Kill</v>
      </c>
      <c r="AG26" s="279" t="str">
        <f>IF(OR($M26&lt;&gt;AG$2,(TowerStats!$B$71-($G26-TowerStats!$H$71))&lt;=0),"Can't Kill",ROUNDUP($F26/(TowerStats!$B$71-($G26-TowerStats!$H$71)),0))</f>
        <v>Can't Kill</v>
      </c>
      <c r="AH26" s="279" t="str">
        <f>IF(OR($M26&lt;&gt;AH$2,(TowerStats!$B$72-($G26-TowerStats!$H$72))&lt;=0),"Can't Kill",ROUNDUP($F26/(TowerStats!$B$72-($G26-TowerStats!$H$72)),0))</f>
        <v>Can't Kill</v>
      </c>
      <c r="AI26" s="278" t="str">
        <f>IF(OR($M26&lt;&gt;AI$2,(TowerStats!$B$73-($G26-TowerStats!$H$73))&lt;=0),"Can't Kill",ROUNDUP($F26/(TowerStats!$B$73-($G26-TowerStats!$H$73)),0))</f>
        <v>Can't Kill</v>
      </c>
      <c r="AJ26" s="280" t="str">
        <f>IF(OR($M26&lt;&gt;AJ$2,(TowerStats!$B$84-$G26)&lt;=0),"Can't Kill",ROUNDUP($F26/(TowerStats!$B$84-$G26),0))</f>
        <v>Can't Kill</v>
      </c>
      <c r="AK26" s="279" t="str">
        <f>IF(OR($M26&lt;&gt;AK$2,(TowerStats!$B$85-$G26)&lt;=0),"Can't Kill",ROUNDUP($F26/(TowerStats!$B$85-$G26),0))</f>
        <v>Can't Kill</v>
      </c>
      <c r="AL26" s="279" t="str">
        <f>IF(OR($M26&lt;&gt;AL$2,(TowerStats!$B$86-$G26)&lt;=0),"Can't Kill",ROUNDUP($F26/(TowerStats!$B$86-$G26),0))</f>
        <v>Can't Kill</v>
      </c>
      <c r="AM26" s="279" t="str">
        <f>IF(OR($M26&lt;&gt;AM$2,(TowerStats!$B$87-$G26)&lt;=0),"Can't Kill",ROUNDUP($F26/(TowerStats!$B$87-$G26),0))</f>
        <v>Can't Kill</v>
      </c>
      <c r="AN26" s="278" t="str">
        <f>IF(OR($M26&lt;&gt;AN$2,(TowerStats!$B$88-$G26)&lt;=0),"Can't Kill",ROUNDUP($F26/(TowerStats!$B$88-$G26),0))</f>
        <v>Can't Kill</v>
      </c>
      <c r="AO26" s="280" t="str">
        <f>IF(OR($M26&lt;&gt;AO$2,(TowerStats!$B$100-$G26)&lt;=0),"Can't Kill",ROUNDUP($F26/(TowerStats!$B$100-$G26),0))</f>
        <v>Can't Kill</v>
      </c>
      <c r="AP26" s="279" t="str">
        <f>IF(OR($M26&lt;&gt;AP$2,(TowerStats!$B$101-$G26)&lt;=0),"Can't Kill",ROUNDUP($F26/(TowerStats!$B$101-$G26),0))</f>
        <v>Can't Kill</v>
      </c>
      <c r="AQ26" s="279" t="str">
        <f>IF(OR($M26&lt;&gt;AQ$2,(TowerStats!$B$102-$G26)&lt;=0),"Can't Kill",ROUNDUP($F26/(TowerStats!$B$102-$G26),0))</f>
        <v>Can't Kill</v>
      </c>
      <c r="AR26" s="279" t="str">
        <f>IF(OR($M26&lt;&gt;AR$2,(TowerStats!$B$103-$G26)&lt;=0),"Can't Kill",ROUNDUP($F26/(TowerStats!$B$103-$G26),0))</f>
        <v>Can't Kill</v>
      </c>
      <c r="AS26" s="278" t="str">
        <f>IF(OR($M26&lt;&gt;AS$2,(TowerStats!$B$104-$G26)&lt;=0),"Can't Kill",ROUNDUP($F26/(TowerStats!$B$104-$G26),0))</f>
        <v>Can't Kill</v>
      </c>
    </row>
    <row r="27" spans="2:45" x14ac:dyDescent="0.2">
      <c r="B27" s="346">
        <f>Level1!U5</f>
        <v>4</v>
      </c>
      <c r="C27" s="345">
        <f>Level1!V5</f>
        <v>4</v>
      </c>
      <c r="D27" s="344" t="str">
        <f>Level1!W5</f>
        <v>Sprinter Mickey</v>
      </c>
      <c r="E27" s="286">
        <f>VLOOKUP($D27,'Monsters Stats'!$B$8:$L$70,2,FALSE)</f>
        <v>8</v>
      </c>
      <c r="F27" s="285">
        <f>VLOOKUP($D27,'Monsters Stats'!$B$8:$L$70,3,FALSE)</f>
        <v>27</v>
      </c>
      <c r="G27" s="285">
        <f>VLOOKUP($D27,'Monsters Stats'!$B$8:$L$70,4,FALSE)</f>
        <v>5</v>
      </c>
      <c r="H27" s="285">
        <f>VLOOKUP($D27,'Monsters Stats'!$B$8:$L$70,5,FALSE)</f>
        <v>1</v>
      </c>
      <c r="I27" s="285">
        <f>VLOOKUP($D27,'Monsters Stats'!$B$8:$L$70,6,FALSE)</f>
        <v>0.7</v>
      </c>
      <c r="J27" s="285">
        <f>VLOOKUP($D27,'Monsters Stats'!$B$8:$L$70,7,FALSE)</f>
        <v>8</v>
      </c>
      <c r="K27" s="285">
        <f>VLOOKUP($D27,'Monsters Stats'!$B$8:$L$70,8,FALSE)</f>
        <v>2</v>
      </c>
      <c r="L27" s="284">
        <f>VLOOKUP($D27,'Monsters Stats'!$B$8:$L$70,9,FALSE)</f>
        <v>0</v>
      </c>
      <c r="M27" s="283">
        <f>VLOOKUP($D27,'Monsters Stats'!$B$8:$L$70,11,FALSE)</f>
        <v>0</v>
      </c>
      <c r="O27" s="343" t="str">
        <f t="shared" si="4"/>
        <v>Sprinter Mickey</v>
      </c>
      <c r="P27" s="280" t="str">
        <f>IF(OR($M27&lt;&gt;P$2,(TowerStats!$B$29-($G27-TowerStats!$H$29))&lt;=0),"Can't Kill",ROUNDUP($F27/(TowerStats!$B$29-($G27-TowerStats!$H$29)),0))</f>
        <v>Can't Kill</v>
      </c>
      <c r="Q27" s="279" t="str">
        <f>IF(OR($M27&lt;&gt;Q$2,(TowerStats!$B$30-($G27-TowerStats!$H$30))&lt;=0),"Can't Kill",ROUNDUP($F27/(TowerStats!$B$30-($G27-TowerStats!$H$30)),0))</f>
        <v>Can't Kill</v>
      </c>
      <c r="R27" s="279" t="str">
        <f>IF(OR($M27&lt;&gt;R$2,(TowerStats!$B$31-($G27-TowerStats!$H$31))&lt;=0),"Can't Kill",ROUNDUP($F27/(TowerStats!$B$31-($G27-TowerStats!$H$31)),0))</f>
        <v>Can't Kill</v>
      </c>
      <c r="S27" s="279" t="str">
        <f>IF(OR($M27&lt;&gt;S$2,(TowerStats!$B$32-($G27-TowerStats!$H$32))&lt;=0),"Can't Kill",ROUNDUP($F27/(TowerStats!$B$32-($G27-TowerStats!$H$32)),0))</f>
        <v>Can't Kill</v>
      </c>
      <c r="T27" s="281" t="str">
        <f>IF(OR($M27&lt;&gt;T$2,(TowerStats!$B$33-($G27-TowerStats!$H$33))&lt;=0),"Can't Kill",ROUNDUP($F27/(TowerStats!$B$33-($G27-TowerStats!$H$33)),0))</f>
        <v>Can't Kill</v>
      </c>
      <c r="U27" s="280">
        <f>IF(OR($M27&lt;&gt;U$2,(TowerStats!$B$40-$G27)&lt;=0),"Can't Kill",ROUNDUP($F27/(TowerStats!$B$40-$G27),0))</f>
        <v>9</v>
      </c>
      <c r="V27" s="279">
        <f>IF(OR($M27&lt;&gt;V$2,(TowerStats!$B$41-$G27)&lt;=0),"Can't Kill",ROUNDUP($F27/(TowerStats!$B$41-$G27),0))</f>
        <v>6</v>
      </c>
      <c r="W27" s="279">
        <f>IF(OR($M27&lt;&gt;W$2,(TowerStats!$B$42-$G27)&lt;=0),"Can't Kill",ROUNDUP($F27/(TowerStats!$B$42-$G27),0))</f>
        <v>4</v>
      </c>
      <c r="X27" s="279">
        <f>IF(OR($M27&lt;&gt;X$2,(TowerStats!$B$43-$G27)&lt;=0),"Can't Kill",ROUNDUP($F27/(TowerStats!$B$43-$G27),0))</f>
        <v>3</v>
      </c>
      <c r="Y27" s="278">
        <f>IF(OR($M27&lt;&gt;Y$2,(TowerStats!$B$44-$G27)&lt;=0),"Can't Kill",ROUNDUP($F27/(TowerStats!$B$44-$G27),0))</f>
        <v>2</v>
      </c>
      <c r="Z27" s="280" t="str">
        <f>IF(OR($M27&lt;&gt;Z$2,(TowerStats!$B$54-$G27)&lt;=0),"Can't Kill",ROUNDUP($F27/(TowerStats!$B$54-$G27),0))</f>
        <v>Can't Kill</v>
      </c>
      <c r="AA27" s="279" t="str">
        <f>IF(OR($M27&lt;&gt;AA$2,(TowerStats!$B$55-$G27)&lt;=0),"Can't Kill",ROUNDUP($F27/(TowerStats!$B$55-$G27),0))</f>
        <v>Can't Kill</v>
      </c>
      <c r="AB27" s="279" t="str">
        <f>IF(OR($M27&lt;&gt;AB$2,(TowerStats!$B$56-$G27)&lt;=0),"Can't Kill",ROUNDUP($F27/(TowerStats!$B$56-$G27),0))</f>
        <v>Can't Kill</v>
      </c>
      <c r="AC27" s="279" t="str">
        <f>IF(OR($M27&lt;&gt;AC$2,(TowerStats!$B$57-$G27)&lt;=0),"Can't Kill",ROUNDUP($F27/(TowerStats!$B$57-$G27),0))</f>
        <v>Can't Kill</v>
      </c>
      <c r="AD27" s="278" t="str">
        <f>IF(OR($M27&lt;&gt;AD$2,(TowerStats!$B$58-$G27)&lt;=0),"Can't Kill",ROUNDUP($F27/(TowerStats!$B$58-$G27),0))</f>
        <v>Can't Kill</v>
      </c>
      <c r="AE27" s="280" t="str">
        <f>IF(OR($M27&lt;&gt;AE$2,(TowerStats!$B$69-($G27-TowerStats!$H$69))&lt;=0),"Can't Kill",ROUNDUP($F27/(TowerStats!$B$69-($G27-TowerStats!$H$69)),0))</f>
        <v>Can't Kill</v>
      </c>
      <c r="AF27" s="279" t="str">
        <f>IF(OR($M27&lt;&gt;AF$2,(TowerStats!$B$70-($G27-TowerStats!$H$70))&lt;=0),"Can't Kill",ROUNDUP($F27/(TowerStats!$B$70-($G27-TowerStats!$H$70)),0))</f>
        <v>Can't Kill</v>
      </c>
      <c r="AG27" s="279" t="str">
        <f>IF(OR($M27&lt;&gt;AG$2,(TowerStats!$B$71-($G27-TowerStats!$H$71))&lt;=0),"Can't Kill",ROUNDUP($F27/(TowerStats!$B$71-($G27-TowerStats!$H$71)),0))</f>
        <v>Can't Kill</v>
      </c>
      <c r="AH27" s="279" t="str">
        <f>IF(OR($M27&lt;&gt;AH$2,(TowerStats!$B$72-($G27-TowerStats!$H$72))&lt;=0),"Can't Kill",ROUNDUP($F27/(TowerStats!$B$72-($G27-TowerStats!$H$72)),0))</f>
        <v>Can't Kill</v>
      </c>
      <c r="AI27" s="278" t="str">
        <f>IF(OR($M27&lt;&gt;AI$2,(TowerStats!$B$73-($G27-TowerStats!$H$73))&lt;=0),"Can't Kill",ROUNDUP($F27/(TowerStats!$B$73-($G27-TowerStats!$H$73)),0))</f>
        <v>Can't Kill</v>
      </c>
      <c r="AJ27" s="280" t="str">
        <f>IF(OR($M27&lt;&gt;AJ$2,(TowerStats!$B$84-$G27)&lt;=0),"Can't Kill",ROUNDUP($F27/(TowerStats!$B$84-$G27),0))</f>
        <v>Can't Kill</v>
      </c>
      <c r="AK27" s="279" t="str">
        <f>IF(OR($M27&lt;&gt;AK$2,(TowerStats!$B$85-$G27)&lt;=0),"Can't Kill",ROUNDUP($F27/(TowerStats!$B$85-$G27),0))</f>
        <v>Can't Kill</v>
      </c>
      <c r="AL27" s="279" t="str">
        <f>IF(OR($M27&lt;&gt;AL$2,(TowerStats!$B$86-$G27)&lt;=0),"Can't Kill",ROUNDUP($F27/(TowerStats!$B$86-$G27),0))</f>
        <v>Can't Kill</v>
      </c>
      <c r="AM27" s="279" t="str">
        <f>IF(OR($M27&lt;&gt;AM$2,(TowerStats!$B$87-$G27)&lt;=0),"Can't Kill",ROUNDUP($F27/(TowerStats!$B$87-$G27),0))</f>
        <v>Can't Kill</v>
      </c>
      <c r="AN27" s="278" t="str">
        <f>IF(OR($M27&lt;&gt;AN$2,(TowerStats!$B$88-$G27)&lt;=0),"Can't Kill",ROUNDUP($F27/(TowerStats!$B$88-$G27),0))</f>
        <v>Can't Kill</v>
      </c>
      <c r="AO27" s="280" t="str">
        <f>IF(OR($M27&lt;&gt;AO$2,(TowerStats!$B$100-$G27)&lt;=0),"Can't Kill",ROUNDUP($F27/(TowerStats!$B$100-$G27),0))</f>
        <v>Can't Kill</v>
      </c>
      <c r="AP27" s="279" t="str">
        <f>IF(OR($M27&lt;&gt;AP$2,(TowerStats!$B$101-$G27)&lt;=0),"Can't Kill",ROUNDUP($F27/(TowerStats!$B$101-$G27),0))</f>
        <v>Can't Kill</v>
      </c>
      <c r="AQ27" s="279" t="str">
        <f>IF(OR($M27&lt;&gt;AQ$2,(TowerStats!$B$102-$G27)&lt;=0),"Can't Kill",ROUNDUP($F27/(TowerStats!$B$102-$G27),0))</f>
        <v>Can't Kill</v>
      </c>
      <c r="AR27" s="279" t="str">
        <f>IF(OR($M27&lt;&gt;AR$2,(TowerStats!$B$103-$G27)&lt;=0),"Can't Kill",ROUNDUP($F27/(TowerStats!$B$103-$G27),0))</f>
        <v>Can't Kill</v>
      </c>
      <c r="AS27" s="278" t="str">
        <f>IF(OR($M27&lt;&gt;AS$2,(TowerStats!$B$104-$G27)&lt;=0),"Can't Kill",ROUNDUP($F27/(TowerStats!$B$104-$G27),0))</f>
        <v>Can't Kill</v>
      </c>
    </row>
    <row r="28" spans="2:45" x14ac:dyDescent="0.2">
      <c r="B28" s="346">
        <f>Level1!U6</f>
        <v>5</v>
      </c>
      <c r="C28" s="345">
        <f>Level1!V6</f>
        <v>4</v>
      </c>
      <c r="D28" s="344" t="str">
        <f>Level1!W6</f>
        <v>Blind Tommy Science</v>
      </c>
      <c r="E28" s="286">
        <f>VLOOKUP($D28,'Monsters Stats'!$B$8:$L$70,2,FALSE)</f>
        <v>10</v>
      </c>
      <c r="F28" s="285">
        <f>VLOOKUP($D28,'Monsters Stats'!$B$8:$L$70,3,FALSE)</f>
        <v>14</v>
      </c>
      <c r="G28" s="285">
        <f>VLOOKUP($D28,'Monsters Stats'!$B$8:$L$70,4,FALSE)</f>
        <v>5</v>
      </c>
      <c r="H28" s="285">
        <f>VLOOKUP($D28,'Monsters Stats'!$B$8:$L$70,5,FALSE)</f>
        <v>2</v>
      </c>
      <c r="I28" s="285">
        <f>VLOOKUP($D28,'Monsters Stats'!$B$8:$L$70,6,FALSE)</f>
        <v>0.8</v>
      </c>
      <c r="J28" s="285">
        <f>VLOOKUP($D28,'Monsters Stats'!$B$8:$L$70,7,FALSE)</f>
        <v>6</v>
      </c>
      <c r="K28" s="285">
        <f>VLOOKUP($D28,'Monsters Stats'!$B$8:$L$70,8,FALSE)</f>
        <v>1</v>
      </c>
      <c r="L28" s="284">
        <f>VLOOKUP($D28,'Monsters Stats'!$B$8:$L$70,9,FALSE)</f>
        <v>0</v>
      </c>
      <c r="M28" s="283">
        <f>VLOOKUP($D28,'Monsters Stats'!$B$8:$L$70,11,FALSE)</f>
        <v>1</v>
      </c>
      <c r="O28" s="343" t="str">
        <f t="shared" si="4"/>
        <v>Blind Tommy Science</v>
      </c>
      <c r="P28" s="280">
        <f>IF(OR($M28&lt;&gt;P$2,(TowerStats!$B$29-($G28-TowerStats!$H$29))&lt;=0),"Can't Kill",ROUNDUP($F28/(TowerStats!$B$29-($G28-TowerStats!$H$29)),0))</f>
        <v>2</v>
      </c>
      <c r="Q28" s="279">
        <f>IF(OR($M28&lt;&gt;Q$2,(TowerStats!$B$30-($G28-TowerStats!$H$30))&lt;=0),"Can't Kill",ROUNDUP($F28/(TowerStats!$B$30-($G28-TowerStats!$H$30)),0))</f>
        <v>2</v>
      </c>
      <c r="R28" s="279">
        <f>IF(OR($M28&lt;&gt;R$2,(TowerStats!$B$31-($G28-TowerStats!$H$31))&lt;=0),"Can't Kill",ROUNDUP($F28/(TowerStats!$B$31-($G28-TowerStats!$H$31)),0))</f>
        <v>2</v>
      </c>
      <c r="S28" s="279">
        <f>IF(OR($M28&lt;&gt;S$2,(TowerStats!$B$32-($G28-TowerStats!$H$32))&lt;=0),"Can't Kill",ROUNDUP($F28/(TowerStats!$B$32-($G28-TowerStats!$H$32)),0))</f>
        <v>1</v>
      </c>
      <c r="T28" s="281">
        <f>IF(OR($M28&lt;&gt;T$2,(TowerStats!$B$33-($G28-TowerStats!$H$33))&lt;=0),"Can't Kill",ROUNDUP($F28/(TowerStats!$B$33-($G28-TowerStats!$H$33)),0))</f>
        <v>2</v>
      </c>
      <c r="U28" s="280" t="str">
        <f>IF(OR($M28&lt;&gt;U$2,(TowerStats!$B$40-$G28)&lt;=0),"Can't Kill",ROUNDUP($F28/(TowerStats!$B$40-$G28),0))</f>
        <v>Can't Kill</v>
      </c>
      <c r="V28" s="279" t="str">
        <f>IF(OR($M28&lt;&gt;V$2,(TowerStats!$B$41-$G28)&lt;=0),"Can't Kill",ROUNDUP($F28/(TowerStats!$B$41-$G28),0))</f>
        <v>Can't Kill</v>
      </c>
      <c r="W28" s="279" t="str">
        <f>IF(OR($M28&lt;&gt;W$2,(TowerStats!$B$42-$G28)&lt;=0),"Can't Kill",ROUNDUP($F28/(TowerStats!$B$42-$G28),0))</f>
        <v>Can't Kill</v>
      </c>
      <c r="X28" s="279" t="str">
        <f>IF(OR($M28&lt;&gt;X$2,(TowerStats!$B$43-$G28)&lt;=0),"Can't Kill",ROUNDUP($F28/(TowerStats!$B$43-$G28),0))</f>
        <v>Can't Kill</v>
      </c>
      <c r="Y28" s="278" t="str">
        <f>IF(OR($M28&lt;&gt;Y$2,(TowerStats!$B$44-$G28)&lt;=0),"Can't Kill",ROUNDUP($F28/(TowerStats!$B$44-$G28),0))</f>
        <v>Can't Kill</v>
      </c>
      <c r="Z28" s="280" t="str">
        <f>IF(OR($M28&lt;&gt;Z$2,(TowerStats!$B$54-$G28)&lt;=0),"Can't Kill",ROUNDUP($F28/(TowerStats!$B$54-$G28),0))</f>
        <v>Can't Kill</v>
      </c>
      <c r="AA28" s="279" t="str">
        <f>IF(OR($M28&lt;&gt;AA$2,(TowerStats!$B$55-$G28)&lt;=0),"Can't Kill",ROUNDUP($F28/(TowerStats!$B$55-$G28),0))</f>
        <v>Can't Kill</v>
      </c>
      <c r="AB28" s="279" t="str">
        <f>IF(OR($M28&lt;&gt;AB$2,(TowerStats!$B$56-$G28)&lt;=0),"Can't Kill",ROUNDUP($F28/(TowerStats!$B$56-$G28),0))</f>
        <v>Can't Kill</v>
      </c>
      <c r="AC28" s="279" t="str">
        <f>IF(OR($M28&lt;&gt;AC$2,(TowerStats!$B$57-$G28)&lt;=0),"Can't Kill",ROUNDUP($F28/(TowerStats!$B$57-$G28),0))</f>
        <v>Can't Kill</v>
      </c>
      <c r="AD28" s="278" t="str">
        <f>IF(OR($M28&lt;&gt;AD$2,(TowerStats!$B$58-$G28)&lt;=0),"Can't Kill",ROUNDUP($F28/(TowerStats!$B$58-$G28),0))</f>
        <v>Can't Kill</v>
      </c>
      <c r="AE28" s="280">
        <f>IF(OR($M28&lt;&gt;AE$2,(TowerStats!$B$69-($G28-TowerStats!$H$69))&lt;=0),"Can't Kill",ROUNDUP($F28/(TowerStats!$B$69-($G28-TowerStats!$H$69)),0))</f>
        <v>2</v>
      </c>
      <c r="AF28" s="279">
        <f>IF(OR($M28&lt;&gt;AF$2,(TowerStats!$B$70-($G28-TowerStats!$H$70))&lt;=0),"Can't Kill",ROUNDUP($F28/(TowerStats!$B$70-($G28-TowerStats!$H$70)),0))</f>
        <v>2</v>
      </c>
      <c r="AG28" s="279">
        <f>IF(OR($M28&lt;&gt;AG$2,(TowerStats!$B$71-($G28-TowerStats!$H$71))&lt;=0),"Can't Kill",ROUNDUP($F28/(TowerStats!$B$71-($G28-TowerStats!$H$71)),0))</f>
        <v>1</v>
      </c>
      <c r="AH28" s="279">
        <f>IF(OR($M28&lt;&gt;AH$2,(TowerStats!$B$72-($G28-TowerStats!$H$72))&lt;=0),"Can't Kill",ROUNDUP($F28/(TowerStats!$B$72-($G28-TowerStats!$H$72)),0))</f>
        <v>1</v>
      </c>
      <c r="AI28" s="278">
        <f>IF(OR($M28&lt;&gt;AI$2,(TowerStats!$B$73-($G28-TowerStats!$H$73))&lt;=0),"Can't Kill",ROUNDUP($F28/(TowerStats!$B$73-($G28-TowerStats!$H$73)),0))</f>
        <v>1</v>
      </c>
      <c r="AJ28" s="280">
        <f>IF(OR($M28&lt;&gt;AJ$2,(TowerStats!$B$84-$G28)&lt;=0),"Can't Kill",ROUNDUP($F28/(TowerStats!$B$84-$G28),0))</f>
        <v>2</v>
      </c>
      <c r="AK28" s="279">
        <f>IF(OR($M28&lt;&gt;AK$2,(TowerStats!$B$85-$G28)&lt;=0),"Can't Kill",ROUNDUP($F28/(TowerStats!$B$85-$G28),0))</f>
        <v>1</v>
      </c>
      <c r="AL28" s="279">
        <f>IF(OR($M28&lt;&gt;AL$2,(TowerStats!$B$86-$G28)&lt;=0),"Can't Kill",ROUNDUP($F28/(TowerStats!$B$86-$G28),0))</f>
        <v>1</v>
      </c>
      <c r="AM28" s="279">
        <f>IF(OR($M28&lt;&gt;AM$2,(TowerStats!$B$87-$G28)&lt;=0),"Can't Kill",ROUNDUP($F28/(TowerStats!$B$87-$G28),0))</f>
        <v>1</v>
      </c>
      <c r="AN28" s="278">
        <f>IF(OR($M28&lt;&gt;AN$2,(TowerStats!$B$88-$G28)&lt;=0),"Can't Kill",ROUNDUP($F28/(TowerStats!$B$88-$G28),0))</f>
        <v>1</v>
      </c>
      <c r="AO28" s="280">
        <f>IF(OR($M28&lt;&gt;AO$2,(TowerStats!$B$100-$G28)&lt;=0),"Can't Kill",ROUNDUP($F28/(TowerStats!$B$100-$G28),0))</f>
        <v>2</v>
      </c>
      <c r="AP28" s="279">
        <f>IF(OR($M28&lt;&gt;AP$2,(TowerStats!$B$101-$G28)&lt;=0),"Can't Kill",ROUNDUP($F28/(TowerStats!$B$101-$G28),0))</f>
        <v>1</v>
      </c>
      <c r="AQ28" s="279">
        <f>IF(OR($M28&lt;&gt;AQ$2,(TowerStats!$B$102-$G28)&lt;=0),"Can't Kill",ROUNDUP($F28/(TowerStats!$B$102-$G28),0))</f>
        <v>1</v>
      </c>
      <c r="AR28" s="279">
        <f>IF(OR($M28&lt;&gt;AR$2,(TowerStats!$B$103-$G28)&lt;=0),"Can't Kill",ROUNDUP($F28/(TowerStats!$B$103-$G28),0))</f>
        <v>1</v>
      </c>
      <c r="AS28" s="278">
        <f>IF(OR($M28&lt;&gt;AS$2,(TowerStats!$B$104-$G28)&lt;=0),"Can't Kill",ROUNDUP($F28/(TowerStats!$B$104-$G28),0))</f>
        <v>1</v>
      </c>
    </row>
    <row r="29" spans="2:45" ht="13.5" thickBot="1" x14ac:dyDescent="0.25">
      <c r="B29" s="342">
        <f>Level1!U7</f>
        <v>6</v>
      </c>
      <c r="C29" s="341">
        <f>Level1!V7</f>
        <v>1</v>
      </c>
      <c r="D29" s="340" t="str">
        <f>Level1!W7</f>
        <v>Tenacious Zombie</v>
      </c>
      <c r="E29" s="274">
        <f>VLOOKUP($D29,'Monsters Stats'!$B$8:$L$70,2,FALSE)</f>
        <v>7</v>
      </c>
      <c r="F29" s="273">
        <f>VLOOKUP($D29,'Monsters Stats'!$B$8:$L$70,3,FALSE)</f>
        <v>20</v>
      </c>
      <c r="G29" s="273">
        <f>VLOOKUP($D29,'Monsters Stats'!$B$8:$L$70,4,FALSE)</f>
        <v>3</v>
      </c>
      <c r="H29" s="273">
        <f>VLOOKUP($D29,'Monsters Stats'!$B$8:$L$70,5,FALSE)</f>
        <v>1</v>
      </c>
      <c r="I29" s="273">
        <f>VLOOKUP($D29,'Monsters Stats'!$B$8:$L$70,6,FALSE)</f>
        <v>0.9</v>
      </c>
      <c r="J29" s="273">
        <f>VLOOKUP($D29,'Monsters Stats'!$B$8:$L$70,7,FALSE)</f>
        <v>3</v>
      </c>
      <c r="K29" s="273">
        <f>VLOOKUP($D29,'Monsters Stats'!$B$8:$L$70,8,FALSE)</f>
        <v>1</v>
      </c>
      <c r="L29" s="272">
        <f>VLOOKUP($D29,'Monsters Stats'!$B$8:$L$70,9,FALSE)</f>
        <v>0</v>
      </c>
      <c r="M29" s="271">
        <f>VLOOKUP($D29,'Monsters Stats'!$B$8:$L$70,11,FALSE)</f>
        <v>0</v>
      </c>
      <c r="O29" s="339" t="str">
        <f t="shared" si="4"/>
        <v>Tenacious Zombie</v>
      </c>
      <c r="P29" s="268" t="str">
        <f>IF(OR($M29&lt;&gt;P$2,(TowerStats!$B$29-($G29-TowerStats!$H$29))&lt;=0),"Can't Kill",ROUNDUP($F29/(TowerStats!$B$29-($G29-TowerStats!$H$29)),0))</f>
        <v>Can't Kill</v>
      </c>
      <c r="Q29" s="267" t="str">
        <f>IF(OR($M29&lt;&gt;Q$2,(TowerStats!$B$30-($G29-TowerStats!$H$30))&lt;=0),"Can't Kill",ROUNDUP($F29/(TowerStats!$B$30-($G29-TowerStats!$H$30)),0))</f>
        <v>Can't Kill</v>
      </c>
      <c r="R29" s="267" t="str">
        <f>IF(OR($M29&lt;&gt;R$2,(TowerStats!$B$31-($G29-TowerStats!$H$31))&lt;=0),"Can't Kill",ROUNDUP($F29/(TowerStats!$B$31-($G29-TowerStats!$H$31)),0))</f>
        <v>Can't Kill</v>
      </c>
      <c r="S29" s="267" t="str">
        <f>IF(OR($M29&lt;&gt;S$2,(TowerStats!$B$32-($G29-TowerStats!$H$32))&lt;=0),"Can't Kill",ROUNDUP($F29/(TowerStats!$B$32-($G29-TowerStats!$H$32)),0))</f>
        <v>Can't Kill</v>
      </c>
      <c r="T29" s="269" t="str">
        <f>IF(OR($M29&lt;&gt;T$2,(TowerStats!$B$33-($G29-TowerStats!$H$33))&lt;=0),"Can't Kill",ROUNDUP($F29/(TowerStats!$B$33-($G29-TowerStats!$H$33)),0))</f>
        <v>Can't Kill</v>
      </c>
      <c r="U29" s="268">
        <f>IF(OR($M29&lt;&gt;U$2,(TowerStats!$B$40-$G29)&lt;=0),"Can't Kill",ROUNDUP($F29/(TowerStats!$B$40-$G29),0))</f>
        <v>4</v>
      </c>
      <c r="V29" s="267">
        <f>IF(OR($M29&lt;&gt;V$2,(TowerStats!$B$41-$G29)&lt;=0),"Can't Kill",ROUNDUP($F29/(TowerStats!$B$41-$G29),0))</f>
        <v>3</v>
      </c>
      <c r="W29" s="267">
        <f>IF(OR($M29&lt;&gt;W$2,(TowerStats!$B$42-$G29)&lt;=0),"Can't Kill",ROUNDUP($F29/(TowerStats!$B$42-$G29),0))</f>
        <v>3</v>
      </c>
      <c r="X29" s="267">
        <f>IF(OR($M29&lt;&gt;X$2,(TowerStats!$B$43-$G29)&lt;=0),"Can't Kill",ROUNDUP($F29/(TowerStats!$B$43-$G29),0))</f>
        <v>2</v>
      </c>
      <c r="Y29" s="266">
        <f>IF(OR($M29&lt;&gt;Y$2,(TowerStats!$B$44-$G29)&lt;=0),"Can't Kill",ROUNDUP($F29/(TowerStats!$B$44-$G29),0))</f>
        <v>2</v>
      </c>
      <c r="Z29" s="268" t="str">
        <f>IF(OR($M29&lt;&gt;Z$2,(TowerStats!$B$54-$G29)&lt;=0),"Can't Kill",ROUNDUP($F29/(TowerStats!$B$54-$G29),0))</f>
        <v>Can't Kill</v>
      </c>
      <c r="AA29" s="267" t="str">
        <f>IF(OR($M29&lt;&gt;AA$2,(TowerStats!$B$55-$G29)&lt;=0),"Can't Kill",ROUNDUP($F29/(TowerStats!$B$55-$G29),0))</f>
        <v>Can't Kill</v>
      </c>
      <c r="AB29" s="267" t="str">
        <f>IF(OR($M29&lt;&gt;AB$2,(TowerStats!$B$56-$G29)&lt;=0),"Can't Kill",ROUNDUP($F29/(TowerStats!$B$56-$G29),0))</f>
        <v>Can't Kill</v>
      </c>
      <c r="AC29" s="267" t="str">
        <f>IF(OR($M29&lt;&gt;AC$2,(TowerStats!$B$57-$G29)&lt;=0),"Can't Kill",ROUNDUP($F29/(TowerStats!$B$57-$G29),0))</f>
        <v>Can't Kill</v>
      </c>
      <c r="AD29" s="266" t="str">
        <f>IF(OR($M29&lt;&gt;AD$2,(TowerStats!$B$58-$G29)&lt;=0),"Can't Kill",ROUNDUP($F29/(TowerStats!$B$58-$G29),0))</f>
        <v>Can't Kill</v>
      </c>
      <c r="AE29" s="268" t="str">
        <f>IF(OR($M29&lt;&gt;AE$2,(TowerStats!$B$69-($G29-TowerStats!$H$69))&lt;=0),"Can't Kill",ROUNDUP($F29/(TowerStats!$B$69-($G29-TowerStats!$H$69)),0))</f>
        <v>Can't Kill</v>
      </c>
      <c r="AF29" s="267" t="str">
        <f>IF(OR($M29&lt;&gt;AF$2,(TowerStats!$B$70-($G29-TowerStats!$H$70))&lt;=0),"Can't Kill",ROUNDUP($F29/(TowerStats!$B$70-($G29-TowerStats!$H$70)),0))</f>
        <v>Can't Kill</v>
      </c>
      <c r="AG29" s="267" t="str">
        <f>IF(OR($M29&lt;&gt;AG$2,(TowerStats!$B$71-($G29-TowerStats!$H$71))&lt;=0),"Can't Kill",ROUNDUP($F29/(TowerStats!$B$71-($G29-TowerStats!$H$71)),0))</f>
        <v>Can't Kill</v>
      </c>
      <c r="AH29" s="267" t="str">
        <f>IF(OR($M29&lt;&gt;AH$2,(TowerStats!$B$72-($G29-TowerStats!$H$72))&lt;=0),"Can't Kill",ROUNDUP($F29/(TowerStats!$B$72-($G29-TowerStats!$H$72)),0))</f>
        <v>Can't Kill</v>
      </c>
      <c r="AI29" s="266" t="str">
        <f>IF(OR($M29&lt;&gt;AI$2,(TowerStats!$B$73-($G29-TowerStats!$H$73))&lt;=0),"Can't Kill",ROUNDUP($F29/(TowerStats!$B$73-($G29-TowerStats!$H$73)),0))</f>
        <v>Can't Kill</v>
      </c>
      <c r="AJ29" s="268" t="str">
        <f>IF(OR($M29&lt;&gt;AJ$2,(TowerStats!$B$84-$G29)&lt;=0),"Can't Kill",ROUNDUP($F29/(TowerStats!$B$84-$G29),0))</f>
        <v>Can't Kill</v>
      </c>
      <c r="AK29" s="267" t="str">
        <f>IF(OR($M29&lt;&gt;AK$2,(TowerStats!$B$85-$G29)&lt;=0),"Can't Kill",ROUNDUP($F29/(TowerStats!$B$85-$G29),0))</f>
        <v>Can't Kill</v>
      </c>
      <c r="AL29" s="267" t="str">
        <f>IF(OR($M29&lt;&gt;AL$2,(TowerStats!$B$86-$G29)&lt;=0),"Can't Kill",ROUNDUP($F29/(TowerStats!$B$86-$G29),0))</f>
        <v>Can't Kill</v>
      </c>
      <c r="AM29" s="267" t="str">
        <f>IF(OR($M29&lt;&gt;AM$2,(TowerStats!$B$87-$G29)&lt;=0),"Can't Kill",ROUNDUP($F29/(TowerStats!$B$87-$G29),0))</f>
        <v>Can't Kill</v>
      </c>
      <c r="AN29" s="266" t="str">
        <f>IF(OR($M29&lt;&gt;AN$2,(TowerStats!$B$88-$G29)&lt;=0),"Can't Kill",ROUNDUP($F29/(TowerStats!$B$88-$G29),0))</f>
        <v>Can't Kill</v>
      </c>
      <c r="AO29" s="268" t="str">
        <f>IF(OR($M29&lt;&gt;AO$2,(TowerStats!$B$100-$G29)&lt;=0),"Can't Kill",ROUNDUP($F29/(TowerStats!$B$100-$G29),0))</f>
        <v>Can't Kill</v>
      </c>
      <c r="AP29" s="267" t="str">
        <f>IF(OR($M29&lt;&gt;AP$2,(TowerStats!$B$101-$G29)&lt;=0),"Can't Kill",ROUNDUP($F29/(TowerStats!$B$101-$G29),0))</f>
        <v>Can't Kill</v>
      </c>
      <c r="AQ29" s="267" t="str">
        <f>IF(OR($M29&lt;&gt;AQ$2,(TowerStats!$B$102-$G29)&lt;=0),"Can't Kill",ROUNDUP($F29/(TowerStats!$B$102-$G29),0))</f>
        <v>Can't Kill</v>
      </c>
      <c r="AR29" s="267" t="str">
        <f>IF(OR($M29&lt;&gt;AR$2,(TowerStats!$B$103-$G29)&lt;=0),"Can't Kill",ROUNDUP($F29/(TowerStats!$B$103-$G29),0))</f>
        <v>Can't Kill</v>
      </c>
      <c r="AS29" s="266" t="str">
        <f>IF(OR($M29&lt;&gt;AS$2,(TowerStats!$B$104-$G29)&lt;=0),"Can't Kill",ROUNDUP($F29/(TowerStats!$B$104-$G29),0))</f>
        <v>Can't Kill</v>
      </c>
    </row>
    <row r="30" spans="2:45" ht="13.5" thickBot="1" x14ac:dyDescent="0.25">
      <c r="B30" s="265">
        <f>SUMPRODUCT(B24:B29,$C24:$C29)</f>
        <v>62</v>
      </c>
      <c r="C30" s="264">
        <f>SUM(C24:C29)</f>
        <v>15</v>
      </c>
      <c r="D30" s="263" t="s">
        <v>247</v>
      </c>
      <c r="E30" s="262">
        <f t="shared" ref="E30:J30" si="5">SUMPRODUCT(E24:E29,$C24:$C29)</f>
        <v>123</v>
      </c>
      <c r="F30" s="262">
        <f t="shared" si="5"/>
        <v>331</v>
      </c>
      <c r="G30" s="262">
        <f t="shared" si="5"/>
        <v>71</v>
      </c>
      <c r="H30" s="262">
        <f t="shared" si="5"/>
        <v>19</v>
      </c>
      <c r="I30" s="262">
        <f t="shared" si="5"/>
        <v>11.200000000000001</v>
      </c>
      <c r="J30" s="262">
        <f t="shared" si="5"/>
        <v>103</v>
      </c>
      <c r="K30" s="262">
        <f>SUMPRODUCT(K24:K29,$C24:$C29)/C30</f>
        <v>1.62</v>
      </c>
      <c r="L30" s="261">
        <f>SUMPRODUCT(L24:L29,$C24:$C29)</f>
        <v>0</v>
      </c>
      <c r="M30" s="260"/>
      <c r="O30" s="260"/>
    </row>
    <row r="32" spans="2:45" ht="13.5" thickBot="1" x14ac:dyDescent="0.25"/>
    <row r="33" spans="2:45" ht="39" thickBot="1" x14ac:dyDescent="0.2">
      <c r="B33" s="314" t="s">
        <v>143</v>
      </c>
      <c r="C33" s="313" t="s">
        <v>144</v>
      </c>
      <c r="D33" s="312" t="s">
        <v>148</v>
      </c>
      <c r="E33" s="311" t="s">
        <v>3</v>
      </c>
      <c r="F33" s="251" t="s">
        <v>4</v>
      </c>
      <c r="G33" s="251" t="s">
        <v>5</v>
      </c>
      <c r="H33" s="251" t="s">
        <v>6</v>
      </c>
      <c r="I33" s="251" t="s">
        <v>18</v>
      </c>
      <c r="J33" s="251" t="s">
        <v>9</v>
      </c>
      <c r="K33" s="251" t="s">
        <v>0</v>
      </c>
      <c r="L33" s="310" t="s">
        <v>10</v>
      </c>
      <c r="M33" s="309" t="s">
        <v>244</v>
      </c>
      <c r="O33" s="309" t="s">
        <v>148</v>
      </c>
      <c r="P33" s="297" t="s">
        <v>20</v>
      </c>
      <c r="Q33" s="296" t="s">
        <v>21</v>
      </c>
      <c r="R33" s="296" t="s">
        <v>22</v>
      </c>
      <c r="S33" s="296" t="s">
        <v>121</v>
      </c>
      <c r="T33" s="308" t="s">
        <v>122</v>
      </c>
      <c r="U33" s="307" t="s">
        <v>115</v>
      </c>
      <c r="V33" s="306" t="s">
        <v>116</v>
      </c>
      <c r="W33" s="306" t="s">
        <v>117</v>
      </c>
      <c r="X33" s="305" t="s">
        <v>125</v>
      </c>
      <c r="Y33" s="304" t="s">
        <v>126</v>
      </c>
      <c r="Z33" s="303" t="s">
        <v>130</v>
      </c>
      <c r="AA33" s="302" t="s">
        <v>223</v>
      </c>
      <c r="AB33" s="302" t="s">
        <v>131</v>
      </c>
      <c r="AC33" s="301" t="s">
        <v>132</v>
      </c>
      <c r="AD33" s="300" t="s">
        <v>133</v>
      </c>
      <c r="AE33" s="297" t="s">
        <v>36</v>
      </c>
      <c r="AF33" s="296" t="s">
        <v>37</v>
      </c>
      <c r="AG33" s="296" t="s">
        <v>38</v>
      </c>
      <c r="AH33" s="299" t="s">
        <v>137</v>
      </c>
      <c r="AI33" s="298" t="s">
        <v>138</v>
      </c>
      <c r="AJ33" s="297" t="s">
        <v>42</v>
      </c>
      <c r="AK33" s="296" t="s">
        <v>43</v>
      </c>
      <c r="AL33" s="296" t="s">
        <v>44</v>
      </c>
      <c r="AM33" s="295" t="s">
        <v>45</v>
      </c>
      <c r="AN33" s="294" t="s">
        <v>46</v>
      </c>
      <c r="AO33" s="297" t="s">
        <v>52</v>
      </c>
      <c r="AP33" s="296" t="s">
        <v>53</v>
      </c>
      <c r="AQ33" s="296" t="s">
        <v>54</v>
      </c>
      <c r="AR33" s="295" t="s">
        <v>231</v>
      </c>
      <c r="AS33" s="294" t="s">
        <v>55</v>
      </c>
    </row>
    <row r="34" spans="2:45" x14ac:dyDescent="0.2">
      <c r="B34" s="338">
        <f>Level1!X2</f>
        <v>2</v>
      </c>
      <c r="C34" s="337">
        <f>Level1!Y2</f>
        <v>2</v>
      </c>
      <c r="D34" s="336" t="str">
        <f>Level1!Z2</f>
        <v>Jogged Mickey</v>
      </c>
      <c r="E34" s="286">
        <f>VLOOKUP($D34,'Monsters Stats'!$B$8:$L$70,2,FALSE)</f>
        <v>4</v>
      </c>
      <c r="F34" s="285">
        <f>VLOOKUP($D34,'Monsters Stats'!$B$8:$L$70,3,FALSE)</f>
        <v>12</v>
      </c>
      <c r="G34" s="285">
        <f>VLOOKUP($D34,'Monsters Stats'!$B$8:$L$70,4,FALSE)</f>
        <v>3</v>
      </c>
      <c r="H34" s="285">
        <f>VLOOKUP($D34,'Monsters Stats'!$B$8:$L$70,5,FALSE)</f>
        <v>1</v>
      </c>
      <c r="I34" s="285">
        <f>VLOOKUP($D34,'Monsters Stats'!$B$8:$L$70,6,FALSE)</f>
        <v>0.8</v>
      </c>
      <c r="J34" s="285">
        <f>VLOOKUP($D34,'Monsters Stats'!$B$8:$L$70,7,FALSE)</f>
        <v>4</v>
      </c>
      <c r="K34" s="285">
        <f>VLOOKUP($D34,'Monsters Stats'!$B$8:$L$70,8,FALSE)</f>
        <v>1.3</v>
      </c>
      <c r="L34" s="284">
        <f>VLOOKUP($D34,'Monsters Stats'!$B$8:$L$70,9,FALSE)</f>
        <v>0</v>
      </c>
      <c r="M34" s="283">
        <f>VLOOKUP($D34,'Monsters Stats'!$B$8:$L$70,11,FALSE)</f>
        <v>0</v>
      </c>
      <c r="O34" s="335" t="str">
        <f t="shared" ref="O34:O39" si="6">D34</f>
        <v>Jogged Mickey</v>
      </c>
      <c r="P34" s="280" t="str">
        <f>IF(OR($M34&lt;&gt;P$2,(TowerStats!$B$29-($G34-TowerStats!$H$29))&lt;=0),"Can't Kill",ROUNDUP($F34/(TowerStats!$B$29-($G34-TowerStats!$H$29)),0))</f>
        <v>Can't Kill</v>
      </c>
      <c r="Q34" s="279" t="str">
        <f>IF(OR($M34&lt;&gt;Q$2,(TowerStats!$B$30-($G34-TowerStats!$H$30))&lt;=0),"Can't Kill",ROUNDUP($F34/(TowerStats!$B$30-($G34-TowerStats!$H$30)),0))</f>
        <v>Can't Kill</v>
      </c>
      <c r="R34" s="279" t="str">
        <f>IF(OR($M34&lt;&gt;R$2,(TowerStats!$B$31-($G34-TowerStats!$H$31))&lt;=0),"Can't Kill",ROUNDUP($F34/(TowerStats!$B$31-($G34-TowerStats!$H$31)),0))</f>
        <v>Can't Kill</v>
      </c>
      <c r="S34" s="279" t="str">
        <f>IF(OR($M34&lt;&gt;S$2,(TowerStats!$B$32-($G34-TowerStats!$H$32))&lt;=0),"Can't Kill",ROUNDUP($F34/(TowerStats!$B$32-($G34-TowerStats!$H$32)),0))</f>
        <v>Can't Kill</v>
      </c>
      <c r="T34" s="281" t="str">
        <f>IF(OR($M34&lt;&gt;T$2,(TowerStats!$B$33-($G34-TowerStats!$H$33))&lt;=0),"Can't Kill",ROUNDUP($F34/(TowerStats!$B$33-($G34-TowerStats!$H$33)),0))</f>
        <v>Can't Kill</v>
      </c>
      <c r="U34" s="280">
        <f>IF(OR($M34&lt;&gt;U$2,(TowerStats!$B$40-$G34)&lt;=0),"Can't Kill",ROUNDUP($F34/(TowerStats!$B$40-$G34),0))</f>
        <v>3</v>
      </c>
      <c r="V34" s="279">
        <f>IF(OR($M34&lt;&gt;V$2,(TowerStats!$B$41-$G34)&lt;=0),"Can't Kill",ROUNDUP($F34/(TowerStats!$B$41-$G34),0))</f>
        <v>2</v>
      </c>
      <c r="W34" s="279">
        <f>IF(OR($M34&lt;&gt;W$2,(TowerStats!$B$42-$G34)&lt;=0),"Can't Kill",ROUNDUP($F34/(TowerStats!$B$42-$G34),0))</f>
        <v>2</v>
      </c>
      <c r="X34" s="279">
        <f>IF(OR($M34&lt;&gt;X$2,(TowerStats!$B$43-$G34)&lt;=0),"Can't Kill",ROUNDUP($F34/(TowerStats!$B$43-$G34),0))</f>
        <v>1</v>
      </c>
      <c r="Y34" s="278">
        <f>IF(OR($M34&lt;&gt;Y$2,(TowerStats!$B$44-$G34)&lt;=0),"Can't Kill",ROUNDUP($F34/(TowerStats!$B$44-$G34),0))</f>
        <v>1</v>
      </c>
      <c r="Z34" s="280" t="str">
        <f>IF(OR($M34&lt;&gt;Z$2,(TowerStats!$B$54-$G34)&lt;=0),"Can't Kill",ROUNDUP($F34/(TowerStats!$B$54-$G34),0))</f>
        <v>Can't Kill</v>
      </c>
      <c r="AA34" s="279" t="str">
        <f>IF(OR($M34&lt;&gt;AA$2,(TowerStats!$B$55-$G34)&lt;=0),"Can't Kill",ROUNDUP($F34/(TowerStats!$B$55-$G34),0))</f>
        <v>Can't Kill</v>
      </c>
      <c r="AB34" s="279" t="str">
        <f>IF(OR($M34&lt;&gt;AB$2,(TowerStats!$B$56-$G34)&lt;=0),"Can't Kill",ROUNDUP($F34/(TowerStats!$B$56-$G34),0))</f>
        <v>Can't Kill</v>
      </c>
      <c r="AC34" s="279" t="str">
        <f>IF(OR($M34&lt;&gt;AC$2,(TowerStats!$B$57-$G34)&lt;=0),"Can't Kill",ROUNDUP($F34/(TowerStats!$B$57-$G34),0))</f>
        <v>Can't Kill</v>
      </c>
      <c r="AD34" s="278" t="str">
        <f>IF(OR($M34&lt;&gt;AD$2,(TowerStats!$B$58-$G34)&lt;=0),"Can't Kill",ROUNDUP($F34/(TowerStats!$B$58-$G34),0))</f>
        <v>Can't Kill</v>
      </c>
      <c r="AE34" s="280" t="str">
        <f>IF(OR($M34&lt;&gt;AE$2,(TowerStats!$B$69-($G34-TowerStats!$H$69))&lt;=0),"Can't Kill",ROUNDUP($F34/(TowerStats!$B$69-($G34-TowerStats!$H$69)),0))</f>
        <v>Can't Kill</v>
      </c>
      <c r="AF34" s="279" t="str">
        <f>IF(OR($M34&lt;&gt;AF$2,(TowerStats!$B$70-($G34-TowerStats!$H$70))&lt;=0),"Can't Kill",ROUNDUP($F34/(TowerStats!$B$70-($G34-TowerStats!$H$70)),0))</f>
        <v>Can't Kill</v>
      </c>
      <c r="AG34" s="279" t="str">
        <f>IF(OR($M34&lt;&gt;AG$2,(TowerStats!$B$71-($G34-TowerStats!$H$71))&lt;=0),"Can't Kill",ROUNDUP($F34/(TowerStats!$B$71-($G34-TowerStats!$H$71)),0))</f>
        <v>Can't Kill</v>
      </c>
      <c r="AH34" s="279" t="str">
        <f>IF(OR($M34&lt;&gt;AH$2,(TowerStats!$B$72-($G34-TowerStats!$H$72))&lt;=0),"Can't Kill",ROUNDUP($F34/(TowerStats!$B$72-($G34-TowerStats!$H$72)),0))</f>
        <v>Can't Kill</v>
      </c>
      <c r="AI34" s="278" t="str">
        <f>IF(OR($M34&lt;&gt;AI$2,(TowerStats!$B$73-($G34-TowerStats!$H$73))&lt;=0),"Can't Kill",ROUNDUP($F34/(TowerStats!$B$73-($G34-TowerStats!$H$73)),0))</f>
        <v>Can't Kill</v>
      </c>
      <c r="AJ34" s="280" t="str">
        <f>IF(OR($M34&lt;&gt;AJ$2,(TowerStats!$B$84-$G34)&lt;=0),"Can't Kill",ROUNDUP($F34/(TowerStats!$B$84-$G34),0))</f>
        <v>Can't Kill</v>
      </c>
      <c r="AK34" s="279" t="str">
        <f>IF(OR($M34&lt;&gt;AK$2,(TowerStats!$B$85-$G34)&lt;=0),"Can't Kill",ROUNDUP($F34/(TowerStats!$B$85-$G34),0))</f>
        <v>Can't Kill</v>
      </c>
      <c r="AL34" s="279" t="str">
        <f>IF(OR($M34&lt;&gt;AL$2,(TowerStats!$B$86-$G34)&lt;=0),"Can't Kill",ROUNDUP($F34/(TowerStats!$B$86-$G34),0))</f>
        <v>Can't Kill</v>
      </c>
      <c r="AM34" s="279" t="str">
        <f>IF(OR($M34&lt;&gt;AM$2,(TowerStats!$B$87-$G34)&lt;=0),"Can't Kill",ROUNDUP($F34/(TowerStats!$B$87-$G34),0))</f>
        <v>Can't Kill</v>
      </c>
      <c r="AN34" s="278" t="str">
        <f>IF(OR($M34&lt;&gt;AN$2,(TowerStats!$B$88-$G34)&lt;=0),"Can't Kill",ROUNDUP($F34/(TowerStats!$B$88-$G34),0))</f>
        <v>Can't Kill</v>
      </c>
      <c r="AO34" s="280" t="str">
        <f>IF(OR($M34&lt;&gt;AO$2,(TowerStats!$B$100-$G34)&lt;=0),"Can't Kill",ROUNDUP($F34/(TowerStats!$B$100-$G34),0))</f>
        <v>Can't Kill</v>
      </c>
      <c r="AP34" s="279" t="str">
        <f>IF(OR($M34&lt;&gt;AP$2,(TowerStats!$B$101-$G34)&lt;=0),"Can't Kill",ROUNDUP($F34/(TowerStats!$B$101-$G34),0))</f>
        <v>Can't Kill</v>
      </c>
      <c r="AQ34" s="279" t="str">
        <f>IF(OR($M34&lt;&gt;AQ$2,(TowerStats!$B$102-$G34)&lt;=0),"Can't Kill",ROUNDUP($F34/(TowerStats!$B$102-$G34),0))</f>
        <v>Can't Kill</v>
      </c>
      <c r="AR34" s="279" t="str">
        <f>IF(OR($M34&lt;&gt;AR$2,(TowerStats!$B$103-$G34)&lt;=0),"Can't Kill",ROUNDUP($F34/(TowerStats!$B$103-$G34),0))</f>
        <v>Can't Kill</v>
      </c>
      <c r="AS34" s="278" t="str">
        <f>IF(OR($M34&lt;&gt;AS$2,(TowerStats!$B$104-$G34)&lt;=0),"Can't Kill",ROUNDUP($F34/(TowerStats!$B$104-$G34),0))</f>
        <v>Can't Kill</v>
      </c>
    </row>
    <row r="35" spans="2:45" x14ac:dyDescent="0.2">
      <c r="B35" s="334">
        <f>Level1!X3</f>
        <v>3</v>
      </c>
      <c r="C35" s="333">
        <f>Level1!Y3</f>
        <v>3</v>
      </c>
      <c r="D35" s="332" t="str">
        <f>Level1!Z3</f>
        <v>Sprinter Mickey</v>
      </c>
      <c r="E35" s="286">
        <f>VLOOKUP($D35,'Monsters Stats'!$B$8:$L$70,2,FALSE)</f>
        <v>8</v>
      </c>
      <c r="F35" s="285">
        <f>VLOOKUP($D35,'Monsters Stats'!$B$8:$L$70,3,FALSE)</f>
        <v>27</v>
      </c>
      <c r="G35" s="285">
        <f>VLOOKUP($D35,'Monsters Stats'!$B$8:$L$70,4,FALSE)</f>
        <v>5</v>
      </c>
      <c r="H35" s="285">
        <f>VLOOKUP($D35,'Monsters Stats'!$B$8:$L$70,5,FALSE)</f>
        <v>1</v>
      </c>
      <c r="I35" s="285">
        <f>VLOOKUP($D35,'Monsters Stats'!$B$8:$L$70,6,FALSE)</f>
        <v>0.7</v>
      </c>
      <c r="J35" s="285">
        <f>VLOOKUP($D35,'Monsters Stats'!$B$8:$L$70,7,FALSE)</f>
        <v>8</v>
      </c>
      <c r="K35" s="285">
        <f>VLOOKUP($D35,'Monsters Stats'!$B$8:$L$70,8,FALSE)</f>
        <v>2</v>
      </c>
      <c r="L35" s="284">
        <f>VLOOKUP($D35,'Monsters Stats'!$B$8:$L$70,9,FALSE)</f>
        <v>0</v>
      </c>
      <c r="M35" s="283">
        <f>VLOOKUP($D35,'Monsters Stats'!$B$8:$L$70,11,FALSE)</f>
        <v>0</v>
      </c>
      <c r="O35" s="331" t="str">
        <f t="shared" si="6"/>
        <v>Sprinter Mickey</v>
      </c>
      <c r="P35" s="280" t="str">
        <f>IF(OR($M35&lt;&gt;P$2,(TowerStats!$B$29-($G35-TowerStats!$H$29))&lt;=0),"Can't Kill",ROUNDUP($F35/(TowerStats!$B$29-($G35-TowerStats!$H$29)),0))</f>
        <v>Can't Kill</v>
      </c>
      <c r="Q35" s="279" t="str">
        <f>IF(OR($M35&lt;&gt;Q$2,(TowerStats!$B$30-($G35-TowerStats!$H$30))&lt;=0),"Can't Kill",ROUNDUP($F35/(TowerStats!$B$30-($G35-TowerStats!$H$30)),0))</f>
        <v>Can't Kill</v>
      </c>
      <c r="R35" s="279" t="str">
        <f>IF(OR($M35&lt;&gt;R$2,(TowerStats!$B$31-($G35-TowerStats!$H$31))&lt;=0),"Can't Kill",ROUNDUP($F35/(TowerStats!$B$31-($G35-TowerStats!$H$31)),0))</f>
        <v>Can't Kill</v>
      </c>
      <c r="S35" s="279" t="str">
        <f>IF(OR($M35&lt;&gt;S$2,(TowerStats!$B$32-($G35-TowerStats!$H$32))&lt;=0),"Can't Kill",ROUNDUP($F35/(TowerStats!$B$32-($G35-TowerStats!$H$32)),0))</f>
        <v>Can't Kill</v>
      </c>
      <c r="T35" s="281" t="str">
        <f>IF(OR($M35&lt;&gt;T$2,(TowerStats!$B$33-($G35-TowerStats!$H$33))&lt;=0),"Can't Kill",ROUNDUP($F35/(TowerStats!$B$33-($G35-TowerStats!$H$33)),0))</f>
        <v>Can't Kill</v>
      </c>
      <c r="U35" s="280">
        <f>IF(OR($M35&lt;&gt;U$2,(TowerStats!$B$40-$G35)&lt;=0),"Can't Kill",ROUNDUP($F35/(TowerStats!$B$40-$G35),0))</f>
        <v>9</v>
      </c>
      <c r="V35" s="279">
        <f>IF(OR($M35&lt;&gt;V$2,(TowerStats!$B$41-$G35)&lt;=0),"Can't Kill",ROUNDUP($F35/(TowerStats!$B$41-$G35),0))</f>
        <v>6</v>
      </c>
      <c r="W35" s="279">
        <f>IF(OR($M35&lt;&gt;W$2,(TowerStats!$B$42-$G35)&lt;=0),"Can't Kill",ROUNDUP($F35/(TowerStats!$B$42-$G35),0))</f>
        <v>4</v>
      </c>
      <c r="X35" s="279">
        <f>IF(OR($M35&lt;&gt;X$2,(TowerStats!$B$43-$G35)&lt;=0),"Can't Kill",ROUNDUP($F35/(TowerStats!$B$43-$G35),0))</f>
        <v>3</v>
      </c>
      <c r="Y35" s="278">
        <f>IF(OR($M35&lt;&gt;Y$2,(TowerStats!$B$44-$G35)&lt;=0),"Can't Kill",ROUNDUP($F35/(TowerStats!$B$44-$G35),0))</f>
        <v>2</v>
      </c>
      <c r="Z35" s="280" t="str">
        <f>IF(OR($M35&lt;&gt;Z$2,(TowerStats!$B$54-$G35)&lt;=0),"Can't Kill",ROUNDUP($F35/(TowerStats!$B$54-$G35),0))</f>
        <v>Can't Kill</v>
      </c>
      <c r="AA35" s="279" t="str">
        <f>IF(OR($M35&lt;&gt;AA$2,(TowerStats!$B$55-$G35)&lt;=0),"Can't Kill",ROUNDUP($F35/(TowerStats!$B$55-$G35),0))</f>
        <v>Can't Kill</v>
      </c>
      <c r="AB35" s="279" t="str">
        <f>IF(OR($M35&lt;&gt;AB$2,(TowerStats!$B$56-$G35)&lt;=0),"Can't Kill",ROUNDUP($F35/(TowerStats!$B$56-$G35),0))</f>
        <v>Can't Kill</v>
      </c>
      <c r="AC35" s="279" t="str">
        <f>IF(OR($M35&lt;&gt;AC$2,(TowerStats!$B$57-$G35)&lt;=0),"Can't Kill",ROUNDUP($F35/(TowerStats!$B$57-$G35),0))</f>
        <v>Can't Kill</v>
      </c>
      <c r="AD35" s="278" t="str">
        <f>IF(OR($M35&lt;&gt;AD$2,(TowerStats!$B$58-$G35)&lt;=0),"Can't Kill",ROUNDUP($F35/(TowerStats!$B$58-$G35),0))</f>
        <v>Can't Kill</v>
      </c>
      <c r="AE35" s="280" t="str">
        <f>IF(OR($M35&lt;&gt;AE$2,(TowerStats!$B$69-($G35-TowerStats!$H$69))&lt;=0),"Can't Kill",ROUNDUP($F35/(TowerStats!$B$69-($G35-TowerStats!$H$69)),0))</f>
        <v>Can't Kill</v>
      </c>
      <c r="AF35" s="279" t="str">
        <f>IF(OR($M35&lt;&gt;AF$2,(TowerStats!$B$70-($G35-TowerStats!$H$70))&lt;=0),"Can't Kill",ROUNDUP($F35/(TowerStats!$B$70-($G35-TowerStats!$H$70)),0))</f>
        <v>Can't Kill</v>
      </c>
      <c r="AG35" s="279" t="str">
        <f>IF(OR($M35&lt;&gt;AG$2,(TowerStats!$B$71-($G35-TowerStats!$H$71))&lt;=0),"Can't Kill",ROUNDUP($F35/(TowerStats!$B$71-($G35-TowerStats!$H$71)),0))</f>
        <v>Can't Kill</v>
      </c>
      <c r="AH35" s="279" t="str">
        <f>IF(OR($M35&lt;&gt;AH$2,(TowerStats!$B$72-($G35-TowerStats!$H$72))&lt;=0),"Can't Kill",ROUNDUP($F35/(TowerStats!$B$72-($G35-TowerStats!$H$72)),0))</f>
        <v>Can't Kill</v>
      </c>
      <c r="AI35" s="278" t="str">
        <f>IF(OR($M35&lt;&gt;AI$2,(TowerStats!$B$73-($G35-TowerStats!$H$73))&lt;=0),"Can't Kill",ROUNDUP($F35/(TowerStats!$B$73-($G35-TowerStats!$H$73)),0))</f>
        <v>Can't Kill</v>
      </c>
      <c r="AJ35" s="280" t="str">
        <f>IF(OR($M35&lt;&gt;AJ$2,(TowerStats!$B$84-$G35)&lt;=0),"Can't Kill",ROUNDUP($F35/(TowerStats!$B$84-$G35),0))</f>
        <v>Can't Kill</v>
      </c>
      <c r="AK35" s="279" t="str">
        <f>IF(OR($M35&lt;&gt;AK$2,(TowerStats!$B$85-$G35)&lt;=0),"Can't Kill",ROUNDUP($F35/(TowerStats!$B$85-$G35),0))</f>
        <v>Can't Kill</v>
      </c>
      <c r="AL35" s="279" t="str">
        <f>IF(OR($M35&lt;&gt;AL$2,(TowerStats!$B$86-$G35)&lt;=0),"Can't Kill",ROUNDUP($F35/(TowerStats!$B$86-$G35),0))</f>
        <v>Can't Kill</v>
      </c>
      <c r="AM35" s="279" t="str">
        <f>IF(OR($M35&lt;&gt;AM$2,(TowerStats!$B$87-$G35)&lt;=0),"Can't Kill",ROUNDUP($F35/(TowerStats!$B$87-$G35),0))</f>
        <v>Can't Kill</v>
      </c>
      <c r="AN35" s="278" t="str">
        <f>IF(OR($M35&lt;&gt;AN$2,(TowerStats!$B$88-$G35)&lt;=0),"Can't Kill",ROUNDUP($F35/(TowerStats!$B$88-$G35),0))</f>
        <v>Can't Kill</v>
      </c>
      <c r="AO35" s="280" t="str">
        <f>IF(OR($M35&lt;&gt;AO$2,(TowerStats!$B$100-$G35)&lt;=0),"Can't Kill",ROUNDUP($F35/(TowerStats!$B$100-$G35),0))</f>
        <v>Can't Kill</v>
      </c>
      <c r="AP35" s="279" t="str">
        <f>IF(OR($M35&lt;&gt;AP$2,(TowerStats!$B$101-$G35)&lt;=0),"Can't Kill",ROUNDUP($F35/(TowerStats!$B$101-$G35),0))</f>
        <v>Can't Kill</v>
      </c>
      <c r="AQ35" s="279" t="str">
        <f>IF(OR($M35&lt;&gt;AQ$2,(TowerStats!$B$102-$G35)&lt;=0),"Can't Kill",ROUNDUP($F35/(TowerStats!$B$102-$G35),0))</f>
        <v>Can't Kill</v>
      </c>
      <c r="AR35" s="279" t="str">
        <f>IF(OR($M35&lt;&gt;AR$2,(TowerStats!$B$103-$G35)&lt;=0),"Can't Kill",ROUNDUP($F35/(TowerStats!$B$103-$G35),0))</f>
        <v>Can't Kill</v>
      </c>
      <c r="AS35" s="278" t="str">
        <f>IF(OR($M35&lt;&gt;AS$2,(TowerStats!$B$104-$G35)&lt;=0),"Can't Kill",ROUNDUP($F35/(TowerStats!$B$104-$G35),0))</f>
        <v>Can't Kill</v>
      </c>
    </row>
    <row r="36" spans="2:45" x14ac:dyDescent="0.2">
      <c r="B36" s="334">
        <f>Level1!X4</f>
        <v>2</v>
      </c>
      <c r="C36" s="333">
        <f>Level1!Y4</f>
        <v>2</v>
      </c>
      <c r="D36" s="332" t="str">
        <f>Level1!Z4</f>
        <v>Root Reggie</v>
      </c>
      <c r="E36" s="286">
        <f>VLOOKUP($D36,'Monsters Stats'!$B$8:$L$70,2,FALSE)</f>
        <v>15</v>
      </c>
      <c r="F36" s="285">
        <f>VLOOKUP($D36,'Monsters Stats'!$B$8:$L$70,3,FALSE)</f>
        <v>25</v>
      </c>
      <c r="G36" s="285">
        <f>VLOOKUP($D36,'Monsters Stats'!$B$8:$L$70,4,FALSE)</f>
        <v>7</v>
      </c>
      <c r="H36" s="285">
        <f>VLOOKUP($D36,'Monsters Stats'!$B$8:$L$70,5,FALSE)</f>
        <v>2</v>
      </c>
      <c r="I36" s="285">
        <f>VLOOKUP($D36,'Monsters Stats'!$B$8:$L$70,6,FALSE)</f>
        <v>1.5</v>
      </c>
      <c r="J36" s="285">
        <f>VLOOKUP($D36,'Monsters Stats'!$B$8:$L$70,7,FALSE)</f>
        <v>30</v>
      </c>
      <c r="K36" s="285">
        <f>VLOOKUP($D36,'Monsters Stats'!$B$8:$L$70,8,FALSE)</f>
        <v>1</v>
      </c>
      <c r="L36" s="284">
        <f>VLOOKUP($D36,'Monsters Stats'!$B$8:$L$70,9,FALSE)</f>
        <v>15</v>
      </c>
      <c r="M36" s="283">
        <f>VLOOKUP($D36,'Monsters Stats'!$B$8:$L$70,11,FALSE)</f>
        <v>0</v>
      </c>
      <c r="O36" s="331" t="str">
        <f t="shared" si="6"/>
        <v>Root Reggie</v>
      </c>
      <c r="P36" s="280" t="str">
        <f>IF(OR($M36&lt;&gt;P$2,(TowerStats!$B$29-($G36-TowerStats!$H$29))&lt;=0),"Can't Kill",ROUNDUP($F36/(TowerStats!$B$29-($G36-TowerStats!$H$29)),0))</f>
        <v>Can't Kill</v>
      </c>
      <c r="Q36" s="279" t="str">
        <f>IF(OR($M36&lt;&gt;Q$2,(TowerStats!$B$30-($G36-TowerStats!$H$30))&lt;=0),"Can't Kill",ROUNDUP($F36/(TowerStats!$B$30-($G36-TowerStats!$H$30)),0))</f>
        <v>Can't Kill</v>
      </c>
      <c r="R36" s="279" t="str">
        <f>IF(OR($M36&lt;&gt;R$2,(TowerStats!$B$31-($G36-TowerStats!$H$31))&lt;=0),"Can't Kill",ROUNDUP($F36/(TowerStats!$B$31-($G36-TowerStats!$H$31)),0))</f>
        <v>Can't Kill</v>
      </c>
      <c r="S36" s="279" t="str">
        <f>IF(OR($M36&lt;&gt;S$2,(TowerStats!$B$32-($G36-TowerStats!$H$32))&lt;=0),"Can't Kill",ROUNDUP($F36/(TowerStats!$B$32-($G36-TowerStats!$H$32)),0))</f>
        <v>Can't Kill</v>
      </c>
      <c r="T36" s="281" t="str">
        <f>IF(OR($M36&lt;&gt;T$2,(TowerStats!$B$33-($G36-TowerStats!$H$33))&lt;=0),"Can't Kill",ROUNDUP($F36/(TowerStats!$B$33-($G36-TowerStats!$H$33)),0))</f>
        <v>Can't Kill</v>
      </c>
      <c r="U36" s="280">
        <f>IF(OR($M36&lt;&gt;U$2,(TowerStats!$B$40-$G36)&lt;=0),"Can't Kill",ROUNDUP($F36/(TowerStats!$B$40-$G36),0))</f>
        <v>25</v>
      </c>
      <c r="V36" s="279">
        <f>IF(OR($M36&lt;&gt;V$2,(TowerStats!$B$41-$G36)&lt;=0),"Can't Kill",ROUNDUP($F36/(TowerStats!$B$41-$G36),0))</f>
        <v>9</v>
      </c>
      <c r="W36" s="279">
        <f>IF(OR($M36&lt;&gt;W$2,(TowerStats!$B$42-$G36)&lt;=0),"Can't Kill",ROUNDUP($F36/(TowerStats!$B$42-$G36),0))</f>
        <v>5</v>
      </c>
      <c r="X36" s="279">
        <f>IF(OR($M36&lt;&gt;X$2,(TowerStats!$B$43-$G36)&lt;=0),"Can't Kill",ROUNDUP($F36/(TowerStats!$B$43-$G36),0))</f>
        <v>4</v>
      </c>
      <c r="Y36" s="278">
        <f>IF(OR($M36&lt;&gt;Y$2,(TowerStats!$B$44-$G36)&lt;=0),"Can't Kill",ROUNDUP($F36/(TowerStats!$B$44-$G36),0))</f>
        <v>2</v>
      </c>
      <c r="Z36" s="280" t="str">
        <f>IF(OR($M36&lt;&gt;Z$2,(TowerStats!$B$54-$G36)&lt;=0),"Can't Kill",ROUNDUP($F36/(TowerStats!$B$54-$G36),0))</f>
        <v>Can't Kill</v>
      </c>
      <c r="AA36" s="279" t="str">
        <f>IF(OR($M36&lt;&gt;AA$2,(TowerStats!$B$55-$G36)&lt;=0),"Can't Kill",ROUNDUP($F36/(TowerStats!$B$55-$G36),0))</f>
        <v>Can't Kill</v>
      </c>
      <c r="AB36" s="279" t="str">
        <f>IF(OR($M36&lt;&gt;AB$2,(TowerStats!$B$56-$G36)&lt;=0),"Can't Kill",ROUNDUP($F36/(TowerStats!$B$56-$G36),0))</f>
        <v>Can't Kill</v>
      </c>
      <c r="AC36" s="279" t="str">
        <f>IF(OR($M36&lt;&gt;AC$2,(TowerStats!$B$57-$G36)&lt;=0),"Can't Kill",ROUNDUP($F36/(TowerStats!$B$57-$G36),0))</f>
        <v>Can't Kill</v>
      </c>
      <c r="AD36" s="278" t="str">
        <f>IF(OR($M36&lt;&gt;AD$2,(TowerStats!$B$58-$G36)&lt;=0),"Can't Kill",ROUNDUP($F36/(TowerStats!$B$58-$G36),0))</f>
        <v>Can't Kill</v>
      </c>
      <c r="AE36" s="280" t="str">
        <f>IF(OR($M36&lt;&gt;AE$2,(TowerStats!$B$69-($G36-TowerStats!$H$69))&lt;=0),"Can't Kill",ROUNDUP($F36/(TowerStats!$B$69-($G36-TowerStats!$H$69)),0))</f>
        <v>Can't Kill</v>
      </c>
      <c r="AF36" s="279" t="str">
        <f>IF(OR($M36&lt;&gt;AF$2,(TowerStats!$B$70-($G36-TowerStats!$H$70))&lt;=0),"Can't Kill",ROUNDUP($F36/(TowerStats!$B$70-($G36-TowerStats!$H$70)),0))</f>
        <v>Can't Kill</v>
      </c>
      <c r="AG36" s="279" t="str">
        <f>IF(OR($M36&lt;&gt;AG$2,(TowerStats!$B$71-($G36-TowerStats!$H$71))&lt;=0),"Can't Kill",ROUNDUP($F36/(TowerStats!$B$71-($G36-TowerStats!$H$71)),0))</f>
        <v>Can't Kill</v>
      </c>
      <c r="AH36" s="279" t="str">
        <f>IF(OR($M36&lt;&gt;AH$2,(TowerStats!$B$72-($G36-TowerStats!$H$72))&lt;=0),"Can't Kill",ROUNDUP($F36/(TowerStats!$B$72-($G36-TowerStats!$H$72)),0))</f>
        <v>Can't Kill</v>
      </c>
      <c r="AI36" s="278" t="str">
        <f>IF(OR($M36&lt;&gt;AI$2,(TowerStats!$B$73-($G36-TowerStats!$H$73))&lt;=0),"Can't Kill",ROUNDUP($F36/(TowerStats!$B$73-($G36-TowerStats!$H$73)),0))</f>
        <v>Can't Kill</v>
      </c>
      <c r="AJ36" s="280" t="str">
        <f>IF(OR($M36&lt;&gt;AJ$2,(TowerStats!$B$84-$G36)&lt;=0),"Can't Kill",ROUNDUP($F36/(TowerStats!$B$84-$G36),0))</f>
        <v>Can't Kill</v>
      </c>
      <c r="AK36" s="279" t="str">
        <f>IF(OR($M36&lt;&gt;AK$2,(TowerStats!$B$85-$G36)&lt;=0),"Can't Kill",ROUNDUP($F36/(TowerStats!$B$85-$G36),0))</f>
        <v>Can't Kill</v>
      </c>
      <c r="AL36" s="279" t="str">
        <f>IF(OR($M36&lt;&gt;AL$2,(TowerStats!$B$86-$G36)&lt;=0),"Can't Kill",ROUNDUP($F36/(TowerStats!$B$86-$G36),0))</f>
        <v>Can't Kill</v>
      </c>
      <c r="AM36" s="279" t="str">
        <f>IF(OR($M36&lt;&gt;AM$2,(TowerStats!$B$87-$G36)&lt;=0),"Can't Kill",ROUNDUP($F36/(TowerStats!$B$87-$G36),0))</f>
        <v>Can't Kill</v>
      </c>
      <c r="AN36" s="278" t="str">
        <f>IF(OR($M36&lt;&gt;AN$2,(TowerStats!$B$88-$G36)&lt;=0),"Can't Kill",ROUNDUP($F36/(TowerStats!$B$88-$G36),0))</f>
        <v>Can't Kill</v>
      </c>
      <c r="AO36" s="280" t="str">
        <f>IF(OR($M36&lt;&gt;AO$2,(TowerStats!$B$100-$G36)&lt;=0),"Can't Kill",ROUNDUP($F36/(TowerStats!$B$100-$G36),0))</f>
        <v>Can't Kill</v>
      </c>
      <c r="AP36" s="279" t="str">
        <f>IF(OR($M36&lt;&gt;AP$2,(TowerStats!$B$101-$G36)&lt;=0),"Can't Kill",ROUNDUP($F36/(TowerStats!$B$101-$G36),0))</f>
        <v>Can't Kill</v>
      </c>
      <c r="AQ36" s="279" t="str">
        <f>IF(OR($M36&lt;&gt;AQ$2,(TowerStats!$B$102-$G36)&lt;=0),"Can't Kill",ROUNDUP($F36/(TowerStats!$B$102-$G36),0))</f>
        <v>Can't Kill</v>
      </c>
      <c r="AR36" s="279" t="str">
        <f>IF(OR($M36&lt;&gt;AR$2,(TowerStats!$B$103-$G36)&lt;=0),"Can't Kill",ROUNDUP($F36/(TowerStats!$B$103-$G36),0))</f>
        <v>Can't Kill</v>
      </c>
      <c r="AS36" s="278" t="str">
        <f>IF(OR($M36&lt;&gt;AS$2,(TowerStats!$B$104-$G36)&lt;=0),"Can't Kill",ROUNDUP($F36/(TowerStats!$B$104-$G36),0))</f>
        <v>Can't Kill</v>
      </c>
    </row>
    <row r="37" spans="2:45" x14ac:dyDescent="0.2">
      <c r="B37" s="334">
        <f>Level1!X5</f>
        <v>6</v>
      </c>
      <c r="C37" s="333">
        <f>Level1!Y5</f>
        <v>20</v>
      </c>
      <c r="D37" s="332" t="str">
        <f>Level1!Z5</f>
        <v>Armored Frankensteam</v>
      </c>
      <c r="E37" s="286">
        <f>VLOOKUP($D37,'Monsters Stats'!$B$8:$L$70,2,FALSE)</f>
        <v>16</v>
      </c>
      <c r="F37" s="285">
        <f>VLOOKUP($D37,'Monsters Stats'!$B$8:$L$70,3,FALSE)</f>
        <v>53</v>
      </c>
      <c r="G37" s="285">
        <f>VLOOKUP($D37,'Monsters Stats'!$B$8:$L$70,4,FALSE)</f>
        <v>12</v>
      </c>
      <c r="H37" s="285">
        <f>VLOOKUP($D37,'Monsters Stats'!$B$8:$L$70,5,FALSE)</f>
        <v>1</v>
      </c>
      <c r="I37" s="285">
        <f>VLOOKUP($D37,'Monsters Stats'!$B$8:$L$70,6,FALSE)</f>
        <v>1.4000000000000001</v>
      </c>
      <c r="J37" s="285">
        <f>VLOOKUP($D37,'Monsters Stats'!$B$8:$L$70,7,FALSE)</f>
        <v>30</v>
      </c>
      <c r="K37" s="285">
        <f>VLOOKUP($D37,'Monsters Stats'!$B$8:$L$70,8,FALSE)</f>
        <v>0.6</v>
      </c>
      <c r="L37" s="284">
        <f>VLOOKUP($D37,'Monsters Stats'!$B$8:$L$70,9,FALSE)</f>
        <v>0</v>
      </c>
      <c r="M37" s="283">
        <f>VLOOKUP($D37,'Monsters Stats'!$B$8:$L$70,11,FALSE)</f>
        <v>0</v>
      </c>
      <c r="O37" s="331" t="str">
        <f t="shared" si="6"/>
        <v>Armored Frankensteam</v>
      </c>
      <c r="P37" s="280" t="str">
        <f>IF(OR($M37&lt;&gt;P$2,(TowerStats!$B$29-($G37-TowerStats!$H$29))&lt;=0),"Can't Kill",ROUNDUP($F37/(TowerStats!$B$29-($G37-TowerStats!$H$29)),0))</f>
        <v>Can't Kill</v>
      </c>
      <c r="Q37" s="279" t="str">
        <f>IF(OR($M37&lt;&gt;Q$2,(TowerStats!$B$30-($G37-TowerStats!$H$30))&lt;=0),"Can't Kill",ROUNDUP($F37/(TowerStats!$B$30-($G37-TowerStats!$H$30)),0))</f>
        <v>Can't Kill</v>
      </c>
      <c r="R37" s="279" t="str">
        <f>IF(OR($M37&lt;&gt;R$2,(TowerStats!$B$31-($G37-TowerStats!$H$31))&lt;=0),"Can't Kill",ROUNDUP($F37/(TowerStats!$B$31-($G37-TowerStats!$H$31)),0))</f>
        <v>Can't Kill</v>
      </c>
      <c r="S37" s="279" t="str">
        <f>IF(OR($M37&lt;&gt;S$2,(TowerStats!$B$32-($G37-TowerStats!$H$32))&lt;=0),"Can't Kill",ROUNDUP($F37/(TowerStats!$B$32-($G37-TowerStats!$H$32)),0))</f>
        <v>Can't Kill</v>
      </c>
      <c r="T37" s="281" t="str">
        <f>IF(OR($M37&lt;&gt;T$2,(TowerStats!$B$33-($G37-TowerStats!$H$33))&lt;=0),"Can't Kill",ROUNDUP($F37/(TowerStats!$B$33-($G37-TowerStats!$H$33)),0))</f>
        <v>Can't Kill</v>
      </c>
      <c r="U37" s="280" t="str">
        <f>IF(OR($M37&lt;&gt;U$2,(TowerStats!$B$40-$G37)&lt;=0),"Can't Kill",ROUNDUP($F37/(TowerStats!$B$40-$G37),0))</f>
        <v>Can't Kill</v>
      </c>
      <c r="V37" s="279" t="str">
        <f>IF(OR($M37&lt;&gt;V$2,(TowerStats!$B$41-$G37)&lt;=0),"Can't Kill",ROUNDUP($F37/(TowerStats!$B$41-$G37),0))</f>
        <v>Can't Kill</v>
      </c>
      <c r="W37" s="279" t="str">
        <f>IF(OR($M37&lt;&gt;W$2,(TowerStats!$B$42-$G37)&lt;=0),"Can't Kill",ROUNDUP($F37/(TowerStats!$B$42-$G37),0))</f>
        <v>Can't Kill</v>
      </c>
      <c r="X37" s="279">
        <f>IF(OR($M37&lt;&gt;X$2,(TowerStats!$B$43-$G37)&lt;=0),"Can't Kill",ROUNDUP($F37/(TowerStats!$B$43-$G37),0))</f>
        <v>18</v>
      </c>
      <c r="Y37" s="278">
        <f>IF(OR($M37&lt;&gt;Y$2,(TowerStats!$B$44-$G37)&lt;=0),"Can't Kill",ROUNDUP($F37/(TowerStats!$B$44-$G37),0))</f>
        <v>7</v>
      </c>
      <c r="Z37" s="280" t="str">
        <f>IF(OR($M37&lt;&gt;Z$2,(TowerStats!$B$54-$G37)&lt;=0),"Can't Kill",ROUNDUP($F37/(TowerStats!$B$54-$G37),0))</f>
        <v>Can't Kill</v>
      </c>
      <c r="AA37" s="279" t="str">
        <f>IF(OR($M37&lt;&gt;AA$2,(TowerStats!$B$55-$G37)&lt;=0),"Can't Kill",ROUNDUP($F37/(TowerStats!$B$55-$G37),0))</f>
        <v>Can't Kill</v>
      </c>
      <c r="AB37" s="279" t="str">
        <f>IF(OR($M37&lt;&gt;AB$2,(TowerStats!$B$56-$G37)&lt;=0),"Can't Kill",ROUNDUP($F37/(TowerStats!$B$56-$G37),0))</f>
        <v>Can't Kill</v>
      </c>
      <c r="AC37" s="279" t="str">
        <f>IF(OR($M37&lt;&gt;AC$2,(TowerStats!$B$57-$G37)&lt;=0),"Can't Kill",ROUNDUP($F37/(TowerStats!$B$57-$G37),0))</f>
        <v>Can't Kill</v>
      </c>
      <c r="AD37" s="278" t="str">
        <f>IF(OR($M37&lt;&gt;AD$2,(TowerStats!$B$58-$G37)&lt;=0),"Can't Kill",ROUNDUP($F37/(TowerStats!$B$58-$G37),0))</f>
        <v>Can't Kill</v>
      </c>
      <c r="AE37" s="280" t="str">
        <f>IF(OR($M37&lt;&gt;AE$2,(TowerStats!$B$69-($G37-TowerStats!$H$69))&lt;=0),"Can't Kill",ROUNDUP($F37/(TowerStats!$B$69-($G37-TowerStats!$H$69)),0))</f>
        <v>Can't Kill</v>
      </c>
      <c r="AF37" s="279" t="str">
        <f>IF(OR($M37&lt;&gt;AF$2,(TowerStats!$B$70-($G37-TowerStats!$H$70))&lt;=0),"Can't Kill",ROUNDUP($F37/(TowerStats!$B$70-($G37-TowerStats!$H$70)),0))</f>
        <v>Can't Kill</v>
      </c>
      <c r="AG37" s="279" t="str">
        <f>IF(OR($M37&lt;&gt;AG$2,(TowerStats!$B$71-($G37-TowerStats!$H$71))&lt;=0),"Can't Kill",ROUNDUP($F37/(TowerStats!$B$71-($G37-TowerStats!$H$71)),0))</f>
        <v>Can't Kill</v>
      </c>
      <c r="AH37" s="279" t="str">
        <f>IF(OR($M37&lt;&gt;AH$2,(TowerStats!$B$72-($G37-TowerStats!$H$72))&lt;=0),"Can't Kill",ROUNDUP($F37/(TowerStats!$B$72-($G37-TowerStats!$H$72)),0))</f>
        <v>Can't Kill</v>
      </c>
      <c r="AI37" s="278" t="str">
        <f>IF(OR($M37&lt;&gt;AI$2,(TowerStats!$B$73-($G37-TowerStats!$H$73))&lt;=0),"Can't Kill",ROUNDUP($F37/(TowerStats!$B$73-($G37-TowerStats!$H$73)),0))</f>
        <v>Can't Kill</v>
      </c>
      <c r="AJ37" s="280" t="str">
        <f>IF(OR($M37&lt;&gt;AJ$2,(TowerStats!$B$84-$G37)&lt;=0),"Can't Kill",ROUNDUP($F37/(TowerStats!$B$84-$G37),0))</f>
        <v>Can't Kill</v>
      </c>
      <c r="AK37" s="279" t="str">
        <f>IF(OR($M37&lt;&gt;AK$2,(TowerStats!$B$85-$G37)&lt;=0),"Can't Kill",ROUNDUP($F37/(TowerStats!$B$85-$G37),0))</f>
        <v>Can't Kill</v>
      </c>
      <c r="AL37" s="279" t="str">
        <f>IF(OR($M37&lt;&gt;AL$2,(TowerStats!$B$86-$G37)&lt;=0),"Can't Kill",ROUNDUP($F37/(TowerStats!$B$86-$G37),0))</f>
        <v>Can't Kill</v>
      </c>
      <c r="AM37" s="279" t="str">
        <f>IF(OR($M37&lt;&gt;AM$2,(TowerStats!$B$87-$G37)&lt;=0),"Can't Kill",ROUNDUP($F37/(TowerStats!$B$87-$G37),0))</f>
        <v>Can't Kill</v>
      </c>
      <c r="AN37" s="278" t="str">
        <f>IF(OR($M37&lt;&gt;AN$2,(TowerStats!$B$88-$G37)&lt;=0),"Can't Kill",ROUNDUP($F37/(TowerStats!$B$88-$G37),0))</f>
        <v>Can't Kill</v>
      </c>
      <c r="AO37" s="280" t="str">
        <f>IF(OR($M37&lt;&gt;AO$2,(TowerStats!$B$100-$G37)&lt;=0),"Can't Kill",ROUNDUP($F37/(TowerStats!$B$100-$G37),0))</f>
        <v>Can't Kill</v>
      </c>
      <c r="AP37" s="279" t="str">
        <f>IF(OR($M37&lt;&gt;AP$2,(TowerStats!$B$101-$G37)&lt;=0),"Can't Kill",ROUNDUP($F37/(TowerStats!$B$101-$G37),0))</f>
        <v>Can't Kill</v>
      </c>
      <c r="AQ37" s="279" t="str">
        <f>IF(OR($M37&lt;&gt;AQ$2,(TowerStats!$B$102-$G37)&lt;=0),"Can't Kill",ROUNDUP($F37/(TowerStats!$B$102-$G37),0))</f>
        <v>Can't Kill</v>
      </c>
      <c r="AR37" s="279" t="str">
        <f>IF(OR($M37&lt;&gt;AR$2,(TowerStats!$B$103-$G37)&lt;=0),"Can't Kill",ROUNDUP($F37/(TowerStats!$B$103-$G37),0))</f>
        <v>Can't Kill</v>
      </c>
      <c r="AS37" s="278" t="str">
        <f>IF(OR($M37&lt;&gt;AS$2,(TowerStats!$B$104-$G37)&lt;=0),"Can't Kill",ROUNDUP($F37/(TowerStats!$B$104-$G37),0))</f>
        <v>Can't Kill</v>
      </c>
    </row>
    <row r="38" spans="2:45" x14ac:dyDescent="0.2">
      <c r="B38" s="334">
        <f>Level1!X6</f>
        <v>26</v>
      </c>
      <c r="C38" s="333">
        <f>Level1!Y6</f>
        <v>2</v>
      </c>
      <c r="D38" s="332" t="str">
        <f>Level1!Z6</f>
        <v>Berzerk Frankensteam</v>
      </c>
      <c r="E38" s="286">
        <f>VLOOKUP($D38,'Monsters Stats'!$B$8:$L$70,2,FALSE)</f>
        <v>21</v>
      </c>
      <c r="F38" s="285">
        <f>VLOOKUP($D38,'Monsters Stats'!$B$8:$L$70,3,FALSE)</f>
        <v>80</v>
      </c>
      <c r="G38" s="285">
        <f>VLOOKUP($D38,'Monsters Stats'!$B$8:$L$70,4,FALSE)</f>
        <v>15</v>
      </c>
      <c r="H38" s="285">
        <f>VLOOKUP($D38,'Monsters Stats'!$B$8:$L$70,5,FALSE)</f>
        <v>1</v>
      </c>
      <c r="I38" s="285">
        <f>VLOOKUP($D38,'Monsters Stats'!$B$8:$L$70,6,FALSE)</f>
        <v>1.2000000000000002</v>
      </c>
      <c r="J38" s="285">
        <f>VLOOKUP($D38,'Monsters Stats'!$B$8:$L$70,7,FALSE)</f>
        <v>39</v>
      </c>
      <c r="K38" s="285">
        <f>VLOOKUP($D38,'Monsters Stats'!$B$8:$L$70,8,FALSE)</f>
        <v>0.5</v>
      </c>
      <c r="L38" s="284">
        <f>VLOOKUP($D38,'Monsters Stats'!$B$8:$L$70,9,FALSE)</f>
        <v>0</v>
      </c>
      <c r="M38" s="283">
        <f>VLOOKUP($D38,'Monsters Stats'!$B$8:$L$70,11,FALSE)</f>
        <v>0</v>
      </c>
      <c r="O38" s="331" t="str">
        <f t="shared" si="6"/>
        <v>Berzerk Frankensteam</v>
      </c>
      <c r="P38" s="280" t="str">
        <f>IF(OR($M38&lt;&gt;P$2,(TowerStats!$B$29-($G38-TowerStats!$H$29))&lt;=0),"Can't Kill",ROUNDUP($F38/(TowerStats!$B$29-($G38-TowerStats!$H$29)),0))</f>
        <v>Can't Kill</v>
      </c>
      <c r="Q38" s="279" t="str">
        <f>IF(OR($M38&lt;&gt;Q$2,(TowerStats!$B$30-($G38-TowerStats!$H$30))&lt;=0),"Can't Kill",ROUNDUP($F38/(TowerStats!$B$30-($G38-TowerStats!$H$30)),0))</f>
        <v>Can't Kill</v>
      </c>
      <c r="R38" s="279" t="str">
        <f>IF(OR($M38&lt;&gt;R$2,(TowerStats!$B$31-($G38-TowerStats!$H$31))&lt;=0),"Can't Kill",ROUNDUP($F38/(TowerStats!$B$31-($G38-TowerStats!$H$31)),0))</f>
        <v>Can't Kill</v>
      </c>
      <c r="S38" s="279" t="str">
        <f>IF(OR($M38&lt;&gt;S$2,(TowerStats!$B$32-($G38-TowerStats!$H$32))&lt;=0),"Can't Kill",ROUNDUP($F38/(TowerStats!$B$32-($G38-TowerStats!$H$32)),0))</f>
        <v>Can't Kill</v>
      </c>
      <c r="T38" s="281" t="str">
        <f>IF(OR($M38&lt;&gt;T$2,(TowerStats!$B$33-($G38-TowerStats!$H$33))&lt;=0),"Can't Kill",ROUNDUP($F38/(TowerStats!$B$33-($G38-TowerStats!$H$33)),0))</f>
        <v>Can't Kill</v>
      </c>
      <c r="U38" s="280" t="str">
        <f>IF(OR($M38&lt;&gt;U$2,(TowerStats!$B$40-$G38)&lt;=0),"Can't Kill",ROUNDUP($F38/(TowerStats!$B$40-$G38),0))</f>
        <v>Can't Kill</v>
      </c>
      <c r="V38" s="279" t="str">
        <f>IF(OR($M38&lt;&gt;V$2,(TowerStats!$B$41-$G38)&lt;=0),"Can't Kill",ROUNDUP($F38/(TowerStats!$B$41-$G38),0))</f>
        <v>Can't Kill</v>
      </c>
      <c r="W38" s="279" t="str">
        <f>IF(OR($M38&lt;&gt;W$2,(TowerStats!$B$42-$G38)&lt;=0),"Can't Kill",ROUNDUP($F38/(TowerStats!$B$42-$G38),0))</f>
        <v>Can't Kill</v>
      </c>
      <c r="X38" s="279" t="str">
        <f>IF(OR($M38&lt;&gt;X$2,(TowerStats!$B$43-$G38)&lt;=0),"Can't Kill",ROUNDUP($F38/(TowerStats!$B$43-$G38),0))</f>
        <v>Can't Kill</v>
      </c>
      <c r="Y38" s="278">
        <f>IF(OR($M38&lt;&gt;Y$2,(TowerStats!$B$44-$G38)&lt;=0),"Can't Kill",ROUNDUP($F38/(TowerStats!$B$44-$G38),0))</f>
        <v>16</v>
      </c>
      <c r="Z38" s="280" t="str">
        <f>IF(OR($M38&lt;&gt;Z$2,(TowerStats!$B$54-$G38)&lt;=0),"Can't Kill",ROUNDUP($F38/(TowerStats!$B$54-$G38),0))</f>
        <v>Can't Kill</v>
      </c>
      <c r="AA38" s="279" t="str">
        <f>IF(OR($M38&lt;&gt;AA$2,(TowerStats!$B$55-$G38)&lt;=0),"Can't Kill",ROUNDUP($F38/(TowerStats!$B$55-$G38),0))</f>
        <v>Can't Kill</v>
      </c>
      <c r="AB38" s="279" t="str">
        <f>IF(OR($M38&lt;&gt;AB$2,(TowerStats!$B$56-$G38)&lt;=0),"Can't Kill",ROUNDUP($F38/(TowerStats!$B$56-$G38),0))</f>
        <v>Can't Kill</v>
      </c>
      <c r="AC38" s="279" t="str">
        <f>IF(OR($M38&lt;&gt;AC$2,(TowerStats!$B$57-$G38)&lt;=0),"Can't Kill",ROUNDUP($F38/(TowerStats!$B$57-$G38),0))</f>
        <v>Can't Kill</v>
      </c>
      <c r="AD38" s="278" t="str">
        <f>IF(OR($M38&lt;&gt;AD$2,(TowerStats!$B$58-$G38)&lt;=0),"Can't Kill",ROUNDUP($F38/(TowerStats!$B$58-$G38),0))</f>
        <v>Can't Kill</v>
      </c>
      <c r="AE38" s="280" t="str">
        <f>IF(OR($M38&lt;&gt;AE$2,(TowerStats!$B$69-($G38-TowerStats!$H$69))&lt;=0),"Can't Kill",ROUNDUP($F38/(TowerStats!$B$69-($G38-TowerStats!$H$69)),0))</f>
        <v>Can't Kill</v>
      </c>
      <c r="AF38" s="279" t="str">
        <f>IF(OR($M38&lt;&gt;AF$2,(TowerStats!$B$70-($G38-TowerStats!$H$70))&lt;=0),"Can't Kill",ROUNDUP($F38/(TowerStats!$B$70-($G38-TowerStats!$H$70)),0))</f>
        <v>Can't Kill</v>
      </c>
      <c r="AG38" s="279" t="str">
        <f>IF(OR($M38&lt;&gt;AG$2,(TowerStats!$B$71-($G38-TowerStats!$H$71))&lt;=0),"Can't Kill",ROUNDUP($F38/(TowerStats!$B$71-($G38-TowerStats!$H$71)),0))</f>
        <v>Can't Kill</v>
      </c>
      <c r="AH38" s="279" t="str">
        <f>IF(OR($M38&lt;&gt;AH$2,(TowerStats!$B$72-($G38-TowerStats!$H$72))&lt;=0),"Can't Kill",ROUNDUP($F38/(TowerStats!$B$72-($G38-TowerStats!$H$72)),0))</f>
        <v>Can't Kill</v>
      </c>
      <c r="AI38" s="278" t="str">
        <f>IF(OR($M38&lt;&gt;AI$2,(TowerStats!$B$73-($G38-TowerStats!$H$73))&lt;=0),"Can't Kill",ROUNDUP($F38/(TowerStats!$B$73-($G38-TowerStats!$H$73)),0))</f>
        <v>Can't Kill</v>
      </c>
      <c r="AJ38" s="280" t="str">
        <f>IF(OR($M38&lt;&gt;AJ$2,(TowerStats!$B$84-$G38)&lt;=0),"Can't Kill",ROUNDUP($F38/(TowerStats!$B$84-$G38),0))</f>
        <v>Can't Kill</v>
      </c>
      <c r="AK38" s="279" t="str">
        <f>IF(OR($M38&lt;&gt;AK$2,(TowerStats!$B$85-$G38)&lt;=0),"Can't Kill",ROUNDUP($F38/(TowerStats!$B$85-$G38),0))</f>
        <v>Can't Kill</v>
      </c>
      <c r="AL38" s="279" t="str">
        <f>IF(OR($M38&lt;&gt;AL$2,(TowerStats!$B$86-$G38)&lt;=0),"Can't Kill",ROUNDUP($F38/(TowerStats!$B$86-$G38),0))</f>
        <v>Can't Kill</v>
      </c>
      <c r="AM38" s="279" t="str">
        <f>IF(OR($M38&lt;&gt;AM$2,(TowerStats!$B$87-$G38)&lt;=0),"Can't Kill",ROUNDUP($F38/(TowerStats!$B$87-$G38),0))</f>
        <v>Can't Kill</v>
      </c>
      <c r="AN38" s="278" t="str">
        <f>IF(OR($M38&lt;&gt;AN$2,(TowerStats!$B$88-$G38)&lt;=0),"Can't Kill",ROUNDUP($F38/(TowerStats!$B$88-$G38),0))</f>
        <v>Can't Kill</v>
      </c>
      <c r="AO38" s="280" t="str">
        <f>IF(OR($M38&lt;&gt;AO$2,(TowerStats!$B$100-$G38)&lt;=0),"Can't Kill",ROUNDUP($F38/(TowerStats!$B$100-$G38),0))</f>
        <v>Can't Kill</v>
      </c>
      <c r="AP38" s="279" t="str">
        <f>IF(OR($M38&lt;&gt;AP$2,(TowerStats!$B$101-$G38)&lt;=0),"Can't Kill",ROUNDUP($F38/(TowerStats!$B$101-$G38),0))</f>
        <v>Can't Kill</v>
      </c>
      <c r="AQ38" s="279" t="str">
        <f>IF(OR($M38&lt;&gt;AQ$2,(TowerStats!$B$102-$G38)&lt;=0),"Can't Kill",ROUNDUP($F38/(TowerStats!$B$102-$G38),0))</f>
        <v>Can't Kill</v>
      </c>
      <c r="AR38" s="279" t="str">
        <f>IF(OR($M38&lt;&gt;AR$2,(TowerStats!$B$103-$G38)&lt;=0),"Can't Kill",ROUNDUP($F38/(TowerStats!$B$103-$G38),0))</f>
        <v>Can't Kill</v>
      </c>
      <c r="AS38" s="278" t="str">
        <f>IF(OR($M38&lt;&gt;AS$2,(TowerStats!$B$104-$G38)&lt;=0),"Can't Kill",ROUNDUP($F38/(TowerStats!$B$104-$G38),0))</f>
        <v>Can't Kill</v>
      </c>
    </row>
    <row r="39" spans="2:45" ht="13.5" thickBot="1" x14ac:dyDescent="0.25">
      <c r="B39" s="330">
        <f>Level1!X7</f>
        <v>5</v>
      </c>
      <c r="C39" s="329">
        <f>Level1!Y7</f>
        <v>3</v>
      </c>
      <c r="D39" s="328" t="str">
        <f>Level1!Z7</f>
        <v>Sickly Sue Susie</v>
      </c>
      <c r="E39" s="274">
        <f>VLOOKUP($D39,'Monsters Stats'!$B$8:$L$70,2,FALSE)</f>
        <v>7</v>
      </c>
      <c r="F39" s="273">
        <f>VLOOKUP($D39,'Monsters Stats'!$B$8:$L$70,3,FALSE)</f>
        <v>13</v>
      </c>
      <c r="G39" s="273">
        <f>VLOOKUP($D39,'Monsters Stats'!$B$8:$L$70,4,FALSE)</f>
        <v>6</v>
      </c>
      <c r="H39" s="273">
        <f>VLOOKUP($D39,'Monsters Stats'!$B$8:$L$70,5,FALSE)</f>
        <v>1</v>
      </c>
      <c r="I39" s="273">
        <f>VLOOKUP($D39,'Monsters Stats'!$B$8:$L$70,6,FALSE)</f>
        <v>1.5</v>
      </c>
      <c r="J39" s="273">
        <f>VLOOKUP($D39,'Monsters Stats'!$B$8:$L$70,7,FALSE)</f>
        <v>12</v>
      </c>
      <c r="K39" s="273">
        <f>VLOOKUP($D39,'Monsters Stats'!$B$8:$L$70,8,FALSE)</f>
        <v>1</v>
      </c>
      <c r="L39" s="272">
        <f>VLOOKUP($D39,'Monsters Stats'!$B$8:$L$70,9,FALSE)</f>
        <v>0</v>
      </c>
      <c r="M39" s="271">
        <f>VLOOKUP($D39,'Monsters Stats'!$B$8:$L$70,11,FALSE)</f>
        <v>1</v>
      </c>
      <c r="O39" s="327" t="str">
        <f t="shared" si="6"/>
        <v>Sickly Sue Susie</v>
      </c>
      <c r="P39" s="268">
        <f>IF(OR($M39&lt;&gt;P$2,(TowerStats!$B$29-($G39-TowerStats!$H$29))&lt;=0),"Can't Kill",ROUNDUP($F39/(TowerStats!$B$29-($G39-TowerStats!$H$29)),0))</f>
        <v>3</v>
      </c>
      <c r="Q39" s="267">
        <f>IF(OR($M39&lt;&gt;Q$2,(TowerStats!$B$30-($G39-TowerStats!$H$30))&lt;=0),"Can't Kill",ROUNDUP($F39/(TowerStats!$B$30-($G39-TowerStats!$H$30)),0))</f>
        <v>2</v>
      </c>
      <c r="R39" s="267">
        <f>IF(OR($M39&lt;&gt;R$2,(TowerStats!$B$31-($G39-TowerStats!$H$31))&lt;=0),"Can't Kill",ROUNDUP($F39/(TowerStats!$B$31-($G39-TowerStats!$H$31)),0))</f>
        <v>2</v>
      </c>
      <c r="S39" s="267">
        <f>IF(OR($M39&lt;&gt;S$2,(TowerStats!$B$32-($G39-TowerStats!$H$32))&lt;=0),"Can't Kill",ROUNDUP($F39/(TowerStats!$B$32-($G39-TowerStats!$H$32)),0))</f>
        <v>1</v>
      </c>
      <c r="T39" s="269">
        <f>IF(OR($M39&lt;&gt;T$2,(TowerStats!$B$33-($G39-TowerStats!$H$33))&lt;=0),"Can't Kill",ROUNDUP($F39/(TowerStats!$B$33-($G39-TowerStats!$H$33)),0))</f>
        <v>3</v>
      </c>
      <c r="U39" s="268" t="str">
        <f>IF(OR($M39&lt;&gt;U$2,(TowerStats!$B$40-$G39)&lt;=0),"Can't Kill",ROUNDUP($F39/(TowerStats!$B$40-$G39),0))</f>
        <v>Can't Kill</v>
      </c>
      <c r="V39" s="267" t="str">
        <f>IF(OR($M39&lt;&gt;V$2,(TowerStats!$B$41-$G39)&lt;=0),"Can't Kill",ROUNDUP($F39/(TowerStats!$B$41-$G39),0))</f>
        <v>Can't Kill</v>
      </c>
      <c r="W39" s="267" t="str">
        <f>IF(OR($M39&lt;&gt;W$2,(TowerStats!$B$42-$G39)&lt;=0),"Can't Kill",ROUNDUP($F39/(TowerStats!$B$42-$G39),0))</f>
        <v>Can't Kill</v>
      </c>
      <c r="X39" s="267" t="str">
        <f>IF(OR($M39&lt;&gt;X$2,(TowerStats!$B$43-$G39)&lt;=0),"Can't Kill",ROUNDUP($F39/(TowerStats!$B$43-$G39),0))</f>
        <v>Can't Kill</v>
      </c>
      <c r="Y39" s="266" t="str">
        <f>IF(OR($M39&lt;&gt;Y$2,(TowerStats!$B$44-$G39)&lt;=0),"Can't Kill",ROUNDUP($F39/(TowerStats!$B$44-$G39),0))</f>
        <v>Can't Kill</v>
      </c>
      <c r="Z39" s="268" t="str">
        <f>IF(OR($M39&lt;&gt;Z$2,(TowerStats!$B$54-$G39)&lt;=0),"Can't Kill",ROUNDUP($F39/(TowerStats!$B$54-$G39),0))</f>
        <v>Can't Kill</v>
      </c>
      <c r="AA39" s="267" t="str">
        <f>IF(OR($M39&lt;&gt;AA$2,(TowerStats!$B$55-$G39)&lt;=0),"Can't Kill",ROUNDUP($F39/(TowerStats!$B$55-$G39),0))</f>
        <v>Can't Kill</v>
      </c>
      <c r="AB39" s="267" t="str">
        <f>IF(OR($M39&lt;&gt;AB$2,(TowerStats!$B$56-$G39)&lt;=0),"Can't Kill",ROUNDUP($F39/(TowerStats!$B$56-$G39),0))</f>
        <v>Can't Kill</v>
      </c>
      <c r="AC39" s="267" t="str">
        <f>IF(OR($M39&lt;&gt;AC$2,(TowerStats!$B$57-$G39)&lt;=0),"Can't Kill",ROUNDUP($F39/(TowerStats!$B$57-$G39),0))</f>
        <v>Can't Kill</v>
      </c>
      <c r="AD39" s="266" t="str">
        <f>IF(OR($M39&lt;&gt;AD$2,(TowerStats!$B$58-$G39)&lt;=0),"Can't Kill",ROUNDUP($F39/(TowerStats!$B$58-$G39),0))</f>
        <v>Can't Kill</v>
      </c>
      <c r="AE39" s="268">
        <f>IF(OR($M39&lt;&gt;AE$2,(TowerStats!$B$69-($G39-TowerStats!$H$69))&lt;=0),"Can't Kill",ROUNDUP($F39/(TowerStats!$B$69-($G39-TowerStats!$H$69)),0))</f>
        <v>2</v>
      </c>
      <c r="AF39" s="267">
        <f>IF(OR($M39&lt;&gt;AF$2,(TowerStats!$B$70-($G39-TowerStats!$H$70))&lt;=0),"Can't Kill",ROUNDUP($F39/(TowerStats!$B$70-($G39-TowerStats!$H$70)),0))</f>
        <v>2</v>
      </c>
      <c r="AG39" s="267">
        <f>IF(OR($M39&lt;&gt;AG$2,(TowerStats!$B$71-($G39-TowerStats!$H$71))&lt;=0),"Can't Kill",ROUNDUP($F39/(TowerStats!$B$71-($G39-TowerStats!$H$71)),0))</f>
        <v>1</v>
      </c>
      <c r="AH39" s="267">
        <f>IF(OR($M39&lt;&gt;AH$2,(TowerStats!$B$72-($G39-TowerStats!$H$72))&lt;=0),"Can't Kill",ROUNDUP($F39/(TowerStats!$B$72-($G39-TowerStats!$H$72)),0))</f>
        <v>1</v>
      </c>
      <c r="AI39" s="266">
        <f>IF(OR($M39&lt;&gt;AI$2,(TowerStats!$B$73-($G39-TowerStats!$H$73))&lt;=0),"Can't Kill",ROUNDUP($F39/(TowerStats!$B$73-($G39-TowerStats!$H$73)),0))</f>
        <v>1</v>
      </c>
      <c r="AJ39" s="268">
        <f>IF(OR($M39&lt;&gt;AJ$2,(TowerStats!$B$84-$G39)&lt;=0),"Can't Kill",ROUNDUP($F39/(TowerStats!$B$84-$G39),0))</f>
        <v>2</v>
      </c>
      <c r="AK39" s="267">
        <f>IF(OR($M39&lt;&gt;AK$2,(TowerStats!$B$85-$G39)&lt;=0),"Can't Kill",ROUNDUP($F39/(TowerStats!$B$85-$G39),0))</f>
        <v>1</v>
      </c>
      <c r="AL39" s="267">
        <f>IF(OR($M39&lt;&gt;AL$2,(TowerStats!$B$86-$G39)&lt;=0),"Can't Kill",ROUNDUP($F39/(TowerStats!$B$86-$G39),0))</f>
        <v>1</v>
      </c>
      <c r="AM39" s="267">
        <f>IF(OR($M39&lt;&gt;AM$2,(TowerStats!$B$87-$G39)&lt;=0),"Can't Kill",ROUNDUP($F39/(TowerStats!$B$87-$G39),0))</f>
        <v>1</v>
      </c>
      <c r="AN39" s="266">
        <f>IF(OR($M39&lt;&gt;AN$2,(TowerStats!$B$88-$G39)&lt;=0),"Can't Kill",ROUNDUP($F39/(TowerStats!$B$88-$G39),0))</f>
        <v>1</v>
      </c>
      <c r="AO39" s="268">
        <f>IF(OR($M39&lt;&gt;AO$2,(TowerStats!$B$100-$G39)&lt;=0),"Can't Kill",ROUNDUP($F39/(TowerStats!$B$100-$G39),0))</f>
        <v>2</v>
      </c>
      <c r="AP39" s="267">
        <f>IF(OR($M39&lt;&gt;AP$2,(TowerStats!$B$101-$G39)&lt;=0),"Can't Kill",ROUNDUP($F39/(TowerStats!$B$101-$G39),0))</f>
        <v>1</v>
      </c>
      <c r="AQ39" s="267">
        <f>IF(OR($M39&lt;&gt;AQ$2,(TowerStats!$B$102-$G39)&lt;=0),"Can't Kill",ROUNDUP($F39/(TowerStats!$B$102-$G39),0))</f>
        <v>1</v>
      </c>
      <c r="AR39" s="267">
        <f>IF(OR($M39&lt;&gt;AR$2,(TowerStats!$B$103-$G39)&lt;=0),"Can't Kill",ROUNDUP($F39/(TowerStats!$B$103-$G39),0))</f>
        <v>1</v>
      </c>
      <c r="AS39" s="266">
        <f>IF(OR($M39&lt;&gt;AS$2,(TowerStats!$B$104-$G39)&lt;=0),"Can't Kill",ROUNDUP($F39/(TowerStats!$B$104-$G39),0))</f>
        <v>1</v>
      </c>
    </row>
    <row r="40" spans="2:45" ht="13.5" thickBot="1" x14ac:dyDescent="0.25">
      <c r="B40" s="265">
        <f>SUMPRODUCT(B34:B39,$C34:$C39)</f>
        <v>204</v>
      </c>
      <c r="C40" s="264">
        <f>SUM(C34:C39)</f>
        <v>32</v>
      </c>
      <c r="D40" s="263" t="s">
        <v>247</v>
      </c>
      <c r="E40" s="262">
        <f t="shared" ref="E40:J40" si="7">SUMPRODUCT(E34:E39,$C34:$C39)</f>
        <v>445</v>
      </c>
      <c r="F40" s="262">
        <f t="shared" si="7"/>
        <v>1414</v>
      </c>
      <c r="G40" s="262">
        <f t="shared" si="7"/>
        <v>323</v>
      </c>
      <c r="H40" s="262">
        <f t="shared" si="7"/>
        <v>34</v>
      </c>
      <c r="I40" s="262">
        <f t="shared" si="7"/>
        <v>41.6</v>
      </c>
      <c r="J40" s="262">
        <f t="shared" si="7"/>
        <v>806</v>
      </c>
      <c r="K40" s="262">
        <f>SUMPRODUCT(K34:K39,$C34:$C39)/C40</f>
        <v>0.83125000000000004</v>
      </c>
      <c r="L40" s="261">
        <f>SUMPRODUCT(L34:L39,$C34:$C39)</f>
        <v>30</v>
      </c>
      <c r="M40" s="260"/>
      <c r="O40" s="260"/>
    </row>
    <row r="42" spans="2:45" ht="13.5" thickBot="1" x14ac:dyDescent="0.25"/>
    <row r="43" spans="2:45" ht="39" thickBot="1" x14ac:dyDescent="0.2">
      <c r="B43" s="314" t="s">
        <v>143</v>
      </c>
      <c r="C43" s="313" t="s">
        <v>144</v>
      </c>
      <c r="D43" s="312" t="s">
        <v>149</v>
      </c>
      <c r="E43" s="311" t="s">
        <v>3</v>
      </c>
      <c r="F43" s="251" t="s">
        <v>4</v>
      </c>
      <c r="G43" s="251" t="s">
        <v>5</v>
      </c>
      <c r="H43" s="251" t="s">
        <v>6</v>
      </c>
      <c r="I43" s="251" t="s">
        <v>18</v>
      </c>
      <c r="J43" s="251" t="s">
        <v>9</v>
      </c>
      <c r="K43" s="251" t="s">
        <v>0</v>
      </c>
      <c r="L43" s="310" t="s">
        <v>10</v>
      </c>
      <c r="M43" s="309" t="s">
        <v>244</v>
      </c>
      <c r="O43" s="309" t="s">
        <v>149</v>
      </c>
      <c r="P43" s="297" t="s">
        <v>20</v>
      </c>
      <c r="Q43" s="296" t="s">
        <v>21</v>
      </c>
      <c r="R43" s="296" t="s">
        <v>22</v>
      </c>
      <c r="S43" s="296" t="s">
        <v>121</v>
      </c>
      <c r="T43" s="308" t="s">
        <v>122</v>
      </c>
      <c r="U43" s="307" t="s">
        <v>115</v>
      </c>
      <c r="V43" s="306" t="s">
        <v>116</v>
      </c>
      <c r="W43" s="306" t="s">
        <v>117</v>
      </c>
      <c r="X43" s="305" t="s">
        <v>125</v>
      </c>
      <c r="Y43" s="304" t="s">
        <v>126</v>
      </c>
      <c r="Z43" s="303" t="s">
        <v>130</v>
      </c>
      <c r="AA43" s="302" t="s">
        <v>223</v>
      </c>
      <c r="AB43" s="302" t="s">
        <v>131</v>
      </c>
      <c r="AC43" s="301" t="s">
        <v>132</v>
      </c>
      <c r="AD43" s="300" t="s">
        <v>133</v>
      </c>
      <c r="AE43" s="297" t="s">
        <v>36</v>
      </c>
      <c r="AF43" s="296" t="s">
        <v>37</v>
      </c>
      <c r="AG43" s="296" t="s">
        <v>38</v>
      </c>
      <c r="AH43" s="299" t="s">
        <v>137</v>
      </c>
      <c r="AI43" s="298" t="s">
        <v>138</v>
      </c>
      <c r="AJ43" s="297" t="s">
        <v>42</v>
      </c>
      <c r="AK43" s="296" t="s">
        <v>43</v>
      </c>
      <c r="AL43" s="296" t="s">
        <v>44</v>
      </c>
      <c r="AM43" s="295" t="s">
        <v>45</v>
      </c>
      <c r="AN43" s="294" t="s">
        <v>46</v>
      </c>
      <c r="AO43" s="297" t="s">
        <v>52</v>
      </c>
      <c r="AP43" s="296" t="s">
        <v>53</v>
      </c>
      <c r="AQ43" s="296" t="s">
        <v>54</v>
      </c>
      <c r="AR43" s="295" t="s">
        <v>231</v>
      </c>
      <c r="AS43" s="294" t="s">
        <v>55</v>
      </c>
    </row>
    <row r="44" spans="2:45" x14ac:dyDescent="0.2">
      <c r="B44" s="326">
        <f>Level1!AA2</f>
        <v>2</v>
      </c>
      <c r="C44" s="325">
        <f>Level1!AB2</f>
        <v>2</v>
      </c>
      <c r="D44" s="324" t="str">
        <f>Level1!AC2</f>
        <v>Jogged Mickey</v>
      </c>
      <c r="E44" s="286">
        <f>VLOOKUP($D44,'Monsters Stats'!$B$8:$L$70,2,FALSE)</f>
        <v>4</v>
      </c>
      <c r="F44" s="285">
        <f>VLOOKUP($D44,'Monsters Stats'!$B$8:$L$70,3,FALSE)</f>
        <v>12</v>
      </c>
      <c r="G44" s="285">
        <f>VLOOKUP($D44,'Monsters Stats'!$B$8:$L$70,4,FALSE)</f>
        <v>3</v>
      </c>
      <c r="H44" s="285">
        <f>VLOOKUP($D44,'Monsters Stats'!$B$8:$L$70,5,FALSE)</f>
        <v>1</v>
      </c>
      <c r="I44" s="285">
        <f>VLOOKUP($D44,'Monsters Stats'!$B$8:$L$70,6,FALSE)</f>
        <v>0.8</v>
      </c>
      <c r="J44" s="285">
        <f>VLOOKUP($D44,'Monsters Stats'!$B$8:$L$70,7,FALSE)</f>
        <v>4</v>
      </c>
      <c r="K44" s="285">
        <f>VLOOKUP($D44,'Monsters Stats'!$B$8:$L$70,8,FALSE)</f>
        <v>1.3</v>
      </c>
      <c r="L44" s="284">
        <f>VLOOKUP($D44,'Monsters Stats'!$B$8:$L$70,9,FALSE)</f>
        <v>0</v>
      </c>
      <c r="M44" s="283">
        <f>VLOOKUP($D44,'Monsters Stats'!$B$8:$L$70,11,FALSE)</f>
        <v>0</v>
      </c>
      <c r="O44" s="323" t="str">
        <f t="shared" ref="O44:O49" si="8">D44</f>
        <v>Jogged Mickey</v>
      </c>
      <c r="P44" s="280" t="str">
        <f>IF(OR($M44&lt;&gt;P$2,(TowerStats!$B$29-($G44-TowerStats!$H$29))&lt;=0),"Can't Kill",ROUNDUP($F44/(TowerStats!$B$29-($G44-TowerStats!$H$29)),0))</f>
        <v>Can't Kill</v>
      </c>
      <c r="Q44" s="279" t="str">
        <f>IF(OR($M44&lt;&gt;Q$2,(TowerStats!$B$30-($G44-TowerStats!$H$30))&lt;=0),"Can't Kill",ROUNDUP($F44/(TowerStats!$B$30-($G44-TowerStats!$H$30)),0))</f>
        <v>Can't Kill</v>
      </c>
      <c r="R44" s="279" t="str">
        <f>IF(OR($M44&lt;&gt;R$2,(TowerStats!$B$31-($G44-TowerStats!$H$31))&lt;=0),"Can't Kill",ROUNDUP($F44/(TowerStats!$B$31-($G44-TowerStats!$H$31)),0))</f>
        <v>Can't Kill</v>
      </c>
      <c r="S44" s="279" t="str">
        <f>IF(OR($M44&lt;&gt;S$2,(TowerStats!$B$32-($G44-TowerStats!$H$32))&lt;=0),"Can't Kill",ROUNDUP($F44/(TowerStats!$B$32-($G44-TowerStats!$H$32)),0))</f>
        <v>Can't Kill</v>
      </c>
      <c r="T44" s="281" t="str">
        <f>IF(OR($M44&lt;&gt;T$2,(TowerStats!$B$33-($G44-TowerStats!$H$33))&lt;=0),"Can't Kill",ROUNDUP($F44/(TowerStats!$B$33-($G44-TowerStats!$H$33)),0))</f>
        <v>Can't Kill</v>
      </c>
      <c r="U44" s="280">
        <f>IF(OR($M44&lt;&gt;U$2,(TowerStats!$B$40-$G44)&lt;=0),"Can't Kill",ROUNDUP($F44/(TowerStats!$B$40-$G44),0))</f>
        <v>3</v>
      </c>
      <c r="V44" s="279">
        <f>IF(OR($M44&lt;&gt;V$2,(TowerStats!$B$41-$G44)&lt;=0),"Can't Kill",ROUNDUP($F44/(TowerStats!$B$41-$G44),0))</f>
        <v>2</v>
      </c>
      <c r="W44" s="279">
        <f>IF(OR($M44&lt;&gt;W$2,(TowerStats!$B$42-$G44)&lt;=0),"Can't Kill",ROUNDUP($F44/(TowerStats!$B$42-$G44),0))</f>
        <v>2</v>
      </c>
      <c r="X44" s="279">
        <f>IF(OR($M44&lt;&gt;X$2,(TowerStats!$B$43-$G44)&lt;=0),"Can't Kill",ROUNDUP($F44/(TowerStats!$B$43-$G44),0))</f>
        <v>1</v>
      </c>
      <c r="Y44" s="278">
        <f>IF(OR($M44&lt;&gt;Y$2,(TowerStats!$B$44-$G44)&lt;=0),"Can't Kill",ROUNDUP($F44/(TowerStats!$B$44-$G44),0))</f>
        <v>1</v>
      </c>
      <c r="Z44" s="280" t="str">
        <f>IF(OR($M44&lt;&gt;Z$2,(TowerStats!$B$54-$G44)&lt;=0),"Can't Kill",ROUNDUP($F44/(TowerStats!$B$54-$G44),0))</f>
        <v>Can't Kill</v>
      </c>
      <c r="AA44" s="279" t="str">
        <f>IF(OR($M44&lt;&gt;AA$2,(TowerStats!$B$55-$G44)&lt;=0),"Can't Kill",ROUNDUP($F44/(TowerStats!$B$55-$G44),0))</f>
        <v>Can't Kill</v>
      </c>
      <c r="AB44" s="279" t="str">
        <f>IF(OR($M44&lt;&gt;AB$2,(TowerStats!$B$56-$G44)&lt;=0),"Can't Kill",ROUNDUP($F44/(TowerStats!$B$56-$G44),0))</f>
        <v>Can't Kill</v>
      </c>
      <c r="AC44" s="279" t="str">
        <f>IF(OR($M44&lt;&gt;AC$2,(TowerStats!$B$57-$G44)&lt;=0),"Can't Kill",ROUNDUP($F44/(TowerStats!$B$57-$G44),0))</f>
        <v>Can't Kill</v>
      </c>
      <c r="AD44" s="278" t="str">
        <f>IF(OR($M44&lt;&gt;AD$2,(TowerStats!$B$58-$G44)&lt;=0),"Can't Kill",ROUNDUP($F44/(TowerStats!$B$58-$G44),0))</f>
        <v>Can't Kill</v>
      </c>
      <c r="AE44" s="280" t="str">
        <f>IF(OR($M44&lt;&gt;AE$2,(TowerStats!$B$69-($G44-TowerStats!$H$69))&lt;=0),"Can't Kill",ROUNDUP($F44/(TowerStats!$B$69-($G44-TowerStats!$H$69)),0))</f>
        <v>Can't Kill</v>
      </c>
      <c r="AF44" s="279" t="str">
        <f>IF(OR($M44&lt;&gt;AF$2,(TowerStats!$B$70-($G44-TowerStats!$H$70))&lt;=0),"Can't Kill",ROUNDUP($F44/(TowerStats!$B$70-($G44-TowerStats!$H$70)),0))</f>
        <v>Can't Kill</v>
      </c>
      <c r="AG44" s="279" t="str">
        <f>IF(OR($M44&lt;&gt;AG$2,(TowerStats!$B$71-($G44-TowerStats!$H$71))&lt;=0),"Can't Kill",ROUNDUP($F44/(TowerStats!$B$71-($G44-TowerStats!$H$71)),0))</f>
        <v>Can't Kill</v>
      </c>
      <c r="AH44" s="279" t="str">
        <f>IF(OR($M44&lt;&gt;AH$2,(TowerStats!$B$72-($G44-TowerStats!$H$72))&lt;=0),"Can't Kill",ROUNDUP($F44/(TowerStats!$B$72-($G44-TowerStats!$H$72)),0))</f>
        <v>Can't Kill</v>
      </c>
      <c r="AI44" s="278" t="str">
        <f>IF(OR($M44&lt;&gt;AI$2,(TowerStats!$B$73-($G44-TowerStats!$H$73))&lt;=0),"Can't Kill",ROUNDUP($F44/(TowerStats!$B$73-($G44-TowerStats!$H$73)),0))</f>
        <v>Can't Kill</v>
      </c>
      <c r="AJ44" s="280" t="str">
        <f>IF(OR($M44&lt;&gt;AJ$2,(TowerStats!$B$84-$G44)&lt;=0),"Can't Kill",ROUNDUP($F44/(TowerStats!$B$84-$G44),0))</f>
        <v>Can't Kill</v>
      </c>
      <c r="AK44" s="279" t="str">
        <f>IF(OR($M44&lt;&gt;AK$2,(TowerStats!$B$85-$G44)&lt;=0),"Can't Kill",ROUNDUP($F44/(TowerStats!$B$85-$G44),0))</f>
        <v>Can't Kill</v>
      </c>
      <c r="AL44" s="279" t="str">
        <f>IF(OR($M44&lt;&gt;AL$2,(TowerStats!$B$86-$G44)&lt;=0),"Can't Kill",ROUNDUP($F44/(TowerStats!$B$86-$G44),0))</f>
        <v>Can't Kill</v>
      </c>
      <c r="AM44" s="279" t="str">
        <f>IF(OR($M44&lt;&gt;AM$2,(TowerStats!$B$87-$G44)&lt;=0),"Can't Kill",ROUNDUP($F44/(TowerStats!$B$87-$G44),0))</f>
        <v>Can't Kill</v>
      </c>
      <c r="AN44" s="278" t="str">
        <f>IF(OR($M44&lt;&gt;AN$2,(TowerStats!$B$88-$G44)&lt;=0),"Can't Kill",ROUNDUP($F44/(TowerStats!$B$88-$G44),0))</f>
        <v>Can't Kill</v>
      </c>
      <c r="AO44" s="280" t="str">
        <f>IF(OR($M44&lt;&gt;AO$2,(TowerStats!$B$100-$G44)&lt;=0),"Can't Kill",ROUNDUP($F44/(TowerStats!$B$100-$G44),0))</f>
        <v>Can't Kill</v>
      </c>
      <c r="AP44" s="279" t="str">
        <f>IF(OR($M44&lt;&gt;AP$2,(TowerStats!$B$101-$G44)&lt;=0),"Can't Kill",ROUNDUP($F44/(TowerStats!$B$101-$G44),0))</f>
        <v>Can't Kill</v>
      </c>
      <c r="AQ44" s="279" t="str">
        <f>IF(OR($M44&lt;&gt;AQ$2,(TowerStats!$B$102-$G44)&lt;=0),"Can't Kill",ROUNDUP($F44/(TowerStats!$B$102-$G44),0))</f>
        <v>Can't Kill</v>
      </c>
      <c r="AR44" s="279" t="str">
        <f>IF(OR($M44&lt;&gt;AR$2,(TowerStats!$B$103-$G44)&lt;=0),"Can't Kill",ROUNDUP($F44/(TowerStats!$B$103-$G44),0))</f>
        <v>Can't Kill</v>
      </c>
      <c r="AS44" s="278" t="str">
        <f>IF(OR($M44&lt;&gt;AS$2,(TowerStats!$B$104-$G44)&lt;=0),"Can't Kill",ROUNDUP($F44/(TowerStats!$B$104-$G44),0))</f>
        <v>Can't Kill</v>
      </c>
    </row>
    <row r="45" spans="2:45" x14ac:dyDescent="0.2">
      <c r="B45" s="322">
        <f>Level1!AA3</f>
        <v>5</v>
      </c>
      <c r="C45" s="321">
        <f>Level1!AB3</f>
        <v>5</v>
      </c>
      <c r="D45" s="320" t="str">
        <f>Level1!AC3</f>
        <v>Running Mickey</v>
      </c>
      <c r="E45" s="286">
        <f>VLOOKUP($D45,'Monsters Stats'!$B$8:$L$70,2,FALSE)</f>
        <v>6</v>
      </c>
      <c r="F45" s="285">
        <f>VLOOKUP($D45,'Monsters Stats'!$B$8:$L$70,3,FALSE)</f>
        <v>18</v>
      </c>
      <c r="G45" s="285">
        <f>VLOOKUP($D45,'Monsters Stats'!$B$8:$L$70,4,FALSE)</f>
        <v>4</v>
      </c>
      <c r="H45" s="285">
        <f>VLOOKUP($D45,'Monsters Stats'!$B$8:$L$70,5,FALSE)</f>
        <v>1</v>
      </c>
      <c r="I45" s="285">
        <f>VLOOKUP($D45,'Monsters Stats'!$B$8:$L$70,6,FALSE)</f>
        <v>0.79999999999999993</v>
      </c>
      <c r="J45" s="285">
        <f>VLOOKUP($D45,'Monsters Stats'!$B$8:$L$70,7,FALSE)</f>
        <v>6</v>
      </c>
      <c r="K45" s="285">
        <f>VLOOKUP($D45,'Monsters Stats'!$B$8:$L$70,8,FALSE)</f>
        <v>1.6</v>
      </c>
      <c r="L45" s="284">
        <f>VLOOKUP($D45,'Monsters Stats'!$B$8:$L$70,9,FALSE)</f>
        <v>0</v>
      </c>
      <c r="M45" s="283">
        <f>VLOOKUP($D45,'Monsters Stats'!$B$8:$L$70,11,FALSE)</f>
        <v>0</v>
      </c>
      <c r="O45" s="319" t="str">
        <f t="shared" si="8"/>
        <v>Running Mickey</v>
      </c>
      <c r="P45" s="280" t="str">
        <f>IF(OR($M45&lt;&gt;P$2,(TowerStats!$B$29-($G45-TowerStats!$H$29))&lt;=0),"Can't Kill",ROUNDUP($F45/(TowerStats!$B$29-($G45-TowerStats!$H$29)),0))</f>
        <v>Can't Kill</v>
      </c>
      <c r="Q45" s="279" t="str">
        <f>IF(OR($M45&lt;&gt;Q$2,(TowerStats!$B$30-($G45-TowerStats!$H$30))&lt;=0),"Can't Kill",ROUNDUP($F45/(TowerStats!$B$30-($G45-TowerStats!$H$30)),0))</f>
        <v>Can't Kill</v>
      </c>
      <c r="R45" s="279" t="str">
        <f>IF(OR($M45&lt;&gt;R$2,(TowerStats!$B$31-($G45-TowerStats!$H$31))&lt;=0),"Can't Kill",ROUNDUP($F45/(TowerStats!$B$31-($G45-TowerStats!$H$31)),0))</f>
        <v>Can't Kill</v>
      </c>
      <c r="S45" s="279" t="str">
        <f>IF(OR($M45&lt;&gt;S$2,(TowerStats!$B$32-($G45-TowerStats!$H$32))&lt;=0),"Can't Kill",ROUNDUP($F45/(TowerStats!$B$32-($G45-TowerStats!$H$32)),0))</f>
        <v>Can't Kill</v>
      </c>
      <c r="T45" s="281" t="str">
        <f>IF(OR($M45&lt;&gt;T$2,(TowerStats!$B$33-($G45-TowerStats!$H$33))&lt;=0),"Can't Kill",ROUNDUP($F45/(TowerStats!$B$33-($G45-TowerStats!$H$33)),0))</f>
        <v>Can't Kill</v>
      </c>
      <c r="U45" s="280">
        <f>IF(OR($M45&lt;&gt;U$2,(TowerStats!$B$40-$G45)&lt;=0),"Can't Kill",ROUNDUP($F45/(TowerStats!$B$40-$G45),0))</f>
        <v>5</v>
      </c>
      <c r="V45" s="279">
        <f>IF(OR($M45&lt;&gt;V$2,(TowerStats!$B$41-$G45)&lt;=0),"Can't Kill",ROUNDUP($F45/(TowerStats!$B$41-$G45),0))</f>
        <v>3</v>
      </c>
      <c r="W45" s="279">
        <f>IF(OR($M45&lt;&gt;W$2,(TowerStats!$B$42-$G45)&lt;=0),"Can't Kill",ROUNDUP($F45/(TowerStats!$B$42-$G45),0))</f>
        <v>3</v>
      </c>
      <c r="X45" s="279">
        <f>IF(OR($M45&lt;&gt;X$2,(TowerStats!$B$43-$G45)&lt;=0),"Can't Kill",ROUNDUP($F45/(TowerStats!$B$43-$G45),0))</f>
        <v>2</v>
      </c>
      <c r="Y45" s="278">
        <f>IF(OR($M45&lt;&gt;Y$2,(TowerStats!$B$44-$G45)&lt;=0),"Can't Kill",ROUNDUP($F45/(TowerStats!$B$44-$G45),0))</f>
        <v>2</v>
      </c>
      <c r="Z45" s="280" t="str">
        <f>IF(OR($M45&lt;&gt;Z$2,(TowerStats!$B$54-$G45)&lt;=0),"Can't Kill",ROUNDUP($F45/(TowerStats!$B$54-$G45),0))</f>
        <v>Can't Kill</v>
      </c>
      <c r="AA45" s="279" t="str">
        <f>IF(OR($M45&lt;&gt;AA$2,(TowerStats!$B$55-$G45)&lt;=0),"Can't Kill",ROUNDUP($F45/(TowerStats!$B$55-$G45),0))</f>
        <v>Can't Kill</v>
      </c>
      <c r="AB45" s="279" t="str">
        <f>IF(OR($M45&lt;&gt;AB$2,(TowerStats!$B$56-$G45)&lt;=0),"Can't Kill",ROUNDUP($F45/(TowerStats!$B$56-$G45),0))</f>
        <v>Can't Kill</v>
      </c>
      <c r="AC45" s="279" t="str">
        <f>IF(OR($M45&lt;&gt;AC$2,(TowerStats!$B$57-$G45)&lt;=0),"Can't Kill",ROUNDUP($F45/(TowerStats!$B$57-$G45),0))</f>
        <v>Can't Kill</v>
      </c>
      <c r="AD45" s="278" t="str">
        <f>IF(OR($M45&lt;&gt;AD$2,(TowerStats!$B$58-$G45)&lt;=0),"Can't Kill",ROUNDUP($F45/(TowerStats!$B$58-$G45),0))</f>
        <v>Can't Kill</v>
      </c>
      <c r="AE45" s="280" t="str">
        <f>IF(OR($M45&lt;&gt;AE$2,(TowerStats!$B$69-($G45-TowerStats!$H$69))&lt;=0),"Can't Kill",ROUNDUP($F45/(TowerStats!$B$69-($G45-TowerStats!$H$69)),0))</f>
        <v>Can't Kill</v>
      </c>
      <c r="AF45" s="279" t="str">
        <f>IF(OR($M45&lt;&gt;AF$2,(TowerStats!$B$70-($G45-TowerStats!$H$70))&lt;=0),"Can't Kill",ROUNDUP($F45/(TowerStats!$B$70-($G45-TowerStats!$H$70)),0))</f>
        <v>Can't Kill</v>
      </c>
      <c r="AG45" s="279" t="str">
        <f>IF(OR($M45&lt;&gt;AG$2,(TowerStats!$B$71-($G45-TowerStats!$H$71))&lt;=0),"Can't Kill",ROUNDUP($F45/(TowerStats!$B$71-($G45-TowerStats!$H$71)),0))</f>
        <v>Can't Kill</v>
      </c>
      <c r="AH45" s="279" t="str">
        <f>IF(OR($M45&lt;&gt;AH$2,(TowerStats!$B$72-($G45-TowerStats!$H$72))&lt;=0),"Can't Kill",ROUNDUP($F45/(TowerStats!$B$72-($G45-TowerStats!$H$72)),0))</f>
        <v>Can't Kill</v>
      </c>
      <c r="AI45" s="278" t="str">
        <f>IF(OR($M45&lt;&gt;AI$2,(TowerStats!$B$73-($G45-TowerStats!$H$73))&lt;=0),"Can't Kill",ROUNDUP($F45/(TowerStats!$B$73-($G45-TowerStats!$H$73)),0))</f>
        <v>Can't Kill</v>
      </c>
      <c r="AJ45" s="280" t="str">
        <f>IF(OR($M45&lt;&gt;AJ$2,(TowerStats!$B$84-$G45)&lt;=0),"Can't Kill",ROUNDUP($F45/(TowerStats!$B$84-$G45),0))</f>
        <v>Can't Kill</v>
      </c>
      <c r="AK45" s="279" t="str">
        <f>IF(OR($M45&lt;&gt;AK$2,(TowerStats!$B$85-$G45)&lt;=0),"Can't Kill",ROUNDUP($F45/(TowerStats!$B$85-$G45),0))</f>
        <v>Can't Kill</v>
      </c>
      <c r="AL45" s="279" t="str">
        <f>IF(OR($M45&lt;&gt;AL$2,(TowerStats!$B$86-$G45)&lt;=0),"Can't Kill",ROUNDUP($F45/(TowerStats!$B$86-$G45),0))</f>
        <v>Can't Kill</v>
      </c>
      <c r="AM45" s="279" t="str">
        <f>IF(OR($M45&lt;&gt;AM$2,(TowerStats!$B$87-$G45)&lt;=0),"Can't Kill",ROUNDUP($F45/(TowerStats!$B$87-$G45),0))</f>
        <v>Can't Kill</v>
      </c>
      <c r="AN45" s="278" t="str">
        <f>IF(OR($M45&lt;&gt;AN$2,(TowerStats!$B$88-$G45)&lt;=0),"Can't Kill",ROUNDUP($F45/(TowerStats!$B$88-$G45),0))</f>
        <v>Can't Kill</v>
      </c>
      <c r="AO45" s="280" t="str">
        <f>IF(OR($M45&lt;&gt;AO$2,(TowerStats!$B$100-$G45)&lt;=0),"Can't Kill",ROUNDUP($F45/(TowerStats!$B$100-$G45),0))</f>
        <v>Can't Kill</v>
      </c>
      <c r="AP45" s="279" t="str">
        <f>IF(OR($M45&lt;&gt;AP$2,(TowerStats!$B$101-$G45)&lt;=0),"Can't Kill",ROUNDUP($F45/(TowerStats!$B$101-$G45),0))</f>
        <v>Can't Kill</v>
      </c>
      <c r="AQ45" s="279" t="str">
        <f>IF(OR($M45&lt;&gt;AQ$2,(TowerStats!$B$102-$G45)&lt;=0),"Can't Kill",ROUNDUP($F45/(TowerStats!$B$102-$G45),0))</f>
        <v>Can't Kill</v>
      </c>
      <c r="AR45" s="279" t="str">
        <f>IF(OR($M45&lt;&gt;AR$2,(TowerStats!$B$103-$G45)&lt;=0),"Can't Kill",ROUNDUP($F45/(TowerStats!$B$103-$G45),0))</f>
        <v>Can't Kill</v>
      </c>
      <c r="AS45" s="278" t="str">
        <f>IF(OR($M45&lt;&gt;AS$2,(TowerStats!$B$104-$G45)&lt;=0),"Can't Kill",ROUNDUP($F45/(TowerStats!$B$104-$G45),0))</f>
        <v>Can't Kill</v>
      </c>
    </row>
    <row r="46" spans="2:45" x14ac:dyDescent="0.2">
      <c r="B46" s="322">
        <f>Level1!AA4</f>
        <v>4</v>
      </c>
      <c r="C46" s="321">
        <f>Level1!AB4</f>
        <v>4</v>
      </c>
      <c r="D46" s="320" t="str">
        <f>Level1!AC4</f>
        <v>Blind Tommy Science</v>
      </c>
      <c r="E46" s="286">
        <f>VLOOKUP($D46,'Monsters Stats'!$B$8:$L$70,2,FALSE)</f>
        <v>10</v>
      </c>
      <c r="F46" s="285">
        <f>VLOOKUP($D46,'Monsters Stats'!$B$8:$L$70,3,FALSE)</f>
        <v>14</v>
      </c>
      <c r="G46" s="285">
        <f>VLOOKUP($D46,'Monsters Stats'!$B$8:$L$70,4,FALSE)</f>
        <v>5</v>
      </c>
      <c r="H46" s="285">
        <f>VLOOKUP($D46,'Monsters Stats'!$B$8:$L$70,5,FALSE)</f>
        <v>2</v>
      </c>
      <c r="I46" s="285">
        <f>VLOOKUP($D46,'Monsters Stats'!$B$8:$L$70,6,FALSE)</f>
        <v>0.8</v>
      </c>
      <c r="J46" s="285">
        <f>VLOOKUP($D46,'Monsters Stats'!$B$8:$L$70,7,FALSE)</f>
        <v>6</v>
      </c>
      <c r="K46" s="285">
        <f>VLOOKUP($D46,'Monsters Stats'!$B$8:$L$70,8,FALSE)</f>
        <v>1</v>
      </c>
      <c r="L46" s="284">
        <f>VLOOKUP($D46,'Monsters Stats'!$B$8:$L$70,9,FALSE)</f>
        <v>0</v>
      </c>
      <c r="M46" s="283">
        <f>VLOOKUP($D46,'Monsters Stats'!$B$8:$L$70,11,FALSE)</f>
        <v>1</v>
      </c>
      <c r="O46" s="319" t="str">
        <f t="shared" si="8"/>
        <v>Blind Tommy Science</v>
      </c>
      <c r="P46" s="280">
        <f>IF(OR($M46&lt;&gt;P$2,(TowerStats!$B$29-($G46-TowerStats!$H$29))&lt;=0),"Can't Kill",ROUNDUP($F46/(TowerStats!$B$29-($G46-TowerStats!$H$29)),0))</f>
        <v>2</v>
      </c>
      <c r="Q46" s="279">
        <f>IF(OR($M46&lt;&gt;Q$2,(TowerStats!$B$30-($G46-TowerStats!$H$30))&lt;=0),"Can't Kill",ROUNDUP($F46/(TowerStats!$B$30-($G46-TowerStats!$H$30)),0))</f>
        <v>2</v>
      </c>
      <c r="R46" s="279">
        <f>IF(OR($M46&lt;&gt;R$2,(TowerStats!$B$31-($G46-TowerStats!$H$31))&lt;=0),"Can't Kill",ROUNDUP($F46/(TowerStats!$B$31-($G46-TowerStats!$H$31)),0))</f>
        <v>2</v>
      </c>
      <c r="S46" s="279">
        <f>IF(OR($M46&lt;&gt;S$2,(TowerStats!$B$32-($G46-TowerStats!$H$32))&lt;=0),"Can't Kill",ROUNDUP($F46/(TowerStats!$B$32-($G46-TowerStats!$H$32)),0))</f>
        <v>1</v>
      </c>
      <c r="T46" s="281">
        <f>IF(OR($M46&lt;&gt;T$2,(TowerStats!$B$33-($G46-TowerStats!$H$33))&lt;=0),"Can't Kill",ROUNDUP($F46/(TowerStats!$B$33-($G46-TowerStats!$H$33)),0))</f>
        <v>2</v>
      </c>
      <c r="U46" s="280" t="str">
        <f>IF(OR($M46&lt;&gt;U$2,(TowerStats!$B$40-$G46)&lt;=0),"Can't Kill",ROUNDUP($F46/(TowerStats!$B$40-$G46),0))</f>
        <v>Can't Kill</v>
      </c>
      <c r="V46" s="279" t="str">
        <f>IF(OR($M46&lt;&gt;V$2,(TowerStats!$B$41-$G46)&lt;=0),"Can't Kill",ROUNDUP($F46/(TowerStats!$B$41-$G46),0))</f>
        <v>Can't Kill</v>
      </c>
      <c r="W46" s="279" t="str">
        <f>IF(OR($M46&lt;&gt;W$2,(TowerStats!$B$42-$G46)&lt;=0),"Can't Kill",ROUNDUP($F46/(TowerStats!$B$42-$G46),0))</f>
        <v>Can't Kill</v>
      </c>
      <c r="X46" s="279" t="str">
        <f>IF(OR($M46&lt;&gt;X$2,(TowerStats!$B$43-$G46)&lt;=0),"Can't Kill",ROUNDUP($F46/(TowerStats!$B$43-$G46),0))</f>
        <v>Can't Kill</v>
      </c>
      <c r="Y46" s="278" t="str">
        <f>IF(OR($M46&lt;&gt;Y$2,(TowerStats!$B$44-$G46)&lt;=0),"Can't Kill",ROUNDUP($F46/(TowerStats!$B$44-$G46),0))</f>
        <v>Can't Kill</v>
      </c>
      <c r="Z46" s="280" t="str">
        <f>IF(OR($M46&lt;&gt;Z$2,(TowerStats!$B$54-$G46)&lt;=0),"Can't Kill",ROUNDUP($F46/(TowerStats!$B$54-$G46),0))</f>
        <v>Can't Kill</v>
      </c>
      <c r="AA46" s="279" t="str">
        <f>IF(OR($M46&lt;&gt;AA$2,(TowerStats!$B$55-$G46)&lt;=0),"Can't Kill",ROUNDUP($F46/(TowerStats!$B$55-$G46),0))</f>
        <v>Can't Kill</v>
      </c>
      <c r="AB46" s="279" t="str">
        <f>IF(OR($M46&lt;&gt;AB$2,(TowerStats!$B$56-$G46)&lt;=0),"Can't Kill",ROUNDUP($F46/(TowerStats!$B$56-$G46),0))</f>
        <v>Can't Kill</v>
      </c>
      <c r="AC46" s="279" t="str">
        <f>IF(OR($M46&lt;&gt;AC$2,(TowerStats!$B$57-$G46)&lt;=0),"Can't Kill",ROUNDUP($F46/(TowerStats!$B$57-$G46),0))</f>
        <v>Can't Kill</v>
      </c>
      <c r="AD46" s="278" t="str">
        <f>IF(OR($M46&lt;&gt;AD$2,(TowerStats!$B$58-$G46)&lt;=0),"Can't Kill",ROUNDUP($F46/(TowerStats!$B$58-$G46),0))</f>
        <v>Can't Kill</v>
      </c>
      <c r="AE46" s="280">
        <f>IF(OR($M46&lt;&gt;AE$2,(TowerStats!$B$69-($G46-TowerStats!$H$69))&lt;=0),"Can't Kill",ROUNDUP($F46/(TowerStats!$B$69-($G46-TowerStats!$H$69)),0))</f>
        <v>2</v>
      </c>
      <c r="AF46" s="279">
        <f>IF(OR($M46&lt;&gt;AF$2,(TowerStats!$B$70-($G46-TowerStats!$H$70))&lt;=0),"Can't Kill",ROUNDUP($F46/(TowerStats!$B$70-($G46-TowerStats!$H$70)),0))</f>
        <v>2</v>
      </c>
      <c r="AG46" s="279">
        <f>IF(OR($M46&lt;&gt;AG$2,(TowerStats!$B$71-($G46-TowerStats!$H$71))&lt;=0),"Can't Kill",ROUNDUP($F46/(TowerStats!$B$71-($G46-TowerStats!$H$71)),0))</f>
        <v>1</v>
      </c>
      <c r="AH46" s="279">
        <f>IF(OR($M46&lt;&gt;AH$2,(TowerStats!$B$72-($G46-TowerStats!$H$72))&lt;=0),"Can't Kill",ROUNDUP($F46/(TowerStats!$B$72-($G46-TowerStats!$H$72)),0))</f>
        <v>1</v>
      </c>
      <c r="AI46" s="278">
        <f>IF(OR($M46&lt;&gt;AI$2,(TowerStats!$B$73-($G46-TowerStats!$H$73))&lt;=0),"Can't Kill",ROUNDUP($F46/(TowerStats!$B$73-($G46-TowerStats!$H$73)),0))</f>
        <v>1</v>
      </c>
      <c r="AJ46" s="280">
        <f>IF(OR($M46&lt;&gt;AJ$2,(TowerStats!$B$84-$G46)&lt;=0),"Can't Kill",ROUNDUP($F46/(TowerStats!$B$84-$G46),0))</f>
        <v>2</v>
      </c>
      <c r="AK46" s="279">
        <f>IF(OR($M46&lt;&gt;AK$2,(TowerStats!$B$85-$G46)&lt;=0),"Can't Kill",ROUNDUP($F46/(TowerStats!$B$85-$G46),0))</f>
        <v>1</v>
      </c>
      <c r="AL46" s="279">
        <f>IF(OR($M46&lt;&gt;AL$2,(TowerStats!$B$86-$G46)&lt;=0),"Can't Kill",ROUNDUP($F46/(TowerStats!$B$86-$G46),0))</f>
        <v>1</v>
      </c>
      <c r="AM46" s="279">
        <f>IF(OR($M46&lt;&gt;AM$2,(TowerStats!$B$87-$G46)&lt;=0),"Can't Kill",ROUNDUP($F46/(TowerStats!$B$87-$G46),0))</f>
        <v>1</v>
      </c>
      <c r="AN46" s="278">
        <f>IF(OR($M46&lt;&gt;AN$2,(TowerStats!$B$88-$G46)&lt;=0),"Can't Kill",ROUNDUP($F46/(TowerStats!$B$88-$G46),0))</f>
        <v>1</v>
      </c>
      <c r="AO46" s="280">
        <f>IF(OR($M46&lt;&gt;AO$2,(TowerStats!$B$100-$G46)&lt;=0),"Can't Kill",ROUNDUP($F46/(TowerStats!$B$100-$G46),0))</f>
        <v>2</v>
      </c>
      <c r="AP46" s="279">
        <f>IF(OR($M46&lt;&gt;AP$2,(TowerStats!$B$101-$G46)&lt;=0),"Can't Kill",ROUNDUP($F46/(TowerStats!$B$101-$G46),0))</f>
        <v>1</v>
      </c>
      <c r="AQ46" s="279">
        <f>IF(OR($M46&lt;&gt;AQ$2,(TowerStats!$B$102-$G46)&lt;=0),"Can't Kill",ROUNDUP($F46/(TowerStats!$B$102-$G46),0))</f>
        <v>1</v>
      </c>
      <c r="AR46" s="279">
        <f>IF(OR($M46&lt;&gt;AR$2,(TowerStats!$B$103-$G46)&lt;=0),"Can't Kill",ROUNDUP($F46/(TowerStats!$B$103-$G46),0))</f>
        <v>1</v>
      </c>
      <c r="AS46" s="278">
        <f>IF(OR($M46&lt;&gt;AS$2,(TowerStats!$B$104-$G46)&lt;=0),"Can't Kill",ROUNDUP($F46/(TowerStats!$B$104-$G46),0))</f>
        <v>1</v>
      </c>
    </row>
    <row r="47" spans="2:45" x14ac:dyDescent="0.2">
      <c r="B47" s="322">
        <f>Level1!AA5</f>
        <v>2</v>
      </c>
      <c r="C47" s="321">
        <f>Level1!AB5</f>
        <v>2</v>
      </c>
      <c r="D47" s="320" t="str">
        <f>Level1!AC5</f>
        <v>Zombie</v>
      </c>
      <c r="E47" s="286">
        <f>VLOOKUP($D47,'Monsters Stats'!$B$8:$L$70,2,FALSE)</f>
        <v>5</v>
      </c>
      <c r="F47" s="285">
        <f>VLOOKUP($D47,'Monsters Stats'!$B$8:$L$70,3,FALSE)</f>
        <v>15</v>
      </c>
      <c r="G47" s="285">
        <f>VLOOKUP($D47,'Monsters Stats'!$B$8:$L$70,4,FALSE)</f>
        <v>2</v>
      </c>
      <c r="H47" s="285">
        <f>VLOOKUP($D47,'Monsters Stats'!$B$8:$L$70,5,FALSE)</f>
        <v>1</v>
      </c>
      <c r="I47" s="285">
        <f>VLOOKUP($D47,'Monsters Stats'!$B$8:$L$70,6,FALSE)</f>
        <v>1</v>
      </c>
      <c r="J47" s="285">
        <f>VLOOKUP($D47,'Monsters Stats'!$B$8:$L$70,7,FALSE)</f>
        <v>2</v>
      </c>
      <c r="K47" s="285">
        <f>VLOOKUP($D47,'Monsters Stats'!$B$8:$L$70,8,FALSE)</f>
        <v>1</v>
      </c>
      <c r="L47" s="284">
        <f>VLOOKUP($D47,'Monsters Stats'!$B$8:$L$70,9,FALSE)</f>
        <v>0</v>
      </c>
      <c r="M47" s="283">
        <f>VLOOKUP($D47,'Monsters Stats'!$B$8:$L$70,11,FALSE)</f>
        <v>0</v>
      </c>
      <c r="O47" s="319" t="str">
        <f t="shared" si="8"/>
        <v>Zombie</v>
      </c>
      <c r="P47" s="280" t="str">
        <f>IF(OR($M47&lt;&gt;P$2,(TowerStats!$B$29-($G47-TowerStats!$H$29))&lt;=0),"Can't Kill",ROUNDUP($F47/(TowerStats!$B$29-($G47-TowerStats!$H$29)),0))</f>
        <v>Can't Kill</v>
      </c>
      <c r="Q47" s="279" t="str">
        <f>IF(OR($M47&lt;&gt;Q$2,(TowerStats!$B$30-($G47-TowerStats!$H$30))&lt;=0),"Can't Kill",ROUNDUP($F47/(TowerStats!$B$30-($G47-TowerStats!$H$30)),0))</f>
        <v>Can't Kill</v>
      </c>
      <c r="R47" s="279" t="str">
        <f>IF(OR($M47&lt;&gt;R$2,(TowerStats!$B$31-($G47-TowerStats!$H$31))&lt;=0),"Can't Kill",ROUNDUP($F47/(TowerStats!$B$31-($G47-TowerStats!$H$31)),0))</f>
        <v>Can't Kill</v>
      </c>
      <c r="S47" s="279" t="str">
        <f>IF(OR($M47&lt;&gt;S$2,(TowerStats!$B$32-($G47-TowerStats!$H$32))&lt;=0),"Can't Kill",ROUNDUP($F47/(TowerStats!$B$32-($G47-TowerStats!$H$32)),0))</f>
        <v>Can't Kill</v>
      </c>
      <c r="T47" s="281" t="str">
        <f>IF(OR($M47&lt;&gt;T$2,(TowerStats!$B$33-($G47-TowerStats!$H$33))&lt;=0),"Can't Kill",ROUNDUP($F47/(TowerStats!$B$33-($G47-TowerStats!$H$33)),0))</f>
        <v>Can't Kill</v>
      </c>
      <c r="U47" s="280">
        <f>IF(OR($M47&lt;&gt;U$2,(TowerStats!$B$40-$G47)&lt;=0),"Can't Kill",ROUNDUP($F47/(TowerStats!$B$40-$G47),0))</f>
        <v>3</v>
      </c>
      <c r="V47" s="279">
        <f>IF(OR($M47&lt;&gt;V$2,(TowerStats!$B$41-$G47)&lt;=0),"Can't Kill",ROUNDUP($F47/(TowerStats!$B$41-$G47),0))</f>
        <v>2</v>
      </c>
      <c r="W47" s="279">
        <f>IF(OR($M47&lt;&gt;W$2,(TowerStats!$B$42-$G47)&lt;=0),"Can't Kill",ROUNDUP($F47/(TowerStats!$B$42-$G47),0))</f>
        <v>2</v>
      </c>
      <c r="X47" s="279">
        <f>IF(OR($M47&lt;&gt;X$2,(TowerStats!$B$43-$G47)&lt;=0),"Can't Kill",ROUNDUP($F47/(TowerStats!$B$43-$G47),0))</f>
        <v>2</v>
      </c>
      <c r="Y47" s="278">
        <f>IF(OR($M47&lt;&gt;Y$2,(TowerStats!$B$44-$G47)&lt;=0),"Can't Kill",ROUNDUP($F47/(TowerStats!$B$44-$G47),0))</f>
        <v>1</v>
      </c>
      <c r="Z47" s="280" t="str">
        <f>IF(OR($M47&lt;&gt;Z$2,(TowerStats!$B$54-$G47)&lt;=0),"Can't Kill",ROUNDUP($F47/(TowerStats!$B$54-$G47),0))</f>
        <v>Can't Kill</v>
      </c>
      <c r="AA47" s="279" t="str">
        <f>IF(OR($M47&lt;&gt;AA$2,(TowerStats!$B$55-$G47)&lt;=0),"Can't Kill",ROUNDUP($F47/(TowerStats!$B$55-$G47),0))</f>
        <v>Can't Kill</v>
      </c>
      <c r="AB47" s="279" t="str">
        <f>IF(OR($M47&lt;&gt;AB$2,(TowerStats!$B$56-$G47)&lt;=0),"Can't Kill",ROUNDUP($F47/(TowerStats!$B$56-$G47),0))</f>
        <v>Can't Kill</v>
      </c>
      <c r="AC47" s="279" t="str">
        <f>IF(OR($M47&lt;&gt;AC$2,(TowerStats!$B$57-$G47)&lt;=0),"Can't Kill",ROUNDUP($F47/(TowerStats!$B$57-$G47),0))</f>
        <v>Can't Kill</v>
      </c>
      <c r="AD47" s="278" t="str">
        <f>IF(OR($M47&lt;&gt;AD$2,(TowerStats!$B$58-$G47)&lt;=0),"Can't Kill",ROUNDUP($F47/(TowerStats!$B$58-$G47),0))</f>
        <v>Can't Kill</v>
      </c>
      <c r="AE47" s="280" t="str">
        <f>IF(OR($M47&lt;&gt;AE$2,(TowerStats!$B$69-($G47-TowerStats!$H$69))&lt;=0),"Can't Kill",ROUNDUP($F47/(TowerStats!$B$69-($G47-TowerStats!$H$69)),0))</f>
        <v>Can't Kill</v>
      </c>
      <c r="AF47" s="279" t="str">
        <f>IF(OR($M47&lt;&gt;AF$2,(TowerStats!$B$70-($G47-TowerStats!$H$70))&lt;=0),"Can't Kill",ROUNDUP($F47/(TowerStats!$B$70-($G47-TowerStats!$H$70)),0))</f>
        <v>Can't Kill</v>
      </c>
      <c r="AG47" s="279" t="str">
        <f>IF(OR($M47&lt;&gt;AG$2,(TowerStats!$B$71-($G47-TowerStats!$H$71))&lt;=0),"Can't Kill",ROUNDUP($F47/(TowerStats!$B$71-($G47-TowerStats!$H$71)),0))</f>
        <v>Can't Kill</v>
      </c>
      <c r="AH47" s="279" t="str">
        <f>IF(OR($M47&lt;&gt;AH$2,(TowerStats!$B$72-($G47-TowerStats!$H$72))&lt;=0),"Can't Kill",ROUNDUP($F47/(TowerStats!$B$72-($G47-TowerStats!$H$72)),0))</f>
        <v>Can't Kill</v>
      </c>
      <c r="AI47" s="278" t="str">
        <f>IF(OR($M47&lt;&gt;AI$2,(TowerStats!$B$73-($G47-TowerStats!$H$73))&lt;=0),"Can't Kill",ROUNDUP($F47/(TowerStats!$B$73-($G47-TowerStats!$H$73)),0))</f>
        <v>Can't Kill</v>
      </c>
      <c r="AJ47" s="280" t="str">
        <f>IF(OR($M47&lt;&gt;AJ$2,(TowerStats!$B$84-$G47)&lt;=0),"Can't Kill",ROUNDUP($F47/(TowerStats!$B$84-$G47),0))</f>
        <v>Can't Kill</v>
      </c>
      <c r="AK47" s="279" t="str">
        <f>IF(OR($M47&lt;&gt;AK$2,(TowerStats!$B$85-$G47)&lt;=0),"Can't Kill",ROUNDUP($F47/(TowerStats!$B$85-$G47),0))</f>
        <v>Can't Kill</v>
      </c>
      <c r="AL47" s="279" t="str">
        <f>IF(OR($M47&lt;&gt;AL$2,(TowerStats!$B$86-$G47)&lt;=0),"Can't Kill",ROUNDUP($F47/(TowerStats!$B$86-$G47),0))</f>
        <v>Can't Kill</v>
      </c>
      <c r="AM47" s="279" t="str">
        <f>IF(OR($M47&lt;&gt;AM$2,(TowerStats!$B$87-$G47)&lt;=0),"Can't Kill",ROUNDUP($F47/(TowerStats!$B$87-$G47),0))</f>
        <v>Can't Kill</v>
      </c>
      <c r="AN47" s="278" t="str">
        <f>IF(OR($M47&lt;&gt;AN$2,(TowerStats!$B$88-$G47)&lt;=0),"Can't Kill",ROUNDUP($F47/(TowerStats!$B$88-$G47),0))</f>
        <v>Can't Kill</v>
      </c>
      <c r="AO47" s="280" t="str">
        <f>IF(OR($M47&lt;&gt;AO$2,(TowerStats!$B$100-$G47)&lt;=0),"Can't Kill",ROUNDUP($F47/(TowerStats!$B$100-$G47),0))</f>
        <v>Can't Kill</v>
      </c>
      <c r="AP47" s="279" t="str">
        <f>IF(OR($M47&lt;&gt;AP$2,(TowerStats!$B$101-$G47)&lt;=0),"Can't Kill",ROUNDUP($F47/(TowerStats!$B$101-$G47),0))</f>
        <v>Can't Kill</v>
      </c>
      <c r="AQ47" s="279" t="str">
        <f>IF(OR($M47&lt;&gt;AQ$2,(TowerStats!$B$102-$G47)&lt;=0),"Can't Kill",ROUNDUP($F47/(TowerStats!$B$102-$G47),0))</f>
        <v>Can't Kill</v>
      </c>
      <c r="AR47" s="279" t="str">
        <f>IF(OR($M47&lt;&gt;AR$2,(TowerStats!$B$103-$G47)&lt;=0),"Can't Kill",ROUNDUP($F47/(TowerStats!$B$103-$G47),0))</f>
        <v>Can't Kill</v>
      </c>
      <c r="AS47" s="278" t="str">
        <f>IF(OR($M47&lt;&gt;AS$2,(TowerStats!$B$104-$G47)&lt;=0),"Can't Kill",ROUNDUP($F47/(TowerStats!$B$104-$G47),0))</f>
        <v>Can't Kill</v>
      </c>
    </row>
    <row r="48" spans="2:45" x14ac:dyDescent="0.2">
      <c r="B48" s="322">
        <f>Level1!AA6</f>
        <v>1</v>
      </c>
      <c r="C48" s="321">
        <f>Level1!AB6</f>
        <v>4</v>
      </c>
      <c r="D48" s="320" t="str">
        <f>Level1!AC6</f>
        <v>Jogged Mickey</v>
      </c>
      <c r="E48" s="286">
        <f>VLOOKUP($D48,'Monsters Stats'!$B$8:$L$70,2,FALSE)</f>
        <v>4</v>
      </c>
      <c r="F48" s="285">
        <f>VLOOKUP($D48,'Monsters Stats'!$B$8:$L$70,3,FALSE)</f>
        <v>12</v>
      </c>
      <c r="G48" s="285">
        <f>VLOOKUP($D48,'Monsters Stats'!$B$8:$L$70,4,FALSE)</f>
        <v>3</v>
      </c>
      <c r="H48" s="285">
        <f>VLOOKUP($D48,'Monsters Stats'!$B$8:$L$70,5,FALSE)</f>
        <v>1</v>
      </c>
      <c r="I48" s="285">
        <f>VLOOKUP($D48,'Monsters Stats'!$B$8:$L$70,6,FALSE)</f>
        <v>0.8</v>
      </c>
      <c r="J48" s="285">
        <f>VLOOKUP($D48,'Monsters Stats'!$B$8:$L$70,7,FALSE)</f>
        <v>4</v>
      </c>
      <c r="K48" s="285">
        <f>VLOOKUP($D48,'Monsters Stats'!$B$8:$L$70,8,FALSE)</f>
        <v>1.3</v>
      </c>
      <c r="L48" s="284">
        <f>VLOOKUP($D48,'Monsters Stats'!$B$8:$L$70,9,FALSE)</f>
        <v>0</v>
      </c>
      <c r="M48" s="283">
        <f>VLOOKUP($D48,'Monsters Stats'!$B$8:$L$70,11,FALSE)</f>
        <v>0</v>
      </c>
      <c r="O48" s="319" t="str">
        <f t="shared" si="8"/>
        <v>Jogged Mickey</v>
      </c>
      <c r="P48" s="280" t="str">
        <f>IF(OR($M48&lt;&gt;P$2,(TowerStats!$B$29-($G48-TowerStats!$H$29))&lt;=0),"Can't Kill",ROUNDUP($F48/(TowerStats!$B$29-($G48-TowerStats!$H$29)),0))</f>
        <v>Can't Kill</v>
      </c>
      <c r="Q48" s="279" t="str">
        <f>IF(OR($M48&lt;&gt;Q$2,(TowerStats!$B$30-($G48-TowerStats!$H$30))&lt;=0),"Can't Kill",ROUNDUP($F48/(TowerStats!$B$30-($G48-TowerStats!$H$30)),0))</f>
        <v>Can't Kill</v>
      </c>
      <c r="R48" s="279" t="str">
        <f>IF(OR($M48&lt;&gt;R$2,(TowerStats!$B$31-($G48-TowerStats!$H$31))&lt;=0),"Can't Kill",ROUNDUP($F48/(TowerStats!$B$31-($G48-TowerStats!$H$31)),0))</f>
        <v>Can't Kill</v>
      </c>
      <c r="S48" s="279" t="str">
        <f>IF(OR($M48&lt;&gt;S$2,(TowerStats!$B$32-($G48-TowerStats!$H$32))&lt;=0),"Can't Kill",ROUNDUP($F48/(TowerStats!$B$32-($G48-TowerStats!$H$32)),0))</f>
        <v>Can't Kill</v>
      </c>
      <c r="T48" s="281" t="str">
        <f>IF(OR($M48&lt;&gt;T$2,(TowerStats!$B$33-($G48-TowerStats!$H$33))&lt;=0),"Can't Kill",ROUNDUP($F48/(TowerStats!$B$33-($G48-TowerStats!$H$33)),0))</f>
        <v>Can't Kill</v>
      </c>
      <c r="U48" s="280">
        <f>IF(OR($M48&lt;&gt;U$2,(TowerStats!$B$40-$G48)&lt;=0),"Can't Kill",ROUNDUP($F48/(TowerStats!$B$40-$G48),0))</f>
        <v>3</v>
      </c>
      <c r="V48" s="279">
        <f>IF(OR($M48&lt;&gt;V$2,(TowerStats!$B$41-$G48)&lt;=0),"Can't Kill",ROUNDUP($F48/(TowerStats!$B$41-$G48),0))</f>
        <v>2</v>
      </c>
      <c r="W48" s="279">
        <f>IF(OR($M48&lt;&gt;W$2,(TowerStats!$B$42-$G48)&lt;=0),"Can't Kill",ROUNDUP($F48/(TowerStats!$B$42-$G48),0))</f>
        <v>2</v>
      </c>
      <c r="X48" s="279">
        <f>IF(OR($M48&lt;&gt;X$2,(TowerStats!$B$43-$G48)&lt;=0),"Can't Kill",ROUNDUP($F48/(TowerStats!$B$43-$G48),0))</f>
        <v>1</v>
      </c>
      <c r="Y48" s="278">
        <f>IF(OR($M48&lt;&gt;Y$2,(TowerStats!$B$44-$G48)&lt;=0),"Can't Kill",ROUNDUP($F48/(TowerStats!$B$44-$G48),0))</f>
        <v>1</v>
      </c>
      <c r="Z48" s="280" t="str">
        <f>IF(OR($M48&lt;&gt;Z$2,(TowerStats!$B$54-$G48)&lt;=0),"Can't Kill",ROUNDUP($F48/(TowerStats!$B$54-$G48),0))</f>
        <v>Can't Kill</v>
      </c>
      <c r="AA48" s="279" t="str">
        <f>IF(OR($M48&lt;&gt;AA$2,(TowerStats!$B$55-$G48)&lt;=0),"Can't Kill",ROUNDUP($F48/(TowerStats!$B$55-$G48),0))</f>
        <v>Can't Kill</v>
      </c>
      <c r="AB48" s="279" t="str">
        <f>IF(OR($M48&lt;&gt;AB$2,(TowerStats!$B$56-$G48)&lt;=0),"Can't Kill",ROUNDUP($F48/(TowerStats!$B$56-$G48),0))</f>
        <v>Can't Kill</v>
      </c>
      <c r="AC48" s="279" t="str">
        <f>IF(OR($M48&lt;&gt;AC$2,(TowerStats!$B$57-$G48)&lt;=0),"Can't Kill",ROUNDUP($F48/(TowerStats!$B$57-$G48),0))</f>
        <v>Can't Kill</v>
      </c>
      <c r="AD48" s="278" t="str">
        <f>IF(OR($M48&lt;&gt;AD$2,(TowerStats!$B$58-$G48)&lt;=0),"Can't Kill",ROUNDUP($F48/(TowerStats!$B$58-$G48),0))</f>
        <v>Can't Kill</v>
      </c>
      <c r="AE48" s="280" t="str">
        <f>IF(OR($M48&lt;&gt;AE$2,(TowerStats!$B$69-($G48-TowerStats!$H$69))&lt;=0),"Can't Kill",ROUNDUP($F48/(TowerStats!$B$69-($G48-TowerStats!$H$69)),0))</f>
        <v>Can't Kill</v>
      </c>
      <c r="AF48" s="279" t="str">
        <f>IF(OR($M48&lt;&gt;AF$2,(TowerStats!$B$70-($G48-TowerStats!$H$70))&lt;=0),"Can't Kill",ROUNDUP($F48/(TowerStats!$B$70-($G48-TowerStats!$H$70)),0))</f>
        <v>Can't Kill</v>
      </c>
      <c r="AG48" s="279" t="str">
        <f>IF(OR($M48&lt;&gt;AG$2,(TowerStats!$B$71-($G48-TowerStats!$H$71))&lt;=0),"Can't Kill",ROUNDUP($F48/(TowerStats!$B$71-($G48-TowerStats!$H$71)),0))</f>
        <v>Can't Kill</v>
      </c>
      <c r="AH48" s="279" t="str">
        <f>IF(OR($M48&lt;&gt;AH$2,(TowerStats!$B$72-($G48-TowerStats!$H$72))&lt;=0),"Can't Kill",ROUNDUP($F48/(TowerStats!$B$72-($G48-TowerStats!$H$72)),0))</f>
        <v>Can't Kill</v>
      </c>
      <c r="AI48" s="278" t="str">
        <f>IF(OR($M48&lt;&gt;AI$2,(TowerStats!$B$73-($G48-TowerStats!$H$73))&lt;=0),"Can't Kill",ROUNDUP($F48/(TowerStats!$B$73-($G48-TowerStats!$H$73)),0))</f>
        <v>Can't Kill</v>
      </c>
      <c r="AJ48" s="280" t="str">
        <f>IF(OR($M48&lt;&gt;AJ$2,(TowerStats!$B$84-$G48)&lt;=0),"Can't Kill",ROUNDUP($F48/(TowerStats!$B$84-$G48),0))</f>
        <v>Can't Kill</v>
      </c>
      <c r="AK48" s="279" t="str">
        <f>IF(OR($M48&lt;&gt;AK$2,(TowerStats!$B$85-$G48)&lt;=0),"Can't Kill",ROUNDUP($F48/(TowerStats!$B$85-$G48),0))</f>
        <v>Can't Kill</v>
      </c>
      <c r="AL48" s="279" t="str">
        <f>IF(OR($M48&lt;&gt;AL$2,(TowerStats!$B$86-$G48)&lt;=0),"Can't Kill",ROUNDUP($F48/(TowerStats!$B$86-$G48),0))</f>
        <v>Can't Kill</v>
      </c>
      <c r="AM48" s="279" t="str">
        <f>IF(OR($M48&lt;&gt;AM$2,(TowerStats!$B$87-$G48)&lt;=0),"Can't Kill",ROUNDUP($F48/(TowerStats!$B$87-$G48),0))</f>
        <v>Can't Kill</v>
      </c>
      <c r="AN48" s="278" t="str">
        <f>IF(OR($M48&lt;&gt;AN$2,(TowerStats!$B$88-$G48)&lt;=0),"Can't Kill",ROUNDUP($F48/(TowerStats!$B$88-$G48),0))</f>
        <v>Can't Kill</v>
      </c>
      <c r="AO48" s="280" t="str">
        <f>IF(OR($M48&lt;&gt;AO$2,(TowerStats!$B$100-$G48)&lt;=0),"Can't Kill",ROUNDUP($F48/(TowerStats!$B$100-$G48),0))</f>
        <v>Can't Kill</v>
      </c>
      <c r="AP48" s="279" t="str">
        <f>IF(OR($M48&lt;&gt;AP$2,(TowerStats!$B$101-$G48)&lt;=0),"Can't Kill",ROUNDUP($F48/(TowerStats!$B$101-$G48),0))</f>
        <v>Can't Kill</v>
      </c>
      <c r="AQ48" s="279" t="str">
        <f>IF(OR($M48&lt;&gt;AQ$2,(TowerStats!$B$102-$G48)&lt;=0),"Can't Kill",ROUNDUP($F48/(TowerStats!$B$102-$G48),0))</f>
        <v>Can't Kill</v>
      </c>
      <c r="AR48" s="279" t="str">
        <f>IF(OR($M48&lt;&gt;AR$2,(TowerStats!$B$103-$G48)&lt;=0),"Can't Kill",ROUNDUP($F48/(TowerStats!$B$103-$G48),0))</f>
        <v>Can't Kill</v>
      </c>
      <c r="AS48" s="278" t="str">
        <f>IF(OR($M48&lt;&gt;AS$2,(TowerStats!$B$104-$G48)&lt;=0),"Can't Kill",ROUNDUP($F48/(TowerStats!$B$104-$G48),0))</f>
        <v>Can't Kill</v>
      </c>
    </row>
    <row r="49" spans="2:45" ht="13.5" thickBot="1" x14ac:dyDescent="0.25">
      <c r="B49" s="318">
        <f>Level1!AA7</f>
        <v>4</v>
      </c>
      <c r="C49" s="317">
        <f>Level1!AB7</f>
        <v>6</v>
      </c>
      <c r="D49" s="316" t="str">
        <f>Level1!AC7</f>
        <v>Sprinter Mickey</v>
      </c>
      <c r="E49" s="274">
        <f>VLOOKUP($D49,'Monsters Stats'!$B$8:$L$70,2,FALSE)</f>
        <v>8</v>
      </c>
      <c r="F49" s="273">
        <f>VLOOKUP($D49,'Monsters Stats'!$B$8:$L$70,3,FALSE)</f>
        <v>27</v>
      </c>
      <c r="G49" s="273">
        <f>VLOOKUP($D49,'Monsters Stats'!$B$8:$L$70,4,FALSE)</f>
        <v>5</v>
      </c>
      <c r="H49" s="273">
        <f>VLOOKUP($D49,'Monsters Stats'!$B$8:$L$70,5,FALSE)</f>
        <v>1</v>
      </c>
      <c r="I49" s="273">
        <f>VLOOKUP($D49,'Monsters Stats'!$B$8:$L$70,6,FALSE)</f>
        <v>0.7</v>
      </c>
      <c r="J49" s="273">
        <f>VLOOKUP($D49,'Monsters Stats'!$B$8:$L$70,7,FALSE)</f>
        <v>8</v>
      </c>
      <c r="K49" s="273">
        <f>VLOOKUP($D49,'Monsters Stats'!$B$8:$L$70,8,FALSE)</f>
        <v>2</v>
      </c>
      <c r="L49" s="272">
        <f>VLOOKUP($D49,'Monsters Stats'!$B$8:$L$70,9,FALSE)</f>
        <v>0</v>
      </c>
      <c r="M49" s="271">
        <f>VLOOKUP($D49,'Monsters Stats'!$B$8:$L$70,11,FALSE)</f>
        <v>0</v>
      </c>
      <c r="O49" s="315" t="str">
        <f t="shared" si="8"/>
        <v>Sprinter Mickey</v>
      </c>
      <c r="P49" s="268" t="str">
        <f>IF(OR($M49&lt;&gt;P$2,(TowerStats!$B$29-($G49-TowerStats!$H$29))&lt;=0),"Can't Kill",ROUNDUP($F49/(TowerStats!$B$29-($G49-TowerStats!$H$29)),0))</f>
        <v>Can't Kill</v>
      </c>
      <c r="Q49" s="267" t="str">
        <f>IF(OR($M49&lt;&gt;Q$2,(TowerStats!$B$30-($G49-TowerStats!$H$30))&lt;=0),"Can't Kill",ROUNDUP($F49/(TowerStats!$B$30-($G49-TowerStats!$H$30)),0))</f>
        <v>Can't Kill</v>
      </c>
      <c r="R49" s="267" t="str">
        <f>IF(OR($M49&lt;&gt;R$2,(TowerStats!$B$31-($G49-TowerStats!$H$31))&lt;=0),"Can't Kill",ROUNDUP($F49/(TowerStats!$B$31-($G49-TowerStats!$H$31)),0))</f>
        <v>Can't Kill</v>
      </c>
      <c r="S49" s="267" t="str">
        <f>IF(OR($M49&lt;&gt;S$2,(TowerStats!$B$32-($G49-TowerStats!$H$32))&lt;=0),"Can't Kill",ROUNDUP($F49/(TowerStats!$B$32-($G49-TowerStats!$H$32)),0))</f>
        <v>Can't Kill</v>
      </c>
      <c r="T49" s="269" t="str">
        <f>IF(OR($M49&lt;&gt;T$2,(TowerStats!$B$33-($G49-TowerStats!$H$33))&lt;=0),"Can't Kill",ROUNDUP($F49/(TowerStats!$B$33-($G49-TowerStats!$H$33)),0))</f>
        <v>Can't Kill</v>
      </c>
      <c r="U49" s="268">
        <f>IF(OR($M49&lt;&gt;U$2,(TowerStats!$B$40-$G49)&lt;=0),"Can't Kill",ROUNDUP($F49/(TowerStats!$B$40-$G49),0))</f>
        <v>9</v>
      </c>
      <c r="V49" s="267">
        <f>IF(OR($M49&lt;&gt;V$2,(TowerStats!$B$41-$G49)&lt;=0),"Can't Kill",ROUNDUP($F49/(TowerStats!$B$41-$G49),0))</f>
        <v>6</v>
      </c>
      <c r="W49" s="267">
        <f>IF(OR($M49&lt;&gt;W$2,(TowerStats!$B$42-$G49)&lt;=0),"Can't Kill",ROUNDUP($F49/(TowerStats!$B$42-$G49),0))</f>
        <v>4</v>
      </c>
      <c r="X49" s="267">
        <f>IF(OR($M49&lt;&gt;X$2,(TowerStats!$B$43-$G49)&lt;=0),"Can't Kill",ROUNDUP($F49/(TowerStats!$B$43-$G49),0))</f>
        <v>3</v>
      </c>
      <c r="Y49" s="266">
        <f>IF(OR($M49&lt;&gt;Y$2,(TowerStats!$B$44-$G49)&lt;=0),"Can't Kill",ROUNDUP($F49/(TowerStats!$B$44-$G49),0))</f>
        <v>2</v>
      </c>
      <c r="Z49" s="268" t="str">
        <f>IF(OR($M49&lt;&gt;Z$2,(TowerStats!$B$54-$G49)&lt;=0),"Can't Kill",ROUNDUP($F49/(TowerStats!$B$54-$G49),0))</f>
        <v>Can't Kill</v>
      </c>
      <c r="AA49" s="267" t="str">
        <f>IF(OR($M49&lt;&gt;AA$2,(TowerStats!$B$55-$G49)&lt;=0),"Can't Kill",ROUNDUP($F49/(TowerStats!$B$55-$G49),0))</f>
        <v>Can't Kill</v>
      </c>
      <c r="AB49" s="267" t="str">
        <f>IF(OR($M49&lt;&gt;AB$2,(TowerStats!$B$56-$G49)&lt;=0),"Can't Kill",ROUNDUP($F49/(TowerStats!$B$56-$G49),0))</f>
        <v>Can't Kill</v>
      </c>
      <c r="AC49" s="267" t="str">
        <f>IF(OR($M49&lt;&gt;AC$2,(TowerStats!$B$57-$G49)&lt;=0),"Can't Kill",ROUNDUP($F49/(TowerStats!$B$57-$G49),0))</f>
        <v>Can't Kill</v>
      </c>
      <c r="AD49" s="266" t="str">
        <f>IF(OR($M49&lt;&gt;AD$2,(TowerStats!$B$58-$G49)&lt;=0),"Can't Kill",ROUNDUP($F49/(TowerStats!$B$58-$G49),0))</f>
        <v>Can't Kill</v>
      </c>
      <c r="AE49" s="268" t="str">
        <f>IF(OR($M49&lt;&gt;AE$2,(TowerStats!$B$69-($G49-TowerStats!$H$69))&lt;=0),"Can't Kill",ROUNDUP($F49/(TowerStats!$B$69-($G49-TowerStats!$H$69)),0))</f>
        <v>Can't Kill</v>
      </c>
      <c r="AF49" s="267" t="str">
        <f>IF(OR($M49&lt;&gt;AF$2,(TowerStats!$B$70-($G49-TowerStats!$H$70))&lt;=0),"Can't Kill",ROUNDUP($F49/(TowerStats!$B$70-($G49-TowerStats!$H$70)),0))</f>
        <v>Can't Kill</v>
      </c>
      <c r="AG49" s="267" t="str">
        <f>IF(OR($M49&lt;&gt;AG$2,(TowerStats!$B$71-($G49-TowerStats!$H$71))&lt;=0),"Can't Kill",ROUNDUP($F49/(TowerStats!$B$71-($G49-TowerStats!$H$71)),0))</f>
        <v>Can't Kill</v>
      </c>
      <c r="AH49" s="267" t="str">
        <f>IF(OR($M49&lt;&gt;AH$2,(TowerStats!$B$72-($G49-TowerStats!$H$72))&lt;=0),"Can't Kill",ROUNDUP($F49/(TowerStats!$B$72-($G49-TowerStats!$H$72)),0))</f>
        <v>Can't Kill</v>
      </c>
      <c r="AI49" s="266" t="str">
        <f>IF(OR($M49&lt;&gt;AI$2,(TowerStats!$B$73-($G49-TowerStats!$H$73))&lt;=0),"Can't Kill",ROUNDUP($F49/(TowerStats!$B$73-($G49-TowerStats!$H$73)),0))</f>
        <v>Can't Kill</v>
      </c>
      <c r="AJ49" s="268" t="str">
        <f>IF(OR($M49&lt;&gt;AJ$2,(TowerStats!$B$84-$G49)&lt;=0),"Can't Kill",ROUNDUP($F49/(TowerStats!$B$84-$G49),0))</f>
        <v>Can't Kill</v>
      </c>
      <c r="AK49" s="267" t="str">
        <f>IF(OR($M49&lt;&gt;AK$2,(TowerStats!$B$85-$G49)&lt;=0),"Can't Kill",ROUNDUP($F49/(TowerStats!$B$85-$G49),0))</f>
        <v>Can't Kill</v>
      </c>
      <c r="AL49" s="267" t="str">
        <f>IF(OR($M49&lt;&gt;AL$2,(TowerStats!$B$86-$G49)&lt;=0),"Can't Kill",ROUNDUP($F49/(TowerStats!$B$86-$G49),0))</f>
        <v>Can't Kill</v>
      </c>
      <c r="AM49" s="267" t="str">
        <f>IF(OR($M49&lt;&gt;AM$2,(TowerStats!$B$87-$G49)&lt;=0),"Can't Kill",ROUNDUP($F49/(TowerStats!$B$87-$G49),0))</f>
        <v>Can't Kill</v>
      </c>
      <c r="AN49" s="266" t="str">
        <f>IF(OR($M49&lt;&gt;AN$2,(TowerStats!$B$88-$G49)&lt;=0),"Can't Kill",ROUNDUP($F49/(TowerStats!$B$88-$G49),0))</f>
        <v>Can't Kill</v>
      </c>
      <c r="AO49" s="268" t="str">
        <f>IF(OR($M49&lt;&gt;AO$2,(TowerStats!$B$100-$G49)&lt;=0),"Can't Kill",ROUNDUP($F49/(TowerStats!$B$100-$G49),0))</f>
        <v>Can't Kill</v>
      </c>
      <c r="AP49" s="267" t="str">
        <f>IF(OR($M49&lt;&gt;AP$2,(TowerStats!$B$101-$G49)&lt;=0),"Can't Kill",ROUNDUP($F49/(TowerStats!$B$101-$G49),0))</f>
        <v>Can't Kill</v>
      </c>
      <c r="AQ49" s="267" t="str">
        <f>IF(OR($M49&lt;&gt;AQ$2,(TowerStats!$B$102-$G49)&lt;=0),"Can't Kill",ROUNDUP($F49/(TowerStats!$B$102-$G49),0))</f>
        <v>Can't Kill</v>
      </c>
      <c r="AR49" s="267" t="str">
        <f>IF(OR($M49&lt;&gt;AR$2,(TowerStats!$B$103-$G49)&lt;=0),"Can't Kill",ROUNDUP($F49/(TowerStats!$B$103-$G49),0))</f>
        <v>Can't Kill</v>
      </c>
      <c r="AS49" s="266" t="str">
        <f>IF(OR($M49&lt;&gt;AS$2,(TowerStats!$B$104-$G49)&lt;=0),"Can't Kill",ROUNDUP($F49/(TowerStats!$B$104-$G49),0))</f>
        <v>Can't Kill</v>
      </c>
    </row>
    <row r="50" spans="2:45" ht="13.5" thickBot="1" x14ac:dyDescent="0.25">
      <c r="B50" s="265">
        <f>SUMPRODUCT(B44:B49,$C44:$C49)</f>
        <v>77</v>
      </c>
      <c r="C50" s="264">
        <f>SUM(C44:C49)</f>
        <v>23</v>
      </c>
      <c r="D50" s="263" t="s">
        <v>247</v>
      </c>
      <c r="E50" s="262">
        <f t="shared" ref="E50:J50" si="9">SUMPRODUCT(E44:E49,$C44:$C49)</f>
        <v>152</v>
      </c>
      <c r="F50" s="262">
        <f t="shared" si="9"/>
        <v>410</v>
      </c>
      <c r="G50" s="262">
        <f t="shared" si="9"/>
        <v>92</v>
      </c>
      <c r="H50" s="262">
        <f t="shared" si="9"/>
        <v>27</v>
      </c>
      <c r="I50" s="262">
        <f t="shared" si="9"/>
        <v>18.2</v>
      </c>
      <c r="J50" s="262">
        <f t="shared" si="9"/>
        <v>130</v>
      </c>
      <c r="K50" s="262">
        <f>SUMPRODUCT(K44:K49,$C44:$C49)/C50</f>
        <v>1.4695652173913043</v>
      </c>
      <c r="L50" s="261">
        <f>SUMPRODUCT(L44:L49,$C44:$C49)</f>
        <v>0</v>
      </c>
      <c r="M50" s="260"/>
      <c r="O50" s="260"/>
    </row>
    <row r="52" spans="2:45" ht="13.5" thickBot="1" x14ac:dyDescent="0.25"/>
    <row r="53" spans="2:45" ht="39" thickBot="1" x14ac:dyDescent="0.2">
      <c r="B53" s="314" t="s">
        <v>143</v>
      </c>
      <c r="C53" s="313" t="s">
        <v>144</v>
      </c>
      <c r="D53" s="312" t="s">
        <v>150</v>
      </c>
      <c r="E53" s="311" t="s">
        <v>3</v>
      </c>
      <c r="F53" s="251" t="s">
        <v>4</v>
      </c>
      <c r="G53" s="251" t="s">
        <v>5</v>
      </c>
      <c r="H53" s="251" t="s">
        <v>6</v>
      </c>
      <c r="I53" s="251" t="s">
        <v>18</v>
      </c>
      <c r="J53" s="251" t="s">
        <v>9</v>
      </c>
      <c r="K53" s="251" t="s">
        <v>0</v>
      </c>
      <c r="L53" s="310" t="s">
        <v>10</v>
      </c>
      <c r="M53" s="309" t="s">
        <v>244</v>
      </c>
      <c r="O53" s="309" t="s">
        <v>150</v>
      </c>
      <c r="P53" s="297" t="s">
        <v>20</v>
      </c>
      <c r="Q53" s="296" t="s">
        <v>21</v>
      </c>
      <c r="R53" s="296" t="s">
        <v>22</v>
      </c>
      <c r="S53" s="296" t="s">
        <v>121</v>
      </c>
      <c r="T53" s="308" t="s">
        <v>122</v>
      </c>
      <c r="U53" s="307" t="s">
        <v>115</v>
      </c>
      <c r="V53" s="306" t="s">
        <v>116</v>
      </c>
      <c r="W53" s="306" t="s">
        <v>117</v>
      </c>
      <c r="X53" s="305" t="s">
        <v>125</v>
      </c>
      <c r="Y53" s="304" t="s">
        <v>126</v>
      </c>
      <c r="Z53" s="303" t="s">
        <v>130</v>
      </c>
      <c r="AA53" s="302" t="s">
        <v>223</v>
      </c>
      <c r="AB53" s="302" t="s">
        <v>131</v>
      </c>
      <c r="AC53" s="301" t="s">
        <v>132</v>
      </c>
      <c r="AD53" s="300" t="s">
        <v>133</v>
      </c>
      <c r="AE53" s="297" t="s">
        <v>36</v>
      </c>
      <c r="AF53" s="296" t="s">
        <v>37</v>
      </c>
      <c r="AG53" s="296" t="s">
        <v>38</v>
      </c>
      <c r="AH53" s="299" t="s">
        <v>137</v>
      </c>
      <c r="AI53" s="298" t="s">
        <v>138</v>
      </c>
      <c r="AJ53" s="297" t="s">
        <v>42</v>
      </c>
      <c r="AK53" s="296" t="s">
        <v>43</v>
      </c>
      <c r="AL53" s="296" t="s">
        <v>44</v>
      </c>
      <c r="AM53" s="295" t="s">
        <v>45</v>
      </c>
      <c r="AN53" s="294" t="s">
        <v>46</v>
      </c>
      <c r="AO53" s="297" t="s">
        <v>52</v>
      </c>
      <c r="AP53" s="296" t="s">
        <v>53</v>
      </c>
      <c r="AQ53" s="296" t="s">
        <v>54</v>
      </c>
      <c r="AR53" s="295" t="s">
        <v>231</v>
      </c>
      <c r="AS53" s="294" t="s">
        <v>55</v>
      </c>
    </row>
    <row r="54" spans="2:45" x14ac:dyDescent="0.2">
      <c r="B54" s="293">
        <f>Level1!AD2</f>
        <v>2</v>
      </c>
      <c r="C54" s="292">
        <f>Level1!AE2</f>
        <v>2</v>
      </c>
      <c r="D54" s="291" t="str">
        <f>Level1!AF2</f>
        <v>Jogged Mickey</v>
      </c>
      <c r="E54" s="286">
        <f>VLOOKUP($D54,'Monsters Stats'!$B$8:$L$70,2,FALSE)</f>
        <v>4</v>
      </c>
      <c r="F54" s="285">
        <f>VLOOKUP($D54,'Monsters Stats'!$B$8:$L$70,3,FALSE)</f>
        <v>12</v>
      </c>
      <c r="G54" s="285">
        <f>VLOOKUP($D54,'Monsters Stats'!$B$8:$L$70,4,FALSE)</f>
        <v>3</v>
      </c>
      <c r="H54" s="285">
        <f>VLOOKUP($D54,'Monsters Stats'!$B$8:$L$70,5,FALSE)</f>
        <v>1</v>
      </c>
      <c r="I54" s="285">
        <f>VLOOKUP($D54,'Monsters Stats'!$B$8:$L$70,6,FALSE)</f>
        <v>0.8</v>
      </c>
      <c r="J54" s="285">
        <f>VLOOKUP($D54,'Monsters Stats'!$B$8:$L$70,7,FALSE)</f>
        <v>4</v>
      </c>
      <c r="K54" s="285">
        <f>VLOOKUP($D54,'Monsters Stats'!$B$8:$L$70,8,FALSE)</f>
        <v>1.3</v>
      </c>
      <c r="L54" s="284">
        <f>VLOOKUP($D54,'Monsters Stats'!$B$8:$L$70,9,FALSE)</f>
        <v>0</v>
      </c>
      <c r="M54" s="283">
        <f>VLOOKUP($D54,'Monsters Stats'!$B$8:$L$70,11,FALSE)</f>
        <v>0</v>
      </c>
      <c r="O54" s="290" t="str">
        <f t="shared" ref="O54:O59" si="10">D54</f>
        <v>Jogged Mickey</v>
      </c>
      <c r="P54" s="280" t="str">
        <f>IF(OR($M54&lt;&gt;P$2,(TowerStats!$B$29-($G54-TowerStats!$H$29))&lt;=0),"Can't Kill",ROUNDUP($F54/(TowerStats!$B$29-($G54-TowerStats!$H$29)),0))</f>
        <v>Can't Kill</v>
      </c>
      <c r="Q54" s="279" t="str">
        <f>IF(OR($M54&lt;&gt;Q$2,(TowerStats!$B$30-($G54-TowerStats!$H$30))&lt;=0),"Can't Kill",ROUNDUP($F54/(TowerStats!$B$30-($G54-TowerStats!$H$30)),0))</f>
        <v>Can't Kill</v>
      </c>
      <c r="R54" s="279" t="str">
        <f>IF(OR($M54&lt;&gt;R$2,(TowerStats!$B$31-($G54-TowerStats!$H$31))&lt;=0),"Can't Kill",ROUNDUP($F54/(TowerStats!$B$31-($G54-TowerStats!$H$31)),0))</f>
        <v>Can't Kill</v>
      </c>
      <c r="S54" s="279" t="str">
        <f>IF(OR($M54&lt;&gt;S$2,(TowerStats!$B$32-($G54-TowerStats!$H$32))&lt;=0),"Can't Kill",ROUNDUP($F54/(TowerStats!$B$32-($G54-TowerStats!$H$32)),0))</f>
        <v>Can't Kill</v>
      </c>
      <c r="T54" s="281" t="str">
        <f>IF(OR($M54&lt;&gt;T$2,(TowerStats!$B$33-($G54-TowerStats!$H$33))&lt;=0),"Can't Kill",ROUNDUP($F54/(TowerStats!$B$33-($G54-TowerStats!$H$33)),0))</f>
        <v>Can't Kill</v>
      </c>
      <c r="U54" s="280">
        <f>IF(OR($M54&lt;&gt;U$2,(TowerStats!$B$40-$G54)&lt;=0),"Can't Kill",ROUNDUP($F54/(TowerStats!$B$40-$G54),0))</f>
        <v>3</v>
      </c>
      <c r="V54" s="279">
        <f>IF(OR($M54&lt;&gt;V$2,(TowerStats!$B$41-$G54)&lt;=0),"Can't Kill",ROUNDUP($F54/(TowerStats!$B$41-$G54),0))</f>
        <v>2</v>
      </c>
      <c r="W54" s="279">
        <f>IF(OR($M54&lt;&gt;W$2,(TowerStats!$B$42-$G54)&lt;=0),"Can't Kill",ROUNDUP($F54/(TowerStats!$B$42-$G54),0))</f>
        <v>2</v>
      </c>
      <c r="X54" s="279">
        <f>IF(OR($M54&lt;&gt;X$2,(TowerStats!$B$43-$G54)&lt;=0),"Can't Kill",ROUNDUP($F54/(TowerStats!$B$43-$G54),0))</f>
        <v>1</v>
      </c>
      <c r="Y54" s="278">
        <f>IF(OR($M54&lt;&gt;Y$2,(TowerStats!$B$44-$G54)&lt;=0),"Can't Kill",ROUNDUP($F54/(TowerStats!$B$44-$G54),0))</f>
        <v>1</v>
      </c>
      <c r="Z54" s="280" t="str">
        <f>IF(OR($M54&lt;&gt;Z$2,(TowerStats!$B$54-$G54)&lt;=0),"Can't Kill",ROUNDUP($F54/(TowerStats!$B$54-$G54),0))</f>
        <v>Can't Kill</v>
      </c>
      <c r="AA54" s="279" t="str">
        <f>IF(OR($M54&lt;&gt;AA$2,(TowerStats!$B$55-$G54)&lt;=0),"Can't Kill",ROUNDUP($F54/(TowerStats!$B$55-$G54),0))</f>
        <v>Can't Kill</v>
      </c>
      <c r="AB54" s="279" t="str">
        <f>IF(OR($M54&lt;&gt;AB$2,(TowerStats!$B$56-$G54)&lt;=0),"Can't Kill",ROUNDUP($F54/(TowerStats!$B$56-$G54),0))</f>
        <v>Can't Kill</v>
      </c>
      <c r="AC54" s="279" t="str">
        <f>IF(OR($M54&lt;&gt;AC$2,(TowerStats!$B$57-$G54)&lt;=0),"Can't Kill",ROUNDUP($F54/(TowerStats!$B$57-$G54),0))</f>
        <v>Can't Kill</v>
      </c>
      <c r="AD54" s="278" t="str">
        <f>IF(OR($M54&lt;&gt;AD$2,(TowerStats!$B$58-$G54)&lt;=0),"Can't Kill",ROUNDUP($F54/(TowerStats!$B$58-$G54),0))</f>
        <v>Can't Kill</v>
      </c>
      <c r="AE54" s="280" t="str">
        <f>IF(OR($M54&lt;&gt;AE$2,(TowerStats!$B$69-($G54-TowerStats!$H$69))&lt;=0),"Can't Kill",ROUNDUP($F54/(TowerStats!$B$69-($G54-TowerStats!$H$69)),0))</f>
        <v>Can't Kill</v>
      </c>
      <c r="AF54" s="279" t="str">
        <f>IF(OR($M54&lt;&gt;AF$2,(TowerStats!$B$70-($G54-TowerStats!$H$70))&lt;=0),"Can't Kill",ROUNDUP($F54/(TowerStats!$B$70-($G54-TowerStats!$H$70)),0))</f>
        <v>Can't Kill</v>
      </c>
      <c r="AG54" s="279" t="str">
        <f>IF(OR($M54&lt;&gt;AG$2,(TowerStats!$B$71-($G54-TowerStats!$H$71))&lt;=0),"Can't Kill",ROUNDUP($F54/(TowerStats!$B$71-($G54-TowerStats!$H$71)),0))</f>
        <v>Can't Kill</v>
      </c>
      <c r="AH54" s="279" t="str">
        <f>IF(OR($M54&lt;&gt;AH$2,(TowerStats!$B$72-($G54-TowerStats!$H$72))&lt;=0),"Can't Kill",ROUNDUP($F54/(TowerStats!$B$72-($G54-TowerStats!$H$72)),0))</f>
        <v>Can't Kill</v>
      </c>
      <c r="AI54" s="278" t="str">
        <f>IF(OR($M54&lt;&gt;AI$2,(TowerStats!$B$73-($G54-TowerStats!$H$73))&lt;=0),"Can't Kill",ROUNDUP($F54/(TowerStats!$B$73-($G54-TowerStats!$H$73)),0))</f>
        <v>Can't Kill</v>
      </c>
      <c r="AJ54" s="280" t="str">
        <f>IF(OR($M54&lt;&gt;AJ$2,(TowerStats!$B$84-$G54)&lt;=0),"Can't Kill",ROUNDUP($F54/(TowerStats!$B$84-$G54),0))</f>
        <v>Can't Kill</v>
      </c>
      <c r="AK54" s="279" t="str">
        <f>IF(OR($M54&lt;&gt;AK$2,(TowerStats!$B$85-$G54)&lt;=0),"Can't Kill",ROUNDUP($F54/(TowerStats!$B$85-$G54),0))</f>
        <v>Can't Kill</v>
      </c>
      <c r="AL54" s="279" t="str">
        <f>IF(OR($M54&lt;&gt;AL$2,(TowerStats!$B$86-$G54)&lt;=0),"Can't Kill",ROUNDUP($F54/(TowerStats!$B$86-$G54),0))</f>
        <v>Can't Kill</v>
      </c>
      <c r="AM54" s="279" t="str">
        <f>IF(OR($M54&lt;&gt;AM$2,(TowerStats!$B$87-$G54)&lt;=0),"Can't Kill",ROUNDUP($F54/(TowerStats!$B$87-$G54),0))</f>
        <v>Can't Kill</v>
      </c>
      <c r="AN54" s="278" t="str">
        <f>IF(OR($M54&lt;&gt;AN$2,(TowerStats!$B$88-$G54)&lt;=0),"Can't Kill",ROUNDUP($F54/(TowerStats!$B$88-$G54),0))</f>
        <v>Can't Kill</v>
      </c>
      <c r="AO54" s="280" t="str">
        <f>IF(OR($M54&lt;&gt;AO$2,(TowerStats!$B$100-$G54)&lt;=0),"Can't Kill",ROUNDUP($F54/(TowerStats!$B$100-$G54),0))</f>
        <v>Can't Kill</v>
      </c>
      <c r="AP54" s="279" t="str">
        <f>IF(OR($M54&lt;&gt;AP$2,(TowerStats!$B$101-$G54)&lt;=0),"Can't Kill",ROUNDUP($F54/(TowerStats!$B$101-$G54),0))</f>
        <v>Can't Kill</v>
      </c>
      <c r="AQ54" s="279" t="str">
        <f>IF(OR($M54&lt;&gt;AQ$2,(TowerStats!$B$102-$G54)&lt;=0),"Can't Kill",ROUNDUP($F54/(TowerStats!$B$102-$G54),0))</f>
        <v>Can't Kill</v>
      </c>
      <c r="AR54" s="279" t="str">
        <f>IF(OR($M54&lt;&gt;AR$2,(TowerStats!$B$103-$G54)&lt;=0),"Can't Kill",ROUNDUP($F54/(TowerStats!$B$103-$G54),0))</f>
        <v>Can't Kill</v>
      </c>
      <c r="AS54" s="278" t="str">
        <f>IF(OR($M54&lt;&gt;AS$2,(TowerStats!$B$104-$G54)&lt;=0),"Can't Kill",ROUNDUP($F54/(TowerStats!$B$104-$G54),0))</f>
        <v>Can't Kill</v>
      </c>
    </row>
    <row r="55" spans="2:45" x14ac:dyDescent="0.2">
      <c r="B55" s="289">
        <f>Level1!AD3</f>
        <v>6</v>
      </c>
      <c r="C55" s="288">
        <f>Level1!AE3</f>
        <v>6</v>
      </c>
      <c r="D55" s="287" t="str">
        <f>Level1!AF3</f>
        <v>Starving Zombie</v>
      </c>
      <c r="E55" s="286">
        <f>VLOOKUP($D55,'Monsters Stats'!$B$8:$L$70,2,FALSE)</f>
        <v>10</v>
      </c>
      <c r="F55" s="285">
        <f>VLOOKUP($D55,'Monsters Stats'!$B$8:$L$70,3,FALSE)</f>
        <v>26</v>
      </c>
      <c r="G55" s="285">
        <f>VLOOKUP($D55,'Monsters Stats'!$B$8:$L$70,4,FALSE)</f>
        <v>4</v>
      </c>
      <c r="H55" s="285">
        <f>VLOOKUP($D55,'Monsters Stats'!$B$8:$L$70,5,FALSE)</f>
        <v>1</v>
      </c>
      <c r="I55" s="285">
        <f>VLOOKUP($D55,'Monsters Stats'!$B$8:$L$70,6,FALSE)</f>
        <v>0.79999999999999993</v>
      </c>
      <c r="J55" s="285">
        <f>VLOOKUP($D55,'Monsters Stats'!$B$8:$L$70,7,FALSE)</f>
        <v>4</v>
      </c>
      <c r="K55" s="285">
        <f>VLOOKUP($D55,'Monsters Stats'!$B$8:$L$70,8,FALSE)</f>
        <v>1</v>
      </c>
      <c r="L55" s="284">
        <f>VLOOKUP($D55,'Monsters Stats'!$B$8:$L$70,9,FALSE)</f>
        <v>0</v>
      </c>
      <c r="M55" s="283">
        <f>VLOOKUP($D55,'Monsters Stats'!$B$8:$L$70,11,FALSE)</f>
        <v>0</v>
      </c>
      <c r="O55" s="282" t="str">
        <f t="shared" si="10"/>
        <v>Starving Zombie</v>
      </c>
      <c r="P55" s="280" t="str">
        <f>IF(OR($M55&lt;&gt;P$2,(TowerStats!$B$29-($G55-TowerStats!$H$29))&lt;=0),"Can't Kill",ROUNDUP($F55/(TowerStats!$B$29-($G55-TowerStats!$H$29)),0))</f>
        <v>Can't Kill</v>
      </c>
      <c r="Q55" s="279" t="str">
        <f>IF(OR($M55&lt;&gt;Q$2,(TowerStats!$B$30-($G55-TowerStats!$H$30))&lt;=0),"Can't Kill",ROUNDUP($F55/(TowerStats!$B$30-($G55-TowerStats!$H$30)),0))</f>
        <v>Can't Kill</v>
      </c>
      <c r="R55" s="279" t="str">
        <f>IF(OR($M55&lt;&gt;R$2,(TowerStats!$B$31-($G55-TowerStats!$H$31))&lt;=0),"Can't Kill",ROUNDUP($F55/(TowerStats!$B$31-($G55-TowerStats!$H$31)),0))</f>
        <v>Can't Kill</v>
      </c>
      <c r="S55" s="279" t="str">
        <f>IF(OR($M55&lt;&gt;S$2,(TowerStats!$B$32-($G55-TowerStats!$H$32))&lt;=0),"Can't Kill",ROUNDUP($F55/(TowerStats!$B$32-($G55-TowerStats!$H$32)),0))</f>
        <v>Can't Kill</v>
      </c>
      <c r="T55" s="281" t="str">
        <f>IF(OR($M55&lt;&gt;T$2,(TowerStats!$B$33-($G55-TowerStats!$H$33))&lt;=0),"Can't Kill",ROUNDUP($F55/(TowerStats!$B$33-($G55-TowerStats!$H$33)),0))</f>
        <v>Can't Kill</v>
      </c>
      <c r="U55" s="280">
        <f>IF(OR($M55&lt;&gt;U$2,(TowerStats!$B$40-$G55)&lt;=0),"Can't Kill",ROUNDUP($F55/(TowerStats!$B$40-$G55),0))</f>
        <v>7</v>
      </c>
      <c r="V55" s="279">
        <f>IF(OR($M55&lt;&gt;V$2,(TowerStats!$B$41-$G55)&lt;=0),"Can't Kill",ROUNDUP($F55/(TowerStats!$B$41-$G55),0))</f>
        <v>5</v>
      </c>
      <c r="W55" s="279">
        <f>IF(OR($M55&lt;&gt;W$2,(TowerStats!$B$42-$G55)&lt;=0),"Can't Kill",ROUNDUP($F55/(TowerStats!$B$42-$G55),0))</f>
        <v>4</v>
      </c>
      <c r="X55" s="279">
        <f>IF(OR($M55&lt;&gt;X$2,(TowerStats!$B$43-$G55)&lt;=0),"Can't Kill",ROUNDUP($F55/(TowerStats!$B$43-$G55),0))</f>
        <v>3</v>
      </c>
      <c r="Y55" s="278">
        <f>IF(OR($M55&lt;&gt;Y$2,(TowerStats!$B$44-$G55)&lt;=0),"Can't Kill",ROUNDUP($F55/(TowerStats!$B$44-$G55),0))</f>
        <v>2</v>
      </c>
      <c r="Z55" s="280" t="str">
        <f>IF(OR($M55&lt;&gt;Z$2,(TowerStats!$B$54-$G55)&lt;=0),"Can't Kill",ROUNDUP($F55/(TowerStats!$B$54-$G55),0))</f>
        <v>Can't Kill</v>
      </c>
      <c r="AA55" s="279" t="str">
        <f>IF(OR($M55&lt;&gt;AA$2,(TowerStats!$B$55-$G55)&lt;=0),"Can't Kill",ROUNDUP($F55/(TowerStats!$B$55-$G55),0))</f>
        <v>Can't Kill</v>
      </c>
      <c r="AB55" s="279" t="str">
        <f>IF(OR($M55&lt;&gt;AB$2,(TowerStats!$B$56-$G55)&lt;=0),"Can't Kill",ROUNDUP($F55/(TowerStats!$B$56-$G55),0))</f>
        <v>Can't Kill</v>
      </c>
      <c r="AC55" s="279" t="str">
        <f>IF(OR($M55&lt;&gt;AC$2,(TowerStats!$B$57-$G55)&lt;=0),"Can't Kill",ROUNDUP($F55/(TowerStats!$B$57-$G55),0))</f>
        <v>Can't Kill</v>
      </c>
      <c r="AD55" s="278" t="str">
        <f>IF(OR($M55&lt;&gt;AD$2,(TowerStats!$B$58-$G55)&lt;=0),"Can't Kill",ROUNDUP($F55/(TowerStats!$B$58-$G55),0))</f>
        <v>Can't Kill</v>
      </c>
      <c r="AE55" s="280" t="str">
        <f>IF(OR($M55&lt;&gt;AE$2,(TowerStats!$B$69-($G55-TowerStats!$H$69))&lt;=0),"Can't Kill",ROUNDUP($F55/(TowerStats!$B$69-($G55-TowerStats!$H$69)),0))</f>
        <v>Can't Kill</v>
      </c>
      <c r="AF55" s="279" t="str">
        <f>IF(OR($M55&lt;&gt;AF$2,(TowerStats!$B$70-($G55-TowerStats!$H$70))&lt;=0),"Can't Kill",ROUNDUP($F55/(TowerStats!$B$70-($G55-TowerStats!$H$70)),0))</f>
        <v>Can't Kill</v>
      </c>
      <c r="AG55" s="279" t="str">
        <f>IF(OR($M55&lt;&gt;AG$2,(TowerStats!$B$71-($G55-TowerStats!$H$71))&lt;=0),"Can't Kill",ROUNDUP($F55/(TowerStats!$B$71-($G55-TowerStats!$H$71)),0))</f>
        <v>Can't Kill</v>
      </c>
      <c r="AH55" s="279" t="str">
        <f>IF(OR($M55&lt;&gt;AH$2,(TowerStats!$B$72-($G55-TowerStats!$H$72))&lt;=0),"Can't Kill",ROUNDUP($F55/(TowerStats!$B$72-($G55-TowerStats!$H$72)),0))</f>
        <v>Can't Kill</v>
      </c>
      <c r="AI55" s="278" t="str">
        <f>IF(OR($M55&lt;&gt;AI$2,(TowerStats!$B$73-($G55-TowerStats!$H$73))&lt;=0),"Can't Kill",ROUNDUP($F55/(TowerStats!$B$73-($G55-TowerStats!$H$73)),0))</f>
        <v>Can't Kill</v>
      </c>
      <c r="AJ55" s="280" t="str">
        <f>IF(OR($M55&lt;&gt;AJ$2,(TowerStats!$B$84-$G55)&lt;=0),"Can't Kill",ROUNDUP($F55/(TowerStats!$B$84-$G55),0))</f>
        <v>Can't Kill</v>
      </c>
      <c r="AK55" s="279" t="str">
        <f>IF(OR($M55&lt;&gt;AK$2,(TowerStats!$B$85-$G55)&lt;=0),"Can't Kill",ROUNDUP($F55/(TowerStats!$B$85-$G55),0))</f>
        <v>Can't Kill</v>
      </c>
      <c r="AL55" s="279" t="str">
        <f>IF(OR($M55&lt;&gt;AL$2,(TowerStats!$B$86-$G55)&lt;=0),"Can't Kill",ROUNDUP($F55/(TowerStats!$B$86-$G55),0))</f>
        <v>Can't Kill</v>
      </c>
      <c r="AM55" s="279" t="str">
        <f>IF(OR($M55&lt;&gt;AM$2,(TowerStats!$B$87-$G55)&lt;=0),"Can't Kill",ROUNDUP($F55/(TowerStats!$B$87-$G55),0))</f>
        <v>Can't Kill</v>
      </c>
      <c r="AN55" s="278" t="str">
        <f>IF(OR($M55&lt;&gt;AN$2,(TowerStats!$B$88-$G55)&lt;=0),"Can't Kill",ROUNDUP($F55/(TowerStats!$B$88-$G55),0))</f>
        <v>Can't Kill</v>
      </c>
      <c r="AO55" s="280" t="str">
        <f>IF(OR($M55&lt;&gt;AO$2,(TowerStats!$B$100-$G55)&lt;=0),"Can't Kill",ROUNDUP($F55/(TowerStats!$B$100-$G55),0))</f>
        <v>Can't Kill</v>
      </c>
      <c r="AP55" s="279" t="str">
        <f>IF(OR($M55&lt;&gt;AP$2,(TowerStats!$B$101-$G55)&lt;=0),"Can't Kill",ROUNDUP($F55/(TowerStats!$B$101-$G55),0))</f>
        <v>Can't Kill</v>
      </c>
      <c r="AQ55" s="279" t="str">
        <f>IF(OR($M55&lt;&gt;AQ$2,(TowerStats!$B$102-$G55)&lt;=0),"Can't Kill",ROUNDUP($F55/(TowerStats!$B$102-$G55),0))</f>
        <v>Can't Kill</v>
      </c>
      <c r="AR55" s="279" t="str">
        <f>IF(OR($M55&lt;&gt;AR$2,(TowerStats!$B$103-$G55)&lt;=0),"Can't Kill",ROUNDUP($F55/(TowerStats!$B$103-$G55),0))</f>
        <v>Can't Kill</v>
      </c>
      <c r="AS55" s="278" t="str">
        <f>IF(OR($M55&lt;&gt;AS$2,(TowerStats!$B$104-$G55)&lt;=0),"Can't Kill",ROUNDUP($F55/(TowerStats!$B$104-$G55),0))</f>
        <v>Can't Kill</v>
      </c>
    </row>
    <row r="56" spans="2:45" x14ac:dyDescent="0.2">
      <c r="B56" s="289">
        <f>Level1!AD4</f>
        <v>1</v>
      </c>
      <c r="C56" s="288">
        <f>Level1!AE4</f>
        <v>6</v>
      </c>
      <c r="D56" s="287" t="str">
        <f>Level1!AF4</f>
        <v>Sprinter Mickey</v>
      </c>
      <c r="E56" s="286">
        <f>VLOOKUP($D56,'Monsters Stats'!$B$8:$L$70,2,FALSE)</f>
        <v>8</v>
      </c>
      <c r="F56" s="285">
        <f>VLOOKUP($D56,'Monsters Stats'!$B$8:$L$70,3,FALSE)</f>
        <v>27</v>
      </c>
      <c r="G56" s="285">
        <f>VLOOKUP($D56,'Monsters Stats'!$B$8:$L$70,4,FALSE)</f>
        <v>5</v>
      </c>
      <c r="H56" s="285">
        <f>VLOOKUP($D56,'Monsters Stats'!$B$8:$L$70,5,FALSE)</f>
        <v>1</v>
      </c>
      <c r="I56" s="285">
        <f>VLOOKUP($D56,'Monsters Stats'!$B$8:$L$70,6,FALSE)</f>
        <v>0.7</v>
      </c>
      <c r="J56" s="285">
        <f>VLOOKUP($D56,'Monsters Stats'!$B$8:$L$70,7,FALSE)</f>
        <v>8</v>
      </c>
      <c r="K56" s="285">
        <f>VLOOKUP($D56,'Monsters Stats'!$B$8:$L$70,8,FALSE)</f>
        <v>2</v>
      </c>
      <c r="L56" s="284">
        <f>VLOOKUP($D56,'Monsters Stats'!$B$8:$L$70,9,FALSE)</f>
        <v>0</v>
      </c>
      <c r="M56" s="283">
        <f>VLOOKUP($D56,'Monsters Stats'!$B$8:$L$70,11,FALSE)</f>
        <v>0</v>
      </c>
      <c r="O56" s="282" t="str">
        <f t="shared" si="10"/>
        <v>Sprinter Mickey</v>
      </c>
      <c r="P56" s="280" t="str">
        <f>IF(OR($M56&lt;&gt;P$2,(TowerStats!$B$29-($G56-TowerStats!$H$29))&lt;=0),"Can't Kill",ROUNDUP($F56/(TowerStats!$B$29-($G56-TowerStats!$H$29)),0))</f>
        <v>Can't Kill</v>
      </c>
      <c r="Q56" s="279" t="str">
        <f>IF(OR($M56&lt;&gt;Q$2,(TowerStats!$B$30-($G56-TowerStats!$H$30))&lt;=0),"Can't Kill",ROUNDUP($F56/(TowerStats!$B$30-($G56-TowerStats!$H$30)),0))</f>
        <v>Can't Kill</v>
      </c>
      <c r="R56" s="279" t="str">
        <f>IF(OR($M56&lt;&gt;R$2,(TowerStats!$B$31-($G56-TowerStats!$H$31))&lt;=0),"Can't Kill",ROUNDUP($F56/(TowerStats!$B$31-($G56-TowerStats!$H$31)),0))</f>
        <v>Can't Kill</v>
      </c>
      <c r="S56" s="279" t="str">
        <f>IF(OR($M56&lt;&gt;S$2,(TowerStats!$B$32-($G56-TowerStats!$H$32))&lt;=0),"Can't Kill",ROUNDUP($F56/(TowerStats!$B$32-($G56-TowerStats!$H$32)),0))</f>
        <v>Can't Kill</v>
      </c>
      <c r="T56" s="281" t="str">
        <f>IF(OR($M56&lt;&gt;T$2,(TowerStats!$B$33-($G56-TowerStats!$H$33))&lt;=0),"Can't Kill",ROUNDUP($F56/(TowerStats!$B$33-($G56-TowerStats!$H$33)),0))</f>
        <v>Can't Kill</v>
      </c>
      <c r="U56" s="280">
        <f>IF(OR($M56&lt;&gt;U$2,(TowerStats!$B$40-$G56)&lt;=0),"Can't Kill",ROUNDUP($F56/(TowerStats!$B$40-$G56),0))</f>
        <v>9</v>
      </c>
      <c r="V56" s="279">
        <f>IF(OR($M56&lt;&gt;V$2,(TowerStats!$B$41-$G56)&lt;=0),"Can't Kill",ROUNDUP($F56/(TowerStats!$B$41-$G56),0))</f>
        <v>6</v>
      </c>
      <c r="W56" s="279">
        <f>IF(OR($M56&lt;&gt;W$2,(TowerStats!$B$42-$G56)&lt;=0),"Can't Kill",ROUNDUP($F56/(TowerStats!$B$42-$G56),0))</f>
        <v>4</v>
      </c>
      <c r="X56" s="279">
        <f>IF(OR($M56&lt;&gt;X$2,(TowerStats!$B$43-$G56)&lt;=0),"Can't Kill",ROUNDUP($F56/(TowerStats!$B$43-$G56),0))</f>
        <v>3</v>
      </c>
      <c r="Y56" s="278">
        <f>IF(OR($M56&lt;&gt;Y$2,(TowerStats!$B$44-$G56)&lt;=0),"Can't Kill",ROUNDUP($F56/(TowerStats!$B$44-$G56),0))</f>
        <v>2</v>
      </c>
      <c r="Z56" s="280" t="str">
        <f>IF(OR($M56&lt;&gt;Z$2,(TowerStats!$B$54-$G56)&lt;=0),"Can't Kill",ROUNDUP($F56/(TowerStats!$B$54-$G56),0))</f>
        <v>Can't Kill</v>
      </c>
      <c r="AA56" s="279" t="str">
        <f>IF(OR($M56&lt;&gt;AA$2,(TowerStats!$B$55-$G56)&lt;=0),"Can't Kill",ROUNDUP($F56/(TowerStats!$B$55-$G56),0))</f>
        <v>Can't Kill</v>
      </c>
      <c r="AB56" s="279" t="str">
        <f>IF(OR($M56&lt;&gt;AB$2,(TowerStats!$B$56-$G56)&lt;=0),"Can't Kill",ROUNDUP($F56/(TowerStats!$B$56-$G56),0))</f>
        <v>Can't Kill</v>
      </c>
      <c r="AC56" s="279" t="str">
        <f>IF(OR($M56&lt;&gt;AC$2,(TowerStats!$B$57-$G56)&lt;=0),"Can't Kill",ROUNDUP($F56/(TowerStats!$B$57-$G56),0))</f>
        <v>Can't Kill</v>
      </c>
      <c r="AD56" s="278" t="str">
        <f>IF(OR($M56&lt;&gt;AD$2,(TowerStats!$B$58-$G56)&lt;=0),"Can't Kill",ROUNDUP($F56/(TowerStats!$B$58-$G56),0))</f>
        <v>Can't Kill</v>
      </c>
      <c r="AE56" s="280" t="str">
        <f>IF(OR($M56&lt;&gt;AE$2,(TowerStats!$B$69-($G56-TowerStats!$H$69))&lt;=0),"Can't Kill",ROUNDUP($F56/(TowerStats!$B$69-($G56-TowerStats!$H$69)),0))</f>
        <v>Can't Kill</v>
      </c>
      <c r="AF56" s="279" t="str">
        <f>IF(OR($M56&lt;&gt;AF$2,(TowerStats!$B$70-($G56-TowerStats!$H$70))&lt;=0),"Can't Kill",ROUNDUP($F56/(TowerStats!$B$70-($G56-TowerStats!$H$70)),0))</f>
        <v>Can't Kill</v>
      </c>
      <c r="AG56" s="279" t="str">
        <f>IF(OR($M56&lt;&gt;AG$2,(TowerStats!$B$71-($G56-TowerStats!$H$71))&lt;=0),"Can't Kill",ROUNDUP($F56/(TowerStats!$B$71-($G56-TowerStats!$H$71)),0))</f>
        <v>Can't Kill</v>
      </c>
      <c r="AH56" s="279" t="str">
        <f>IF(OR($M56&lt;&gt;AH$2,(TowerStats!$B$72-($G56-TowerStats!$H$72))&lt;=0),"Can't Kill",ROUNDUP($F56/(TowerStats!$B$72-($G56-TowerStats!$H$72)),0))</f>
        <v>Can't Kill</v>
      </c>
      <c r="AI56" s="278" t="str">
        <f>IF(OR($M56&lt;&gt;AI$2,(TowerStats!$B$73-($G56-TowerStats!$H$73))&lt;=0),"Can't Kill",ROUNDUP($F56/(TowerStats!$B$73-($G56-TowerStats!$H$73)),0))</f>
        <v>Can't Kill</v>
      </c>
      <c r="AJ56" s="280" t="str">
        <f>IF(OR($M56&lt;&gt;AJ$2,(TowerStats!$B$84-$G56)&lt;=0),"Can't Kill",ROUNDUP($F56/(TowerStats!$B$84-$G56),0))</f>
        <v>Can't Kill</v>
      </c>
      <c r="AK56" s="279" t="str">
        <f>IF(OR($M56&lt;&gt;AK$2,(TowerStats!$B$85-$G56)&lt;=0),"Can't Kill",ROUNDUP($F56/(TowerStats!$B$85-$G56),0))</f>
        <v>Can't Kill</v>
      </c>
      <c r="AL56" s="279" t="str">
        <f>IF(OR($M56&lt;&gt;AL$2,(TowerStats!$B$86-$G56)&lt;=0),"Can't Kill",ROUNDUP($F56/(TowerStats!$B$86-$G56),0))</f>
        <v>Can't Kill</v>
      </c>
      <c r="AM56" s="279" t="str">
        <f>IF(OR($M56&lt;&gt;AM$2,(TowerStats!$B$87-$G56)&lt;=0),"Can't Kill",ROUNDUP($F56/(TowerStats!$B$87-$G56),0))</f>
        <v>Can't Kill</v>
      </c>
      <c r="AN56" s="278" t="str">
        <f>IF(OR($M56&lt;&gt;AN$2,(TowerStats!$B$88-$G56)&lt;=0),"Can't Kill",ROUNDUP($F56/(TowerStats!$B$88-$G56),0))</f>
        <v>Can't Kill</v>
      </c>
      <c r="AO56" s="280" t="str">
        <f>IF(OR($M56&lt;&gt;AO$2,(TowerStats!$B$100-$G56)&lt;=0),"Can't Kill",ROUNDUP($F56/(TowerStats!$B$100-$G56),0))</f>
        <v>Can't Kill</v>
      </c>
      <c r="AP56" s="279" t="str">
        <f>IF(OR($M56&lt;&gt;AP$2,(TowerStats!$B$101-$G56)&lt;=0),"Can't Kill",ROUNDUP($F56/(TowerStats!$B$101-$G56),0))</f>
        <v>Can't Kill</v>
      </c>
      <c r="AQ56" s="279" t="str">
        <f>IF(OR($M56&lt;&gt;AQ$2,(TowerStats!$B$102-$G56)&lt;=0),"Can't Kill",ROUNDUP($F56/(TowerStats!$B$102-$G56),0))</f>
        <v>Can't Kill</v>
      </c>
      <c r="AR56" s="279" t="str">
        <f>IF(OR($M56&lt;&gt;AR$2,(TowerStats!$B$103-$G56)&lt;=0),"Can't Kill",ROUNDUP($F56/(TowerStats!$B$103-$G56),0))</f>
        <v>Can't Kill</v>
      </c>
      <c r="AS56" s="278" t="str">
        <f>IF(OR($M56&lt;&gt;AS$2,(TowerStats!$B$104-$G56)&lt;=0),"Can't Kill",ROUNDUP($F56/(TowerStats!$B$104-$G56),0))</f>
        <v>Can't Kill</v>
      </c>
    </row>
    <row r="57" spans="2:45" x14ac:dyDescent="0.2">
      <c r="B57" s="289">
        <f>Level1!AD5</f>
        <v>5</v>
      </c>
      <c r="C57" s="288">
        <f>Level1!AE5</f>
        <v>6</v>
      </c>
      <c r="D57" s="287" t="str">
        <f>Level1!AF5</f>
        <v>Running Mickey</v>
      </c>
      <c r="E57" s="286">
        <f>VLOOKUP($D57,'Monsters Stats'!$B$8:$L$70,2,FALSE)</f>
        <v>6</v>
      </c>
      <c r="F57" s="285">
        <f>VLOOKUP($D57,'Monsters Stats'!$B$8:$L$70,3,FALSE)</f>
        <v>18</v>
      </c>
      <c r="G57" s="285">
        <f>VLOOKUP($D57,'Monsters Stats'!$B$8:$L$70,4,FALSE)</f>
        <v>4</v>
      </c>
      <c r="H57" s="285">
        <f>VLOOKUP($D57,'Monsters Stats'!$B$8:$L$70,5,FALSE)</f>
        <v>1</v>
      </c>
      <c r="I57" s="285">
        <f>VLOOKUP($D57,'Monsters Stats'!$B$8:$L$70,6,FALSE)</f>
        <v>0.79999999999999993</v>
      </c>
      <c r="J57" s="285">
        <f>VLOOKUP($D57,'Monsters Stats'!$B$8:$L$70,7,FALSE)</f>
        <v>6</v>
      </c>
      <c r="K57" s="285">
        <f>VLOOKUP($D57,'Monsters Stats'!$B$8:$L$70,8,FALSE)</f>
        <v>1.6</v>
      </c>
      <c r="L57" s="284">
        <f>VLOOKUP($D57,'Monsters Stats'!$B$8:$L$70,9,FALSE)</f>
        <v>0</v>
      </c>
      <c r="M57" s="283">
        <f>VLOOKUP($D57,'Monsters Stats'!$B$8:$L$70,11,FALSE)</f>
        <v>0</v>
      </c>
      <c r="O57" s="282" t="str">
        <f t="shared" si="10"/>
        <v>Running Mickey</v>
      </c>
      <c r="P57" s="280" t="str">
        <f>IF(OR($M57&lt;&gt;P$2,(TowerStats!$B$29-($G57-TowerStats!$H$29))&lt;=0),"Can't Kill",ROUNDUP($F57/(TowerStats!$B$29-($G57-TowerStats!$H$29)),0))</f>
        <v>Can't Kill</v>
      </c>
      <c r="Q57" s="279" t="str">
        <f>IF(OR($M57&lt;&gt;Q$2,(TowerStats!$B$30-($G57-TowerStats!$H$30))&lt;=0),"Can't Kill",ROUNDUP($F57/(TowerStats!$B$30-($G57-TowerStats!$H$30)),0))</f>
        <v>Can't Kill</v>
      </c>
      <c r="R57" s="279" t="str">
        <f>IF(OR($M57&lt;&gt;R$2,(TowerStats!$B$31-($G57-TowerStats!$H$31))&lt;=0),"Can't Kill",ROUNDUP($F57/(TowerStats!$B$31-($G57-TowerStats!$H$31)),0))</f>
        <v>Can't Kill</v>
      </c>
      <c r="S57" s="279" t="str">
        <f>IF(OR($M57&lt;&gt;S$2,(TowerStats!$B$32-($G57-TowerStats!$H$32))&lt;=0),"Can't Kill",ROUNDUP($F57/(TowerStats!$B$32-($G57-TowerStats!$H$32)),0))</f>
        <v>Can't Kill</v>
      </c>
      <c r="T57" s="281" t="str">
        <f>IF(OR($M57&lt;&gt;T$2,(TowerStats!$B$33-($G57-TowerStats!$H$33))&lt;=0),"Can't Kill",ROUNDUP($F57/(TowerStats!$B$33-($G57-TowerStats!$H$33)),0))</f>
        <v>Can't Kill</v>
      </c>
      <c r="U57" s="280">
        <f>IF(OR($M57&lt;&gt;U$2,(TowerStats!$B$40-$G57)&lt;=0),"Can't Kill",ROUNDUP($F57/(TowerStats!$B$40-$G57),0))</f>
        <v>5</v>
      </c>
      <c r="V57" s="279">
        <f>IF(OR($M57&lt;&gt;V$2,(TowerStats!$B$41-$G57)&lt;=0),"Can't Kill",ROUNDUP($F57/(TowerStats!$B$41-$G57),0))</f>
        <v>3</v>
      </c>
      <c r="W57" s="279">
        <f>IF(OR($M57&lt;&gt;W$2,(TowerStats!$B$42-$G57)&lt;=0),"Can't Kill",ROUNDUP($F57/(TowerStats!$B$42-$G57),0))</f>
        <v>3</v>
      </c>
      <c r="X57" s="279">
        <f>IF(OR($M57&lt;&gt;X$2,(TowerStats!$B$43-$G57)&lt;=0),"Can't Kill",ROUNDUP($F57/(TowerStats!$B$43-$G57),0))</f>
        <v>2</v>
      </c>
      <c r="Y57" s="278">
        <f>IF(OR($M57&lt;&gt;Y$2,(TowerStats!$B$44-$G57)&lt;=0),"Can't Kill",ROUNDUP($F57/(TowerStats!$B$44-$G57),0))</f>
        <v>2</v>
      </c>
      <c r="Z57" s="280" t="str">
        <f>IF(OR($M57&lt;&gt;Z$2,(TowerStats!$B$54-$G57)&lt;=0),"Can't Kill",ROUNDUP($F57/(TowerStats!$B$54-$G57),0))</f>
        <v>Can't Kill</v>
      </c>
      <c r="AA57" s="279" t="str">
        <f>IF(OR($M57&lt;&gt;AA$2,(TowerStats!$B$55-$G57)&lt;=0),"Can't Kill",ROUNDUP($F57/(TowerStats!$B$55-$G57),0))</f>
        <v>Can't Kill</v>
      </c>
      <c r="AB57" s="279" t="str">
        <f>IF(OR($M57&lt;&gt;AB$2,(TowerStats!$B$56-$G57)&lt;=0),"Can't Kill",ROUNDUP($F57/(TowerStats!$B$56-$G57),0))</f>
        <v>Can't Kill</v>
      </c>
      <c r="AC57" s="279" t="str">
        <f>IF(OR($M57&lt;&gt;AC$2,(TowerStats!$B$57-$G57)&lt;=0),"Can't Kill",ROUNDUP($F57/(TowerStats!$B$57-$G57),0))</f>
        <v>Can't Kill</v>
      </c>
      <c r="AD57" s="278" t="str">
        <f>IF(OR($M57&lt;&gt;AD$2,(TowerStats!$B$58-$G57)&lt;=0),"Can't Kill",ROUNDUP($F57/(TowerStats!$B$58-$G57),0))</f>
        <v>Can't Kill</v>
      </c>
      <c r="AE57" s="280" t="str">
        <f>IF(OR($M57&lt;&gt;AE$2,(TowerStats!$B$69-($G57-TowerStats!$H$69))&lt;=0),"Can't Kill",ROUNDUP($F57/(TowerStats!$B$69-($G57-TowerStats!$H$69)),0))</f>
        <v>Can't Kill</v>
      </c>
      <c r="AF57" s="279" t="str">
        <f>IF(OR($M57&lt;&gt;AF$2,(TowerStats!$B$70-($G57-TowerStats!$H$70))&lt;=0),"Can't Kill",ROUNDUP($F57/(TowerStats!$B$70-($G57-TowerStats!$H$70)),0))</f>
        <v>Can't Kill</v>
      </c>
      <c r="AG57" s="279" t="str">
        <f>IF(OR($M57&lt;&gt;AG$2,(TowerStats!$B$71-($G57-TowerStats!$H$71))&lt;=0),"Can't Kill",ROUNDUP($F57/(TowerStats!$B$71-($G57-TowerStats!$H$71)),0))</f>
        <v>Can't Kill</v>
      </c>
      <c r="AH57" s="279" t="str">
        <f>IF(OR($M57&lt;&gt;AH$2,(TowerStats!$B$72-($G57-TowerStats!$H$72))&lt;=0),"Can't Kill",ROUNDUP($F57/(TowerStats!$B$72-($G57-TowerStats!$H$72)),0))</f>
        <v>Can't Kill</v>
      </c>
      <c r="AI57" s="278" t="str">
        <f>IF(OR($M57&lt;&gt;AI$2,(TowerStats!$B$73-($G57-TowerStats!$H$73))&lt;=0),"Can't Kill",ROUNDUP($F57/(TowerStats!$B$73-($G57-TowerStats!$H$73)),0))</f>
        <v>Can't Kill</v>
      </c>
      <c r="AJ57" s="280" t="str">
        <f>IF(OR($M57&lt;&gt;AJ$2,(TowerStats!$B$84-$G57)&lt;=0),"Can't Kill",ROUNDUP($F57/(TowerStats!$B$84-$G57),0))</f>
        <v>Can't Kill</v>
      </c>
      <c r="AK57" s="279" t="str">
        <f>IF(OR($M57&lt;&gt;AK$2,(TowerStats!$B$85-$G57)&lt;=0),"Can't Kill",ROUNDUP($F57/(TowerStats!$B$85-$G57),0))</f>
        <v>Can't Kill</v>
      </c>
      <c r="AL57" s="279" t="str">
        <f>IF(OR($M57&lt;&gt;AL$2,(TowerStats!$B$86-$G57)&lt;=0),"Can't Kill",ROUNDUP($F57/(TowerStats!$B$86-$G57),0))</f>
        <v>Can't Kill</v>
      </c>
      <c r="AM57" s="279" t="str">
        <f>IF(OR($M57&lt;&gt;AM$2,(TowerStats!$B$87-$G57)&lt;=0),"Can't Kill",ROUNDUP($F57/(TowerStats!$B$87-$G57),0))</f>
        <v>Can't Kill</v>
      </c>
      <c r="AN57" s="278" t="str">
        <f>IF(OR($M57&lt;&gt;AN$2,(TowerStats!$B$88-$G57)&lt;=0),"Can't Kill",ROUNDUP($F57/(TowerStats!$B$88-$G57),0))</f>
        <v>Can't Kill</v>
      </c>
      <c r="AO57" s="280" t="str">
        <f>IF(OR($M57&lt;&gt;AO$2,(TowerStats!$B$100-$G57)&lt;=0),"Can't Kill",ROUNDUP($F57/(TowerStats!$B$100-$G57),0))</f>
        <v>Can't Kill</v>
      </c>
      <c r="AP57" s="279" t="str">
        <f>IF(OR($M57&lt;&gt;AP$2,(TowerStats!$B$101-$G57)&lt;=0),"Can't Kill",ROUNDUP($F57/(TowerStats!$B$101-$G57),0))</f>
        <v>Can't Kill</v>
      </c>
      <c r="AQ57" s="279" t="str">
        <f>IF(OR($M57&lt;&gt;AQ$2,(TowerStats!$B$102-$G57)&lt;=0),"Can't Kill",ROUNDUP($F57/(TowerStats!$B$102-$G57),0))</f>
        <v>Can't Kill</v>
      </c>
      <c r="AR57" s="279" t="str">
        <f>IF(OR($M57&lt;&gt;AR$2,(TowerStats!$B$103-$G57)&lt;=0),"Can't Kill",ROUNDUP($F57/(TowerStats!$B$103-$G57),0))</f>
        <v>Can't Kill</v>
      </c>
      <c r="AS57" s="278" t="str">
        <f>IF(OR($M57&lt;&gt;AS$2,(TowerStats!$B$104-$G57)&lt;=0),"Can't Kill",ROUNDUP($F57/(TowerStats!$B$104-$G57),0))</f>
        <v>Can't Kill</v>
      </c>
    </row>
    <row r="58" spans="2:45" x14ac:dyDescent="0.2">
      <c r="B58" s="289">
        <f>Level1!AD6</f>
        <v>2</v>
      </c>
      <c r="C58" s="288">
        <f>Level1!AE6</f>
        <v>1</v>
      </c>
      <c r="D58" s="287" t="str">
        <f>Level1!AF6</f>
        <v>Running Mickey</v>
      </c>
      <c r="E58" s="286">
        <f>VLOOKUP($D58,'Monsters Stats'!$B$8:$L$70,2,FALSE)</f>
        <v>6</v>
      </c>
      <c r="F58" s="285">
        <f>VLOOKUP($D58,'Monsters Stats'!$B$8:$L$70,3,FALSE)</f>
        <v>18</v>
      </c>
      <c r="G58" s="285">
        <f>VLOOKUP($D58,'Monsters Stats'!$B$8:$L$70,4,FALSE)</f>
        <v>4</v>
      </c>
      <c r="H58" s="285">
        <f>VLOOKUP($D58,'Monsters Stats'!$B$8:$L$70,5,FALSE)</f>
        <v>1</v>
      </c>
      <c r="I58" s="285">
        <f>VLOOKUP($D58,'Monsters Stats'!$B$8:$L$70,6,FALSE)</f>
        <v>0.79999999999999993</v>
      </c>
      <c r="J58" s="285">
        <f>VLOOKUP($D58,'Monsters Stats'!$B$8:$L$70,7,FALSE)</f>
        <v>6</v>
      </c>
      <c r="K58" s="285">
        <f>VLOOKUP($D58,'Monsters Stats'!$B$8:$L$70,8,FALSE)</f>
        <v>1.6</v>
      </c>
      <c r="L58" s="284">
        <f>VLOOKUP($D58,'Monsters Stats'!$B$8:$L$70,9,FALSE)</f>
        <v>0</v>
      </c>
      <c r="M58" s="283">
        <f>VLOOKUP($D58,'Monsters Stats'!$B$8:$L$70,11,FALSE)</f>
        <v>0</v>
      </c>
      <c r="O58" s="282" t="str">
        <f t="shared" si="10"/>
        <v>Running Mickey</v>
      </c>
      <c r="P58" s="280" t="str">
        <f>IF(OR($M58&lt;&gt;P$2,(TowerStats!$B$29-($G58-TowerStats!$H$29))&lt;=0),"Can't Kill",ROUNDUP($F58/(TowerStats!$B$29-($G58-TowerStats!$H$29)),0))</f>
        <v>Can't Kill</v>
      </c>
      <c r="Q58" s="279" t="str">
        <f>IF(OR($M58&lt;&gt;Q$2,(TowerStats!$B$30-($G58-TowerStats!$H$30))&lt;=0),"Can't Kill",ROUNDUP($F58/(TowerStats!$B$30-($G58-TowerStats!$H$30)),0))</f>
        <v>Can't Kill</v>
      </c>
      <c r="R58" s="279" t="str">
        <f>IF(OR($M58&lt;&gt;R$2,(TowerStats!$B$31-($G58-TowerStats!$H$31))&lt;=0),"Can't Kill",ROUNDUP($F58/(TowerStats!$B$31-($G58-TowerStats!$H$31)),0))</f>
        <v>Can't Kill</v>
      </c>
      <c r="S58" s="279" t="str">
        <f>IF(OR($M58&lt;&gt;S$2,(TowerStats!$B$32-($G58-TowerStats!$H$32))&lt;=0),"Can't Kill",ROUNDUP($F58/(TowerStats!$B$32-($G58-TowerStats!$H$32)),0))</f>
        <v>Can't Kill</v>
      </c>
      <c r="T58" s="281" t="str">
        <f>IF(OR($M58&lt;&gt;T$2,(TowerStats!$B$33-($G58-TowerStats!$H$33))&lt;=0),"Can't Kill",ROUNDUP($F58/(TowerStats!$B$33-($G58-TowerStats!$H$33)),0))</f>
        <v>Can't Kill</v>
      </c>
      <c r="U58" s="280">
        <f>IF(OR($M58&lt;&gt;U$2,(TowerStats!$B$40-$G58)&lt;=0),"Can't Kill",ROUNDUP($F58/(TowerStats!$B$40-$G58),0))</f>
        <v>5</v>
      </c>
      <c r="V58" s="279">
        <f>IF(OR($M58&lt;&gt;V$2,(TowerStats!$B$41-$G58)&lt;=0),"Can't Kill",ROUNDUP($F58/(TowerStats!$B$41-$G58),0))</f>
        <v>3</v>
      </c>
      <c r="W58" s="279">
        <f>IF(OR($M58&lt;&gt;W$2,(TowerStats!$B$42-$G58)&lt;=0),"Can't Kill",ROUNDUP($F58/(TowerStats!$B$42-$G58),0))</f>
        <v>3</v>
      </c>
      <c r="X58" s="279">
        <f>IF(OR($M58&lt;&gt;X$2,(TowerStats!$B$43-$G58)&lt;=0),"Can't Kill",ROUNDUP($F58/(TowerStats!$B$43-$G58),0))</f>
        <v>2</v>
      </c>
      <c r="Y58" s="278">
        <f>IF(OR($M58&lt;&gt;Y$2,(TowerStats!$B$44-$G58)&lt;=0),"Can't Kill",ROUNDUP($F58/(TowerStats!$B$44-$G58),0))</f>
        <v>2</v>
      </c>
      <c r="Z58" s="280" t="str">
        <f>IF(OR($M58&lt;&gt;Z$2,(TowerStats!$B$54-$G58)&lt;=0),"Can't Kill",ROUNDUP($F58/(TowerStats!$B$54-$G58),0))</f>
        <v>Can't Kill</v>
      </c>
      <c r="AA58" s="279" t="str">
        <f>IF(OR($M58&lt;&gt;AA$2,(TowerStats!$B$55-$G58)&lt;=0),"Can't Kill",ROUNDUP($F58/(TowerStats!$B$55-$G58),0))</f>
        <v>Can't Kill</v>
      </c>
      <c r="AB58" s="279" t="str">
        <f>IF(OR($M58&lt;&gt;AB$2,(TowerStats!$B$56-$G58)&lt;=0),"Can't Kill",ROUNDUP($F58/(TowerStats!$B$56-$G58),0))</f>
        <v>Can't Kill</v>
      </c>
      <c r="AC58" s="279" t="str">
        <f>IF(OR($M58&lt;&gt;AC$2,(TowerStats!$B$57-$G58)&lt;=0),"Can't Kill",ROUNDUP($F58/(TowerStats!$B$57-$G58),0))</f>
        <v>Can't Kill</v>
      </c>
      <c r="AD58" s="278" t="str">
        <f>IF(OR($M58&lt;&gt;AD$2,(TowerStats!$B$58-$G58)&lt;=0),"Can't Kill",ROUNDUP($F58/(TowerStats!$B$58-$G58),0))</f>
        <v>Can't Kill</v>
      </c>
      <c r="AE58" s="280" t="str">
        <f>IF(OR($M58&lt;&gt;AE$2,(TowerStats!$B$69-($G58-TowerStats!$H$69))&lt;=0),"Can't Kill",ROUNDUP($F58/(TowerStats!$B$69-($G58-TowerStats!$H$69)),0))</f>
        <v>Can't Kill</v>
      </c>
      <c r="AF58" s="279" t="str">
        <f>IF(OR($M58&lt;&gt;AF$2,(TowerStats!$B$70-($G58-TowerStats!$H$70))&lt;=0),"Can't Kill",ROUNDUP($F58/(TowerStats!$B$70-($G58-TowerStats!$H$70)),0))</f>
        <v>Can't Kill</v>
      </c>
      <c r="AG58" s="279" t="str">
        <f>IF(OR($M58&lt;&gt;AG$2,(TowerStats!$B$71-($G58-TowerStats!$H$71))&lt;=0),"Can't Kill",ROUNDUP($F58/(TowerStats!$B$71-($G58-TowerStats!$H$71)),0))</f>
        <v>Can't Kill</v>
      </c>
      <c r="AH58" s="279" t="str">
        <f>IF(OR($M58&lt;&gt;AH$2,(TowerStats!$B$72-($G58-TowerStats!$H$72))&lt;=0),"Can't Kill",ROUNDUP($F58/(TowerStats!$B$72-($G58-TowerStats!$H$72)),0))</f>
        <v>Can't Kill</v>
      </c>
      <c r="AI58" s="278" t="str">
        <f>IF(OR($M58&lt;&gt;AI$2,(TowerStats!$B$73-($G58-TowerStats!$H$73))&lt;=0),"Can't Kill",ROUNDUP($F58/(TowerStats!$B$73-($G58-TowerStats!$H$73)),0))</f>
        <v>Can't Kill</v>
      </c>
      <c r="AJ58" s="280" t="str">
        <f>IF(OR($M58&lt;&gt;AJ$2,(TowerStats!$B$84-$G58)&lt;=0),"Can't Kill",ROUNDUP($F58/(TowerStats!$B$84-$G58),0))</f>
        <v>Can't Kill</v>
      </c>
      <c r="AK58" s="279" t="str">
        <f>IF(OR($M58&lt;&gt;AK$2,(TowerStats!$B$85-$G58)&lt;=0),"Can't Kill",ROUNDUP($F58/(TowerStats!$B$85-$G58),0))</f>
        <v>Can't Kill</v>
      </c>
      <c r="AL58" s="279" t="str">
        <f>IF(OR($M58&lt;&gt;AL$2,(TowerStats!$B$86-$G58)&lt;=0),"Can't Kill",ROUNDUP($F58/(TowerStats!$B$86-$G58),0))</f>
        <v>Can't Kill</v>
      </c>
      <c r="AM58" s="279" t="str">
        <f>IF(OR($M58&lt;&gt;AM$2,(TowerStats!$B$87-$G58)&lt;=0),"Can't Kill",ROUNDUP($F58/(TowerStats!$B$87-$G58),0))</f>
        <v>Can't Kill</v>
      </c>
      <c r="AN58" s="278" t="str">
        <f>IF(OR($M58&lt;&gt;AN$2,(TowerStats!$B$88-$G58)&lt;=0),"Can't Kill",ROUNDUP($F58/(TowerStats!$B$88-$G58),0))</f>
        <v>Can't Kill</v>
      </c>
      <c r="AO58" s="280" t="str">
        <f>IF(OR($M58&lt;&gt;AO$2,(TowerStats!$B$100-$G58)&lt;=0),"Can't Kill",ROUNDUP($F58/(TowerStats!$B$100-$G58),0))</f>
        <v>Can't Kill</v>
      </c>
      <c r="AP58" s="279" t="str">
        <f>IF(OR($M58&lt;&gt;AP$2,(TowerStats!$B$101-$G58)&lt;=0),"Can't Kill",ROUNDUP($F58/(TowerStats!$B$101-$G58),0))</f>
        <v>Can't Kill</v>
      </c>
      <c r="AQ58" s="279" t="str">
        <f>IF(OR($M58&lt;&gt;AQ$2,(TowerStats!$B$102-$G58)&lt;=0),"Can't Kill",ROUNDUP($F58/(TowerStats!$B$102-$G58),0))</f>
        <v>Can't Kill</v>
      </c>
      <c r="AR58" s="279" t="str">
        <f>IF(OR($M58&lt;&gt;AR$2,(TowerStats!$B$103-$G58)&lt;=0),"Can't Kill",ROUNDUP($F58/(TowerStats!$B$103-$G58),0))</f>
        <v>Can't Kill</v>
      </c>
      <c r="AS58" s="278" t="str">
        <f>IF(OR($M58&lt;&gt;AS$2,(TowerStats!$B$104-$G58)&lt;=0),"Can't Kill",ROUNDUP($F58/(TowerStats!$B$104-$G58),0))</f>
        <v>Can't Kill</v>
      </c>
    </row>
    <row r="59" spans="2:45" ht="13.5" thickBot="1" x14ac:dyDescent="0.25">
      <c r="B59" s="277">
        <f>Level1!AD7</f>
        <v>7</v>
      </c>
      <c r="C59" s="276">
        <f>Level1!AE7</f>
        <v>4</v>
      </c>
      <c r="D59" s="275" t="str">
        <f>Level1!AF7</f>
        <v>Running Mickey</v>
      </c>
      <c r="E59" s="274">
        <f>VLOOKUP($D59,'Monsters Stats'!$B$8:$L$70,2,FALSE)</f>
        <v>6</v>
      </c>
      <c r="F59" s="273">
        <f>VLOOKUP($D59,'Monsters Stats'!$B$8:$L$70,3,FALSE)</f>
        <v>18</v>
      </c>
      <c r="G59" s="273">
        <f>VLOOKUP($D59,'Monsters Stats'!$B$8:$L$70,4,FALSE)</f>
        <v>4</v>
      </c>
      <c r="H59" s="273">
        <f>VLOOKUP($D59,'Monsters Stats'!$B$8:$L$70,5,FALSE)</f>
        <v>1</v>
      </c>
      <c r="I59" s="273">
        <f>VLOOKUP($D59,'Monsters Stats'!$B$8:$L$70,6,FALSE)</f>
        <v>0.79999999999999993</v>
      </c>
      <c r="J59" s="273">
        <f>VLOOKUP($D59,'Monsters Stats'!$B$8:$L$70,7,FALSE)</f>
        <v>6</v>
      </c>
      <c r="K59" s="273">
        <f>VLOOKUP($D59,'Monsters Stats'!$B$8:$L$70,8,FALSE)</f>
        <v>1.6</v>
      </c>
      <c r="L59" s="272">
        <f>VLOOKUP($D59,'Monsters Stats'!$B$8:$L$70,9,FALSE)</f>
        <v>0</v>
      </c>
      <c r="M59" s="271">
        <f>VLOOKUP($D59,'Monsters Stats'!$B$8:$L$70,11,FALSE)</f>
        <v>0</v>
      </c>
      <c r="O59" s="270" t="str">
        <f t="shared" si="10"/>
        <v>Running Mickey</v>
      </c>
      <c r="P59" s="268" t="str">
        <f>IF(OR($M59&lt;&gt;P$2,(TowerStats!$B$29-($G59-TowerStats!$H$29))&lt;=0),"Can't Kill",ROUNDUP($F59/(TowerStats!$B$29-($G59-TowerStats!$H$29)),0))</f>
        <v>Can't Kill</v>
      </c>
      <c r="Q59" s="267" t="str">
        <f>IF(OR($M59&lt;&gt;Q$2,(TowerStats!$B$30-($G59-TowerStats!$H$30))&lt;=0),"Can't Kill",ROUNDUP($F59/(TowerStats!$B$30-($G59-TowerStats!$H$30)),0))</f>
        <v>Can't Kill</v>
      </c>
      <c r="R59" s="267" t="str">
        <f>IF(OR($M59&lt;&gt;R$2,(TowerStats!$B$31-($G59-TowerStats!$H$31))&lt;=0),"Can't Kill",ROUNDUP($F59/(TowerStats!$B$31-($G59-TowerStats!$H$31)),0))</f>
        <v>Can't Kill</v>
      </c>
      <c r="S59" s="267" t="str">
        <f>IF(OR($M59&lt;&gt;S$2,(TowerStats!$B$32-($G59-TowerStats!$H$32))&lt;=0),"Can't Kill",ROUNDUP($F59/(TowerStats!$B$32-($G59-TowerStats!$H$32)),0))</f>
        <v>Can't Kill</v>
      </c>
      <c r="T59" s="269" t="str">
        <f>IF(OR($M59&lt;&gt;T$2,(TowerStats!$B$33-($G59-TowerStats!$H$33))&lt;=0),"Can't Kill",ROUNDUP($F59/(TowerStats!$B$33-($G59-TowerStats!$H$33)),0))</f>
        <v>Can't Kill</v>
      </c>
      <c r="U59" s="268">
        <f>IF(OR($M59&lt;&gt;U$2,(TowerStats!$B$40-$G59)&lt;=0),"Can't Kill",ROUNDUP($F59/(TowerStats!$B$40-$G59),0))</f>
        <v>5</v>
      </c>
      <c r="V59" s="267">
        <f>IF(OR($M59&lt;&gt;V$2,(TowerStats!$B$41-$G59)&lt;=0),"Can't Kill",ROUNDUP($F59/(TowerStats!$B$41-$G59),0))</f>
        <v>3</v>
      </c>
      <c r="W59" s="267">
        <f>IF(OR($M59&lt;&gt;W$2,(TowerStats!$B$42-$G59)&lt;=0),"Can't Kill",ROUNDUP($F59/(TowerStats!$B$42-$G59),0))</f>
        <v>3</v>
      </c>
      <c r="X59" s="267">
        <f>IF(OR($M59&lt;&gt;X$2,(TowerStats!$B$43-$G59)&lt;=0),"Can't Kill",ROUNDUP($F59/(TowerStats!$B$43-$G59),0))</f>
        <v>2</v>
      </c>
      <c r="Y59" s="266">
        <f>IF(OR($M59&lt;&gt;Y$2,(TowerStats!$B$44-$G59)&lt;=0),"Can't Kill",ROUNDUP($F59/(TowerStats!$B$44-$G59),0))</f>
        <v>2</v>
      </c>
      <c r="Z59" s="268" t="str">
        <f>IF(OR($M59&lt;&gt;Z$2,(TowerStats!$B$54-$G59)&lt;=0),"Can't Kill",ROUNDUP($F59/(TowerStats!$B$54-$G59),0))</f>
        <v>Can't Kill</v>
      </c>
      <c r="AA59" s="267" t="str">
        <f>IF(OR($M59&lt;&gt;AA$2,(TowerStats!$B$55-$G59)&lt;=0),"Can't Kill",ROUNDUP($F59/(TowerStats!$B$55-$G59),0))</f>
        <v>Can't Kill</v>
      </c>
      <c r="AB59" s="267" t="str">
        <f>IF(OR($M59&lt;&gt;AB$2,(TowerStats!$B$56-$G59)&lt;=0),"Can't Kill",ROUNDUP($F59/(TowerStats!$B$56-$G59),0))</f>
        <v>Can't Kill</v>
      </c>
      <c r="AC59" s="267" t="str">
        <f>IF(OR($M59&lt;&gt;AC$2,(TowerStats!$B$57-$G59)&lt;=0),"Can't Kill",ROUNDUP($F59/(TowerStats!$B$57-$G59),0))</f>
        <v>Can't Kill</v>
      </c>
      <c r="AD59" s="266" t="str">
        <f>IF(OR($M59&lt;&gt;AD$2,(TowerStats!$B$58-$G59)&lt;=0),"Can't Kill",ROUNDUP($F59/(TowerStats!$B$58-$G59),0))</f>
        <v>Can't Kill</v>
      </c>
      <c r="AE59" s="268" t="str">
        <f>IF(OR($M59&lt;&gt;AE$2,(TowerStats!$B$69-($G59-TowerStats!$H$69))&lt;=0),"Can't Kill",ROUNDUP($F59/(TowerStats!$B$69-($G59-TowerStats!$H$69)),0))</f>
        <v>Can't Kill</v>
      </c>
      <c r="AF59" s="267" t="str">
        <f>IF(OR($M59&lt;&gt;AF$2,(TowerStats!$B$70-($G59-TowerStats!$H$70))&lt;=0),"Can't Kill",ROUNDUP($F59/(TowerStats!$B$70-($G59-TowerStats!$H$70)),0))</f>
        <v>Can't Kill</v>
      </c>
      <c r="AG59" s="267" t="str">
        <f>IF(OR($M59&lt;&gt;AG$2,(TowerStats!$B$71-($G59-TowerStats!$H$71))&lt;=0),"Can't Kill",ROUNDUP($F59/(TowerStats!$B$71-($G59-TowerStats!$H$71)),0))</f>
        <v>Can't Kill</v>
      </c>
      <c r="AH59" s="267" t="str">
        <f>IF(OR($M59&lt;&gt;AH$2,(TowerStats!$B$72-($G59-TowerStats!$H$72))&lt;=0),"Can't Kill",ROUNDUP($F59/(TowerStats!$B$72-($G59-TowerStats!$H$72)),0))</f>
        <v>Can't Kill</v>
      </c>
      <c r="AI59" s="266" t="str">
        <f>IF(OR($M59&lt;&gt;AI$2,(TowerStats!$B$73-($G59-TowerStats!$H$73))&lt;=0),"Can't Kill",ROUNDUP($F59/(TowerStats!$B$73-($G59-TowerStats!$H$73)),0))</f>
        <v>Can't Kill</v>
      </c>
      <c r="AJ59" s="268" t="str">
        <f>IF(OR($M59&lt;&gt;AJ$2,(TowerStats!$B$84-$G59)&lt;=0),"Can't Kill",ROUNDUP($F59/(TowerStats!$B$84-$G59),0))</f>
        <v>Can't Kill</v>
      </c>
      <c r="AK59" s="267" t="str">
        <f>IF(OR($M59&lt;&gt;AK$2,(TowerStats!$B$85-$G59)&lt;=0),"Can't Kill",ROUNDUP($F59/(TowerStats!$B$85-$G59),0))</f>
        <v>Can't Kill</v>
      </c>
      <c r="AL59" s="267" t="str">
        <f>IF(OR($M59&lt;&gt;AL$2,(TowerStats!$B$86-$G59)&lt;=0),"Can't Kill",ROUNDUP($F59/(TowerStats!$B$86-$G59),0))</f>
        <v>Can't Kill</v>
      </c>
      <c r="AM59" s="267" t="str">
        <f>IF(OR($M59&lt;&gt;AM$2,(TowerStats!$B$87-$G59)&lt;=0),"Can't Kill",ROUNDUP($F59/(TowerStats!$B$87-$G59),0))</f>
        <v>Can't Kill</v>
      </c>
      <c r="AN59" s="266" t="str">
        <f>IF(OR($M59&lt;&gt;AN$2,(TowerStats!$B$88-$G59)&lt;=0),"Can't Kill",ROUNDUP($F59/(TowerStats!$B$88-$G59),0))</f>
        <v>Can't Kill</v>
      </c>
      <c r="AO59" s="268" t="str">
        <f>IF(OR($M59&lt;&gt;AO$2,(TowerStats!$B$100-$G59)&lt;=0),"Can't Kill",ROUNDUP($F59/(TowerStats!$B$100-$G59),0))</f>
        <v>Can't Kill</v>
      </c>
      <c r="AP59" s="267" t="str">
        <f>IF(OR($M59&lt;&gt;AP$2,(TowerStats!$B$101-$G59)&lt;=0),"Can't Kill",ROUNDUP($F59/(TowerStats!$B$101-$G59),0))</f>
        <v>Can't Kill</v>
      </c>
      <c r="AQ59" s="267" t="str">
        <f>IF(OR($M59&lt;&gt;AQ$2,(TowerStats!$B$102-$G59)&lt;=0),"Can't Kill",ROUNDUP($F59/(TowerStats!$B$102-$G59),0))</f>
        <v>Can't Kill</v>
      </c>
      <c r="AR59" s="267" t="str">
        <f>IF(OR($M59&lt;&gt;AR$2,(TowerStats!$B$103-$G59)&lt;=0),"Can't Kill",ROUNDUP($F59/(TowerStats!$B$103-$G59),0))</f>
        <v>Can't Kill</v>
      </c>
      <c r="AS59" s="266" t="str">
        <f>IF(OR($M59&lt;&gt;AS$2,(TowerStats!$B$104-$G59)&lt;=0),"Can't Kill",ROUNDUP($F59/(TowerStats!$B$104-$G59),0))</f>
        <v>Can't Kill</v>
      </c>
    </row>
    <row r="60" spans="2:45" ht="13.5" thickBot="1" x14ac:dyDescent="0.25">
      <c r="B60" s="265">
        <f>SUMPRODUCT(B54:B59,$C54:$C59)</f>
        <v>106</v>
      </c>
      <c r="C60" s="264">
        <f>SUM(C54:C59)</f>
        <v>25</v>
      </c>
      <c r="D60" s="263" t="s">
        <v>247</v>
      </c>
      <c r="E60" s="262">
        <f t="shared" ref="E60:J60" si="11">SUMPRODUCT(E54:E59,$C54:$C59)</f>
        <v>182</v>
      </c>
      <c r="F60" s="262">
        <f t="shared" si="11"/>
        <v>540</v>
      </c>
      <c r="G60" s="262">
        <f t="shared" si="11"/>
        <v>104</v>
      </c>
      <c r="H60" s="262">
        <f t="shared" si="11"/>
        <v>25</v>
      </c>
      <c r="I60" s="262">
        <f t="shared" si="11"/>
        <v>19.399999999999999</v>
      </c>
      <c r="J60" s="262">
        <f t="shared" si="11"/>
        <v>146</v>
      </c>
      <c r="K60" s="262">
        <f>SUMPRODUCT(K54:K59,$C54:$C59)/C60</f>
        <v>1.528</v>
      </c>
      <c r="L60" s="261">
        <f>SUMPRODUCT(L54:L59,$C54:$C59)</f>
        <v>0</v>
      </c>
      <c r="M60" s="260"/>
      <c r="O60" s="260"/>
    </row>
  </sheetData>
  <phoneticPr fontId="2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6"/>
  <sheetViews>
    <sheetView workbookViewId="0"/>
  </sheetViews>
  <sheetFormatPr defaultRowHeight="13.5" x14ac:dyDescent="0.15"/>
  <sheetData>
    <row r="1" spans="1:5" x14ac:dyDescent="0.15">
      <c r="A1" t="s">
        <v>261</v>
      </c>
      <c r="B1" t="s">
        <v>292</v>
      </c>
      <c r="C1" t="s">
        <v>293</v>
      </c>
      <c r="E1" t="s">
        <v>303</v>
      </c>
    </row>
    <row r="2" spans="1:5" x14ac:dyDescent="0.15">
      <c r="B2">
        <v>1</v>
      </c>
      <c r="C2" t="s">
        <v>250</v>
      </c>
      <c r="E2" t="s">
        <v>251</v>
      </c>
    </row>
    <row r="3" spans="1:5" x14ac:dyDescent="0.15">
      <c r="B3">
        <v>2</v>
      </c>
      <c r="C3" t="s">
        <v>262</v>
      </c>
      <c r="E3" t="s">
        <v>298</v>
      </c>
    </row>
    <row r="4" spans="1:5" x14ac:dyDescent="0.15">
      <c r="B4">
        <v>3</v>
      </c>
      <c r="C4" t="s">
        <v>263</v>
      </c>
      <c r="E4" t="s">
        <v>295</v>
      </c>
    </row>
    <row r="5" spans="1:5" x14ac:dyDescent="0.15">
      <c r="B5">
        <v>4</v>
      </c>
      <c r="C5" t="s">
        <v>264</v>
      </c>
      <c r="E5" t="s">
        <v>296</v>
      </c>
    </row>
    <row r="6" spans="1:5" x14ac:dyDescent="0.15">
      <c r="B6">
        <v>5</v>
      </c>
      <c r="C6" t="s">
        <v>252</v>
      </c>
      <c r="E6" t="s">
        <v>299</v>
      </c>
    </row>
    <row r="7" spans="1:5" x14ac:dyDescent="0.15">
      <c r="B7">
        <v>6</v>
      </c>
      <c r="C7" t="s">
        <v>265</v>
      </c>
      <c r="E7" t="s">
        <v>260</v>
      </c>
    </row>
    <row r="8" spans="1:5" x14ac:dyDescent="0.15">
      <c r="B8">
        <v>7</v>
      </c>
      <c r="C8" t="s">
        <v>266</v>
      </c>
      <c r="E8" t="s">
        <v>297</v>
      </c>
    </row>
    <row r="9" spans="1:5" x14ac:dyDescent="0.15">
      <c r="B9">
        <v>8</v>
      </c>
      <c r="C9" t="s">
        <v>267</v>
      </c>
      <c r="E9" t="s">
        <v>300</v>
      </c>
    </row>
    <row r="10" spans="1:5" x14ac:dyDescent="0.15">
      <c r="B10">
        <v>9</v>
      </c>
      <c r="C10" t="s">
        <v>268</v>
      </c>
      <c r="E10" t="s">
        <v>304</v>
      </c>
    </row>
    <row r="11" spans="1:5" x14ac:dyDescent="0.15">
      <c r="B11">
        <v>10</v>
      </c>
      <c r="C11" t="s">
        <v>269</v>
      </c>
      <c r="E11" t="s">
        <v>253</v>
      </c>
    </row>
    <row r="12" spans="1:5" x14ac:dyDescent="0.15">
      <c r="B12">
        <v>11</v>
      </c>
      <c r="C12" t="s">
        <v>258</v>
      </c>
      <c r="E12" t="s">
        <v>256</v>
      </c>
    </row>
    <row r="13" spans="1:5" x14ac:dyDescent="0.15">
      <c r="B13">
        <v>12</v>
      </c>
      <c r="C13" t="s">
        <v>249</v>
      </c>
      <c r="E13" t="s">
        <v>257</v>
      </c>
    </row>
    <row r="14" spans="1:5" x14ac:dyDescent="0.15">
      <c r="B14">
        <v>13</v>
      </c>
      <c r="C14" t="s">
        <v>270</v>
      </c>
    </row>
    <row r="15" spans="1:5" x14ac:dyDescent="0.15">
      <c r="B15">
        <v>14</v>
      </c>
      <c r="C15" t="s">
        <v>271</v>
      </c>
    </row>
    <row r="16" spans="1:5" x14ac:dyDescent="0.15">
      <c r="B16">
        <v>15</v>
      </c>
      <c r="C16" t="s">
        <v>272</v>
      </c>
    </row>
    <row r="17" spans="2:3" x14ac:dyDescent="0.15">
      <c r="B17">
        <v>16</v>
      </c>
      <c r="C17" t="s">
        <v>255</v>
      </c>
    </row>
    <row r="18" spans="2:3" x14ac:dyDescent="0.15">
      <c r="B18">
        <v>17</v>
      </c>
      <c r="C18" t="s">
        <v>254</v>
      </c>
    </row>
    <row r="19" spans="2:3" x14ac:dyDescent="0.15">
      <c r="B19">
        <v>18</v>
      </c>
      <c r="C19" t="s">
        <v>273</v>
      </c>
    </row>
    <row r="20" spans="2:3" x14ac:dyDescent="0.15">
      <c r="B20">
        <v>19</v>
      </c>
      <c r="C20" t="s">
        <v>274</v>
      </c>
    </row>
    <row r="21" spans="2:3" x14ac:dyDescent="0.15">
      <c r="B21">
        <v>20</v>
      </c>
      <c r="C21" t="s">
        <v>269</v>
      </c>
    </row>
    <row r="22" spans="2:3" x14ac:dyDescent="0.15">
      <c r="B22">
        <v>21</v>
      </c>
      <c r="C22" t="s">
        <v>259</v>
      </c>
    </row>
    <row r="23" spans="2:3" x14ac:dyDescent="0.15">
      <c r="B23">
        <v>22</v>
      </c>
      <c r="C23" t="s">
        <v>275</v>
      </c>
    </row>
    <row r="24" spans="2:3" x14ac:dyDescent="0.15">
      <c r="B24">
        <v>23</v>
      </c>
      <c r="C24" t="s">
        <v>276</v>
      </c>
    </row>
    <row r="25" spans="2:3" x14ac:dyDescent="0.15">
      <c r="B25">
        <v>24</v>
      </c>
      <c r="C25" t="s">
        <v>277</v>
      </c>
    </row>
    <row r="26" spans="2:3" x14ac:dyDescent="0.15">
      <c r="B26">
        <v>25</v>
      </c>
      <c r="C26" t="s">
        <v>278</v>
      </c>
    </row>
    <row r="27" spans="2:3" x14ac:dyDescent="0.15">
      <c r="B27">
        <v>26</v>
      </c>
      <c r="C27" t="s">
        <v>279</v>
      </c>
    </row>
    <row r="28" spans="2:3" x14ac:dyDescent="0.15">
      <c r="B28">
        <v>27</v>
      </c>
      <c r="C28" t="s">
        <v>280</v>
      </c>
    </row>
    <row r="29" spans="2:3" x14ac:dyDescent="0.15">
      <c r="B29">
        <v>28</v>
      </c>
      <c r="C29" t="s">
        <v>281</v>
      </c>
    </row>
    <row r="30" spans="2:3" x14ac:dyDescent="0.15">
      <c r="B30">
        <v>29</v>
      </c>
      <c r="C30" t="s">
        <v>282</v>
      </c>
    </row>
    <row r="31" spans="2:3" x14ac:dyDescent="0.15">
      <c r="B31">
        <v>30</v>
      </c>
      <c r="C31" t="s">
        <v>283</v>
      </c>
    </row>
    <row r="32" spans="2:3" x14ac:dyDescent="0.15">
      <c r="B32">
        <v>31</v>
      </c>
      <c r="C32" t="s">
        <v>284</v>
      </c>
    </row>
    <row r="33" spans="2:3" x14ac:dyDescent="0.15">
      <c r="B33">
        <v>32</v>
      </c>
      <c r="C33" t="s">
        <v>285</v>
      </c>
    </row>
    <row r="34" spans="2:3" x14ac:dyDescent="0.15">
      <c r="B34">
        <v>33</v>
      </c>
      <c r="C34" t="s">
        <v>286</v>
      </c>
    </row>
    <row r="35" spans="2:3" x14ac:dyDescent="0.15">
      <c r="B35">
        <v>34</v>
      </c>
      <c r="C35" t="s">
        <v>287</v>
      </c>
    </row>
    <row r="36" spans="2:3" x14ac:dyDescent="0.15">
      <c r="B36">
        <v>35</v>
      </c>
      <c r="C36" t="s">
        <v>288</v>
      </c>
    </row>
    <row r="37" spans="2:3" x14ac:dyDescent="0.15">
      <c r="B37">
        <v>36</v>
      </c>
      <c r="C37" t="s">
        <v>289</v>
      </c>
    </row>
    <row r="38" spans="2:3" x14ac:dyDescent="0.15">
      <c r="B38">
        <v>37</v>
      </c>
      <c r="C38" t="s">
        <v>290</v>
      </c>
    </row>
    <row r="39" spans="2:3" x14ac:dyDescent="0.15">
      <c r="B39">
        <v>38</v>
      </c>
      <c r="C39" t="s">
        <v>291</v>
      </c>
    </row>
    <row r="40" spans="2:3" x14ac:dyDescent="0.15">
      <c r="B40">
        <v>39</v>
      </c>
      <c r="C40" t="s">
        <v>290</v>
      </c>
    </row>
    <row r="41" spans="2:3" x14ac:dyDescent="0.15">
      <c r="B41">
        <v>40</v>
      </c>
      <c r="C41" t="s">
        <v>289</v>
      </c>
    </row>
    <row r="42" spans="2:3" x14ac:dyDescent="0.15">
      <c r="B42">
        <v>41</v>
      </c>
      <c r="C42" t="s">
        <v>288</v>
      </c>
    </row>
    <row r="43" spans="2:3" x14ac:dyDescent="0.15">
      <c r="B43">
        <v>42</v>
      </c>
      <c r="C43" t="s">
        <v>287</v>
      </c>
    </row>
    <row r="44" spans="2:3" x14ac:dyDescent="0.15">
      <c r="B44">
        <v>43</v>
      </c>
      <c r="C44" t="s">
        <v>286</v>
      </c>
    </row>
    <row r="45" spans="2:3" x14ac:dyDescent="0.15">
      <c r="B45">
        <v>44</v>
      </c>
      <c r="C45" t="s">
        <v>285</v>
      </c>
    </row>
    <row r="46" spans="2:3" x14ac:dyDescent="0.15">
      <c r="B46">
        <v>45</v>
      </c>
      <c r="C46" t="s">
        <v>284</v>
      </c>
    </row>
    <row r="47" spans="2:3" x14ac:dyDescent="0.15">
      <c r="B47">
        <v>46</v>
      </c>
      <c r="C47" t="s">
        <v>283</v>
      </c>
    </row>
    <row r="48" spans="2:3" x14ac:dyDescent="0.15">
      <c r="B48">
        <v>47</v>
      </c>
      <c r="C48" t="s">
        <v>282</v>
      </c>
    </row>
    <row r="49" spans="2:3" x14ac:dyDescent="0.15">
      <c r="B49">
        <v>48</v>
      </c>
      <c r="C49" t="s">
        <v>281</v>
      </c>
    </row>
    <row r="50" spans="2:3" x14ac:dyDescent="0.15">
      <c r="B50">
        <v>49</v>
      </c>
      <c r="C50" t="s">
        <v>280</v>
      </c>
    </row>
    <row r="51" spans="2:3" x14ac:dyDescent="0.15">
      <c r="B51">
        <v>50</v>
      </c>
      <c r="C51" t="s">
        <v>279</v>
      </c>
    </row>
    <row r="52" spans="2:3" x14ac:dyDescent="0.15">
      <c r="B52">
        <v>51</v>
      </c>
      <c r="C52" t="s">
        <v>278</v>
      </c>
    </row>
    <row r="53" spans="2:3" x14ac:dyDescent="0.15">
      <c r="B53">
        <v>52</v>
      </c>
      <c r="C53" t="s">
        <v>277</v>
      </c>
    </row>
    <row r="54" spans="2:3" x14ac:dyDescent="0.15">
      <c r="B54">
        <v>53</v>
      </c>
      <c r="C54" t="s">
        <v>276</v>
      </c>
    </row>
    <row r="55" spans="2:3" x14ac:dyDescent="0.15">
      <c r="B55">
        <v>54</v>
      </c>
      <c r="C55" t="s">
        <v>275</v>
      </c>
    </row>
    <row r="56" spans="2:3" x14ac:dyDescent="0.15">
      <c r="B56">
        <v>55</v>
      </c>
      <c r="C56" t="s">
        <v>259</v>
      </c>
    </row>
    <row r="57" spans="2:3" x14ac:dyDescent="0.15">
      <c r="B57">
        <v>56</v>
      </c>
      <c r="C57" t="s">
        <v>269</v>
      </c>
    </row>
    <row r="58" spans="2:3" x14ac:dyDescent="0.15">
      <c r="B58">
        <v>57</v>
      </c>
      <c r="C58" t="s">
        <v>274</v>
      </c>
    </row>
    <row r="59" spans="2:3" x14ac:dyDescent="0.15">
      <c r="B59">
        <v>58</v>
      </c>
      <c r="C59" t="s">
        <v>273</v>
      </c>
    </row>
    <row r="60" spans="2:3" x14ac:dyDescent="0.15">
      <c r="B60">
        <v>59</v>
      </c>
      <c r="C60" t="s">
        <v>254</v>
      </c>
    </row>
    <row r="61" spans="2:3" x14ac:dyDescent="0.15">
      <c r="B61">
        <v>60</v>
      </c>
      <c r="C61" t="s">
        <v>255</v>
      </c>
    </row>
    <row r="62" spans="2:3" x14ac:dyDescent="0.15">
      <c r="B62">
        <v>61</v>
      </c>
      <c r="C62" t="s">
        <v>272</v>
      </c>
    </row>
    <row r="63" spans="2:3" x14ac:dyDescent="0.15">
      <c r="B63">
        <v>62</v>
      </c>
      <c r="C63" t="s">
        <v>271</v>
      </c>
    </row>
    <row r="64" spans="2:3" x14ac:dyDescent="0.15">
      <c r="B64">
        <v>63</v>
      </c>
      <c r="C64" t="s">
        <v>270</v>
      </c>
    </row>
    <row r="65" spans="2:3" x14ac:dyDescent="0.15">
      <c r="B65">
        <v>64</v>
      </c>
      <c r="C65" t="s">
        <v>249</v>
      </c>
    </row>
    <row r="66" spans="2:3" x14ac:dyDescent="0.15">
      <c r="B66">
        <v>65</v>
      </c>
      <c r="C66" t="s">
        <v>258</v>
      </c>
    </row>
    <row r="67" spans="2:3" x14ac:dyDescent="0.15">
      <c r="B67">
        <v>66</v>
      </c>
      <c r="C67" t="s">
        <v>269</v>
      </c>
    </row>
    <row r="68" spans="2:3" x14ac:dyDescent="0.15">
      <c r="B68">
        <v>67</v>
      </c>
      <c r="C68" t="s">
        <v>268</v>
      </c>
    </row>
    <row r="69" spans="2:3" x14ac:dyDescent="0.15">
      <c r="B69">
        <v>68</v>
      </c>
      <c r="C69" t="s">
        <v>267</v>
      </c>
    </row>
    <row r="70" spans="2:3" x14ac:dyDescent="0.15">
      <c r="B70">
        <v>69</v>
      </c>
      <c r="C70" t="s">
        <v>266</v>
      </c>
    </row>
    <row r="71" spans="2:3" x14ac:dyDescent="0.15">
      <c r="B71">
        <v>70</v>
      </c>
      <c r="C71" t="s">
        <v>265</v>
      </c>
    </row>
    <row r="72" spans="2:3" x14ac:dyDescent="0.15">
      <c r="B72">
        <v>71</v>
      </c>
      <c r="C72" t="s">
        <v>252</v>
      </c>
    </row>
    <row r="73" spans="2:3" x14ac:dyDescent="0.15">
      <c r="B73">
        <v>72</v>
      </c>
      <c r="C73" t="s">
        <v>264</v>
      </c>
    </row>
    <row r="74" spans="2:3" x14ac:dyDescent="0.15">
      <c r="B74">
        <v>73</v>
      </c>
      <c r="C74" t="s">
        <v>263</v>
      </c>
    </row>
    <row r="75" spans="2:3" x14ac:dyDescent="0.15">
      <c r="B75">
        <v>74</v>
      </c>
      <c r="C75" t="s">
        <v>262</v>
      </c>
    </row>
    <row r="76" spans="2:3" x14ac:dyDescent="0.15">
      <c r="B76">
        <v>75</v>
      </c>
      <c r="C76" t="s">
        <v>250</v>
      </c>
    </row>
  </sheetData>
  <phoneticPr fontId="2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B14"/>
  <sheetViews>
    <sheetView workbookViewId="0">
      <selection activeCell="K11" sqref="K11"/>
    </sheetView>
  </sheetViews>
  <sheetFormatPr defaultRowHeight="13.5" x14ac:dyDescent="0.15"/>
  <cols>
    <col min="17" max="28" width="5.75" customWidth="1" collapsed="1"/>
  </cols>
  <sheetData>
    <row r="1" spans="2:28" ht="14.25" x14ac:dyDescent="0.2">
      <c r="Q1" s="206">
        <v>1</v>
      </c>
      <c r="R1" s="193">
        <v>2</v>
      </c>
      <c r="S1" s="193">
        <v>3</v>
      </c>
      <c r="T1" s="171"/>
      <c r="U1" s="171"/>
      <c r="V1" s="207">
        <v>38</v>
      </c>
      <c r="W1" s="193">
        <v>37</v>
      </c>
      <c r="X1" s="193">
        <v>36</v>
      </c>
      <c r="Y1" s="193">
        <v>35</v>
      </c>
      <c r="Z1" s="193">
        <v>34</v>
      </c>
      <c r="AA1" s="171"/>
      <c r="AB1" s="194"/>
    </row>
    <row r="2" spans="2:28" ht="14.25" x14ac:dyDescent="0.2">
      <c r="B2" s="384"/>
      <c r="C2" s="384"/>
      <c r="D2" s="384"/>
      <c r="E2" s="384"/>
      <c r="F2" s="384"/>
      <c r="G2" s="384"/>
      <c r="H2" s="384"/>
      <c r="I2" s="384"/>
      <c r="J2" s="384"/>
      <c r="Q2" s="173"/>
      <c r="R2" s="194"/>
      <c r="S2" s="193">
        <v>4</v>
      </c>
      <c r="T2" s="194"/>
      <c r="U2" s="194"/>
      <c r="V2" s="194"/>
      <c r="W2" s="194"/>
      <c r="X2" s="194"/>
      <c r="Y2" s="173"/>
      <c r="Z2" s="193">
        <v>33</v>
      </c>
      <c r="AA2" s="194"/>
      <c r="AB2" s="194"/>
    </row>
    <row r="3" spans="2:28" ht="14.25" x14ac:dyDescent="0.2">
      <c r="B3" s="384"/>
      <c r="C3" s="384"/>
      <c r="D3" s="384"/>
      <c r="E3" s="384"/>
      <c r="F3" s="384"/>
      <c r="G3" s="384"/>
      <c r="H3" s="384"/>
      <c r="I3" s="384"/>
      <c r="J3" s="384"/>
      <c r="M3" t="s">
        <v>248</v>
      </c>
      <c r="N3">
        <v>3</v>
      </c>
      <c r="O3" t="b">
        <f ca="1">ContainsValue(N3,$M$3)</f>
        <v>1</v>
      </c>
      <c r="Q3" s="194"/>
      <c r="R3" s="194"/>
      <c r="S3" s="193">
        <v>5</v>
      </c>
      <c r="T3" s="172"/>
      <c r="U3" s="193">
        <v>17</v>
      </c>
      <c r="V3" s="193">
        <v>16</v>
      </c>
      <c r="W3" s="193">
        <v>15</v>
      </c>
      <c r="X3" s="194"/>
      <c r="Y3" s="194"/>
      <c r="Z3" s="193">
        <v>32</v>
      </c>
      <c r="AA3" s="194"/>
      <c r="AB3" s="194"/>
    </row>
    <row r="4" spans="2:28" ht="14.25" x14ac:dyDescent="0.2">
      <c r="B4" s="384"/>
      <c r="C4" s="384"/>
      <c r="D4" s="384"/>
      <c r="E4" s="384"/>
      <c r="F4" s="384"/>
      <c r="G4" s="384"/>
      <c r="H4" s="384"/>
      <c r="I4" s="384"/>
      <c r="J4" s="384"/>
      <c r="N4">
        <v>34</v>
      </c>
      <c r="O4" t="b">
        <f ca="1">ContainsValue(N4,$M$3)</f>
        <v>0</v>
      </c>
      <c r="Q4" s="194"/>
      <c r="R4" s="194"/>
      <c r="S4" s="193">
        <v>6</v>
      </c>
      <c r="T4" s="173"/>
      <c r="U4" s="193">
        <v>18</v>
      </c>
      <c r="V4" s="172"/>
      <c r="W4" s="193">
        <v>14</v>
      </c>
      <c r="X4" s="173"/>
      <c r="Y4" s="194"/>
      <c r="Z4" s="193">
        <v>31</v>
      </c>
      <c r="AA4" s="173"/>
      <c r="AB4" s="194"/>
    </row>
    <row r="5" spans="2:28" ht="14.25" x14ac:dyDescent="0.2">
      <c r="B5" s="384"/>
      <c r="C5" s="384"/>
      <c r="D5" s="384"/>
      <c r="E5" s="384"/>
      <c r="F5" s="384"/>
      <c r="G5" s="384"/>
      <c r="H5" s="384"/>
      <c r="I5" s="384"/>
      <c r="J5" s="384"/>
      <c r="N5">
        <v>4</v>
      </c>
      <c r="O5" t="b">
        <f ca="1">ContainsValue(N5,$M$3)</f>
        <v>1</v>
      </c>
      <c r="Q5" s="194"/>
      <c r="R5" s="194"/>
      <c r="S5" s="193">
        <v>7</v>
      </c>
      <c r="T5" s="194"/>
      <c r="U5" s="193">
        <v>19</v>
      </c>
      <c r="V5" s="172"/>
      <c r="W5" s="193">
        <v>13</v>
      </c>
      <c r="X5" s="194"/>
      <c r="Y5" s="194"/>
      <c r="Z5" s="193">
        <v>30</v>
      </c>
      <c r="AA5" s="194"/>
      <c r="AB5" s="194"/>
    </row>
    <row r="6" spans="2:28" ht="14.25" x14ac:dyDescent="0.2">
      <c r="B6" s="384"/>
      <c r="C6" s="384"/>
      <c r="D6" s="384"/>
      <c r="E6" s="384"/>
      <c r="F6" s="384"/>
      <c r="G6" s="384"/>
      <c r="H6" s="384"/>
      <c r="I6" s="384"/>
      <c r="J6" s="384"/>
      <c r="N6">
        <v>5</v>
      </c>
      <c r="O6" t="b">
        <f ca="1">ContainsValue(N6,$M$3)</f>
        <v>0</v>
      </c>
      <c r="Q6" s="194"/>
      <c r="R6" s="171"/>
      <c r="S6" s="193">
        <v>8</v>
      </c>
      <c r="T6" s="193">
        <v>9</v>
      </c>
      <c r="U6" s="193" t="s">
        <v>301</v>
      </c>
      <c r="V6" s="193">
        <v>11</v>
      </c>
      <c r="W6" s="193">
        <v>12</v>
      </c>
      <c r="X6" s="194"/>
      <c r="Y6" s="194"/>
      <c r="Z6" s="193">
        <v>29</v>
      </c>
      <c r="AA6" s="194"/>
      <c r="AB6" s="194"/>
    </row>
    <row r="7" spans="2:28" ht="14.25" x14ac:dyDescent="0.2">
      <c r="B7" s="384"/>
      <c r="C7" s="384"/>
      <c r="D7" s="384"/>
      <c r="E7" s="384"/>
      <c r="F7" s="384"/>
      <c r="G7" s="384"/>
      <c r="H7" s="384"/>
      <c r="I7" s="384"/>
      <c r="J7" s="384"/>
      <c r="Q7" s="194"/>
      <c r="R7" s="194"/>
      <c r="S7" s="173"/>
      <c r="T7" s="194"/>
      <c r="U7" s="193">
        <v>21</v>
      </c>
      <c r="V7" s="194"/>
      <c r="W7" s="194"/>
      <c r="X7" s="194"/>
      <c r="Y7" s="173"/>
      <c r="Z7" s="193">
        <v>28</v>
      </c>
      <c r="AA7" s="194"/>
      <c r="AB7" s="194"/>
    </row>
    <row r="8" spans="2:28" ht="14.25" x14ac:dyDescent="0.2">
      <c r="B8" s="384" t="s">
        <v>299</v>
      </c>
      <c r="C8" s="384"/>
      <c r="D8" s="384"/>
      <c r="E8" s="384"/>
      <c r="F8" s="384"/>
      <c r="G8" s="384"/>
      <c r="H8" s="384"/>
      <c r="I8" s="384"/>
      <c r="J8" s="384"/>
      <c r="N8">
        <f ca="1">PathDistance(B8,B9)</f>
        <v>8</v>
      </c>
      <c r="Q8" s="194"/>
      <c r="R8" s="194"/>
      <c r="S8" s="194"/>
      <c r="T8" s="194"/>
      <c r="U8" s="193">
        <v>22</v>
      </c>
      <c r="V8" s="193">
        <v>23</v>
      </c>
      <c r="W8" s="193">
        <v>24</v>
      </c>
      <c r="X8" s="193">
        <v>25</v>
      </c>
      <c r="Y8" s="193">
        <v>26</v>
      </c>
      <c r="Z8" s="193">
        <v>27</v>
      </c>
      <c r="AA8" s="173"/>
      <c r="AB8" s="194"/>
    </row>
    <row r="9" spans="2:28" x14ac:dyDescent="0.15">
      <c r="B9" s="384" t="s">
        <v>260</v>
      </c>
      <c r="C9" s="384"/>
      <c r="D9" s="384"/>
      <c r="E9" s="384"/>
      <c r="F9" s="384"/>
      <c r="G9" s="384"/>
      <c r="H9" s="384"/>
      <c r="I9" s="384"/>
      <c r="J9" s="384"/>
      <c r="K9">
        <v>75</v>
      </c>
    </row>
    <row r="10" spans="2:28" x14ac:dyDescent="0.15">
      <c r="B10" s="384"/>
      <c r="C10" s="384"/>
      <c r="D10" s="384"/>
      <c r="E10" s="384"/>
      <c r="F10" s="384"/>
      <c r="G10" s="384"/>
      <c r="H10" s="384"/>
      <c r="I10" s="384"/>
      <c r="J10" s="384"/>
      <c r="K10">
        <v>15</v>
      </c>
      <c r="L10">
        <f>K9-K10+1</f>
        <v>61</v>
      </c>
      <c r="N10" t="b">
        <f ca="1">PathInRange(B8,B9,7)</f>
        <v>0</v>
      </c>
    </row>
    <row r="11" spans="2:28" x14ac:dyDescent="0.15">
      <c r="B11" s="384"/>
      <c r="C11" s="384"/>
      <c r="D11" s="384"/>
      <c r="E11" s="384"/>
      <c r="F11" s="384"/>
      <c r="G11" s="384"/>
      <c r="H11" s="384"/>
      <c r="I11" s="384"/>
      <c r="J11" s="384"/>
    </row>
    <row r="13" spans="2:28" x14ac:dyDescent="0.15">
      <c r="K13">
        <v>4</v>
      </c>
      <c r="L13">
        <v>11</v>
      </c>
      <c r="N13">
        <f>MAX(ABS(K14-K13),ABS(L14-L13))</f>
        <v>8</v>
      </c>
    </row>
    <row r="14" spans="2:28" x14ac:dyDescent="0.15">
      <c r="K14">
        <v>7</v>
      </c>
      <c r="L14">
        <v>3</v>
      </c>
    </row>
  </sheetData>
  <phoneticPr fontId="2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O308"/>
  <sheetViews>
    <sheetView workbookViewId="0">
      <pane xSplit="2" ySplit="2" topLeftCell="C3" activePane="bottomRight" state="frozen"/>
      <selection pane="topRight" activeCell="D1" sqref="D1"/>
      <selection pane="bottomLeft" activeCell="A4" sqref="A4"/>
      <selection pane="bottomRight" activeCell="A3" sqref="A3"/>
    </sheetView>
  </sheetViews>
  <sheetFormatPr defaultRowHeight="13.5" x14ac:dyDescent="0.15"/>
  <cols>
    <col min="1" max="1" width="12.375" style="219" bestFit="1" customWidth="1" collapsed="1"/>
    <col min="3" max="3" width="9.125" customWidth="1" collapsed="1"/>
  </cols>
  <sheetData>
    <row r="1" spans="1:145" x14ac:dyDescent="0.15">
      <c r="A1" s="219" t="s">
        <v>243</v>
      </c>
      <c r="B1" s="384" t="e">
        <f>MAX(#REF!)</f>
        <v>#REF!</v>
      </c>
      <c r="C1" s="385"/>
      <c r="D1" s="385"/>
      <c r="E1" s="385"/>
      <c r="F1" s="385"/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  <c r="X1" s="385"/>
      <c r="Y1" s="385"/>
      <c r="Z1" s="385"/>
    </row>
    <row r="2" spans="1:145" ht="78.75" x14ac:dyDescent="0.15">
      <c r="A2" s="386" t="s">
        <v>294</v>
      </c>
      <c r="B2" s="217" t="s">
        <v>240</v>
      </c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386"/>
      <c r="R2" s="386"/>
      <c r="S2" s="386"/>
      <c r="T2" s="386"/>
      <c r="U2" s="386"/>
      <c r="V2" s="386"/>
      <c r="W2" s="386"/>
      <c r="X2" s="386"/>
      <c r="Y2" s="386"/>
      <c r="Z2" s="386"/>
      <c r="AA2" s="386"/>
      <c r="AB2" s="386"/>
      <c r="AC2" s="386"/>
      <c r="AD2" s="386"/>
      <c r="AE2" s="386"/>
      <c r="AF2" s="386"/>
      <c r="AG2" s="386"/>
      <c r="AH2" s="386"/>
      <c r="AI2" s="386"/>
      <c r="AJ2" s="386"/>
      <c r="AK2" s="386"/>
      <c r="AL2" s="386"/>
      <c r="AM2" s="386"/>
      <c r="AN2" s="386"/>
      <c r="AO2" s="386"/>
      <c r="AP2" s="386"/>
      <c r="AQ2" s="386"/>
      <c r="AR2" s="386"/>
      <c r="AS2" s="386"/>
      <c r="AT2" s="386"/>
      <c r="AU2" s="386"/>
      <c r="AV2" s="386"/>
      <c r="AW2" s="386"/>
      <c r="AX2" s="386"/>
      <c r="AY2" s="386"/>
      <c r="AZ2" s="386"/>
      <c r="BA2" s="386"/>
      <c r="BB2" s="386"/>
      <c r="BC2" s="386"/>
      <c r="BD2" s="386"/>
      <c r="BE2" s="386"/>
      <c r="BF2" s="386"/>
      <c r="BG2" s="386"/>
      <c r="BH2" s="386"/>
      <c r="BI2" s="386"/>
      <c r="BJ2" s="386"/>
      <c r="BK2" s="386"/>
      <c r="BL2" s="386"/>
      <c r="BM2" s="386"/>
      <c r="BN2" s="386"/>
      <c r="BO2" s="386"/>
      <c r="BP2" s="386"/>
      <c r="BQ2" s="386"/>
      <c r="BR2" s="386"/>
      <c r="BS2" s="386"/>
      <c r="BT2" s="386"/>
      <c r="BU2" s="386"/>
      <c r="BV2" s="386"/>
      <c r="BW2" s="386"/>
      <c r="BX2" s="386"/>
      <c r="BY2" s="386"/>
      <c r="BZ2" s="386"/>
      <c r="CA2" s="386"/>
      <c r="CB2" s="386"/>
      <c r="CC2" s="386"/>
      <c r="CD2" s="386"/>
      <c r="CE2" s="386"/>
      <c r="CF2" s="386"/>
      <c r="CG2" s="386"/>
      <c r="CH2" s="386"/>
      <c r="CI2" s="386"/>
      <c r="CJ2" s="386"/>
      <c r="CK2" s="386"/>
      <c r="CL2" s="386"/>
      <c r="CM2" s="386"/>
      <c r="CN2" s="386"/>
      <c r="CO2" s="386"/>
      <c r="CP2" s="386"/>
      <c r="CQ2" s="386"/>
      <c r="CR2" s="386"/>
      <c r="CS2" s="386"/>
      <c r="CT2" s="386"/>
      <c r="CU2" s="386"/>
      <c r="CV2" s="386"/>
      <c r="CW2" s="386"/>
      <c r="CX2" s="386"/>
      <c r="CY2" s="386"/>
      <c r="CZ2" s="386"/>
      <c r="DA2" s="386"/>
      <c r="DB2" s="386"/>
      <c r="DC2" s="386"/>
      <c r="DD2" s="386"/>
      <c r="DE2" s="386"/>
      <c r="DF2" s="386"/>
      <c r="DG2" s="386"/>
      <c r="DH2" s="386"/>
      <c r="DI2" s="386"/>
      <c r="DJ2" s="386"/>
      <c r="DK2" s="386"/>
      <c r="DL2" s="386"/>
      <c r="DM2" s="386"/>
      <c r="DN2" s="386"/>
      <c r="DO2" s="386"/>
      <c r="DP2" s="386"/>
      <c r="DQ2" s="386"/>
      <c r="DR2" s="386"/>
      <c r="DS2" s="386"/>
      <c r="DT2" s="386"/>
      <c r="DU2" s="386"/>
      <c r="DV2" s="386"/>
      <c r="DW2" s="386"/>
      <c r="DX2" s="386"/>
      <c r="DY2" s="386"/>
      <c r="DZ2" s="386"/>
      <c r="EA2" s="386"/>
      <c r="EB2" s="386"/>
      <c r="EC2" s="386"/>
      <c r="ED2" s="386"/>
      <c r="EE2" s="386"/>
      <c r="EF2" s="386"/>
      <c r="EG2" s="386"/>
      <c r="EH2" s="386"/>
      <c r="EI2" s="386"/>
      <c r="EJ2" s="386"/>
      <c r="EK2" s="386"/>
      <c r="EL2" s="386"/>
      <c r="EM2" s="386"/>
      <c r="EN2" s="386"/>
      <c r="EO2" s="386"/>
    </row>
    <row r="3" spans="1:145" x14ac:dyDescent="0.15">
      <c r="A3">
        <v>0</v>
      </c>
      <c r="B3" s="217" t="s">
        <v>239</v>
      </c>
    </row>
    <row r="4" spans="1:145" x14ac:dyDescent="0.15">
      <c r="A4" t="e">
        <f>VLOOKUP(A$2,'Monsters Stats'!$B:$L,3,FALSE)</f>
        <v>#N/A</v>
      </c>
      <c r="B4" s="217" t="s">
        <v>4</v>
      </c>
    </row>
    <row r="5" spans="1:145" x14ac:dyDescent="0.15">
      <c r="A5" t="e">
        <f>VLOOKUP(A$2,'Monsters Stats'!$B:$L,4,FALSE)</f>
        <v>#N/A</v>
      </c>
      <c r="B5" s="217" t="s">
        <v>5</v>
      </c>
    </row>
    <row r="6" spans="1:145" x14ac:dyDescent="0.15">
      <c r="A6" t="e">
        <f>VLOOKUP(A$2,'Monsters Stats'!$B:$L,8,FALSE)</f>
        <v>#N/A</v>
      </c>
      <c r="B6" s="217" t="s">
        <v>0</v>
      </c>
    </row>
    <row r="7" spans="1:145" x14ac:dyDescent="0.15">
      <c r="A7" t="e">
        <f>VLOOKUP(A$2,'Monsters Stats'!$B:$L,7,FALSE)</f>
        <v>#N/A</v>
      </c>
      <c r="B7" s="217" t="s">
        <v>241</v>
      </c>
    </row>
    <row r="8" spans="1:145" x14ac:dyDescent="0.15">
      <c r="A8" t="e">
        <f>VLOOKUP(A$2,'Monsters Stats'!$B:$L,11,FALSE)</f>
        <v>#N/A</v>
      </c>
      <c r="B8" s="217" t="s">
        <v>242</v>
      </c>
    </row>
    <row r="9" spans="1:145" x14ac:dyDescent="0.15">
      <c r="A9" t="e">
        <f t="shared" ref="A9:A40" si="0">IF(OR(A8=-1,AND(IF(A$3&lt;$B9,A8+A$6,IF(A$3=$B9,1,""))&gt;$B$1,A$3&lt;$B9)),-1,IF(A$3&lt;$B9,A8+A$6,IF(A$3=$B9,1,"")))</f>
        <v>#N/A</v>
      </c>
      <c r="B9" s="218">
        <v>1</v>
      </c>
    </row>
    <row r="10" spans="1:145" x14ac:dyDescent="0.15">
      <c r="A10" t="e">
        <f t="shared" si="0"/>
        <v>#N/A</v>
      </c>
      <c r="B10" s="218">
        <v>2</v>
      </c>
    </row>
    <row r="11" spans="1:145" x14ac:dyDescent="0.15">
      <c r="A11" t="e">
        <f t="shared" si="0"/>
        <v>#N/A</v>
      </c>
      <c r="B11" s="218">
        <v>3</v>
      </c>
    </row>
    <row r="12" spans="1:145" x14ac:dyDescent="0.15">
      <c r="A12" t="e">
        <f t="shared" si="0"/>
        <v>#N/A</v>
      </c>
      <c r="B12" s="218">
        <v>4</v>
      </c>
    </row>
    <row r="13" spans="1:145" x14ac:dyDescent="0.15">
      <c r="A13" t="e">
        <f t="shared" si="0"/>
        <v>#N/A</v>
      </c>
      <c r="B13" s="218">
        <v>5</v>
      </c>
    </row>
    <row r="14" spans="1:145" x14ac:dyDescent="0.15">
      <c r="A14" t="e">
        <f t="shared" si="0"/>
        <v>#N/A</v>
      </c>
      <c r="B14" s="218">
        <v>6</v>
      </c>
    </row>
    <row r="15" spans="1:145" x14ac:dyDescent="0.15">
      <c r="A15" t="e">
        <f t="shared" si="0"/>
        <v>#N/A</v>
      </c>
      <c r="B15" s="218">
        <v>7</v>
      </c>
    </row>
    <row r="16" spans="1:145" x14ac:dyDescent="0.15">
      <c r="A16" t="e">
        <f t="shared" si="0"/>
        <v>#N/A</v>
      </c>
      <c r="B16" s="218">
        <v>8</v>
      </c>
    </row>
    <row r="17" spans="1:2" x14ac:dyDescent="0.15">
      <c r="A17" t="e">
        <f t="shared" si="0"/>
        <v>#N/A</v>
      </c>
      <c r="B17" s="218">
        <v>9</v>
      </c>
    </row>
    <row r="18" spans="1:2" x14ac:dyDescent="0.15">
      <c r="A18" t="e">
        <f t="shared" si="0"/>
        <v>#N/A</v>
      </c>
      <c r="B18" s="218">
        <v>10</v>
      </c>
    </row>
    <row r="19" spans="1:2" x14ac:dyDescent="0.15">
      <c r="A19" t="e">
        <f t="shared" si="0"/>
        <v>#N/A</v>
      </c>
      <c r="B19" s="218">
        <v>11</v>
      </c>
    </row>
    <row r="20" spans="1:2" x14ac:dyDescent="0.15">
      <c r="A20" t="e">
        <f t="shared" si="0"/>
        <v>#N/A</v>
      </c>
      <c r="B20" s="218">
        <v>12</v>
      </c>
    </row>
    <row r="21" spans="1:2" x14ac:dyDescent="0.15">
      <c r="A21" t="e">
        <f t="shared" si="0"/>
        <v>#N/A</v>
      </c>
      <c r="B21" s="218">
        <v>13</v>
      </c>
    </row>
    <row r="22" spans="1:2" x14ac:dyDescent="0.15">
      <c r="A22" t="e">
        <f t="shared" si="0"/>
        <v>#N/A</v>
      </c>
      <c r="B22" s="218">
        <v>14</v>
      </c>
    </row>
    <row r="23" spans="1:2" x14ac:dyDescent="0.15">
      <c r="A23" t="e">
        <f t="shared" si="0"/>
        <v>#N/A</v>
      </c>
      <c r="B23" s="218">
        <v>15</v>
      </c>
    </row>
    <row r="24" spans="1:2" x14ac:dyDescent="0.15">
      <c r="A24" t="e">
        <f t="shared" si="0"/>
        <v>#N/A</v>
      </c>
      <c r="B24" s="218">
        <v>16</v>
      </c>
    </row>
    <row r="25" spans="1:2" x14ac:dyDescent="0.15">
      <c r="A25" t="e">
        <f t="shared" si="0"/>
        <v>#N/A</v>
      </c>
      <c r="B25" s="218">
        <v>17</v>
      </c>
    </row>
    <row r="26" spans="1:2" x14ac:dyDescent="0.15">
      <c r="A26" t="e">
        <f t="shared" si="0"/>
        <v>#N/A</v>
      </c>
      <c r="B26" s="218">
        <v>18</v>
      </c>
    </row>
    <row r="27" spans="1:2" x14ac:dyDescent="0.15">
      <c r="A27" t="e">
        <f t="shared" si="0"/>
        <v>#N/A</v>
      </c>
      <c r="B27" s="218">
        <v>19</v>
      </c>
    </row>
    <row r="28" spans="1:2" x14ac:dyDescent="0.15">
      <c r="A28" t="e">
        <f t="shared" si="0"/>
        <v>#N/A</v>
      </c>
      <c r="B28" s="218">
        <v>20</v>
      </c>
    </row>
    <row r="29" spans="1:2" x14ac:dyDescent="0.15">
      <c r="A29" t="e">
        <f t="shared" si="0"/>
        <v>#N/A</v>
      </c>
      <c r="B29" s="218">
        <v>21</v>
      </c>
    </row>
    <row r="30" spans="1:2" x14ac:dyDescent="0.15">
      <c r="A30" t="e">
        <f t="shared" si="0"/>
        <v>#N/A</v>
      </c>
      <c r="B30" s="218">
        <v>22</v>
      </c>
    </row>
    <row r="31" spans="1:2" x14ac:dyDescent="0.15">
      <c r="A31" t="e">
        <f t="shared" si="0"/>
        <v>#N/A</v>
      </c>
      <c r="B31" s="218">
        <v>23</v>
      </c>
    </row>
    <row r="32" spans="1:2" x14ac:dyDescent="0.15">
      <c r="A32" t="e">
        <f t="shared" si="0"/>
        <v>#N/A</v>
      </c>
      <c r="B32" s="218">
        <v>24</v>
      </c>
    </row>
    <row r="33" spans="1:2" x14ac:dyDescent="0.15">
      <c r="A33" t="e">
        <f t="shared" si="0"/>
        <v>#N/A</v>
      </c>
      <c r="B33" s="218">
        <v>25</v>
      </c>
    </row>
    <row r="34" spans="1:2" x14ac:dyDescent="0.15">
      <c r="A34" t="e">
        <f t="shared" si="0"/>
        <v>#N/A</v>
      </c>
      <c r="B34" s="218">
        <v>26</v>
      </c>
    </row>
    <row r="35" spans="1:2" x14ac:dyDescent="0.15">
      <c r="A35" t="e">
        <f t="shared" si="0"/>
        <v>#N/A</v>
      </c>
      <c r="B35" s="218">
        <v>27</v>
      </c>
    </row>
    <row r="36" spans="1:2" x14ac:dyDescent="0.15">
      <c r="A36" t="e">
        <f t="shared" si="0"/>
        <v>#N/A</v>
      </c>
      <c r="B36" s="218">
        <v>28</v>
      </c>
    </row>
    <row r="37" spans="1:2" x14ac:dyDescent="0.15">
      <c r="A37" t="e">
        <f t="shared" si="0"/>
        <v>#N/A</v>
      </c>
      <c r="B37" s="218">
        <v>29</v>
      </c>
    </row>
    <row r="38" spans="1:2" x14ac:dyDescent="0.15">
      <c r="A38" t="e">
        <f t="shared" si="0"/>
        <v>#N/A</v>
      </c>
      <c r="B38" s="218">
        <v>30</v>
      </c>
    </row>
    <row r="39" spans="1:2" x14ac:dyDescent="0.15">
      <c r="A39" t="e">
        <f t="shared" si="0"/>
        <v>#N/A</v>
      </c>
      <c r="B39" s="218">
        <v>31</v>
      </c>
    </row>
    <row r="40" spans="1:2" x14ac:dyDescent="0.15">
      <c r="A40" t="e">
        <f t="shared" si="0"/>
        <v>#N/A</v>
      </c>
      <c r="B40" s="218">
        <v>32</v>
      </c>
    </row>
    <row r="41" spans="1:2" x14ac:dyDescent="0.15">
      <c r="A41" t="e">
        <f t="shared" ref="A41:A72" si="1">IF(OR(A40=-1,AND(IF(A$3&lt;$B41,A40+A$6,IF(A$3=$B41,1,""))&gt;$B$1,A$3&lt;$B41)),-1,IF(A$3&lt;$B41,A40+A$6,IF(A$3=$B41,1,"")))</f>
        <v>#N/A</v>
      </c>
      <c r="B41" s="218">
        <v>33</v>
      </c>
    </row>
    <row r="42" spans="1:2" x14ac:dyDescent="0.15">
      <c r="A42" t="e">
        <f t="shared" si="1"/>
        <v>#N/A</v>
      </c>
      <c r="B42" s="218">
        <v>34</v>
      </c>
    </row>
    <row r="43" spans="1:2" x14ac:dyDescent="0.15">
      <c r="A43" t="e">
        <f t="shared" si="1"/>
        <v>#N/A</v>
      </c>
      <c r="B43" s="218">
        <v>35</v>
      </c>
    </row>
    <row r="44" spans="1:2" x14ac:dyDescent="0.15">
      <c r="A44" t="e">
        <f t="shared" si="1"/>
        <v>#N/A</v>
      </c>
      <c r="B44" s="218">
        <v>36</v>
      </c>
    </row>
    <row r="45" spans="1:2" x14ac:dyDescent="0.15">
      <c r="A45" t="e">
        <f t="shared" si="1"/>
        <v>#N/A</v>
      </c>
      <c r="B45" s="218">
        <v>37</v>
      </c>
    </row>
    <row r="46" spans="1:2" x14ac:dyDescent="0.15">
      <c r="A46" t="e">
        <f t="shared" si="1"/>
        <v>#N/A</v>
      </c>
      <c r="B46" s="218">
        <v>38</v>
      </c>
    </row>
    <row r="47" spans="1:2" x14ac:dyDescent="0.15">
      <c r="A47" t="e">
        <f t="shared" si="1"/>
        <v>#N/A</v>
      </c>
      <c r="B47" s="218">
        <v>39</v>
      </c>
    </row>
    <row r="48" spans="1:2" x14ac:dyDescent="0.15">
      <c r="A48" t="e">
        <f t="shared" si="1"/>
        <v>#N/A</v>
      </c>
      <c r="B48" s="218">
        <v>40</v>
      </c>
    </row>
    <row r="49" spans="1:2" x14ac:dyDescent="0.15">
      <c r="A49" t="e">
        <f t="shared" si="1"/>
        <v>#N/A</v>
      </c>
      <c r="B49" s="218">
        <v>41</v>
      </c>
    </row>
    <row r="50" spans="1:2" x14ac:dyDescent="0.15">
      <c r="A50" t="e">
        <f t="shared" si="1"/>
        <v>#N/A</v>
      </c>
      <c r="B50" s="218">
        <v>42</v>
      </c>
    </row>
    <row r="51" spans="1:2" x14ac:dyDescent="0.15">
      <c r="A51" t="e">
        <f t="shared" si="1"/>
        <v>#N/A</v>
      </c>
      <c r="B51" s="218">
        <v>43</v>
      </c>
    </row>
    <row r="52" spans="1:2" x14ac:dyDescent="0.15">
      <c r="A52" t="e">
        <f t="shared" si="1"/>
        <v>#N/A</v>
      </c>
      <c r="B52" s="218">
        <v>44</v>
      </c>
    </row>
    <row r="53" spans="1:2" x14ac:dyDescent="0.15">
      <c r="A53" t="e">
        <f t="shared" si="1"/>
        <v>#N/A</v>
      </c>
      <c r="B53" s="218">
        <v>45</v>
      </c>
    </row>
    <row r="54" spans="1:2" x14ac:dyDescent="0.15">
      <c r="A54" t="e">
        <f t="shared" si="1"/>
        <v>#N/A</v>
      </c>
      <c r="B54" s="218">
        <v>46</v>
      </c>
    </row>
    <row r="55" spans="1:2" x14ac:dyDescent="0.15">
      <c r="A55" t="e">
        <f t="shared" si="1"/>
        <v>#N/A</v>
      </c>
      <c r="B55" s="218">
        <v>47</v>
      </c>
    </row>
    <row r="56" spans="1:2" x14ac:dyDescent="0.15">
      <c r="A56" t="e">
        <f t="shared" si="1"/>
        <v>#N/A</v>
      </c>
      <c r="B56" s="218">
        <v>48</v>
      </c>
    </row>
    <row r="57" spans="1:2" x14ac:dyDescent="0.15">
      <c r="A57" t="e">
        <f t="shared" si="1"/>
        <v>#N/A</v>
      </c>
      <c r="B57" s="218">
        <v>49</v>
      </c>
    </row>
    <row r="58" spans="1:2" x14ac:dyDescent="0.15">
      <c r="A58" t="e">
        <f t="shared" si="1"/>
        <v>#N/A</v>
      </c>
      <c r="B58" s="218">
        <v>50</v>
      </c>
    </row>
    <row r="59" spans="1:2" x14ac:dyDescent="0.15">
      <c r="A59" t="e">
        <f t="shared" si="1"/>
        <v>#N/A</v>
      </c>
      <c r="B59" s="218">
        <v>51</v>
      </c>
    </row>
    <row r="60" spans="1:2" x14ac:dyDescent="0.15">
      <c r="A60" t="e">
        <f t="shared" si="1"/>
        <v>#N/A</v>
      </c>
      <c r="B60" s="218">
        <v>52</v>
      </c>
    </row>
    <row r="61" spans="1:2" x14ac:dyDescent="0.15">
      <c r="A61" t="e">
        <f t="shared" si="1"/>
        <v>#N/A</v>
      </c>
      <c r="B61" s="218">
        <v>53</v>
      </c>
    </row>
    <row r="62" spans="1:2" x14ac:dyDescent="0.15">
      <c r="A62" t="e">
        <f t="shared" si="1"/>
        <v>#N/A</v>
      </c>
      <c r="B62" s="218">
        <v>54</v>
      </c>
    </row>
    <row r="63" spans="1:2" x14ac:dyDescent="0.15">
      <c r="A63" t="e">
        <f t="shared" si="1"/>
        <v>#N/A</v>
      </c>
      <c r="B63" s="218">
        <v>55</v>
      </c>
    </row>
    <row r="64" spans="1:2" x14ac:dyDescent="0.15">
      <c r="A64" t="e">
        <f t="shared" si="1"/>
        <v>#N/A</v>
      </c>
      <c r="B64" s="218">
        <v>56</v>
      </c>
    </row>
    <row r="65" spans="1:2" x14ac:dyDescent="0.15">
      <c r="A65" t="e">
        <f t="shared" si="1"/>
        <v>#N/A</v>
      </c>
      <c r="B65" s="218">
        <v>57</v>
      </c>
    </row>
    <row r="66" spans="1:2" x14ac:dyDescent="0.15">
      <c r="A66" t="e">
        <f t="shared" si="1"/>
        <v>#N/A</v>
      </c>
      <c r="B66" s="218">
        <v>58</v>
      </c>
    </row>
    <row r="67" spans="1:2" x14ac:dyDescent="0.15">
      <c r="A67" t="e">
        <f t="shared" si="1"/>
        <v>#N/A</v>
      </c>
      <c r="B67" s="218">
        <v>59</v>
      </c>
    </row>
    <row r="68" spans="1:2" x14ac:dyDescent="0.15">
      <c r="A68" t="e">
        <f t="shared" si="1"/>
        <v>#N/A</v>
      </c>
      <c r="B68" s="218">
        <v>60</v>
      </c>
    </row>
    <row r="69" spans="1:2" x14ac:dyDescent="0.15">
      <c r="A69" t="e">
        <f t="shared" si="1"/>
        <v>#N/A</v>
      </c>
      <c r="B69" s="218">
        <v>61</v>
      </c>
    </row>
    <row r="70" spans="1:2" x14ac:dyDescent="0.15">
      <c r="A70" t="e">
        <f t="shared" si="1"/>
        <v>#N/A</v>
      </c>
      <c r="B70" s="218">
        <v>62</v>
      </c>
    </row>
    <row r="71" spans="1:2" x14ac:dyDescent="0.15">
      <c r="A71" t="e">
        <f t="shared" si="1"/>
        <v>#N/A</v>
      </c>
      <c r="B71" s="218">
        <v>63</v>
      </c>
    </row>
    <row r="72" spans="1:2" x14ac:dyDescent="0.15">
      <c r="A72" t="e">
        <f t="shared" si="1"/>
        <v>#N/A</v>
      </c>
      <c r="B72" s="218">
        <v>64</v>
      </c>
    </row>
    <row r="73" spans="1:2" x14ac:dyDescent="0.15">
      <c r="A73" t="e">
        <f t="shared" ref="A73:A104" si="2">IF(OR(A72=-1,AND(IF(A$3&lt;$B73,A72+A$6,IF(A$3=$B73,1,""))&gt;$B$1,A$3&lt;$B73)),-1,IF(A$3&lt;$B73,A72+A$6,IF(A$3=$B73,1,"")))</f>
        <v>#N/A</v>
      </c>
      <c r="B73" s="218">
        <v>65</v>
      </c>
    </row>
    <row r="74" spans="1:2" x14ac:dyDescent="0.15">
      <c r="A74" t="e">
        <f t="shared" si="2"/>
        <v>#N/A</v>
      </c>
      <c r="B74" s="218">
        <v>66</v>
      </c>
    </row>
    <row r="75" spans="1:2" x14ac:dyDescent="0.15">
      <c r="A75" t="e">
        <f t="shared" si="2"/>
        <v>#N/A</v>
      </c>
      <c r="B75" s="218">
        <v>67</v>
      </c>
    </row>
    <row r="76" spans="1:2" x14ac:dyDescent="0.15">
      <c r="A76" t="e">
        <f t="shared" si="2"/>
        <v>#N/A</v>
      </c>
      <c r="B76" s="218">
        <v>68</v>
      </c>
    </row>
    <row r="77" spans="1:2" x14ac:dyDescent="0.15">
      <c r="A77" t="e">
        <f t="shared" si="2"/>
        <v>#N/A</v>
      </c>
      <c r="B77" s="218">
        <v>69</v>
      </c>
    </row>
    <row r="78" spans="1:2" x14ac:dyDescent="0.15">
      <c r="A78" t="e">
        <f t="shared" si="2"/>
        <v>#N/A</v>
      </c>
      <c r="B78" s="218">
        <v>70</v>
      </c>
    </row>
    <row r="79" spans="1:2" x14ac:dyDescent="0.15">
      <c r="A79" t="e">
        <f t="shared" si="2"/>
        <v>#N/A</v>
      </c>
      <c r="B79" s="218">
        <v>71</v>
      </c>
    </row>
    <row r="80" spans="1:2" x14ac:dyDescent="0.15">
      <c r="A80" t="e">
        <f t="shared" si="2"/>
        <v>#N/A</v>
      </c>
      <c r="B80" s="218">
        <v>72</v>
      </c>
    </row>
    <row r="81" spans="1:2" x14ac:dyDescent="0.15">
      <c r="A81" t="e">
        <f t="shared" si="2"/>
        <v>#N/A</v>
      </c>
      <c r="B81" s="218">
        <v>73</v>
      </c>
    </row>
    <row r="82" spans="1:2" x14ac:dyDescent="0.15">
      <c r="A82" t="e">
        <f t="shared" si="2"/>
        <v>#N/A</v>
      </c>
      <c r="B82" s="218">
        <v>74</v>
      </c>
    </row>
    <row r="83" spans="1:2" x14ac:dyDescent="0.15">
      <c r="A83" t="e">
        <f t="shared" si="2"/>
        <v>#N/A</v>
      </c>
      <c r="B83" s="218">
        <v>75</v>
      </c>
    </row>
    <row r="84" spans="1:2" x14ac:dyDescent="0.15">
      <c r="A84" t="e">
        <f t="shared" si="2"/>
        <v>#N/A</v>
      </c>
      <c r="B84" s="218">
        <v>76</v>
      </c>
    </row>
    <row r="85" spans="1:2" x14ac:dyDescent="0.15">
      <c r="A85" t="e">
        <f t="shared" si="2"/>
        <v>#N/A</v>
      </c>
      <c r="B85" s="218">
        <v>77</v>
      </c>
    </row>
    <row r="86" spans="1:2" x14ac:dyDescent="0.15">
      <c r="A86" t="e">
        <f t="shared" si="2"/>
        <v>#N/A</v>
      </c>
      <c r="B86" s="218">
        <v>78</v>
      </c>
    </row>
    <row r="87" spans="1:2" x14ac:dyDescent="0.15">
      <c r="A87" t="e">
        <f t="shared" si="2"/>
        <v>#N/A</v>
      </c>
      <c r="B87" s="218">
        <v>79</v>
      </c>
    </row>
    <row r="88" spans="1:2" x14ac:dyDescent="0.15">
      <c r="A88" t="e">
        <f t="shared" si="2"/>
        <v>#N/A</v>
      </c>
      <c r="B88" s="218">
        <v>80</v>
      </c>
    </row>
    <row r="89" spans="1:2" x14ac:dyDescent="0.15">
      <c r="A89" t="e">
        <f t="shared" si="2"/>
        <v>#N/A</v>
      </c>
      <c r="B89" s="218">
        <v>81</v>
      </c>
    </row>
    <row r="90" spans="1:2" x14ac:dyDescent="0.15">
      <c r="A90" t="e">
        <f t="shared" si="2"/>
        <v>#N/A</v>
      </c>
      <c r="B90" s="218">
        <v>82</v>
      </c>
    </row>
    <row r="91" spans="1:2" x14ac:dyDescent="0.15">
      <c r="A91" t="e">
        <f t="shared" si="2"/>
        <v>#N/A</v>
      </c>
      <c r="B91" s="218">
        <v>83</v>
      </c>
    </row>
    <row r="92" spans="1:2" x14ac:dyDescent="0.15">
      <c r="A92" t="e">
        <f t="shared" si="2"/>
        <v>#N/A</v>
      </c>
      <c r="B92" s="218">
        <v>84</v>
      </c>
    </row>
    <row r="93" spans="1:2" x14ac:dyDescent="0.15">
      <c r="A93" t="e">
        <f t="shared" si="2"/>
        <v>#N/A</v>
      </c>
      <c r="B93" s="218">
        <v>85</v>
      </c>
    </row>
    <row r="94" spans="1:2" x14ac:dyDescent="0.15">
      <c r="A94" t="e">
        <f t="shared" si="2"/>
        <v>#N/A</v>
      </c>
      <c r="B94" s="218">
        <v>86</v>
      </c>
    </row>
    <row r="95" spans="1:2" x14ac:dyDescent="0.15">
      <c r="A95" t="e">
        <f t="shared" si="2"/>
        <v>#N/A</v>
      </c>
      <c r="B95" s="218">
        <v>87</v>
      </c>
    </row>
    <row r="96" spans="1:2" x14ac:dyDescent="0.15">
      <c r="A96" t="e">
        <f t="shared" si="2"/>
        <v>#N/A</v>
      </c>
      <c r="B96" s="218">
        <v>88</v>
      </c>
    </row>
    <row r="97" spans="1:2" x14ac:dyDescent="0.15">
      <c r="A97" t="e">
        <f t="shared" si="2"/>
        <v>#N/A</v>
      </c>
      <c r="B97" s="218">
        <v>89</v>
      </c>
    </row>
    <row r="98" spans="1:2" x14ac:dyDescent="0.15">
      <c r="A98" t="e">
        <f t="shared" si="2"/>
        <v>#N/A</v>
      </c>
      <c r="B98" s="218">
        <v>90</v>
      </c>
    </row>
    <row r="99" spans="1:2" x14ac:dyDescent="0.15">
      <c r="A99" t="e">
        <f t="shared" si="2"/>
        <v>#N/A</v>
      </c>
      <c r="B99" s="218">
        <v>91</v>
      </c>
    </row>
    <row r="100" spans="1:2" x14ac:dyDescent="0.15">
      <c r="A100" t="e">
        <f t="shared" si="2"/>
        <v>#N/A</v>
      </c>
      <c r="B100" s="218">
        <v>92</v>
      </c>
    </row>
    <row r="101" spans="1:2" x14ac:dyDescent="0.15">
      <c r="A101" t="e">
        <f t="shared" si="2"/>
        <v>#N/A</v>
      </c>
      <c r="B101" s="218">
        <v>93</v>
      </c>
    </row>
    <row r="102" spans="1:2" x14ac:dyDescent="0.15">
      <c r="A102" t="e">
        <f t="shared" si="2"/>
        <v>#N/A</v>
      </c>
      <c r="B102" s="218">
        <v>94</v>
      </c>
    </row>
    <row r="103" spans="1:2" x14ac:dyDescent="0.15">
      <c r="A103" t="e">
        <f t="shared" si="2"/>
        <v>#N/A</v>
      </c>
      <c r="B103" s="218">
        <v>95</v>
      </c>
    </row>
    <row r="104" spans="1:2" x14ac:dyDescent="0.15">
      <c r="A104" t="e">
        <f t="shared" si="2"/>
        <v>#N/A</v>
      </c>
      <c r="B104" s="218">
        <v>96</v>
      </c>
    </row>
    <row r="105" spans="1:2" x14ac:dyDescent="0.15">
      <c r="A105" t="e">
        <f t="shared" ref="A105:A136" si="3">IF(OR(A104=-1,AND(IF(A$3&lt;$B105,A104+A$6,IF(A$3=$B105,1,""))&gt;$B$1,A$3&lt;$B105)),-1,IF(A$3&lt;$B105,A104+A$6,IF(A$3=$B105,1,"")))</f>
        <v>#N/A</v>
      </c>
      <c r="B105" s="218">
        <v>97</v>
      </c>
    </row>
    <row r="106" spans="1:2" x14ac:dyDescent="0.15">
      <c r="A106" t="e">
        <f t="shared" si="3"/>
        <v>#N/A</v>
      </c>
      <c r="B106" s="218">
        <v>98</v>
      </c>
    </row>
    <row r="107" spans="1:2" x14ac:dyDescent="0.15">
      <c r="A107" t="e">
        <f t="shared" si="3"/>
        <v>#N/A</v>
      </c>
      <c r="B107" s="218">
        <v>99</v>
      </c>
    </row>
    <row r="108" spans="1:2" x14ac:dyDescent="0.15">
      <c r="A108" t="e">
        <f t="shared" si="3"/>
        <v>#N/A</v>
      </c>
      <c r="B108" s="218">
        <v>100</v>
      </c>
    </row>
    <row r="109" spans="1:2" x14ac:dyDescent="0.15">
      <c r="A109" t="e">
        <f t="shared" si="3"/>
        <v>#N/A</v>
      </c>
      <c r="B109" s="218">
        <v>101</v>
      </c>
    </row>
    <row r="110" spans="1:2" x14ac:dyDescent="0.15">
      <c r="A110" t="e">
        <f t="shared" si="3"/>
        <v>#N/A</v>
      </c>
      <c r="B110" s="218">
        <v>102</v>
      </c>
    </row>
    <row r="111" spans="1:2" x14ac:dyDescent="0.15">
      <c r="A111" t="e">
        <f t="shared" si="3"/>
        <v>#N/A</v>
      </c>
      <c r="B111" s="218">
        <v>103</v>
      </c>
    </row>
    <row r="112" spans="1:2" x14ac:dyDescent="0.15">
      <c r="A112" t="e">
        <f t="shared" si="3"/>
        <v>#N/A</v>
      </c>
      <c r="B112" s="218">
        <v>104</v>
      </c>
    </row>
    <row r="113" spans="1:2" x14ac:dyDescent="0.15">
      <c r="A113" t="e">
        <f t="shared" si="3"/>
        <v>#N/A</v>
      </c>
      <c r="B113" s="218">
        <v>105</v>
      </c>
    </row>
    <row r="114" spans="1:2" x14ac:dyDescent="0.15">
      <c r="A114" t="e">
        <f t="shared" si="3"/>
        <v>#N/A</v>
      </c>
      <c r="B114" s="218">
        <v>106</v>
      </c>
    </row>
    <row r="115" spans="1:2" x14ac:dyDescent="0.15">
      <c r="A115" t="e">
        <f t="shared" si="3"/>
        <v>#N/A</v>
      </c>
      <c r="B115" s="218">
        <v>107</v>
      </c>
    </row>
    <row r="116" spans="1:2" x14ac:dyDescent="0.15">
      <c r="A116" t="e">
        <f t="shared" si="3"/>
        <v>#N/A</v>
      </c>
      <c r="B116" s="218">
        <v>108</v>
      </c>
    </row>
    <row r="117" spans="1:2" x14ac:dyDescent="0.15">
      <c r="A117" t="e">
        <f t="shared" si="3"/>
        <v>#N/A</v>
      </c>
      <c r="B117" s="218">
        <v>109</v>
      </c>
    </row>
    <row r="118" spans="1:2" x14ac:dyDescent="0.15">
      <c r="A118" t="e">
        <f t="shared" si="3"/>
        <v>#N/A</v>
      </c>
      <c r="B118" s="218">
        <v>110</v>
      </c>
    </row>
    <row r="119" spans="1:2" x14ac:dyDescent="0.15">
      <c r="A119" t="e">
        <f t="shared" si="3"/>
        <v>#N/A</v>
      </c>
      <c r="B119" s="218">
        <v>111</v>
      </c>
    </row>
    <row r="120" spans="1:2" x14ac:dyDescent="0.15">
      <c r="A120" t="e">
        <f t="shared" si="3"/>
        <v>#N/A</v>
      </c>
      <c r="B120" s="218">
        <v>112</v>
      </c>
    </row>
    <row r="121" spans="1:2" x14ac:dyDescent="0.15">
      <c r="A121" t="e">
        <f t="shared" si="3"/>
        <v>#N/A</v>
      </c>
      <c r="B121" s="218">
        <v>113</v>
      </c>
    </row>
    <row r="122" spans="1:2" x14ac:dyDescent="0.15">
      <c r="A122" t="e">
        <f t="shared" si="3"/>
        <v>#N/A</v>
      </c>
      <c r="B122" s="218">
        <v>114</v>
      </c>
    </row>
    <row r="123" spans="1:2" x14ac:dyDescent="0.15">
      <c r="A123" t="e">
        <f t="shared" si="3"/>
        <v>#N/A</v>
      </c>
      <c r="B123" s="218">
        <v>115</v>
      </c>
    </row>
    <row r="124" spans="1:2" x14ac:dyDescent="0.15">
      <c r="A124" t="e">
        <f t="shared" si="3"/>
        <v>#N/A</v>
      </c>
      <c r="B124" s="218">
        <v>116</v>
      </c>
    </row>
    <row r="125" spans="1:2" x14ac:dyDescent="0.15">
      <c r="A125" t="e">
        <f t="shared" si="3"/>
        <v>#N/A</v>
      </c>
      <c r="B125" s="218">
        <v>117</v>
      </c>
    </row>
    <row r="126" spans="1:2" x14ac:dyDescent="0.15">
      <c r="A126" t="e">
        <f t="shared" si="3"/>
        <v>#N/A</v>
      </c>
      <c r="B126" s="218">
        <v>118</v>
      </c>
    </row>
    <row r="127" spans="1:2" x14ac:dyDescent="0.15">
      <c r="A127" t="e">
        <f t="shared" si="3"/>
        <v>#N/A</v>
      </c>
      <c r="B127" s="218">
        <v>119</v>
      </c>
    </row>
    <row r="128" spans="1:2" x14ac:dyDescent="0.15">
      <c r="A128" t="e">
        <f t="shared" si="3"/>
        <v>#N/A</v>
      </c>
      <c r="B128" s="218">
        <v>120</v>
      </c>
    </row>
    <row r="129" spans="1:2" x14ac:dyDescent="0.15">
      <c r="A129" t="e">
        <f t="shared" si="3"/>
        <v>#N/A</v>
      </c>
      <c r="B129" s="218">
        <v>121</v>
      </c>
    </row>
    <row r="130" spans="1:2" x14ac:dyDescent="0.15">
      <c r="A130" t="e">
        <f t="shared" si="3"/>
        <v>#N/A</v>
      </c>
      <c r="B130" s="218">
        <v>122</v>
      </c>
    </row>
    <row r="131" spans="1:2" x14ac:dyDescent="0.15">
      <c r="A131" t="e">
        <f t="shared" si="3"/>
        <v>#N/A</v>
      </c>
      <c r="B131" s="218">
        <v>123</v>
      </c>
    </row>
    <row r="132" spans="1:2" x14ac:dyDescent="0.15">
      <c r="A132" t="e">
        <f t="shared" si="3"/>
        <v>#N/A</v>
      </c>
      <c r="B132" s="218">
        <v>124</v>
      </c>
    </row>
    <row r="133" spans="1:2" x14ac:dyDescent="0.15">
      <c r="A133" t="e">
        <f t="shared" si="3"/>
        <v>#N/A</v>
      </c>
      <c r="B133" s="218">
        <v>125</v>
      </c>
    </row>
    <row r="134" spans="1:2" x14ac:dyDescent="0.15">
      <c r="A134" t="e">
        <f t="shared" si="3"/>
        <v>#N/A</v>
      </c>
      <c r="B134" s="218">
        <v>126</v>
      </c>
    </row>
    <row r="135" spans="1:2" x14ac:dyDescent="0.15">
      <c r="A135" t="e">
        <f t="shared" si="3"/>
        <v>#N/A</v>
      </c>
      <c r="B135" s="218">
        <v>127</v>
      </c>
    </row>
    <row r="136" spans="1:2" x14ac:dyDescent="0.15">
      <c r="A136" t="e">
        <f t="shared" si="3"/>
        <v>#N/A</v>
      </c>
      <c r="B136" s="218">
        <v>128</v>
      </c>
    </row>
    <row r="137" spans="1:2" x14ac:dyDescent="0.15">
      <c r="A137" t="e">
        <f t="shared" ref="A137:A152" si="4">IF(OR(A136=-1,AND(IF(A$3&lt;$B137,A136+A$6,IF(A$3=$B137,1,""))&gt;$B$1,A$3&lt;$B137)),-1,IF(A$3&lt;$B137,A136+A$6,IF(A$3=$B137,1,"")))</f>
        <v>#N/A</v>
      </c>
      <c r="B137" s="218">
        <v>129</v>
      </c>
    </row>
    <row r="138" spans="1:2" x14ac:dyDescent="0.15">
      <c r="A138" t="e">
        <f t="shared" si="4"/>
        <v>#N/A</v>
      </c>
      <c r="B138" s="218">
        <v>130</v>
      </c>
    </row>
    <row r="139" spans="1:2" x14ac:dyDescent="0.15">
      <c r="A139" t="e">
        <f t="shared" si="4"/>
        <v>#N/A</v>
      </c>
      <c r="B139" s="218">
        <v>131</v>
      </c>
    </row>
    <row r="140" spans="1:2" x14ac:dyDescent="0.15">
      <c r="A140" t="e">
        <f t="shared" si="4"/>
        <v>#N/A</v>
      </c>
      <c r="B140" s="218">
        <v>132</v>
      </c>
    </row>
    <row r="141" spans="1:2" x14ac:dyDescent="0.15">
      <c r="A141" t="e">
        <f t="shared" si="4"/>
        <v>#N/A</v>
      </c>
      <c r="B141" s="218">
        <v>133</v>
      </c>
    </row>
    <row r="142" spans="1:2" x14ac:dyDescent="0.15">
      <c r="A142" t="e">
        <f t="shared" si="4"/>
        <v>#N/A</v>
      </c>
      <c r="B142" s="218">
        <v>134</v>
      </c>
    </row>
    <row r="143" spans="1:2" x14ac:dyDescent="0.15">
      <c r="A143" t="e">
        <f t="shared" si="4"/>
        <v>#N/A</v>
      </c>
      <c r="B143" s="218">
        <v>135</v>
      </c>
    </row>
    <row r="144" spans="1:2" x14ac:dyDescent="0.15">
      <c r="A144" t="e">
        <f t="shared" si="4"/>
        <v>#N/A</v>
      </c>
      <c r="B144" s="218">
        <v>136</v>
      </c>
    </row>
    <row r="145" spans="1:2" x14ac:dyDescent="0.15">
      <c r="A145" t="e">
        <f t="shared" si="4"/>
        <v>#N/A</v>
      </c>
      <c r="B145" s="218">
        <v>137</v>
      </c>
    </row>
    <row r="146" spans="1:2" x14ac:dyDescent="0.15">
      <c r="A146" t="e">
        <f t="shared" si="4"/>
        <v>#N/A</v>
      </c>
      <c r="B146" s="218">
        <v>138</v>
      </c>
    </row>
    <row r="147" spans="1:2" x14ac:dyDescent="0.15">
      <c r="A147" t="e">
        <f t="shared" si="4"/>
        <v>#N/A</v>
      </c>
      <c r="B147" s="218">
        <v>139</v>
      </c>
    </row>
    <row r="148" spans="1:2" x14ac:dyDescent="0.15">
      <c r="A148" t="e">
        <f t="shared" si="4"/>
        <v>#N/A</v>
      </c>
      <c r="B148" s="218">
        <v>140</v>
      </c>
    </row>
    <row r="149" spans="1:2" x14ac:dyDescent="0.15">
      <c r="A149" t="e">
        <f t="shared" si="4"/>
        <v>#N/A</v>
      </c>
      <c r="B149" s="218">
        <v>141</v>
      </c>
    </row>
    <row r="150" spans="1:2" x14ac:dyDescent="0.15">
      <c r="A150" t="e">
        <f t="shared" si="4"/>
        <v>#N/A</v>
      </c>
      <c r="B150" s="218">
        <v>142</v>
      </c>
    </row>
    <row r="151" spans="1:2" x14ac:dyDescent="0.15">
      <c r="A151" t="e">
        <f t="shared" si="4"/>
        <v>#N/A</v>
      </c>
      <c r="B151" s="218">
        <v>143</v>
      </c>
    </row>
    <row r="152" spans="1:2" x14ac:dyDescent="0.15">
      <c r="A152" t="e">
        <f t="shared" si="4"/>
        <v>#N/A</v>
      </c>
      <c r="B152" s="218">
        <v>144</v>
      </c>
    </row>
    <row r="153" spans="1:2" x14ac:dyDescent="0.15">
      <c r="A153" t="e">
        <f t="shared" ref="A153:A200" si="5">IF(OR(A152=-1,AND(IF(A$3&lt;$B153,A152+A$6,IF(A$3=$B153,1,""))&gt;$B$1,A$3&lt;$B153)),-1,IF(A$3&lt;$B153,A152+A$6,IF(A$3=$B153,1,"")))</f>
        <v>#N/A</v>
      </c>
      <c r="B153" s="218">
        <v>145</v>
      </c>
    </row>
    <row r="154" spans="1:2" x14ac:dyDescent="0.15">
      <c r="A154" t="e">
        <f t="shared" si="5"/>
        <v>#N/A</v>
      </c>
      <c r="B154" s="218">
        <v>146</v>
      </c>
    </row>
    <row r="155" spans="1:2" x14ac:dyDescent="0.15">
      <c r="A155" t="e">
        <f t="shared" si="5"/>
        <v>#N/A</v>
      </c>
      <c r="B155" s="218">
        <v>147</v>
      </c>
    </row>
    <row r="156" spans="1:2" x14ac:dyDescent="0.15">
      <c r="A156" t="e">
        <f t="shared" si="5"/>
        <v>#N/A</v>
      </c>
      <c r="B156" s="218">
        <v>148</v>
      </c>
    </row>
    <row r="157" spans="1:2" x14ac:dyDescent="0.15">
      <c r="A157" t="e">
        <f t="shared" si="5"/>
        <v>#N/A</v>
      </c>
      <c r="B157" s="218">
        <v>149</v>
      </c>
    </row>
    <row r="158" spans="1:2" x14ac:dyDescent="0.15">
      <c r="A158" t="e">
        <f t="shared" si="5"/>
        <v>#N/A</v>
      </c>
      <c r="B158" s="218">
        <v>150</v>
      </c>
    </row>
    <row r="159" spans="1:2" x14ac:dyDescent="0.15">
      <c r="A159" t="e">
        <f t="shared" si="5"/>
        <v>#N/A</v>
      </c>
      <c r="B159" s="218">
        <v>151</v>
      </c>
    </row>
    <row r="160" spans="1:2" x14ac:dyDescent="0.15">
      <c r="A160" t="e">
        <f t="shared" si="5"/>
        <v>#N/A</v>
      </c>
      <c r="B160" s="218">
        <v>152</v>
      </c>
    </row>
    <row r="161" spans="1:2" x14ac:dyDescent="0.15">
      <c r="A161" t="e">
        <f t="shared" si="5"/>
        <v>#N/A</v>
      </c>
      <c r="B161" s="218">
        <v>153</v>
      </c>
    </row>
    <row r="162" spans="1:2" x14ac:dyDescent="0.15">
      <c r="A162" t="e">
        <f t="shared" si="5"/>
        <v>#N/A</v>
      </c>
      <c r="B162" s="218">
        <v>154</v>
      </c>
    </row>
    <row r="163" spans="1:2" x14ac:dyDescent="0.15">
      <c r="A163" t="e">
        <f t="shared" si="5"/>
        <v>#N/A</v>
      </c>
      <c r="B163" s="218">
        <v>155</v>
      </c>
    </row>
    <row r="164" spans="1:2" x14ac:dyDescent="0.15">
      <c r="A164" t="e">
        <f t="shared" si="5"/>
        <v>#N/A</v>
      </c>
      <c r="B164" s="218">
        <v>156</v>
      </c>
    </row>
    <row r="165" spans="1:2" x14ac:dyDescent="0.15">
      <c r="A165" t="e">
        <f t="shared" si="5"/>
        <v>#N/A</v>
      </c>
      <c r="B165" s="218">
        <v>157</v>
      </c>
    </row>
    <row r="166" spans="1:2" x14ac:dyDescent="0.15">
      <c r="A166" t="e">
        <f t="shared" si="5"/>
        <v>#N/A</v>
      </c>
      <c r="B166" s="218">
        <v>158</v>
      </c>
    </row>
    <row r="167" spans="1:2" x14ac:dyDescent="0.15">
      <c r="A167" t="e">
        <f t="shared" si="5"/>
        <v>#N/A</v>
      </c>
      <c r="B167" s="218">
        <v>159</v>
      </c>
    </row>
    <row r="168" spans="1:2" x14ac:dyDescent="0.15">
      <c r="A168" t="e">
        <f t="shared" si="5"/>
        <v>#N/A</v>
      </c>
      <c r="B168" s="218">
        <v>160</v>
      </c>
    </row>
    <row r="169" spans="1:2" x14ac:dyDescent="0.15">
      <c r="A169" t="e">
        <f t="shared" si="5"/>
        <v>#N/A</v>
      </c>
      <c r="B169" s="218">
        <v>161</v>
      </c>
    </row>
    <row r="170" spans="1:2" x14ac:dyDescent="0.15">
      <c r="A170" t="e">
        <f t="shared" si="5"/>
        <v>#N/A</v>
      </c>
      <c r="B170" s="218">
        <v>162</v>
      </c>
    </row>
    <row r="171" spans="1:2" x14ac:dyDescent="0.15">
      <c r="A171" t="e">
        <f t="shared" si="5"/>
        <v>#N/A</v>
      </c>
      <c r="B171" s="218">
        <v>163</v>
      </c>
    </row>
    <row r="172" spans="1:2" x14ac:dyDescent="0.15">
      <c r="A172" t="e">
        <f t="shared" si="5"/>
        <v>#N/A</v>
      </c>
      <c r="B172" s="218">
        <v>164</v>
      </c>
    </row>
    <row r="173" spans="1:2" x14ac:dyDescent="0.15">
      <c r="A173" t="e">
        <f t="shared" si="5"/>
        <v>#N/A</v>
      </c>
      <c r="B173" s="218">
        <v>165</v>
      </c>
    </row>
    <row r="174" spans="1:2" x14ac:dyDescent="0.15">
      <c r="A174" t="e">
        <f t="shared" si="5"/>
        <v>#N/A</v>
      </c>
      <c r="B174" s="218">
        <v>166</v>
      </c>
    </row>
    <row r="175" spans="1:2" x14ac:dyDescent="0.15">
      <c r="A175" t="e">
        <f t="shared" si="5"/>
        <v>#N/A</v>
      </c>
      <c r="B175" s="218">
        <v>167</v>
      </c>
    </row>
    <row r="176" spans="1:2" x14ac:dyDescent="0.15">
      <c r="A176" t="e">
        <f t="shared" si="5"/>
        <v>#N/A</v>
      </c>
      <c r="B176" s="218">
        <v>168</v>
      </c>
    </row>
    <row r="177" spans="1:2" x14ac:dyDescent="0.15">
      <c r="A177" t="e">
        <f t="shared" si="5"/>
        <v>#N/A</v>
      </c>
      <c r="B177" s="218">
        <v>169</v>
      </c>
    </row>
    <row r="178" spans="1:2" x14ac:dyDescent="0.15">
      <c r="A178" t="e">
        <f t="shared" si="5"/>
        <v>#N/A</v>
      </c>
      <c r="B178" s="218">
        <v>170</v>
      </c>
    </row>
    <row r="179" spans="1:2" x14ac:dyDescent="0.15">
      <c r="A179" t="e">
        <f t="shared" si="5"/>
        <v>#N/A</v>
      </c>
      <c r="B179" s="218">
        <v>171</v>
      </c>
    </row>
    <row r="180" spans="1:2" x14ac:dyDescent="0.15">
      <c r="A180" t="e">
        <f t="shared" si="5"/>
        <v>#N/A</v>
      </c>
      <c r="B180" s="218">
        <v>172</v>
      </c>
    </row>
    <row r="181" spans="1:2" x14ac:dyDescent="0.15">
      <c r="A181" t="e">
        <f t="shared" si="5"/>
        <v>#N/A</v>
      </c>
      <c r="B181" s="218">
        <v>173</v>
      </c>
    </row>
    <row r="182" spans="1:2" x14ac:dyDescent="0.15">
      <c r="A182" t="e">
        <f t="shared" si="5"/>
        <v>#N/A</v>
      </c>
      <c r="B182" s="218">
        <v>174</v>
      </c>
    </row>
    <row r="183" spans="1:2" x14ac:dyDescent="0.15">
      <c r="A183" t="e">
        <f t="shared" si="5"/>
        <v>#N/A</v>
      </c>
      <c r="B183" s="218">
        <v>175</v>
      </c>
    </row>
    <row r="184" spans="1:2" x14ac:dyDescent="0.15">
      <c r="A184" t="e">
        <f t="shared" si="5"/>
        <v>#N/A</v>
      </c>
      <c r="B184" s="218">
        <v>176</v>
      </c>
    </row>
    <row r="185" spans="1:2" x14ac:dyDescent="0.15">
      <c r="A185" t="e">
        <f t="shared" si="5"/>
        <v>#N/A</v>
      </c>
      <c r="B185" s="218">
        <v>177</v>
      </c>
    </row>
    <row r="186" spans="1:2" x14ac:dyDescent="0.15">
      <c r="A186" t="e">
        <f t="shared" si="5"/>
        <v>#N/A</v>
      </c>
      <c r="B186" s="218">
        <v>178</v>
      </c>
    </row>
    <row r="187" spans="1:2" x14ac:dyDescent="0.15">
      <c r="A187" t="e">
        <f t="shared" si="5"/>
        <v>#N/A</v>
      </c>
      <c r="B187" s="218">
        <v>179</v>
      </c>
    </row>
    <row r="188" spans="1:2" x14ac:dyDescent="0.15">
      <c r="A188" t="e">
        <f t="shared" si="5"/>
        <v>#N/A</v>
      </c>
      <c r="B188" s="218">
        <v>180</v>
      </c>
    </row>
    <row r="189" spans="1:2" x14ac:dyDescent="0.15">
      <c r="A189" t="e">
        <f t="shared" si="5"/>
        <v>#N/A</v>
      </c>
      <c r="B189" s="218">
        <v>181</v>
      </c>
    </row>
    <row r="190" spans="1:2" x14ac:dyDescent="0.15">
      <c r="A190" t="e">
        <f t="shared" si="5"/>
        <v>#N/A</v>
      </c>
      <c r="B190" s="218">
        <v>182</v>
      </c>
    </row>
    <row r="191" spans="1:2" x14ac:dyDescent="0.15">
      <c r="A191" t="e">
        <f t="shared" si="5"/>
        <v>#N/A</v>
      </c>
      <c r="B191" s="218">
        <v>183</v>
      </c>
    </row>
    <row r="192" spans="1:2" x14ac:dyDescent="0.15">
      <c r="A192" t="e">
        <f t="shared" si="5"/>
        <v>#N/A</v>
      </c>
      <c r="B192" s="218">
        <v>184</v>
      </c>
    </row>
    <row r="193" spans="1:2" x14ac:dyDescent="0.15">
      <c r="A193" t="e">
        <f t="shared" si="5"/>
        <v>#N/A</v>
      </c>
      <c r="B193" s="218">
        <v>185</v>
      </c>
    </row>
    <row r="194" spans="1:2" x14ac:dyDescent="0.15">
      <c r="A194" t="e">
        <f t="shared" si="5"/>
        <v>#N/A</v>
      </c>
      <c r="B194" s="218">
        <v>186</v>
      </c>
    </row>
    <row r="195" spans="1:2" x14ac:dyDescent="0.15">
      <c r="A195" t="e">
        <f t="shared" si="5"/>
        <v>#N/A</v>
      </c>
      <c r="B195" s="218">
        <v>187</v>
      </c>
    </row>
    <row r="196" spans="1:2" x14ac:dyDescent="0.15">
      <c r="A196" t="e">
        <f t="shared" si="5"/>
        <v>#N/A</v>
      </c>
      <c r="B196" s="218">
        <v>188</v>
      </c>
    </row>
    <row r="197" spans="1:2" x14ac:dyDescent="0.15">
      <c r="A197" t="e">
        <f t="shared" si="5"/>
        <v>#N/A</v>
      </c>
      <c r="B197" s="218">
        <v>189</v>
      </c>
    </row>
    <row r="198" spans="1:2" x14ac:dyDescent="0.15">
      <c r="A198" t="e">
        <f t="shared" si="5"/>
        <v>#N/A</v>
      </c>
      <c r="B198" s="218">
        <v>190</v>
      </c>
    </row>
    <row r="199" spans="1:2" x14ac:dyDescent="0.15">
      <c r="A199" t="e">
        <f t="shared" si="5"/>
        <v>#N/A</v>
      </c>
      <c r="B199" s="218">
        <v>191</v>
      </c>
    </row>
    <row r="200" spans="1:2" x14ac:dyDescent="0.15">
      <c r="A200" t="e">
        <f t="shared" si="5"/>
        <v>#N/A</v>
      </c>
      <c r="B200" s="218">
        <v>192</v>
      </c>
    </row>
    <row r="201" spans="1:2" x14ac:dyDescent="0.15">
      <c r="A201" t="e">
        <f t="shared" ref="A201:A264" si="6">IF(OR(A200=-1,AND(IF(A$3&lt;$B201,A200+A$6,IF(A$3=$B201,1,""))&gt;$B$1,A$3&lt;$B201)),-1,IF(A$3&lt;$B201,A200+A$6,IF(A$3=$B201,1,"")))</f>
        <v>#N/A</v>
      </c>
      <c r="B201" s="218">
        <v>193</v>
      </c>
    </row>
    <row r="202" spans="1:2" x14ac:dyDescent="0.15">
      <c r="A202" t="e">
        <f t="shared" si="6"/>
        <v>#N/A</v>
      </c>
      <c r="B202" s="218">
        <v>194</v>
      </c>
    </row>
    <row r="203" spans="1:2" x14ac:dyDescent="0.15">
      <c r="A203" t="e">
        <f t="shared" si="6"/>
        <v>#N/A</v>
      </c>
      <c r="B203" s="218">
        <v>195</v>
      </c>
    </row>
    <row r="204" spans="1:2" x14ac:dyDescent="0.15">
      <c r="A204" t="e">
        <f t="shared" si="6"/>
        <v>#N/A</v>
      </c>
      <c r="B204" s="218">
        <v>196</v>
      </c>
    </row>
    <row r="205" spans="1:2" x14ac:dyDescent="0.15">
      <c r="A205" t="e">
        <f t="shared" si="6"/>
        <v>#N/A</v>
      </c>
      <c r="B205" s="218">
        <v>197</v>
      </c>
    </row>
    <row r="206" spans="1:2" x14ac:dyDescent="0.15">
      <c r="A206" t="e">
        <f t="shared" si="6"/>
        <v>#N/A</v>
      </c>
      <c r="B206" s="218">
        <v>198</v>
      </c>
    </row>
    <row r="207" spans="1:2" x14ac:dyDescent="0.15">
      <c r="A207" t="e">
        <f t="shared" si="6"/>
        <v>#N/A</v>
      </c>
      <c r="B207" s="218">
        <v>199</v>
      </c>
    </row>
    <row r="208" spans="1:2" x14ac:dyDescent="0.15">
      <c r="A208" t="e">
        <f t="shared" si="6"/>
        <v>#N/A</v>
      </c>
      <c r="B208" s="218">
        <v>200</v>
      </c>
    </row>
    <row r="209" spans="1:2" x14ac:dyDescent="0.15">
      <c r="A209" t="e">
        <f t="shared" si="6"/>
        <v>#N/A</v>
      </c>
      <c r="B209" s="218">
        <v>201</v>
      </c>
    </row>
    <row r="210" spans="1:2" x14ac:dyDescent="0.15">
      <c r="A210" t="e">
        <f t="shared" si="6"/>
        <v>#N/A</v>
      </c>
      <c r="B210" s="218">
        <v>202</v>
      </c>
    </row>
    <row r="211" spans="1:2" x14ac:dyDescent="0.15">
      <c r="A211" t="e">
        <f t="shared" si="6"/>
        <v>#N/A</v>
      </c>
      <c r="B211" s="218">
        <v>203</v>
      </c>
    </row>
    <row r="212" spans="1:2" x14ac:dyDescent="0.15">
      <c r="A212" t="e">
        <f t="shared" si="6"/>
        <v>#N/A</v>
      </c>
      <c r="B212" s="218">
        <v>204</v>
      </c>
    </row>
    <row r="213" spans="1:2" x14ac:dyDescent="0.15">
      <c r="A213" t="e">
        <f t="shared" si="6"/>
        <v>#N/A</v>
      </c>
      <c r="B213" s="218">
        <v>205</v>
      </c>
    </row>
    <row r="214" spans="1:2" x14ac:dyDescent="0.15">
      <c r="A214" t="e">
        <f t="shared" si="6"/>
        <v>#N/A</v>
      </c>
      <c r="B214" s="218">
        <v>206</v>
      </c>
    </row>
    <row r="215" spans="1:2" x14ac:dyDescent="0.15">
      <c r="A215" t="e">
        <f t="shared" si="6"/>
        <v>#N/A</v>
      </c>
      <c r="B215" s="218">
        <v>207</v>
      </c>
    </row>
    <row r="216" spans="1:2" x14ac:dyDescent="0.15">
      <c r="A216" t="e">
        <f t="shared" si="6"/>
        <v>#N/A</v>
      </c>
      <c r="B216" s="218">
        <v>208</v>
      </c>
    </row>
    <row r="217" spans="1:2" x14ac:dyDescent="0.15">
      <c r="A217" t="e">
        <f t="shared" si="6"/>
        <v>#N/A</v>
      </c>
      <c r="B217" s="218">
        <v>209</v>
      </c>
    </row>
    <row r="218" spans="1:2" x14ac:dyDescent="0.15">
      <c r="A218" t="e">
        <f t="shared" si="6"/>
        <v>#N/A</v>
      </c>
      <c r="B218" s="218">
        <v>210</v>
      </c>
    </row>
    <row r="219" spans="1:2" x14ac:dyDescent="0.15">
      <c r="A219" t="e">
        <f t="shared" si="6"/>
        <v>#N/A</v>
      </c>
      <c r="B219" s="218">
        <v>211</v>
      </c>
    </row>
    <row r="220" spans="1:2" x14ac:dyDescent="0.15">
      <c r="A220" t="e">
        <f t="shared" si="6"/>
        <v>#N/A</v>
      </c>
      <c r="B220" s="218">
        <v>212</v>
      </c>
    </row>
    <row r="221" spans="1:2" x14ac:dyDescent="0.15">
      <c r="A221" t="e">
        <f t="shared" si="6"/>
        <v>#N/A</v>
      </c>
      <c r="B221" s="218">
        <v>213</v>
      </c>
    </row>
    <row r="222" spans="1:2" x14ac:dyDescent="0.15">
      <c r="A222" t="e">
        <f t="shared" si="6"/>
        <v>#N/A</v>
      </c>
      <c r="B222" s="218">
        <v>214</v>
      </c>
    </row>
    <row r="223" spans="1:2" x14ac:dyDescent="0.15">
      <c r="A223" t="e">
        <f t="shared" si="6"/>
        <v>#N/A</v>
      </c>
      <c r="B223" s="218">
        <v>215</v>
      </c>
    </row>
    <row r="224" spans="1:2" x14ac:dyDescent="0.15">
      <c r="A224" t="e">
        <f t="shared" si="6"/>
        <v>#N/A</v>
      </c>
      <c r="B224" s="218">
        <v>216</v>
      </c>
    </row>
    <row r="225" spans="1:2" x14ac:dyDescent="0.15">
      <c r="A225" t="e">
        <f t="shared" si="6"/>
        <v>#N/A</v>
      </c>
      <c r="B225" s="218">
        <v>217</v>
      </c>
    </row>
    <row r="226" spans="1:2" x14ac:dyDescent="0.15">
      <c r="A226" t="e">
        <f t="shared" si="6"/>
        <v>#N/A</v>
      </c>
      <c r="B226" s="218">
        <v>218</v>
      </c>
    </row>
    <row r="227" spans="1:2" x14ac:dyDescent="0.15">
      <c r="A227" t="e">
        <f t="shared" si="6"/>
        <v>#N/A</v>
      </c>
      <c r="B227" s="218">
        <v>219</v>
      </c>
    </row>
    <row r="228" spans="1:2" x14ac:dyDescent="0.15">
      <c r="A228" t="e">
        <f t="shared" si="6"/>
        <v>#N/A</v>
      </c>
      <c r="B228" s="218">
        <v>220</v>
      </c>
    </row>
    <row r="229" spans="1:2" x14ac:dyDescent="0.15">
      <c r="A229" t="e">
        <f t="shared" si="6"/>
        <v>#N/A</v>
      </c>
      <c r="B229" s="218">
        <v>221</v>
      </c>
    </row>
    <row r="230" spans="1:2" x14ac:dyDescent="0.15">
      <c r="A230" t="e">
        <f t="shared" si="6"/>
        <v>#N/A</v>
      </c>
      <c r="B230" s="218">
        <v>222</v>
      </c>
    </row>
    <row r="231" spans="1:2" x14ac:dyDescent="0.15">
      <c r="A231" t="e">
        <f t="shared" si="6"/>
        <v>#N/A</v>
      </c>
      <c r="B231" s="218">
        <v>223</v>
      </c>
    </row>
    <row r="232" spans="1:2" x14ac:dyDescent="0.15">
      <c r="A232" t="e">
        <f t="shared" si="6"/>
        <v>#N/A</v>
      </c>
      <c r="B232" s="218">
        <v>224</v>
      </c>
    </row>
    <row r="233" spans="1:2" x14ac:dyDescent="0.15">
      <c r="A233" t="e">
        <f t="shared" si="6"/>
        <v>#N/A</v>
      </c>
      <c r="B233" s="218">
        <v>225</v>
      </c>
    </row>
    <row r="234" spans="1:2" x14ac:dyDescent="0.15">
      <c r="A234" t="e">
        <f t="shared" si="6"/>
        <v>#N/A</v>
      </c>
      <c r="B234" s="218">
        <v>226</v>
      </c>
    </row>
    <row r="235" spans="1:2" x14ac:dyDescent="0.15">
      <c r="A235" t="e">
        <f t="shared" si="6"/>
        <v>#N/A</v>
      </c>
      <c r="B235" s="218">
        <v>227</v>
      </c>
    </row>
    <row r="236" spans="1:2" x14ac:dyDescent="0.15">
      <c r="A236" t="e">
        <f t="shared" si="6"/>
        <v>#N/A</v>
      </c>
      <c r="B236" s="218">
        <v>228</v>
      </c>
    </row>
    <row r="237" spans="1:2" x14ac:dyDescent="0.15">
      <c r="A237" t="e">
        <f t="shared" si="6"/>
        <v>#N/A</v>
      </c>
      <c r="B237" s="218">
        <v>229</v>
      </c>
    </row>
    <row r="238" spans="1:2" x14ac:dyDescent="0.15">
      <c r="A238" t="e">
        <f t="shared" si="6"/>
        <v>#N/A</v>
      </c>
      <c r="B238" s="218">
        <v>230</v>
      </c>
    </row>
    <row r="239" spans="1:2" x14ac:dyDescent="0.15">
      <c r="A239" t="e">
        <f t="shared" si="6"/>
        <v>#N/A</v>
      </c>
      <c r="B239" s="218">
        <v>231</v>
      </c>
    </row>
    <row r="240" spans="1:2" x14ac:dyDescent="0.15">
      <c r="A240" t="e">
        <f t="shared" si="6"/>
        <v>#N/A</v>
      </c>
      <c r="B240" s="218">
        <v>232</v>
      </c>
    </row>
    <row r="241" spans="1:2" x14ac:dyDescent="0.15">
      <c r="A241" t="e">
        <f t="shared" si="6"/>
        <v>#N/A</v>
      </c>
      <c r="B241" s="218">
        <v>233</v>
      </c>
    </row>
    <row r="242" spans="1:2" x14ac:dyDescent="0.15">
      <c r="A242" t="e">
        <f t="shared" si="6"/>
        <v>#N/A</v>
      </c>
      <c r="B242" s="218">
        <v>234</v>
      </c>
    </row>
    <row r="243" spans="1:2" x14ac:dyDescent="0.15">
      <c r="A243" t="e">
        <f t="shared" si="6"/>
        <v>#N/A</v>
      </c>
      <c r="B243" s="218">
        <v>235</v>
      </c>
    </row>
    <row r="244" spans="1:2" x14ac:dyDescent="0.15">
      <c r="A244" t="e">
        <f t="shared" si="6"/>
        <v>#N/A</v>
      </c>
      <c r="B244" s="218">
        <v>236</v>
      </c>
    </row>
    <row r="245" spans="1:2" x14ac:dyDescent="0.15">
      <c r="A245" t="e">
        <f t="shared" si="6"/>
        <v>#N/A</v>
      </c>
      <c r="B245" s="218">
        <v>237</v>
      </c>
    </row>
    <row r="246" spans="1:2" x14ac:dyDescent="0.15">
      <c r="A246" t="e">
        <f t="shared" si="6"/>
        <v>#N/A</v>
      </c>
      <c r="B246" s="218">
        <v>238</v>
      </c>
    </row>
    <row r="247" spans="1:2" x14ac:dyDescent="0.15">
      <c r="A247" t="e">
        <f t="shared" si="6"/>
        <v>#N/A</v>
      </c>
      <c r="B247" s="218">
        <v>239</v>
      </c>
    </row>
    <row r="248" spans="1:2" x14ac:dyDescent="0.15">
      <c r="A248" t="e">
        <f t="shared" si="6"/>
        <v>#N/A</v>
      </c>
      <c r="B248" s="218">
        <v>240</v>
      </c>
    </row>
    <row r="249" spans="1:2" x14ac:dyDescent="0.15">
      <c r="A249" t="e">
        <f t="shared" si="6"/>
        <v>#N/A</v>
      </c>
      <c r="B249" s="218">
        <v>241</v>
      </c>
    </row>
    <row r="250" spans="1:2" x14ac:dyDescent="0.15">
      <c r="A250" t="e">
        <f t="shared" si="6"/>
        <v>#N/A</v>
      </c>
      <c r="B250" s="218">
        <v>242</v>
      </c>
    </row>
    <row r="251" spans="1:2" x14ac:dyDescent="0.15">
      <c r="A251" t="e">
        <f t="shared" si="6"/>
        <v>#N/A</v>
      </c>
      <c r="B251" s="218">
        <v>243</v>
      </c>
    </row>
    <row r="252" spans="1:2" x14ac:dyDescent="0.15">
      <c r="A252" t="e">
        <f t="shared" si="6"/>
        <v>#N/A</v>
      </c>
      <c r="B252" s="218">
        <v>244</v>
      </c>
    </row>
    <row r="253" spans="1:2" x14ac:dyDescent="0.15">
      <c r="A253" t="e">
        <f t="shared" si="6"/>
        <v>#N/A</v>
      </c>
      <c r="B253" s="218">
        <v>245</v>
      </c>
    </row>
    <row r="254" spans="1:2" x14ac:dyDescent="0.15">
      <c r="A254" t="e">
        <f t="shared" si="6"/>
        <v>#N/A</v>
      </c>
      <c r="B254" s="218">
        <v>246</v>
      </c>
    </row>
    <row r="255" spans="1:2" x14ac:dyDescent="0.15">
      <c r="A255" t="e">
        <f t="shared" si="6"/>
        <v>#N/A</v>
      </c>
      <c r="B255" s="218">
        <v>247</v>
      </c>
    </row>
    <row r="256" spans="1:2" x14ac:dyDescent="0.15">
      <c r="A256" t="e">
        <f t="shared" si="6"/>
        <v>#N/A</v>
      </c>
      <c r="B256" s="218">
        <v>248</v>
      </c>
    </row>
    <row r="257" spans="1:2" x14ac:dyDescent="0.15">
      <c r="A257" t="e">
        <f t="shared" si="6"/>
        <v>#N/A</v>
      </c>
      <c r="B257" s="218">
        <v>249</v>
      </c>
    </row>
    <row r="258" spans="1:2" x14ac:dyDescent="0.15">
      <c r="A258" t="e">
        <f t="shared" si="6"/>
        <v>#N/A</v>
      </c>
      <c r="B258" s="218">
        <v>250</v>
      </c>
    </row>
    <row r="259" spans="1:2" x14ac:dyDescent="0.15">
      <c r="A259" t="e">
        <f t="shared" si="6"/>
        <v>#N/A</v>
      </c>
      <c r="B259" s="218">
        <v>251</v>
      </c>
    </row>
    <row r="260" spans="1:2" x14ac:dyDescent="0.15">
      <c r="A260" t="e">
        <f t="shared" si="6"/>
        <v>#N/A</v>
      </c>
      <c r="B260" s="218">
        <v>252</v>
      </c>
    </row>
    <row r="261" spans="1:2" x14ac:dyDescent="0.15">
      <c r="A261" t="e">
        <f t="shared" si="6"/>
        <v>#N/A</v>
      </c>
      <c r="B261" s="218">
        <v>253</v>
      </c>
    </row>
    <row r="262" spans="1:2" x14ac:dyDescent="0.15">
      <c r="A262" t="e">
        <f t="shared" si="6"/>
        <v>#N/A</v>
      </c>
      <c r="B262" s="218">
        <v>254</v>
      </c>
    </row>
    <row r="263" spans="1:2" x14ac:dyDescent="0.15">
      <c r="A263" t="e">
        <f t="shared" si="6"/>
        <v>#N/A</v>
      </c>
      <c r="B263" s="218">
        <v>255</v>
      </c>
    </row>
    <row r="264" spans="1:2" x14ac:dyDescent="0.15">
      <c r="A264" t="e">
        <f t="shared" si="6"/>
        <v>#N/A</v>
      </c>
      <c r="B264" s="218">
        <v>256</v>
      </c>
    </row>
    <row r="265" spans="1:2" x14ac:dyDescent="0.15">
      <c r="A265" t="e">
        <f t="shared" ref="A265:A308" si="7">IF(OR(A264=-1,AND(IF(A$3&lt;$B265,A264+A$6,IF(A$3=$B265,1,""))&gt;$B$1,A$3&lt;$B265)),-1,IF(A$3&lt;$B265,A264+A$6,IF(A$3=$B265,1,"")))</f>
        <v>#N/A</v>
      </c>
      <c r="B265" s="218">
        <v>257</v>
      </c>
    </row>
    <row r="266" spans="1:2" x14ac:dyDescent="0.15">
      <c r="A266" t="e">
        <f t="shared" si="7"/>
        <v>#N/A</v>
      </c>
      <c r="B266" s="218">
        <v>258</v>
      </c>
    </row>
    <row r="267" spans="1:2" x14ac:dyDescent="0.15">
      <c r="A267" t="e">
        <f t="shared" si="7"/>
        <v>#N/A</v>
      </c>
      <c r="B267" s="218">
        <v>259</v>
      </c>
    </row>
    <row r="268" spans="1:2" x14ac:dyDescent="0.15">
      <c r="A268" t="e">
        <f t="shared" si="7"/>
        <v>#N/A</v>
      </c>
      <c r="B268" s="218">
        <v>260</v>
      </c>
    </row>
    <row r="269" spans="1:2" x14ac:dyDescent="0.15">
      <c r="A269" t="e">
        <f t="shared" si="7"/>
        <v>#N/A</v>
      </c>
      <c r="B269" s="218">
        <v>261</v>
      </c>
    </row>
    <row r="270" spans="1:2" x14ac:dyDescent="0.15">
      <c r="A270" t="e">
        <f t="shared" si="7"/>
        <v>#N/A</v>
      </c>
      <c r="B270" s="218">
        <v>262</v>
      </c>
    </row>
    <row r="271" spans="1:2" x14ac:dyDescent="0.15">
      <c r="A271" t="e">
        <f t="shared" si="7"/>
        <v>#N/A</v>
      </c>
      <c r="B271" s="218">
        <v>263</v>
      </c>
    </row>
    <row r="272" spans="1:2" x14ac:dyDescent="0.15">
      <c r="A272" t="e">
        <f t="shared" si="7"/>
        <v>#N/A</v>
      </c>
      <c r="B272" s="218">
        <v>264</v>
      </c>
    </row>
    <row r="273" spans="1:2" x14ac:dyDescent="0.15">
      <c r="A273" t="e">
        <f t="shared" si="7"/>
        <v>#N/A</v>
      </c>
      <c r="B273" s="218">
        <v>265</v>
      </c>
    </row>
    <row r="274" spans="1:2" x14ac:dyDescent="0.15">
      <c r="A274" t="e">
        <f t="shared" si="7"/>
        <v>#N/A</v>
      </c>
      <c r="B274" s="218">
        <v>266</v>
      </c>
    </row>
    <row r="275" spans="1:2" x14ac:dyDescent="0.15">
      <c r="A275" t="e">
        <f t="shared" si="7"/>
        <v>#N/A</v>
      </c>
      <c r="B275" s="218">
        <v>267</v>
      </c>
    </row>
    <row r="276" spans="1:2" x14ac:dyDescent="0.15">
      <c r="A276" t="e">
        <f t="shared" si="7"/>
        <v>#N/A</v>
      </c>
      <c r="B276" s="218">
        <v>268</v>
      </c>
    </row>
    <row r="277" spans="1:2" x14ac:dyDescent="0.15">
      <c r="A277" t="e">
        <f t="shared" si="7"/>
        <v>#N/A</v>
      </c>
      <c r="B277" s="218">
        <v>269</v>
      </c>
    </row>
    <row r="278" spans="1:2" x14ac:dyDescent="0.15">
      <c r="A278" t="e">
        <f t="shared" si="7"/>
        <v>#N/A</v>
      </c>
      <c r="B278" s="218">
        <v>270</v>
      </c>
    </row>
    <row r="279" spans="1:2" x14ac:dyDescent="0.15">
      <c r="A279" t="e">
        <f t="shared" si="7"/>
        <v>#N/A</v>
      </c>
      <c r="B279" s="218">
        <v>271</v>
      </c>
    </row>
    <row r="280" spans="1:2" x14ac:dyDescent="0.15">
      <c r="A280" t="e">
        <f t="shared" si="7"/>
        <v>#N/A</v>
      </c>
      <c r="B280" s="218">
        <v>272</v>
      </c>
    </row>
    <row r="281" spans="1:2" x14ac:dyDescent="0.15">
      <c r="A281" t="e">
        <f t="shared" si="7"/>
        <v>#N/A</v>
      </c>
      <c r="B281" s="218">
        <v>273</v>
      </c>
    </row>
    <row r="282" spans="1:2" x14ac:dyDescent="0.15">
      <c r="A282" t="e">
        <f t="shared" si="7"/>
        <v>#N/A</v>
      </c>
      <c r="B282" s="218">
        <v>274</v>
      </c>
    </row>
    <row r="283" spans="1:2" x14ac:dyDescent="0.15">
      <c r="A283" t="e">
        <f t="shared" si="7"/>
        <v>#N/A</v>
      </c>
      <c r="B283" s="218">
        <v>275</v>
      </c>
    </row>
    <row r="284" spans="1:2" x14ac:dyDescent="0.15">
      <c r="A284" t="e">
        <f t="shared" si="7"/>
        <v>#N/A</v>
      </c>
      <c r="B284" s="218">
        <v>276</v>
      </c>
    </row>
    <row r="285" spans="1:2" x14ac:dyDescent="0.15">
      <c r="A285" t="e">
        <f t="shared" si="7"/>
        <v>#N/A</v>
      </c>
      <c r="B285" s="218">
        <v>277</v>
      </c>
    </row>
    <row r="286" spans="1:2" x14ac:dyDescent="0.15">
      <c r="A286" t="e">
        <f t="shared" si="7"/>
        <v>#N/A</v>
      </c>
      <c r="B286" s="218">
        <v>278</v>
      </c>
    </row>
    <row r="287" spans="1:2" x14ac:dyDescent="0.15">
      <c r="A287" t="e">
        <f t="shared" si="7"/>
        <v>#N/A</v>
      </c>
      <c r="B287" s="218">
        <v>279</v>
      </c>
    </row>
    <row r="288" spans="1:2" x14ac:dyDescent="0.15">
      <c r="A288" t="e">
        <f t="shared" si="7"/>
        <v>#N/A</v>
      </c>
      <c r="B288" s="218">
        <v>280</v>
      </c>
    </row>
    <row r="289" spans="1:2" x14ac:dyDescent="0.15">
      <c r="A289" t="e">
        <f t="shared" si="7"/>
        <v>#N/A</v>
      </c>
      <c r="B289" s="218">
        <v>281</v>
      </c>
    </row>
    <row r="290" spans="1:2" x14ac:dyDescent="0.15">
      <c r="A290" t="e">
        <f t="shared" si="7"/>
        <v>#N/A</v>
      </c>
      <c r="B290" s="218">
        <v>282</v>
      </c>
    </row>
    <row r="291" spans="1:2" x14ac:dyDescent="0.15">
      <c r="A291" t="e">
        <f t="shared" si="7"/>
        <v>#N/A</v>
      </c>
      <c r="B291" s="218">
        <v>283</v>
      </c>
    </row>
    <row r="292" spans="1:2" x14ac:dyDescent="0.15">
      <c r="A292" t="e">
        <f t="shared" si="7"/>
        <v>#N/A</v>
      </c>
      <c r="B292" s="218">
        <v>284</v>
      </c>
    </row>
    <row r="293" spans="1:2" x14ac:dyDescent="0.15">
      <c r="A293" t="e">
        <f t="shared" si="7"/>
        <v>#N/A</v>
      </c>
      <c r="B293" s="218">
        <v>285</v>
      </c>
    </row>
    <row r="294" spans="1:2" x14ac:dyDescent="0.15">
      <c r="A294" t="e">
        <f t="shared" si="7"/>
        <v>#N/A</v>
      </c>
      <c r="B294" s="218">
        <v>286</v>
      </c>
    </row>
    <row r="295" spans="1:2" x14ac:dyDescent="0.15">
      <c r="A295" t="e">
        <f t="shared" si="7"/>
        <v>#N/A</v>
      </c>
      <c r="B295" s="218">
        <v>287</v>
      </c>
    </row>
    <row r="296" spans="1:2" x14ac:dyDescent="0.15">
      <c r="A296" t="e">
        <f t="shared" si="7"/>
        <v>#N/A</v>
      </c>
      <c r="B296" s="218">
        <v>288</v>
      </c>
    </row>
    <row r="297" spans="1:2" x14ac:dyDescent="0.15">
      <c r="A297" t="e">
        <f t="shared" si="7"/>
        <v>#N/A</v>
      </c>
      <c r="B297" s="218">
        <v>289</v>
      </c>
    </row>
    <row r="298" spans="1:2" x14ac:dyDescent="0.15">
      <c r="A298" t="e">
        <f t="shared" si="7"/>
        <v>#N/A</v>
      </c>
      <c r="B298" s="218">
        <v>290</v>
      </c>
    </row>
    <row r="299" spans="1:2" x14ac:dyDescent="0.15">
      <c r="A299" t="e">
        <f t="shared" si="7"/>
        <v>#N/A</v>
      </c>
      <c r="B299" s="218">
        <v>291</v>
      </c>
    </row>
    <row r="300" spans="1:2" x14ac:dyDescent="0.15">
      <c r="A300" t="e">
        <f t="shared" si="7"/>
        <v>#N/A</v>
      </c>
      <c r="B300" s="218">
        <v>292</v>
      </c>
    </row>
    <row r="301" spans="1:2" x14ac:dyDescent="0.15">
      <c r="A301" t="e">
        <f t="shared" si="7"/>
        <v>#N/A</v>
      </c>
      <c r="B301" s="218">
        <v>293</v>
      </c>
    </row>
    <row r="302" spans="1:2" x14ac:dyDescent="0.15">
      <c r="A302" t="e">
        <f t="shared" si="7"/>
        <v>#N/A</v>
      </c>
      <c r="B302" s="218">
        <v>294</v>
      </c>
    </row>
    <row r="303" spans="1:2" x14ac:dyDescent="0.15">
      <c r="A303" t="e">
        <f t="shared" si="7"/>
        <v>#N/A</v>
      </c>
      <c r="B303" s="218">
        <v>295</v>
      </c>
    </row>
    <row r="304" spans="1:2" x14ac:dyDescent="0.15">
      <c r="A304" t="e">
        <f t="shared" si="7"/>
        <v>#N/A</v>
      </c>
      <c r="B304" s="218">
        <v>296</v>
      </c>
    </row>
    <row r="305" spans="1:2" x14ac:dyDescent="0.15">
      <c r="A305" t="e">
        <f t="shared" si="7"/>
        <v>#N/A</v>
      </c>
      <c r="B305" s="218">
        <v>297</v>
      </c>
    </row>
    <row r="306" spans="1:2" x14ac:dyDescent="0.15">
      <c r="A306" t="e">
        <f t="shared" si="7"/>
        <v>#N/A</v>
      </c>
      <c r="B306" s="218">
        <v>298</v>
      </c>
    </row>
    <row r="307" spans="1:2" x14ac:dyDescent="0.15">
      <c r="A307" t="e">
        <f t="shared" si="7"/>
        <v>#N/A</v>
      </c>
      <c r="B307" s="218">
        <v>299</v>
      </c>
    </row>
    <row r="308" spans="1:2" x14ac:dyDescent="0.15">
      <c r="A308" t="e">
        <f t="shared" si="7"/>
        <v>#N/A</v>
      </c>
      <c r="B308" s="218">
        <v>300</v>
      </c>
    </row>
  </sheetData>
  <phoneticPr fontId="21" type="noConversion"/>
  <conditionalFormatting sqref="A1:B1">
    <cfRule type="cellIs" dxfId="1" priority="1" stopIfTrue="1" operator="less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O308"/>
  <sheetViews>
    <sheetView workbookViewId="0">
      <pane xSplit="2" ySplit="2" topLeftCell="DP3" activePane="bottomRight" state="frozen"/>
      <selection pane="topRight" activeCell="D1" sqref="D1"/>
      <selection pane="bottomLeft" activeCell="A4" sqref="A4"/>
      <selection pane="bottomRight"/>
    </sheetView>
  </sheetViews>
  <sheetFormatPr defaultRowHeight="13.5" x14ac:dyDescent="0.15"/>
  <cols>
    <col min="1" max="1" width="12.375" style="219" bestFit="1" customWidth="1" collapsed="1"/>
    <col min="3" max="3" width="9.125" customWidth="1" collapsed="1"/>
  </cols>
  <sheetData>
    <row r="1" spans="1:145" x14ac:dyDescent="0.15">
      <c r="A1" s="219" t="s">
        <v>243</v>
      </c>
      <c r="B1" s="384">
        <f>MAX('Level1-PathMap'!B:B)</f>
        <v>75</v>
      </c>
      <c r="C1" s="385" t="s">
        <v>145</v>
      </c>
      <c r="D1" s="385"/>
      <c r="E1" s="385"/>
      <c r="F1" s="385"/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  <c r="X1" s="385"/>
      <c r="Y1" s="385"/>
      <c r="Z1" s="385" t="s">
        <v>146</v>
      </c>
      <c r="AY1" t="s">
        <v>147</v>
      </c>
      <c r="BN1" t="s">
        <v>148</v>
      </c>
      <c r="CT1" t="s">
        <v>149</v>
      </c>
      <c r="DQ1" t="s">
        <v>150</v>
      </c>
    </row>
    <row r="2" spans="1:145" ht="78.75" x14ac:dyDescent="0.15">
      <c r="A2" s="386" t="s">
        <v>294</v>
      </c>
      <c r="B2" s="217" t="s">
        <v>240</v>
      </c>
      <c r="C2" s="386" t="s">
        <v>15</v>
      </c>
      <c r="D2" s="386" t="s">
        <v>15</v>
      </c>
      <c r="E2" s="386" t="s">
        <v>15</v>
      </c>
      <c r="F2" s="386" t="s">
        <v>15</v>
      </c>
      <c r="G2" s="386" t="s">
        <v>15</v>
      </c>
      <c r="H2" s="386" t="s">
        <v>15</v>
      </c>
      <c r="I2" s="386" t="s">
        <v>79</v>
      </c>
      <c r="J2" s="386" t="s">
        <v>79</v>
      </c>
      <c r="K2" s="386" t="s">
        <v>79</v>
      </c>
      <c r="L2" s="386" t="s">
        <v>80</v>
      </c>
      <c r="M2" s="386" t="s">
        <v>80</v>
      </c>
      <c r="N2" s="386" t="s">
        <v>80</v>
      </c>
      <c r="O2" s="386" t="s">
        <v>13</v>
      </c>
      <c r="P2" s="386" t="s">
        <v>13</v>
      </c>
      <c r="Q2" s="386" t="s">
        <v>13</v>
      </c>
      <c r="R2" s="386" t="s">
        <v>13</v>
      </c>
      <c r="S2" s="386" t="s">
        <v>13</v>
      </c>
      <c r="T2" s="386" t="s">
        <v>74</v>
      </c>
      <c r="U2" s="386" t="s">
        <v>74</v>
      </c>
      <c r="V2" s="386" t="s">
        <v>74</v>
      </c>
      <c r="W2" s="386" t="s">
        <v>84</v>
      </c>
      <c r="X2" s="386" t="s">
        <v>84</v>
      </c>
      <c r="Y2" s="386" t="s">
        <v>84</v>
      </c>
      <c r="Z2" s="386" t="s">
        <v>72</v>
      </c>
      <c r="AA2" s="386" t="s">
        <v>72</v>
      </c>
      <c r="AB2" s="386" t="s">
        <v>72</v>
      </c>
      <c r="AC2" s="386" t="s">
        <v>84</v>
      </c>
      <c r="AD2" s="386" t="s">
        <v>84</v>
      </c>
      <c r="AE2" s="386" t="s">
        <v>84</v>
      </c>
      <c r="AF2" s="386" t="s">
        <v>84</v>
      </c>
      <c r="AG2" s="386" t="s">
        <v>84</v>
      </c>
      <c r="AH2" s="386" t="s">
        <v>84</v>
      </c>
      <c r="AI2" s="386" t="s">
        <v>85</v>
      </c>
      <c r="AJ2" s="386" t="s">
        <v>85</v>
      </c>
      <c r="AK2" s="386" t="s">
        <v>85</v>
      </c>
      <c r="AL2" s="386" t="s">
        <v>85</v>
      </c>
      <c r="AM2" s="386" t="s">
        <v>11</v>
      </c>
      <c r="AN2" s="386" t="s">
        <v>11</v>
      </c>
      <c r="AO2" s="386" t="s">
        <v>11</v>
      </c>
      <c r="AP2" s="386" t="s">
        <v>169</v>
      </c>
      <c r="AQ2" s="386" t="s">
        <v>169</v>
      </c>
      <c r="AR2" s="386" t="s">
        <v>169</v>
      </c>
      <c r="AS2" s="386" t="s">
        <v>169</v>
      </c>
      <c r="AT2" s="386" t="s">
        <v>169</v>
      </c>
      <c r="AU2" s="386" t="s">
        <v>169</v>
      </c>
      <c r="AV2" s="386" t="s">
        <v>169</v>
      </c>
      <c r="AW2" s="386" t="s">
        <v>72</v>
      </c>
      <c r="AX2" s="386" t="s">
        <v>72</v>
      </c>
      <c r="AY2" s="386" t="s">
        <v>74</v>
      </c>
      <c r="AZ2" s="386" t="s">
        <v>74</v>
      </c>
      <c r="BA2" s="386" t="s">
        <v>74</v>
      </c>
      <c r="BB2" s="386" t="s">
        <v>74</v>
      </c>
      <c r="BC2" s="386" t="s">
        <v>74</v>
      </c>
      <c r="BD2" s="386" t="s">
        <v>12</v>
      </c>
      <c r="BE2" s="386" t="s">
        <v>74</v>
      </c>
      <c r="BF2" s="386" t="s">
        <v>74</v>
      </c>
      <c r="BG2" s="386" t="s">
        <v>74</v>
      </c>
      <c r="BH2" s="386" t="s">
        <v>74</v>
      </c>
      <c r="BI2" s="386" t="s">
        <v>13</v>
      </c>
      <c r="BJ2" s="386" t="s">
        <v>13</v>
      </c>
      <c r="BK2" s="386" t="s">
        <v>13</v>
      </c>
      <c r="BL2" s="386" t="s">
        <v>13</v>
      </c>
      <c r="BM2" s="386" t="s">
        <v>71</v>
      </c>
      <c r="BN2" s="386" t="s">
        <v>12</v>
      </c>
      <c r="BO2" s="386" t="s">
        <v>12</v>
      </c>
      <c r="BP2" s="386" t="s">
        <v>74</v>
      </c>
      <c r="BQ2" s="386" t="s">
        <v>74</v>
      </c>
      <c r="BR2" s="386" t="s">
        <v>74</v>
      </c>
      <c r="BS2" s="386" t="s">
        <v>82</v>
      </c>
      <c r="BT2" s="386" t="s">
        <v>82</v>
      </c>
      <c r="BU2" s="386" t="s">
        <v>76</v>
      </c>
      <c r="BV2" s="386" t="s">
        <v>76</v>
      </c>
      <c r="BW2" s="386" t="s">
        <v>76</v>
      </c>
      <c r="BX2" s="386" t="s">
        <v>76</v>
      </c>
      <c r="BY2" s="386" t="s">
        <v>76</v>
      </c>
      <c r="BZ2" s="386" t="s">
        <v>76</v>
      </c>
      <c r="CA2" s="386" t="s">
        <v>76</v>
      </c>
      <c r="CB2" s="386" t="s">
        <v>76</v>
      </c>
      <c r="CC2" s="386" t="s">
        <v>76</v>
      </c>
      <c r="CD2" s="386" t="s">
        <v>76</v>
      </c>
      <c r="CE2" s="386" t="s">
        <v>76</v>
      </c>
      <c r="CF2" s="386" t="s">
        <v>76</v>
      </c>
      <c r="CG2" s="386" t="s">
        <v>76</v>
      </c>
      <c r="CH2" s="386" t="s">
        <v>76</v>
      </c>
      <c r="CI2" s="386" t="s">
        <v>76</v>
      </c>
      <c r="CJ2" s="386" t="s">
        <v>76</v>
      </c>
      <c r="CK2" s="386" t="s">
        <v>76</v>
      </c>
      <c r="CL2" s="386" t="s">
        <v>76</v>
      </c>
      <c r="CM2" s="386" t="s">
        <v>76</v>
      </c>
      <c r="CN2" s="386" t="s">
        <v>76</v>
      </c>
      <c r="CO2" s="386" t="s">
        <v>77</v>
      </c>
      <c r="CP2" s="386" t="s">
        <v>77</v>
      </c>
      <c r="CQ2" s="386" t="s">
        <v>15</v>
      </c>
      <c r="CR2" s="386" t="s">
        <v>15</v>
      </c>
      <c r="CS2" s="386" t="s">
        <v>15</v>
      </c>
      <c r="CT2" s="386" t="s">
        <v>12</v>
      </c>
      <c r="CU2" s="386" t="s">
        <v>12</v>
      </c>
      <c r="CV2" s="386" t="s">
        <v>73</v>
      </c>
      <c r="CW2" s="386" t="s">
        <v>73</v>
      </c>
      <c r="CX2" s="386" t="s">
        <v>73</v>
      </c>
      <c r="CY2" s="386" t="s">
        <v>73</v>
      </c>
      <c r="CZ2" s="386" t="s">
        <v>73</v>
      </c>
      <c r="DA2" s="386" t="s">
        <v>13</v>
      </c>
      <c r="DB2" s="386" t="s">
        <v>13</v>
      </c>
      <c r="DC2" s="386" t="s">
        <v>13</v>
      </c>
      <c r="DD2" s="386" t="s">
        <v>13</v>
      </c>
      <c r="DE2" s="386" t="s">
        <v>11</v>
      </c>
      <c r="DF2" s="386" t="s">
        <v>11</v>
      </c>
      <c r="DG2" s="386" t="s">
        <v>12</v>
      </c>
      <c r="DH2" s="386" t="s">
        <v>12</v>
      </c>
      <c r="DI2" s="386" t="s">
        <v>12</v>
      </c>
      <c r="DJ2" s="386" t="s">
        <v>12</v>
      </c>
      <c r="DK2" s="386" t="s">
        <v>74</v>
      </c>
      <c r="DL2" s="386" t="s">
        <v>74</v>
      </c>
      <c r="DM2" s="386" t="s">
        <v>74</v>
      </c>
      <c r="DN2" s="386" t="s">
        <v>74</v>
      </c>
      <c r="DO2" s="386" t="s">
        <v>74</v>
      </c>
      <c r="DP2" s="386" t="s">
        <v>74</v>
      </c>
      <c r="DQ2" s="386" t="s">
        <v>12</v>
      </c>
      <c r="DR2" s="386" t="s">
        <v>12</v>
      </c>
      <c r="DS2" s="386" t="s">
        <v>72</v>
      </c>
      <c r="DT2" s="386" t="s">
        <v>72</v>
      </c>
      <c r="DU2" s="386" t="s">
        <v>72</v>
      </c>
      <c r="DV2" s="386" t="s">
        <v>72</v>
      </c>
      <c r="DW2" s="386" t="s">
        <v>72</v>
      </c>
      <c r="DX2" s="386" t="s">
        <v>72</v>
      </c>
      <c r="DY2" s="386" t="s">
        <v>74</v>
      </c>
      <c r="DZ2" s="386" t="s">
        <v>74</v>
      </c>
      <c r="EA2" s="386" t="s">
        <v>74</v>
      </c>
      <c r="EB2" s="386" t="s">
        <v>74</v>
      </c>
      <c r="EC2" s="386" t="s">
        <v>74</v>
      </c>
      <c r="ED2" s="386" t="s">
        <v>74</v>
      </c>
      <c r="EE2" s="386" t="s">
        <v>73</v>
      </c>
      <c r="EF2" s="386" t="s">
        <v>73</v>
      </c>
      <c r="EG2" s="386" t="s">
        <v>73</v>
      </c>
      <c r="EH2" s="386" t="s">
        <v>73</v>
      </c>
      <c r="EI2" s="386" t="s">
        <v>73</v>
      </c>
      <c r="EJ2" s="386" t="s">
        <v>73</v>
      </c>
      <c r="EK2" s="386" t="s">
        <v>73</v>
      </c>
      <c r="EL2" s="386" t="s">
        <v>73</v>
      </c>
      <c r="EM2" s="386" t="s">
        <v>73</v>
      </c>
      <c r="EN2" s="386" t="s">
        <v>73</v>
      </c>
      <c r="EO2" s="386" t="s">
        <v>73</v>
      </c>
    </row>
    <row r="3" spans="1:145" x14ac:dyDescent="0.15">
      <c r="A3">
        <v>0</v>
      </c>
      <c r="B3" s="217" t="s">
        <v>239</v>
      </c>
      <c r="C3">
        <v>2</v>
      </c>
      <c r="D3">
        <v>4</v>
      </c>
      <c r="E3">
        <v>6</v>
      </c>
      <c r="F3">
        <v>8</v>
      </c>
      <c r="G3">
        <v>10</v>
      </c>
      <c r="H3">
        <v>12</v>
      </c>
      <c r="I3">
        <v>9</v>
      </c>
      <c r="J3">
        <v>18</v>
      </c>
      <c r="K3">
        <v>27</v>
      </c>
      <c r="L3">
        <v>5</v>
      </c>
      <c r="M3">
        <v>10</v>
      </c>
      <c r="N3">
        <v>15</v>
      </c>
      <c r="O3">
        <v>2</v>
      </c>
      <c r="P3">
        <v>4</v>
      </c>
      <c r="Q3">
        <v>6</v>
      </c>
      <c r="R3">
        <v>8</v>
      </c>
      <c r="S3">
        <v>10</v>
      </c>
      <c r="T3">
        <v>4</v>
      </c>
      <c r="U3">
        <v>8</v>
      </c>
      <c r="V3">
        <v>12</v>
      </c>
      <c r="W3">
        <v>2</v>
      </c>
      <c r="X3">
        <v>4</v>
      </c>
      <c r="Y3">
        <v>6</v>
      </c>
      <c r="Z3">
        <v>3</v>
      </c>
      <c r="AA3">
        <v>6</v>
      </c>
      <c r="AB3">
        <v>9</v>
      </c>
      <c r="AC3">
        <v>6</v>
      </c>
      <c r="AD3">
        <v>12</v>
      </c>
      <c r="AE3">
        <v>18</v>
      </c>
      <c r="AF3">
        <v>24</v>
      </c>
      <c r="AG3">
        <v>30</v>
      </c>
      <c r="AH3">
        <v>36</v>
      </c>
      <c r="AI3">
        <v>4</v>
      </c>
      <c r="AJ3">
        <v>8</v>
      </c>
      <c r="AK3">
        <v>12</v>
      </c>
      <c r="AL3">
        <v>16</v>
      </c>
      <c r="AM3">
        <v>6</v>
      </c>
      <c r="AN3">
        <v>12</v>
      </c>
      <c r="AO3">
        <v>18</v>
      </c>
      <c r="AP3">
        <v>3</v>
      </c>
      <c r="AQ3">
        <v>6</v>
      </c>
      <c r="AR3">
        <v>9</v>
      </c>
      <c r="AS3">
        <v>12</v>
      </c>
      <c r="AT3">
        <v>15</v>
      </c>
      <c r="AU3">
        <v>18</v>
      </c>
      <c r="AV3">
        <v>21</v>
      </c>
      <c r="AW3">
        <v>6</v>
      </c>
      <c r="AX3">
        <v>12</v>
      </c>
      <c r="AY3">
        <v>5</v>
      </c>
      <c r="AZ3">
        <v>10</v>
      </c>
      <c r="BA3">
        <v>3</v>
      </c>
      <c r="BB3">
        <v>6</v>
      </c>
      <c r="BC3">
        <v>9</v>
      </c>
      <c r="BD3">
        <v>1</v>
      </c>
      <c r="BE3">
        <v>4</v>
      </c>
      <c r="BF3">
        <v>8</v>
      </c>
      <c r="BG3">
        <v>12</v>
      </c>
      <c r="BH3">
        <v>16</v>
      </c>
      <c r="BI3">
        <v>5</v>
      </c>
      <c r="BJ3">
        <v>10</v>
      </c>
      <c r="BK3">
        <v>15</v>
      </c>
      <c r="BL3">
        <v>20</v>
      </c>
      <c r="BM3">
        <v>6</v>
      </c>
      <c r="BN3">
        <v>2</v>
      </c>
      <c r="BO3">
        <v>4</v>
      </c>
      <c r="BP3">
        <v>3</v>
      </c>
      <c r="BQ3">
        <v>6</v>
      </c>
      <c r="BR3">
        <v>9</v>
      </c>
      <c r="BS3">
        <v>2</v>
      </c>
      <c r="BT3">
        <v>4</v>
      </c>
      <c r="BU3">
        <v>6</v>
      </c>
      <c r="BV3">
        <v>12</v>
      </c>
      <c r="BW3">
        <v>18</v>
      </c>
      <c r="BX3">
        <v>24</v>
      </c>
      <c r="BY3">
        <v>30</v>
      </c>
      <c r="BZ3">
        <v>36</v>
      </c>
      <c r="CA3">
        <v>42</v>
      </c>
      <c r="CB3">
        <v>48</v>
      </c>
      <c r="CC3">
        <v>54</v>
      </c>
      <c r="CD3">
        <v>60</v>
      </c>
      <c r="CE3">
        <v>66</v>
      </c>
      <c r="CF3">
        <v>72</v>
      </c>
      <c r="CG3">
        <v>78</v>
      </c>
      <c r="CH3">
        <v>84</v>
      </c>
      <c r="CI3">
        <v>90</v>
      </c>
      <c r="CJ3">
        <v>96</v>
      </c>
      <c r="CK3">
        <v>102</v>
      </c>
      <c r="CL3">
        <v>108</v>
      </c>
      <c r="CM3">
        <v>114</v>
      </c>
      <c r="CN3">
        <v>120</v>
      </c>
      <c r="CO3">
        <v>26</v>
      </c>
      <c r="CP3">
        <v>52</v>
      </c>
      <c r="CQ3">
        <v>5</v>
      </c>
      <c r="CR3">
        <v>10</v>
      </c>
      <c r="CS3">
        <v>15</v>
      </c>
      <c r="CT3">
        <v>2</v>
      </c>
      <c r="CU3">
        <v>4</v>
      </c>
      <c r="CV3">
        <v>5</v>
      </c>
      <c r="CW3">
        <v>10</v>
      </c>
      <c r="CX3">
        <v>15</v>
      </c>
      <c r="CY3">
        <v>20</v>
      </c>
      <c r="CZ3">
        <v>25</v>
      </c>
      <c r="DA3">
        <v>4</v>
      </c>
      <c r="DB3">
        <v>8</v>
      </c>
      <c r="DC3">
        <v>12</v>
      </c>
      <c r="DD3">
        <v>16</v>
      </c>
      <c r="DE3">
        <v>2</v>
      </c>
      <c r="DF3">
        <v>4</v>
      </c>
      <c r="DG3">
        <v>1</v>
      </c>
      <c r="DH3">
        <v>2</v>
      </c>
      <c r="DI3">
        <v>3</v>
      </c>
      <c r="DJ3">
        <v>4</v>
      </c>
      <c r="DK3">
        <v>4</v>
      </c>
      <c r="DL3">
        <v>8</v>
      </c>
      <c r="DM3">
        <v>12</v>
      </c>
      <c r="DN3">
        <v>16</v>
      </c>
      <c r="DO3">
        <v>20</v>
      </c>
      <c r="DP3">
        <v>24</v>
      </c>
      <c r="DQ3">
        <v>2</v>
      </c>
      <c r="DR3">
        <v>4</v>
      </c>
      <c r="DS3">
        <v>6</v>
      </c>
      <c r="DT3">
        <v>12</v>
      </c>
      <c r="DU3">
        <v>18</v>
      </c>
      <c r="DV3">
        <v>24</v>
      </c>
      <c r="DW3">
        <v>30</v>
      </c>
      <c r="DX3">
        <v>36</v>
      </c>
      <c r="DY3">
        <v>1</v>
      </c>
      <c r="DZ3">
        <v>2</v>
      </c>
      <c r="EA3">
        <v>3</v>
      </c>
      <c r="EB3">
        <v>4</v>
      </c>
      <c r="EC3">
        <v>5</v>
      </c>
      <c r="ED3">
        <v>6</v>
      </c>
      <c r="EE3">
        <v>5</v>
      </c>
      <c r="EF3">
        <v>10</v>
      </c>
      <c r="EG3">
        <v>15</v>
      </c>
      <c r="EH3">
        <v>20</v>
      </c>
      <c r="EI3">
        <v>25</v>
      </c>
      <c r="EJ3">
        <v>30</v>
      </c>
      <c r="EK3">
        <v>2</v>
      </c>
      <c r="EL3">
        <v>7</v>
      </c>
      <c r="EM3">
        <v>14</v>
      </c>
      <c r="EN3">
        <v>21</v>
      </c>
      <c r="EO3">
        <v>28</v>
      </c>
    </row>
    <row r="4" spans="1:145" x14ac:dyDescent="0.15">
      <c r="A4" t="e">
        <f>VLOOKUP(A$2,'Monsters Stats'!$B:$L,3,FALSE)</f>
        <v>#N/A</v>
      </c>
      <c r="B4" s="217" t="s">
        <v>4</v>
      </c>
      <c r="C4">
        <f>VLOOKUP(C$2,'Monsters Stats'!$B:$L,3,FALSE)</f>
        <v>13</v>
      </c>
      <c r="D4">
        <f>VLOOKUP(D$2,'Monsters Stats'!$B:$L,3,FALSE)</f>
        <v>13</v>
      </c>
      <c r="E4">
        <f>VLOOKUP(E$2,'Monsters Stats'!$B:$L,3,FALSE)</f>
        <v>13</v>
      </c>
      <c r="F4">
        <f>VLOOKUP(F$2,'Monsters Stats'!$B:$L,3,FALSE)</f>
        <v>13</v>
      </c>
      <c r="G4">
        <f>VLOOKUP(G$2,'Monsters Stats'!$B:$L,3,FALSE)</f>
        <v>13</v>
      </c>
      <c r="H4">
        <f>VLOOKUP(H$2,'Monsters Stats'!$B:$L,3,FALSE)</f>
        <v>13</v>
      </c>
      <c r="I4">
        <f>VLOOKUP(I$2,'Monsters Stats'!$B:$L,3,FALSE)</f>
        <v>23</v>
      </c>
      <c r="J4">
        <f>VLOOKUP(J$2,'Monsters Stats'!$B:$L,3,FALSE)</f>
        <v>23</v>
      </c>
      <c r="K4">
        <f>VLOOKUP(K$2,'Monsters Stats'!$B:$L,3,FALSE)</f>
        <v>23</v>
      </c>
      <c r="L4">
        <f>VLOOKUP(L$2,'Monsters Stats'!$B:$L,3,FALSE)</f>
        <v>24</v>
      </c>
      <c r="M4">
        <f>VLOOKUP(M$2,'Monsters Stats'!$B:$L,3,FALSE)</f>
        <v>24</v>
      </c>
      <c r="N4">
        <f>VLOOKUP(N$2,'Monsters Stats'!$B:$L,3,FALSE)</f>
        <v>24</v>
      </c>
      <c r="O4">
        <f>VLOOKUP(O$2,'Monsters Stats'!$B:$L,3,FALSE)</f>
        <v>14</v>
      </c>
      <c r="P4">
        <f>VLOOKUP(P$2,'Monsters Stats'!$B:$L,3,FALSE)</f>
        <v>14</v>
      </c>
      <c r="Q4">
        <f>VLOOKUP(Q$2,'Monsters Stats'!$B:$L,3,FALSE)</f>
        <v>14</v>
      </c>
      <c r="R4">
        <f>VLOOKUP(R$2,'Monsters Stats'!$B:$L,3,FALSE)</f>
        <v>14</v>
      </c>
      <c r="S4">
        <f>VLOOKUP(S$2,'Monsters Stats'!$B:$L,3,FALSE)</f>
        <v>14</v>
      </c>
      <c r="T4">
        <f>VLOOKUP(T$2,'Monsters Stats'!$B:$L,3,FALSE)</f>
        <v>27</v>
      </c>
      <c r="U4">
        <f>VLOOKUP(U$2,'Monsters Stats'!$B:$L,3,FALSE)</f>
        <v>27</v>
      </c>
      <c r="V4">
        <f>VLOOKUP(V$2,'Monsters Stats'!$B:$L,3,FALSE)</f>
        <v>27</v>
      </c>
      <c r="W4">
        <f>VLOOKUP(W$2,'Monsters Stats'!$B:$L,3,FALSE)</f>
        <v>79</v>
      </c>
      <c r="X4">
        <f>VLOOKUP(X$2,'Monsters Stats'!$B:$L,3,FALSE)</f>
        <v>79</v>
      </c>
      <c r="Y4">
        <f>VLOOKUP(Y$2,'Monsters Stats'!$B:$L,3,FALSE)</f>
        <v>79</v>
      </c>
      <c r="Z4">
        <f>VLOOKUP(Z$2,'Monsters Stats'!$B:$L,3,FALSE)</f>
        <v>26</v>
      </c>
      <c r="AA4">
        <f>VLOOKUP(AA$2,'Monsters Stats'!$B:$L,3,FALSE)</f>
        <v>26</v>
      </c>
      <c r="AB4">
        <f>VLOOKUP(AB$2,'Monsters Stats'!$B:$L,3,FALSE)</f>
        <v>26</v>
      </c>
      <c r="AC4">
        <f>VLOOKUP(AC$2,'Monsters Stats'!$B:$L,3,FALSE)</f>
        <v>79</v>
      </c>
      <c r="AD4">
        <f>VLOOKUP(AD$2,'Monsters Stats'!$B:$L,3,FALSE)</f>
        <v>79</v>
      </c>
      <c r="AE4">
        <f>VLOOKUP(AE$2,'Monsters Stats'!$B:$L,3,FALSE)</f>
        <v>79</v>
      </c>
      <c r="AF4">
        <f>VLOOKUP(AF$2,'Monsters Stats'!$B:$L,3,FALSE)</f>
        <v>79</v>
      </c>
      <c r="AG4">
        <f>VLOOKUP(AG$2,'Monsters Stats'!$B:$L,3,FALSE)</f>
        <v>79</v>
      </c>
      <c r="AH4">
        <f>VLOOKUP(AH$2,'Monsters Stats'!$B:$L,3,FALSE)</f>
        <v>79</v>
      </c>
      <c r="AI4">
        <f>VLOOKUP(AI$2,'Monsters Stats'!$B:$L,3,FALSE)</f>
        <v>70</v>
      </c>
      <c r="AJ4">
        <f>VLOOKUP(AJ$2,'Monsters Stats'!$B:$L,3,FALSE)</f>
        <v>70</v>
      </c>
      <c r="AK4">
        <f>VLOOKUP(AK$2,'Monsters Stats'!$B:$L,3,FALSE)</f>
        <v>70</v>
      </c>
      <c r="AL4">
        <f>VLOOKUP(AL$2,'Monsters Stats'!$B:$L,3,FALSE)</f>
        <v>70</v>
      </c>
      <c r="AM4">
        <f>VLOOKUP(AM$2,'Monsters Stats'!$B:$L,3,FALSE)</f>
        <v>15</v>
      </c>
      <c r="AN4">
        <f>VLOOKUP(AN$2,'Monsters Stats'!$B:$L,3,FALSE)</f>
        <v>15</v>
      </c>
      <c r="AO4">
        <f>VLOOKUP(AO$2,'Monsters Stats'!$B:$L,3,FALSE)</f>
        <v>15</v>
      </c>
      <c r="AP4">
        <f>VLOOKUP(AP$2,'Monsters Stats'!$B:$L,3,FALSE)</f>
        <v>49</v>
      </c>
      <c r="AQ4">
        <f>VLOOKUP(AQ$2,'Monsters Stats'!$B:$L,3,FALSE)</f>
        <v>49</v>
      </c>
      <c r="AR4">
        <f>VLOOKUP(AR$2,'Monsters Stats'!$B:$L,3,FALSE)</f>
        <v>49</v>
      </c>
      <c r="AS4">
        <f>VLOOKUP(AS$2,'Monsters Stats'!$B:$L,3,FALSE)</f>
        <v>49</v>
      </c>
      <c r="AT4">
        <f>VLOOKUP(AT$2,'Monsters Stats'!$B:$L,3,FALSE)</f>
        <v>49</v>
      </c>
      <c r="AU4">
        <f>VLOOKUP(AU$2,'Monsters Stats'!$B:$L,3,FALSE)</f>
        <v>49</v>
      </c>
      <c r="AV4">
        <f>VLOOKUP(AV$2,'Monsters Stats'!$B:$L,3,FALSE)</f>
        <v>49</v>
      </c>
      <c r="AW4">
        <f>VLOOKUP(AW$2,'Monsters Stats'!$B:$L,3,FALSE)</f>
        <v>26</v>
      </c>
      <c r="AX4">
        <f>VLOOKUP(AX$2,'Monsters Stats'!$B:$L,3,FALSE)</f>
        <v>26</v>
      </c>
      <c r="AY4">
        <f>VLOOKUP(AY$2,'Monsters Stats'!$B:$L,3,FALSE)</f>
        <v>27</v>
      </c>
      <c r="AZ4">
        <f>VLOOKUP(AZ$2,'Monsters Stats'!$B:$L,3,FALSE)</f>
        <v>27</v>
      </c>
      <c r="BA4">
        <f>VLOOKUP(BA$2,'Monsters Stats'!$B:$L,3,FALSE)</f>
        <v>27</v>
      </c>
      <c r="BB4">
        <f>VLOOKUP(BB$2,'Monsters Stats'!$B:$L,3,FALSE)</f>
        <v>27</v>
      </c>
      <c r="BC4">
        <f>VLOOKUP(BC$2,'Monsters Stats'!$B:$L,3,FALSE)</f>
        <v>27</v>
      </c>
      <c r="BD4">
        <f>VLOOKUP(BD$2,'Monsters Stats'!$B:$L,3,FALSE)</f>
        <v>12</v>
      </c>
      <c r="BE4">
        <f>VLOOKUP(BE$2,'Monsters Stats'!$B:$L,3,FALSE)</f>
        <v>27</v>
      </c>
      <c r="BF4">
        <f>VLOOKUP(BF$2,'Monsters Stats'!$B:$L,3,FALSE)</f>
        <v>27</v>
      </c>
      <c r="BG4">
        <f>VLOOKUP(BG$2,'Monsters Stats'!$B:$L,3,FALSE)</f>
        <v>27</v>
      </c>
      <c r="BH4">
        <f>VLOOKUP(BH$2,'Monsters Stats'!$B:$L,3,FALSE)</f>
        <v>27</v>
      </c>
      <c r="BI4">
        <f>VLOOKUP(BI$2,'Monsters Stats'!$B:$L,3,FALSE)</f>
        <v>14</v>
      </c>
      <c r="BJ4">
        <f>VLOOKUP(BJ$2,'Monsters Stats'!$B:$L,3,FALSE)</f>
        <v>14</v>
      </c>
      <c r="BK4">
        <f>VLOOKUP(BK$2,'Monsters Stats'!$B:$L,3,FALSE)</f>
        <v>14</v>
      </c>
      <c r="BL4">
        <f>VLOOKUP(BL$2,'Monsters Stats'!$B:$L,3,FALSE)</f>
        <v>14</v>
      </c>
      <c r="BM4">
        <f>VLOOKUP(BM$2,'Monsters Stats'!$B:$L,3,FALSE)</f>
        <v>20</v>
      </c>
      <c r="BN4">
        <f>VLOOKUP(BN$2,'Monsters Stats'!$B:$L,3,FALSE)</f>
        <v>12</v>
      </c>
      <c r="BO4">
        <f>VLOOKUP(BO$2,'Monsters Stats'!$B:$L,3,FALSE)</f>
        <v>12</v>
      </c>
      <c r="BP4">
        <f>VLOOKUP(BP$2,'Monsters Stats'!$B:$L,3,FALSE)</f>
        <v>27</v>
      </c>
      <c r="BQ4">
        <f>VLOOKUP(BQ$2,'Monsters Stats'!$B:$L,3,FALSE)</f>
        <v>27</v>
      </c>
      <c r="BR4">
        <f>VLOOKUP(BR$2,'Monsters Stats'!$B:$L,3,FALSE)</f>
        <v>27</v>
      </c>
      <c r="BS4">
        <f>VLOOKUP(BS$2,'Monsters Stats'!$B:$L,3,FALSE)</f>
        <v>25</v>
      </c>
      <c r="BT4">
        <f>VLOOKUP(BT$2,'Monsters Stats'!$B:$L,3,FALSE)</f>
        <v>25</v>
      </c>
      <c r="BU4">
        <f>VLOOKUP(BU$2,'Monsters Stats'!$B:$L,3,FALSE)</f>
        <v>53</v>
      </c>
      <c r="BV4">
        <f>VLOOKUP(BV$2,'Monsters Stats'!$B:$L,3,FALSE)</f>
        <v>53</v>
      </c>
      <c r="BW4">
        <f>VLOOKUP(BW$2,'Monsters Stats'!$B:$L,3,FALSE)</f>
        <v>53</v>
      </c>
      <c r="BX4">
        <f>VLOOKUP(BX$2,'Monsters Stats'!$B:$L,3,FALSE)</f>
        <v>53</v>
      </c>
      <c r="BY4">
        <f>VLOOKUP(BY$2,'Monsters Stats'!$B:$L,3,FALSE)</f>
        <v>53</v>
      </c>
      <c r="BZ4">
        <f>VLOOKUP(BZ$2,'Monsters Stats'!$B:$L,3,FALSE)</f>
        <v>53</v>
      </c>
      <c r="CA4">
        <f>VLOOKUP(CA$2,'Monsters Stats'!$B:$L,3,FALSE)</f>
        <v>53</v>
      </c>
      <c r="CB4">
        <f>VLOOKUP(CB$2,'Monsters Stats'!$B:$L,3,FALSE)</f>
        <v>53</v>
      </c>
      <c r="CC4">
        <f>VLOOKUP(CC$2,'Monsters Stats'!$B:$L,3,FALSE)</f>
        <v>53</v>
      </c>
      <c r="CD4">
        <f>VLOOKUP(CD$2,'Monsters Stats'!$B:$L,3,FALSE)</f>
        <v>53</v>
      </c>
      <c r="CE4">
        <f>VLOOKUP(CE$2,'Monsters Stats'!$B:$L,3,FALSE)</f>
        <v>53</v>
      </c>
      <c r="CF4">
        <f>VLOOKUP(CF$2,'Monsters Stats'!$B:$L,3,FALSE)</f>
        <v>53</v>
      </c>
      <c r="CG4">
        <f>VLOOKUP(CG$2,'Monsters Stats'!$B:$L,3,FALSE)</f>
        <v>53</v>
      </c>
      <c r="CH4">
        <f>VLOOKUP(CH$2,'Monsters Stats'!$B:$L,3,FALSE)</f>
        <v>53</v>
      </c>
      <c r="CI4">
        <f>VLOOKUP(CI$2,'Monsters Stats'!$B:$L,3,FALSE)</f>
        <v>53</v>
      </c>
      <c r="CJ4">
        <f>VLOOKUP(CJ$2,'Monsters Stats'!$B:$L,3,FALSE)</f>
        <v>53</v>
      </c>
      <c r="CK4">
        <f>VLOOKUP(CK$2,'Monsters Stats'!$B:$L,3,FALSE)</f>
        <v>53</v>
      </c>
      <c r="CL4">
        <f>VLOOKUP(CL$2,'Monsters Stats'!$B:$L,3,FALSE)</f>
        <v>53</v>
      </c>
      <c r="CM4">
        <f>VLOOKUP(CM$2,'Monsters Stats'!$B:$L,3,FALSE)</f>
        <v>53</v>
      </c>
      <c r="CN4">
        <f>VLOOKUP(CN$2,'Monsters Stats'!$B:$L,3,FALSE)</f>
        <v>53</v>
      </c>
      <c r="CO4">
        <f>VLOOKUP(CO$2,'Monsters Stats'!$B:$L,3,FALSE)</f>
        <v>80</v>
      </c>
      <c r="CP4">
        <f>VLOOKUP(CP$2,'Monsters Stats'!$B:$L,3,FALSE)</f>
        <v>80</v>
      </c>
      <c r="CQ4">
        <f>VLOOKUP(CQ$2,'Monsters Stats'!$B:$L,3,FALSE)</f>
        <v>13</v>
      </c>
      <c r="CR4">
        <f>VLOOKUP(CR$2,'Monsters Stats'!$B:$L,3,FALSE)</f>
        <v>13</v>
      </c>
      <c r="CS4">
        <f>VLOOKUP(CS$2,'Monsters Stats'!$B:$L,3,FALSE)</f>
        <v>13</v>
      </c>
      <c r="CT4">
        <f>VLOOKUP(CT$2,'Monsters Stats'!$B:$L,3,FALSE)</f>
        <v>12</v>
      </c>
      <c r="CU4">
        <f>VLOOKUP(CU$2,'Monsters Stats'!$B:$L,3,FALSE)</f>
        <v>12</v>
      </c>
      <c r="CV4">
        <f>VLOOKUP(CV$2,'Monsters Stats'!$B:$L,3,FALSE)</f>
        <v>18</v>
      </c>
      <c r="CW4">
        <f>VLOOKUP(CW$2,'Monsters Stats'!$B:$L,3,FALSE)</f>
        <v>18</v>
      </c>
      <c r="CX4">
        <f>VLOOKUP(CX$2,'Monsters Stats'!$B:$L,3,FALSE)</f>
        <v>18</v>
      </c>
      <c r="CY4">
        <f>VLOOKUP(CY$2,'Monsters Stats'!$B:$L,3,FALSE)</f>
        <v>18</v>
      </c>
      <c r="CZ4">
        <f>VLOOKUP(CZ$2,'Monsters Stats'!$B:$L,3,FALSE)</f>
        <v>18</v>
      </c>
      <c r="DA4">
        <f>VLOOKUP(DA$2,'Monsters Stats'!$B:$L,3,FALSE)</f>
        <v>14</v>
      </c>
      <c r="DB4">
        <f>VLOOKUP(DB$2,'Monsters Stats'!$B:$L,3,FALSE)</f>
        <v>14</v>
      </c>
      <c r="DC4">
        <f>VLOOKUP(DC$2,'Monsters Stats'!$B:$L,3,FALSE)</f>
        <v>14</v>
      </c>
      <c r="DD4">
        <f>VLOOKUP(DD$2,'Monsters Stats'!$B:$L,3,FALSE)</f>
        <v>14</v>
      </c>
      <c r="DE4">
        <f>VLOOKUP(DE$2,'Monsters Stats'!$B:$L,3,FALSE)</f>
        <v>15</v>
      </c>
      <c r="DF4">
        <f>VLOOKUP(DF$2,'Monsters Stats'!$B:$L,3,FALSE)</f>
        <v>15</v>
      </c>
      <c r="DG4">
        <f>VLOOKUP(DG$2,'Monsters Stats'!$B:$L,3,FALSE)</f>
        <v>12</v>
      </c>
      <c r="DH4">
        <f>VLOOKUP(DH$2,'Monsters Stats'!$B:$L,3,FALSE)</f>
        <v>12</v>
      </c>
      <c r="DI4">
        <f>VLOOKUP(DI$2,'Monsters Stats'!$B:$L,3,FALSE)</f>
        <v>12</v>
      </c>
      <c r="DJ4">
        <f>VLOOKUP(DJ$2,'Monsters Stats'!$B:$L,3,FALSE)</f>
        <v>12</v>
      </c>
      <c r="DK4">
        <f>VLOOKUP(DK$2,'Monsters Stats'!$B:$L,3,FALSE)</f>
        <v>27</v>
      </c>
      <c r="DL4">
        <f>VLOOKUP(DL$2,'Monsters Stats'!$B:$L,3,FALSE)</f>
        <v>27</v>
      </c>
      <c r="DM4">
        <f>VLOOKUP(DM$2,'Monsters Stats'!$B:$L,3,FALSE)</f>
        <v>27</v>
      </c>
      <c r="DN4">
        <f>VLOOKUP(DN$2,'Monsters Stats'!$B:$L,3,FALSE)</f>
        <v>27</v>
      </c>
      <c r="DO4">
        <f>VLOOKUP(DO$2,'Monsters Stats'!$B:$L,3,FALSE)</f>
        <v>27</v>
      </c>
      <c r="DP4">
        <f>VLOOKUP(DP$2,'Monsters Stats'!$B:$L,3,FALSE)</f>
        <v>27</v>
      </c>
      <c r="DQ4">
        <f>VLOOKUP(DQ$2,'Monsters Stats'!$B:$L,3,FALSE)</f>
        <v>12</v>
      </c>
      <c r="DR4">
        <f>VLOOKUP(DR$2,'Monsters Stats'!$B:$L,3,FALSE)</f>
        <v>12</v>
      </c>
      <c r="DS4">
        <f>VLOOKUP(DS$2,'Monsters Stats'!$B:$L,3,FALSE)</f>
        <v>26</v>
      </c>
      <c r="DT4">
        <f>VLOOKUP(DT$2,'Monsters Stats'!$B:$L,3,FALSE)</f>
        <v>26</v>
      </c>
      <c r="DU4">
        <f>VLOOKUP(DU$2,'Monsters Stats'!$B:$L,3,FALSE)</f>
        <v>26</v>
      </c>
      <c r="DV4">
        <f>VLOOKUP(DV$2,'Monsters Stats'!$B:$L,3,FALSE)</f>
        <v>26</v>
      </c>
      <c r="DW4">
        <f>VLOOKUP(DW$2,'Monsters Stats'!$B:$L,3,FALSE)</f>
        <v>26</v>
      </c>
      <c r="DX4">
        <f>VLOOKUP(DX$2,'Monsters Stats'!$B:$L,3,FALSE)</f>
        <v>26</v>
      </c>
      <c r="DY4">
        <f>VLOOKUP(DY$2,'Monsters Stats'!$B:$L,3,FALSE)</f>
        <v>27</v>
      </c>
      <c r="DZ4">
        <f>VLOOKUP(DZ$2,'Monsters Stats'!$B:$L,3,FALSE)</f>
        <v>27</v>
      </c>
      <c r="EA4">
        <f>VLOOKUP(EA$2,'Monsters Stats'!$B:$L,3,FALSE)</f>
        <v>27</v>
      </c>
      <c r="EB4">
        <f>VLOOKUP(EB$2,'Monsters Stats'!$B:$L,3,FALSE)</f>
        <v>27</v>
      </c>
      <c r="EC4">
        <f>VLOOKUP(EC$2,'Monsters Stats'!$B:$L,3,FALSE)</f>
        <v>27</v>
      </c>
      <c r="ED4">
        <f>VLOOKUP(ED$2,'Monsters Stats'!$B:$L,3,FALSE)</f>
        <v>27</v>
      </c>
      <c r="EE4">
        <f>VLOOKUP(EE$2,'Monsters Stats'!$B:$L,3,FALSE)</f>
        <v>18</v>
      </c>
      <c r="EF4">
        <f>VLOOKUP(EF$2,'Monsters Stats'!$B:$L,3,FALSE)</f>
        <v>18</v>
      </c>
      <c r="EG4">
        <f>VLOOKUP(EG$2,'Monsters Stats'!$B:$L,3,FALSE)</f>
        <v>18</v>
      </c>
      <c r="EH4">
        <f>VLOOKUP(EH$2,'Monsters Stats'!$B:$L,3,FALSE)</f>
        <v>18</v>
      </c>
      <c r="EI4">
        <f>VLOOKUP(EI$2,'Monsters Stats'!$B:$L,3,FALSE)</f>
        <v>18</v>
      </c>
      <c r="EJ4">
        <f>VLOOKUP(EJ$2,'Monsters Stats'!$B:$L,3,FALSE)</f>
        <v>18</v>
      </c>
      <c r="EK4">
        <f>VLOOKUP(EK$2,'Monsters Stats'!$B:$L,3,FALSE)</f>
        <v>18</v>
      </c>
      <c r="EL4">
        <f>VLOOKUP(EL$2,'Monsters Stats'!$B:$L,3,FALSE)</f>
        <v>18</v>
      </c>
      <c r="EM4">
        <f>VLOOKUP(EM$2,'Monsters Stats'!$B:$L,3,FALSE)</f>
        <v>18</v>
      </c>
      <c r="EN4">
        <f>VLOOKUP(EN$2,'Monsters Stats'!$B:$L,3,FALSE)</f>
        <v>18</v>
      </c>
      <c r="EO4">
        <f>VLOOKUP(EO$2,'Monsters Stats'!$B:$L,3,FALSE)</f>
        <v>18</v>
      </c>
    </row>
    <row r="5" spans="1:145" x14ac:dyDescent="0.15">
      <c r="A5" t="e">
        <f>VLOOKUP(A$2,'Monsters Stats'!$B:$L,4,FALSE)</f>
        <v>#N/A</v>
      </c>
      <c r="B5" s="217" t="s">
        <v>5</v>
      </c>
      <c r="C5">
        <f>VLOOKUP(C$2,'Monsters Stats'!$B:$L,4,FALSE)</f>
        <v>6</v>
      </c>
      <c r="D5">
        <f>VLOOKUP(D$2,'Monsters Stats'!$B:$L,4,FALSE)</f>
        <v>6</v>
      </c>
      <c r="E5">
        <f>VLOOKUP(E$2,'Monsters Stats'!$B:$L,4,FALSE)</f>
        <v>6</v>
      </c>
      <c r="F5">
        <f>VLOOKUP(F$2,'Monsters Stats'!$B:$L,4,FALSE)</f>
        <v>6</v>
      </c>
      <c r="G5">
        <f>VLOOKUP(G$2,'Monsters Stats'!$B:$L,4,FALSE)</f>
        <v>6</v>
      </c>
      <c r="H5">
        <f>VLOOKUP(H$2,'Monsters Stats'!$B:$L,4,FALSE)</f>
        <v>6</v>
      </c>
      <c r="I5">
        <f>VLOOKUP(I$2,'Monsters Stats'!$B:$L,4,FALSE)</f>
        <v>10</v>
      </c>
      <c r="J5">
        <f>VLOOKUP(J$2,'Monsters Stats'!$B:$L,4,FALSE)</f>
        <v>10</v>
      </c>
      <c r="K5">
        <f>VLOOKUP(K$2,'Monsters Stats'!$B:$L,4,FALSE)</f>
        <v>10</v>
      </c>
      <c r="L5">
        <f>VLOOKUP(L$2,'Monsters Stats'!$B:$L,4,FALSE)</f>
        <v>6</v>
      </c>
      <c r="M5">
        <f>VLOOKUP(M$2,'Monsters Stats'!$B:$L,4,FALSE)</f>
        <v>6</v>
      </c>
      <c r="N5">
        <f>VLOOKUP(N$2,'Monsters Stats'!$B:$L,4,FALSE)</f>
        <v>6</v>
      </c>
      <c r="O5">
        <f>VLOOKUP(O$2,'Monsters Stats'!$B:$L,4,FALSE)</f>
        <v>5</v>
      </c>
      <c r="P5">
        <f>VLOOKUP(P$2,'Monsters Stats'!$B:$L,4,FALSE)</f>
        <v>5</v>
      </c>
      <c r="Q5">
        <f>VLOOKUP(Q$2,'Monsters Stats'!$B:$L,4,FALSE)</f>
        <v>5</v>
      </c>
      <c r="R5">
        <f>VLOOKUP(R$2,'Monsters Stats'!$B:$L,4,FALSE)</f>
        <v>5</v>
      </c>
      <c r="S5">
        <f>VLOOKUP(S$2,'Monsters Stats'!$B:$L,4,FALSE)</f>
        <v>5</v>
      </c>
      <c r="T5">
        <f>VLOOKUP(T$2,'Monsters Stats'!$B:$L,4,FALSE)</f>
        <v>5</v>
      </c>
      <c r="U5">
        <f>VLOOKUP(U$2,'Monsters Stats'!$B:$L,4,FALSE)</f>
        <v>5</v>
      </c>
      <c r="V5">
        <f>VLOOKUP(V$2,'Monsters Stats'!$B:$L,4,FALSE)</f>
        <v>5</v>
      </c>
      <c r="W5">
        <f>VLOOKUP(W$2,'Monsters Stats'!$B:$L,4,FALSE)</f>
        <v>12</v>
      </c>
      <c r="X5">
        <f>VLOOKUP(X$2,'Monsters Stats'!$B:$L,4,FALSE)</f>
        <v>12</v>
      </c>
      <c r="Y5">
        <f>VLOOKUP(Y$2,'Monsters Stats'!$B:$L,4,FALSE)</f>
        <v>12</v>
      </c>
      <c r="Z5">
        <f>VLOOKUP(Z$2,'Monsters Stats'!$B:$L,4,FALSE)</f>
        <v>4</v>
      </c>
      <c r="AA5">
        <f>VLOOKUP(AA$2,'Monsters Stats'!$B:$L,4,FALSE)</f>
        <v>4</v>
      </c>
      <c r="AB5">
        <f>VLOOKUP(AB$2,'Monsters Stats'!$B:$L,4,FALSE)</f>
        <v>4</v>
      </c>
      <c r="AC5">
        <f>VLOOKUP(AC$2,'Monsters Stats'!$B:$L,4,FALSE)</f>
        <v>12</v>
      </c>
      <c r="AD5">
        <f>VLOOKUP(AD$2,'Monsters Stats'!$B:$L,4,FALSE)</f>
        <v>12</v>
      </c>
      <c r="AE5">
        <f>VLOOKUP(AE$2,'Monsters Stats'!$B:$L,4,FALSE)</f>
        <v>12</v>
      </c>
      <c r="AF5">
        <f>VLOOKUP(AF$2,'Monsters Stats'!$B:$L,4,FALSE)</f>
        <v>12</v>
      </c>
      <c r="AG5">
        <f>VLOOKUP(AG$2,'Monsters Stats'!$B:$L,4,FALSE)</f>
        <v>12</v>
      </c>
      <c r="AH5">
        <f>VLOOKUP(AH$2,'Monsters Stats'!$B:$L,4,FALSE)</f>
        <v>12</v>
      </c>
      <c r="AI5">
        <f>VLOOKUP(AI$2,'Monsters Stats'!$B:$L,4,FALSE)</f>
        <v>10</v>
      </c>
      <c r="AJ5">
        <f>VLOOKUP(AJ$2,'Monsters Stats'!$B:$L,4,FALSE)</f>
        <v>10</v>
      </c>
      <c r="AK5">
        <f>VLOOKUP(AK$2,'Monsters Stats'!$B:$L,4,FALSE)</f>
        <v>10</v>
      </c>
      <c r="AL5">
        <f>VLOOKUP(AL$2,'Monsters Stats'!$B:$L,4,FALSE)</f>
        <v>10</v>
      </c>
      <c r="AM5">
        <f>VLOOKUP(AM$2,'Monsters Stats'!$B:$L,4,FALSE)</f>
        <v>2</v>
      </c>
      <c r="AN5">
        <f>VLOOKUP(AN$2,'Monsters Stats'!$B:$L,4,FALSE)</f>
        <v>2</v>
      </c>
      <c r="AO5">
        <f>VLOOKUP(AO$2,'Monsters Stats'!$B:$L,4,FALSE)</f>
        <v>2</v>
      </c>
      <c r="AP5">
        <f>VLOOKUP(AP$2,'Monsters Stats'!$B:$L,4,FALSE)</f>
        <v>11</v>
      </c>
      <c r="AQ5">
        <f>VLOOKUP(AQ$2,'Monsters Stats'!$B:$L,4,FALSE)</f>
        <v>11</v>
      </c>
      <c r="AR5">
        <f>VLOOKUP(AR$2,'Monsters Stats'!$B:$L,4,FALSE)</f>
        <v>11</v>
      </c>
      <c r="AS5">
        <f>VLOOKUP(AS$2,'Monsters Stats'!$B:$L,4,FALSE)</f>
        <v>11</v>
      </c>
      <c r="AT5">
        <f>VLOOKUP(AT$2,'Monsters Stats'!$B:$L,4,FALSE)</f>
        <v>11</v>
      </c>
      <c r="AU5">
        <f>VLOOKUP(AU$2,'Monsters Stats'!$B:$L,4,FALSE)</f>
        <v>11</v>
      </c>
      <c r="AV5">
        <f>VLOOKUP(AV$2,'Monsters Stats'!$B:$L,4,FALSE)</f>
        <v>11</v>
      </c>
      <c r="AW5">
        <f>VLOOKUP(AW$2,'Monsters Stats'!$B:$L,4,FALSE)</f>
        <v>4</v>
      </c>
      <c r="AX5">
        <f>VLOOKUP(AX$2,'Monsters Stats'!$B:$L,4,FALSE)</f>
        <v>4</v>
      </c>
      <c r="AY5">
        <f>VLOOKUP(AY$2,'Monsters Stats'!$B:$L,4,FALSE)</f>
        <v>5</v>
      </c>
      <c r="AZ5">
        <f>VLOOKUP(AZ$2,'Monsters Stats'!$B:$L,4,FALSE)</f>
        <v>5</v>
      </c>
      <c r="BA5">
        <f>VLOOKUP(BA$2,'Monsters Stats'!$B:$L,4,FALSE)</f>
        <v>5</v>
      </c>
      <c r="BB5">
        <f>VLOOKUP(BB$2,'Monsters Stats'!$B:$L,4,FALSE)</f>
        <v>5</v>
      </c>
      <c r="BC5">
        <f>VLOOKUP(BC$2,'Monsters Stats'!$B:$L,4,FALSE)</f>
        <v>5</v>
      </c>
      <c r="BD5">
        <f>VLOOKUP(BD$2,'Monsters Stats'!$B:$L,4,FALSE)</f>
        <v>3</v>
      </c>
      <c r="BE5">
        <f>VLOOKUP(BE$2,'Monsters Stats'!$B:$L,4,FALSE)</f>
        <v>5</v>
      </c>
      <c r="BF5">
        <f>VLOOKUP(BF$2,'Monsters Stats'!$B:$L,4,FALSE)</f>
        <v>5</v>
      </c>
      <c r="BG5">
        <f>VLOOKUP(BG$2,'Monsters Stats'!$B:$L,4,FALSE)</f>
        <v>5</v>
      </c>
      <c r="BH5">
        <f>VLOOKUP(BH$2,'Monsters Stats'!$B:$L,4,FALSE)</f>
        <v>5</v>
      </c>
      <c r="BI5">
        <f>VLOOKUP(BI$2,'Monsters Stats'!$B:$L,4,FALSE)</f>
        <v>5</v>
      </c>
      <c r="BJ5">
        <f>VLOOKUP(BJ$2,'Monsters Stats'!$B:$L,4,FALSE)</f>
        <v>5</v>
      </c>
      <c r="BK5">
        <f>VLOOKUP(BK$2,'Monsters Stats'!$B:$L,4,FALSE)</f>
        <v>5</v>
      </c>
      <c r="BL5">
        <f>VLOOKUP(BL$2,'Monsters Stats'!$B:$L,4,FALSE)</f>
        <v>5</v>
      </c>
      <c r="BM5">
        <f>VLOOKUP(BM$2,'Monsters Stats'!$B:$L,4,FALSE)</f>
        <v>3</v>
      </c>
      <c r="BN5">
        <f>VLOOKUP(BN$2,'Monsters Stats'!$B:$L,4,FALSE)</f>
        <v>3</v>
      </c>
      <c r="BO5">
        <f>VLOOKUP(BO$2,'Monsters Stats'!$B:$L,4,FALSE)</f>
        <v>3</v>
      </c>
      <c r="BP5">
        <f>VLOOKUP(BP$2,'Monsters Stats'!$B:$L,4,FALSE)</f>
        <v>5</v>
      </c>
      <c r="BQ5">
        <f>VLOOKUP(BQ$2,'Monsters Stats'!$B:$L,4,FALSE)</f>
        <v>5</v>
      </c>
      <c r="BR5">
        <f>VLOOKUP(BR$2,'Monsters Stats'!$B:$L,4,FALSE)</f>
        <v>5</v>
      </c>
      <c r="BS5">
        <f>VLOOKUP(BS$2,'Monsters Stats'!$B:$L,4,FALSE)</f>
        <v>7</v>
      </c>
      <c r="BT5">
        <f>VLOOKUP(BT$2,'Monsters Stats'!$B:$L,4,FALSE)</f>
        <v>7</v>
      </c>
      <c r="BU5">
        <f>VLOOKUP(BU$2,'Monsters Stats'!$B:$L,4,FALSE)</f>
        <v>12</v>
      </c>
      <c r="BV5">
        <f>VLOOKUP(BV$2,'Monsters Stats'!$B:$L,4,FALSE)</f>
        <v>12</v>
      </c>
      <c r="BW5">
        <f>VLOOKUP(BW$2,'Monsters Stats'!$B:$L,4,FALSE)</f>
        <v>12</v>
      </c>
      <c r="BX5">
        <f>VLOOKUP(BX$2,'Monsters Stats'!$B:$L,4,FALSE)</f>
        <v>12</v>
      </c>
      <c r="BY5">
        <f>VLOOKUP(BY$2,'Monsters Stats'!$B:$L,4,FALSE)</f>
        <v>12</v>
      </c>
      <c r="BZ5">
        <f>VLOOKUP(BZ$2,'Monsters Stats'!$B:$L,4,FALSE)</f>
        <v>12</v>
      </c>
      <c r="CA5">
        <f>VLOOKUP(CA$2,'Monsters Stats'!$B:$L,4,FALSE)</f>
        <v>12</v>
      </c>
      <c r="CB5">
        <f>VLOOKUP(CB$2,'Monsters Stats'!$B:$L,4,FALSE)</f>
        <v>12</v>
      </c>
      <c r="CC5">
        <f>VLOOKUP(CC$2,'Monsters Stats'!$B:$L,4,FALSE)</f>
        <v>12</v>
      </c>
      <c r="CD5">
        <f>VLOOKUP(CD$2,'Monsters Stats'!$B:$L,4,FALSE)</f>
        <v>12</v>
      </c>
      <c r="CE5">
        <f>VLOOKUP(CE$2,'Monsters Stats'!$B:$L,4,FALSE)</f>
        <v>12</v>
      </c>
      <c r="CF5">
        <f>VLOOKUP(CF$2,'Monsters Stats'!$B:$L,4,FALSE)</f>
        <v>12</v>
      </c>
      <c r="CG5">
        <f>VLOOKUP(CG$2,'Monsters Stats'!$B:$L,4,FALSE)</f>
        <v>12</v>
      </c>
      <c r="CH5">
        <f>VLOOKUP(CH$2,'Monsters Stats'!$B:$L,4,FALSE)</f>
        <v>12</v>
      </c>
      <c r="CI5">
        <f>VLOOKUP(CI$2,'Monsters Stats'!$B:$L,4,FALSE)</f>
        <v>12</v>
      </c>
      <c r="CJ5">
        <f>VLOOKUP(CJ$2,'Monsters Stats'!$B:$L,4,FALSE)</f>
        <v>12</v>
      </c>
      <c r="CK5">
        <f>VLOOKUP(CK$2,'Monsters Stats'!$B:$L,4,FALSE)</f>
        <v>12</v>
      </c>
      <c r="CL5">
        <f>VLOOKUP(CL$2,'Monsters Stats'!$B:$L,4,FALSE)</f>
        <v>12</v>
      </c>
      <c r="CM5">
        <f>VLOOKUP(CM$2,'Monsters Stats'!$B:$L,4,FALSE)</f>
        <v>12</v>
      </c>
      <c r="CN5">
        <f>VLOOKUP(CN$2,'Monsters Stats'!$B:$L,4,FALSE)</f>
        <v>12</v>
      </c>
      <c r="CO5">
        <f>VLOOKUP(CO$2,'Monsters Stats'!$B:$L,4,FALSE)</f>
        <v>15</v>
      </c>
      <c r="CP5">
        <f>VLOOKUP(CP$2,'Monsters Stats'!$B:$L,4,FALSE)</f>
        <v>15</v>
      </c>
      <c r="CQ5">
        <f>VLOOKUP(CQ$2,'Monsters Stats'!$B:$L,4,FALSE)</f>
        <v>6</v>
      </c>
      <c r="CR5">
        <f>VLOOKUP(CR$2,'Monsters Stats'!$B:$L,4,FALSE)</f>
        <v>6</v>
      </c>
      <c r="CS5">
        <f>VLOOKUP(CS$2,'Monsters Stats'!$B:$L,4,FALSE)</f>
        <v>6</v>
      </c>
      <c r="CT5">
        <f>VLOOKUP(CT$2,'Monsters Stats'!$B:$L,4,FALSE)</f>
        <v>3</v>
      </c>
      <c r="CU5">
        <f>VLOOKUP(CU$2,'Monsters Stats'!$B:$L,4,FALSE)</f>
        <v>3</v>
      </c>
      <c r="CV5">
        <f>VLOOKUP(CV$2,'Monsters Stats'!$B:$L,4,FALSE)</f>
        <v>4</v>
      </c>
      <c r="CW5">
        <f>VLOOKUP(CW$2,'Monsters Stats'!$B:$L,4,FALSE)</f>
        <v>4</v>
      </c>
      <c r="CX5">
        <f>VLOOKUP(CX$2,'Monsters Stats'!$B:$L,4,FALSE)</f>
        <v>4</v>
      </c>
      <c r="CY5">
        <f>VLOOKUP(CY$2,'Monsters Stats'!$B:$L,4,FALSE)</f>
        <v>4</v>
      </c>
      <c r="CZ5">
        <f>VLOOKUP(CZ$2,'Monsters Stats'!$B:$L,4,FALSE)</f>
        <v>4</v>
      </c>
      <c r="DA5">
        <f>VLOOKUP(DA$2,'Monsters Stats'!$B:$L,4,FALSE)</f>
        <v>5</v>
      </c>
      <c r="DB5">
        <f>VLOOKUP(DB$2,'Monsters Stats'!$B:$L,4,FALSE)</f>
        <v>5</v>
      </c>
      <c r="DC5">
        <f>VLOOKUP(DC$2,'Monsters Stats'!$B:$L,4,FALSE)</f>
        <v>5</v>
      </c>
      <c r="DD5">
        <f>VLOOKUP(DD$2,'Monsters Stats'!$B:$L,4,FALSE)</f>
        <v>5</v>
      </c>
      <c r="DE5">
        <f>VLOOKUP(DE$2,'Monsters Stats'!$B:$L,4,FALSE)</f>
        <v>2</v>
      </c>
      <c r="DF5">
        <f>VLOOKUP(DF$2,'Monsters Stats'!$B:$L,4,FALSE)</f>
        <v>2</v>
      </c>
      <c r="DG5">
        <f>VLOOKUP(DG$2,'Monsters Stats'!$B:$L,4,FALSE)</f>
        <v>3</v>
      </c>
      <c r="DH5">
        <f>VLOOKUP(DH$2,'Monsters Stats'!$B:$L,4,FALSE)</f>
        <v>3</v>
      </c>
      <c r="DI5">
        <f>VLOOKUP(DI$2,'Monsters Stats'!$B:$L,4,FALSE)</f>
        <v>3</v>
      </c>
      <c r="DJ5">
        <f>VLOOKUP(DJ$2,'Monsters Stats'!$B:$L,4,FALSE)</f>
        <v>3</v>
      </c>
      <c r="DK5">
        <f>VLOOKUP(DK$2,'Monsters Stats'!$B:$L,4,FALSE)</f>
        <v>5</v>
      </c>
      <c r="DL5">
        <f>VLOOKUP(DL$2,'Monsters Stats'!$B:$L,4,FALSE)</f>
        <v>5</v>
      </c>
      <c r="DM5">
        <f>VLOOKUP(DM$2,'Monsters Stats'!$B:$L,4,FALSE)</f>
        <v>5</v>
      </c>
      <c r="DN5">
        <f>VLOOKUP(DN$2,'Monsters Stats'!$B:$L,4,FALSE)</f>
        <v>5</v>
      </c>
      <c r="DO5">
        <f>VLOOKUP(DO$2,'Monsters Stats'!$B:$L,4,FALSE)</f>
        <v>5</v>
      </c>
      <c r="DP5">
        <f>VLOOKUP(DP$2,'Monsters Stats'!$B:$L,4,FALSE)</f>
        <v>5</v>
      </c>
      <c r="DQ5">
        <f>VLOOKUP(DQ$2,'Monsters Stats'!$B:$L,4,FALSE)</f>
        <v>3</v>
      </c>
      <c r="DR5">
        <f>VLOOKUP(DR$2,'Monsters Stats'!$B:$L,4,FALSE)</f>
        <v>3</v>
      </c>
      <c r="DS5">
        <f>VLOOKUP(DS$2,'Monsters Stats'!$B:$L,4,FALSE)</f>
        <v>4</v>
      </c>
      <c r="DT5">
        <f>VLOOKUP(DT$2,'Monsters Stats'!$B:$L,4,FALSE)</f>
        <v>4</v>
      </c>
      <c r="DU5">
        <f>VLOOKUP(DU$2,'Monsters Stats'!$B:$L,4,FALSE)</f>
        <v>4</v>
      </c>
      <c r="DV5">
        <f>VLOOKUP(DV$2,'Monsters Stats'!$B:$L,4,FALSE)</f>
        <v>4</v>
      </c>
      <c r="DW5">
        <f>VLOOKUP(DW$2,'Monsters Stats'!$B:$L,4,FALSE)</f>
        <v>4</v>
      </c>
      <c r="DX5">
        <f>VLOOKUP(DX$2,'Monsters Stats'!$B:$L,4,FALSE)</f>
        <v>4</v>
      </c>
      <c r="DY5">
        <f>VLOOKUP(DY$2,'Monsters Stats'!$B:$L,4,FALSE)</f>
        <v>5</v>
      </c>
      <c r="DZ5">
        <f>VLOOKUP(DZ$2,'Monsters Stats'!$B:$L,4,FALSE)</f>
        <v>5</v>
      </c>
      <c r="EA5">
        <f>VLOOKUP(EA$2,'Monsters Stats'!$B:$L,4,FALSE)</f>
        <v>5</v>
      </c>
      <c r="EB5">
        <f>VLOOKUP(EB$2,'Monsters Stats'!$B:$L,4,FALSE)</f>
        <v>5</v>
      </c>
      <c r="EC5">
        <f>VLOOKUP(EC$2,'Monsters Stats'!$B:$L,4,FALSE)</f>
        <v>5</v>
      </c>
      <c r="ED5">
        <f>VLOOKUP(ED$2,'Monsters Stats'!$B:$L,4,FALSE)</f>
        <v>5</v>
      </c>
      <c r="EE5">
        <f>VLOOKUP(EE$2,'Monsters Stats'!$B:$L,4,FALSE)</f>
        <v>4</v>
      </c>
      <c r="EF5">
        <f>VLOOKUP(EF$2,'Monsters Stats'!$B:$L,4,FALSE)</f>
        <v>4</v>
      </c>
      <c r="EG5">
        <f>VLOOKUP(EG$2,'Monsters Stats'!$B:$L,4,FALSE)</f>
        <v>4</v>
      </c>
      <c r="EH5">
        <f>VLOOKUP(EH$2,'Monsters Stats'!$B:$L,4,FALSE)</f>
        <v>4</v>
      </c>
      <c r="EI5">
        <f>VLOOKUP(EI$2,'Monsters Stats'!$B:$L,4,FALSE)</f>
        <v>4</v>
      </c>
      <c r="EJ5">
        <f>VLOOKUP(EJ$2,'Monsters Stats'!$B:$L,4,FALSE)</f>
        <v>4</v>
      </c>
      <c r="EK5">
        <f>VLOOKUP(EK$2,'Monsters Stats'!$B:$L,4,FALSE)</f>
        <v>4</v>
      </c>
      <c r="EL5">
        <f>VLOOKUP(EL$2,'Monsters Stats'!$B:$L,4,FALSE)</f>
        <v>4</v>
      </c>
      <c r="EM5">
        <f>VLOOKUP(EM$2,'Monsters Stats'!$B:$L,4,FALSE)</f>
        <v>4</v>
      </c>
      <c r="EN5">
        <f>VLOOKUP(EN$2,'Monsters Stats'!$B:$L,4,FALSE)</f>
        <v>4</v>
      </c>
      <c r="EO5">
        <f>VLOOKUP(EO$2,'Monsters Stats'!$B:$L,4,FALSE)</f>
        <v>4</v>
      </c>
    </row>
    <row r="6" spans="1:145" x14ac:dyDescent="0.15">
      <c r="A6" t="e">
        <f>VLOOKUP(A$2,'Monsters Stats'!$B:$L,8,FALSE)</f>
        <v>#N/A</v>
      </c>
      <c r="B6" s="217" t="s">
        <v>0</v>
      </c>
      <c r="C6">
        <f>VLOOKUP(C$2,'Monsters Stats'!$B:$L,8,FALSE)</f>
        <v>1</v>
      </c>
      <c r="D6">
        <f>VLOOKUP(D$2,'Monsters Stats'!$B:$L,8,FALSE)</f>
        <v>1</v>
      </c>
      <c r="E6">
        <f>VLOOKUP(E$2,'Monsters Stats'!$B:$L,8,FALSE)</f>
        <v>1</v>
      </c>
      <c r="F6">
        <f>VLOOKUP(F$2,'Monsters Stats'!$B:$L,8,FALSE)</f>
        <v>1</v>
      </c>
      <c r="G6">
        <f>VLOOKUP(G$2,'Monsters Stats'!$B:$L,8,FALSE)</f>
        <v>1</v>
      </c>
      <c r="H6">
        <f>VLOOKUP(H$2,'Monsters Stats'!$B:$L,8,FALSE)</f>
        <v>1</v>
      </c>
      <c r="I6">
        <f>VLOOKUP(I$2,'Monsters Stats'!$B:$L,8,FALSE)</f>
        <v>1.3</v>
      </c>
      <c r="J6">
        <f>VLOOKUP(J$2,'Monsters Stats'!$B:$L,8,FALSE)</f>
        <v>1.3</v>
      </c>
      <c r="K6">
        <f>VLOOKUP(K$2,'Monsters Stats'!$B:$L,8,FALSE)</f>
        <v>1.3</v>
      </c>
      <c r="L6">
        <f>VLOOKUP(L$2,'Monsters Stats'!$B:$L,8,FALSE)</f>
        <v>0.7</v>
      </c>
      <c r="M6">
        <f>VLOOKUP(M$2,'Monsters Stats'!$B:$L,8,FALSE)</f>
        <v>0.7</v>
      </c>
      <c r="N6">
        <f>VLOOKUP(N$2,'Monsters Stats'!$B:$L,8,FALSE)</f>
        <v>0.7</v>
      </c>
      <c r="O6">
        <f>VLOOKUP(O$2,'Monsters Stats'!$B:$L,8,FALSE)</f>
        <v>1</v>
      </c>
      <c r="P6">
        <f>VLOOKUP(P$2,'Monsters Stats'!$B:$L,8,FALSE)</f>
        <v>1</v>
      </c>
      <c r="Q6">
        <f>VLOOKUP(Q$2,'Monsters Stats'!$B:$L,8,FALSE)</f>
        <v>1</v>
      </c>
      <c r="R6">
        <f>VLOOKUP(R$2,'Monsters Stats'!$B:$L,8,FALSE)</f>
        <v>1</v>
      </c>
      <c r="S6">
        <f>VLOOKUP(S$2,'Monsters Stats'!$B:$L,8,FALSE)</f>
        <v>1</v>
      </c>
      <c r="T6">
        <f>VLOOKUP(T$2,'Monsters Stats'!$B:$L,8,FALSE)</f>
        <v>2</v>
      </c>
      <c r="U6">
        <f>VLOOKUP(U$2,'Monsters Stats'!$B:$L,8,FALSE)</f>
        <v>2</v>
      </c>
      <c r="V6">
        <f>VLOOKUP(V$2,'Monsters Stats'!$B:$L,8,FALSE)</f>
        <v>2</v>
      </c>
      <c r="W6">
        <f>VLOOKUP(W$2,'Monsters Stats'!$B:$L,8,FALSE)</f>
        <v>1.8</v>
      </c>
      <c r="X6">
        <f>VLOOKUP(X$2,'Monsters Stats'!$B:$L,8,FALSE)</f>
        <v>1.8</v>
      </c>
      <c r="Y6">
        <f>VLOOKUP(Y$2,'Monsters Stats'!$B:$L,8,FALSE)</f>
        <v>1.8</v>
      </c>
      <c r="Z6">
        <f>VLOOKUP(Z$2,'Monsters Stats'!$B:$L,8,FALSE)</f>
        <v>1</v>
      </c>
      <c r="AA6">
        <f>VLOOKUP(AA$2,'Monsters Stats'!$B:$L,8,FALSE)</f>
        <v>1</v>
      </c>
      <c r="AB6">
        <f>VLOOKUP(AB$2,'Monsters Stats'!$B:$L,8,FALSE)</f>
        <v>1</v>
      </c>
      <c r="AC6">
        <f>VLOOKUP(AC$2,'Monsters Stats'!$B:$L,8,FALSE)</f>
        <v>1.8</v>
      </c>
      <c r="AD6">
        <f>VLOOKUP(AD$2,'Monsters Stats'!$B:$L,8,FALSE)</f>
        <v>1.8</v>
      </c>
      <c r="AE6">
        <f>VLOOKUP(AE$2,'Monsters Stats'!$B:$L,8,FALSE)</f>
        <v>1.8</v>
      </c>
      <c r="AF6">
        <f>VLOOKUP(AF$2,'Monsters Stats'!$B:$L,8,FALSE)</f>
        <v>1.8</v>
      </c>
      <c r="AG6">
        <f>VLOOKUP(AG$2,'Monsters Stats'!$B:$L,8,FALSE)</f>
        <v>1.8</v>
      </c>
      <c r="AH6">
        <f>VLOOKUP(AH$2,'Monsters Stats'!$B:$L,8,FALSE)</f>
        <v>1.8</v>
      </c>
      <c r="AI6">
        <f>VLOOKUP(AI$2,'Monsters Stats'!$B:$L,8,FALSE)</f>
        <v>0.6</v>
      </c>
      <c r="AJ6">
        <f>VLOOKUP(AJ$2,'Monsters Stats'!$B:$L,8,FALSE)</f>
        <v>0.6</v>
      </c>
      <c r="AK6">
        <f>VLOOKUP(AK$2,'Monsters Stats'!$B:$L,8,FALSE)</f>
        <v>0.6</v>
      </c>
      <c r="AL6">
        <f>VLOOKUP(AL$2,'Monsters Stats'!$B:$L,8,FALSE)</f>
        <v>0.6</v>
      </c>
      <c r="AM6">
        <f>VLOOKUP(AM$2,'Monsters Stats'!$B:$L,8,FALSE)</f>
        <v>1</v>
      </c>
      <c r="AN6">
        <f>VLOOKUP(AN$2,'Monsters Stats'!$B:$L,8,FALSE)</f>
        <v>1</v>
      </c>
      <c r="AO6">
        <f>VLOOKUP(AO$2,'Monsters Stats'!$B:$L,8,FALSE)</f>
        <v>1</v>
      </c>
      <c r="AP6">
        <f>VLOOKUP(AP$2,'Monsters Stats'!$B:$L,8,FALSE)</f>
        <v>1.3</v>
      </c>
      <c r="AQ6">
        <f>VLOOKUP(AQ$2,'Monsters Stats'!$B:$L,8,FALSE)</f>
        <v>1.3</v>
      </c>
      <c r="AR6">
        <f>VLOOKUP(AR$2,'Monsters Stats'!$B:$L,8,FALSE)</f>
        <v>1.3</v>
      </c>
      <c r="AS6">
        <f>VLOOKUP(AS$2,'Monsters Stats'!$B:$L,8,FALSE)</f>
        <v>1.3</v>
      </c>
      <c r="AT6">
        <f>VLOOKUP(AT$2,'Monsters Stats'!$B:$L,8,FALSE)</f>
        <v>1.3</v>
      </c>
      <c r="AU6">
        <f>VLOOKUP(AU$2,'Monsters Stats'!$B:$L,8,FALSE)</f>
        <v>1.3</v>
      </c>
      <c r="AV6">
        <f>VLOOKUP(AV$2,'Monsters Stats'!$B:$L,8,FALSE)</f>
        <v>1.3</v>
      </c>
      <c r="AW6">
        <f>VLOOKUP(AW$2,'Monsters Stats'!$B:$L,8,FALSE)</f>
        <v>1</v>
      </c>
      <c r="AX6">
        <f>VLOOKUP(AX$2,'Monsters Stats'!$B:$L,8,FALSE)</f>
        <v>1</v>
      </c>
      <c r="AY6">
        <f>VLOOKUP(AY$2,'Monsters Stats'!$B:$L,8,FALSE)</f>
        <v>2</v>
      </c>
      <c r="AZ6">
        <f>VLOOKUP(AZ$2,'Monsters Stats'!$B:$L,8,FALSE)</f>
        <v>2</v>
      </c>
      <c r="BA6">
        <f>VLOOKUP(BA$2,'Monsters Stats'!$B:$L,8,FALSE)</f>
        <v>2</v>
      </c>
      <c r="BB6">
        <f>VLOOKUP(BB$2,'Monsters Stats'!$B:$L,8,FALSE)</f>
        <v>2</v>
      </c>
      <c r="BC6">
        <f>VLOOKUP(BC$2,'Monsters Stats'!$B:$L,8,FALSE)</f>
        <v>2</v>
      </c>
      <c r="BD6">
        <f>VLOOKUP(BD$2,'Monsters Stats'!$B:$L,8,FALSE)</f>
        <v>1.3</v>
      </c>
      <c r="BE6">
        <f>VLOOKUP(BE$2,'Monsters Stats'!$B:$L,8,FALSE)</f>
        <v>2</v>
      </c>
      <c r="BF6">
        <f>VLOOKUP(BF$2,'Monsters Stats'!$B:$L,8,FALSE)</f>
        <v>2</v>
      </c>
      <c r="BG6">
        <f>VLOOKUP(BG$2,'Monsters Stats'!$B:$L,8,FALSE)</f>
        <v>2</v>
      </c>
      <c r="BH6">
        <f>VLOOKUP(BH$2,'Monsters Stats'!$B:$L,8,FALSE)</f>
        <v>2</v>
      </c>
      <c r="BI6">
        <f>VLOOKUP(BI$2,'Monsters Stats'!$B:$L,8,FALSE)</f>
        <v>1</v>
      </c>
      <c r="BJ6">
        <f>VLOOKUP(BJ$2,'Monsters Stats'!$B:$L,8,FALSE)</f>
        <v>1</v>
      </c>
      <c r="BK6">
        <f>VLOOKUP(BK$2,'Monsters Stats'!$B:$L,8,FALSE)</f>
        <v>1</v>
      </c>
      <c r="BL6">
        <f>VLOOKUP(BL$2,'Monsters Stats'!$B:$L,8,FALSE)</f>
        <v>1</v>
      </c>
      <c r="BM6">
        <f>VLOOKUP(BM$2,'Monsters Stats'!$B:$L,8,FALSE)</f>
        <v>1</v>
      </c>
      <c r="BN6">
        <f>VLOOKUP(BN$2,'Monsters Stats'!$B:$L,8,FALSE)</f>
        <v>1.3</v>
      </c>
      <c r="BO6">
        <f>VLOOKUP(BO$2,'Monsters Stats'!$B:$L,8,FALSE)</f>
        <v>1.3</v>
      </c>
      <c r="BP6">
        <f>VLOOKUP(BP$2,'Monsters Stats'!$B:$L,8,FALSE)</f>
        <v>2</v>
      </c>
      <c r="BQ6">
        <f>VLOOKUP(BQ$2,'Monsters Stats'!$B:$L,8,FALSE)</f>
        <v>2</v>
      </c>
      <c r="BR6">
        <f>VLOOKUP(BR$2,'Monsters Stats'!$B:$L,8,FALSE)</f>
        <v>2</v>
      </c>
      <c r="BS6">
        <f>VLOOKUP(BS$2,'Monsters Stats'!$B:$L,8,FALSE)</f>
        <v>1</v>
      </c>
      <c r="BT6">
        <f>VLOOKUP(BT$2,'Monsters Stats'!$B:$L,8,FALSE)</f>
        <v>1</v>
      </c>
      <c r="BU6">
        <f>VLOOKUP(BU$2,'Monsters Stats'!$B:$L,8,FALSE)</f>
        <v>0.6</v>
      </c>
      <c r="BV6">
        <f>VLOOKUP(BV$2,'Monsters Stats'!$B:$L,8,FALSE)</f>
        <v>0.6</v>
      </c>
      <c r="BW6">
        <f>VLOOKUP(BW$2,'Monsters Stats'!$B:$L,8,FALSE)</f>
        <v>0.6</v>
      </c>
      <c r="BX6">
        <f>VLOOKUP(BX$2,'Monsters Stats'!$B:$L,8,FALSE)</f>
        <v>0.6</v>
      </c>
      <c r="BY6">
        <f>VLOOKUP(BY$2,'Monsters Stats'!$B:$L,8,FALSE)</f>
        <v>0.6</v>
      </c>
      <c r="BZ6">
        <f>VLOOKUP(BZ$2,'Monsters Stats'!$B:$L,8,FALSE)</f>
        <v>0.6</v>
      </c>
      <c r="CA6">
        <f>VLOOKUP(CA$2,'Monsters Stats'!$B:$L,8,FALSE)</f>
        <v>0.6</v>
      </c>
      <c r="CB6">
        <f>VLOOKUP(CB$2,'Monsters Stats'!$B:$L,8,FALSE)</f>
        <v>0.6</v>
      </c>
      <c r="CC6">
        <f>VLOOKUP(CC$2,'Monsters Stats'!$B:$L,8,FALSE)</f>
        <v>0.6</v>
      </c>
      <c r="CD6">
        <f>VLOOKUP(CD$2,'Monsters Stats'!$B:$L,8,FALSE)</f>
        <v>0.6</v>
      </c>
      <c r="CE6">
        <f>VLOOKUP(CE$2,'Monsters Stats'!$B:$L,8,FALSE)</f>
        <v>0.6</v>
      </c>
      <c r="CF6">
        <f>VLOOKUP(CF$2,'Monsters Stats'!$B:$L,8,FALSE)</f>
        <v>0.6</v>
      </c>
      <c r="CG6">
        <f>VLOOKUP(CG$2,'Monsters Stats'!$B:$L,8,FALSE)</f>
        <v>0.6</v>
      </c>
      <c r="CH6">
        <f>VLOOKUP(CH$2,'Monsters Stats'!$B:$L,8,FALSE)</f>
        <v>0.6</v>
      </c>
      <c r="CI6">
        <f>VLOOKUP(CI$2,'Monsters Stats'!$B:$L,8,FALSE)</f>
        <v>0.6</v>
      </c>
      <c r="CJ6">
        <f>VLOOKUP(CJ$2,'Monsters Stats'!$B:$L,8,FALSE)</f>
        <v>0.6</v>
      </c>
      <c r="CK6">
        <f>VLOOKUP(CK$2,'Monsters Stats'!$B:$L,8,FALSE)</f>
        <v>0.6</v>
      </c>
      <c r="CL6">
        <f>VLOOKUP(CL$2,'Monsters Stats'!$B:$L,8,FALSE)</f>
        <v>0.6</v>
      </c>
      <c r="CM6">
        <f>VLOOKUP(CM$2,'Monsters Stats'!$B:$L,8,FALSE)</f>
        <v>0.6</v>
      </c>
      <c r="CN6">
        <f>VLOOKUP(CN$2,'Monsters Stats'!$B:$L,8,FALSE)</f>
        <v>0.6</v>
      </c>
      <c r="CO6">
        <f>VLOOKUP(CO$2,'Monsters Stats'!$B:$L,8,FALSE)</f>
        <v>0.5</v>
      </c>
      <c r="CP6">
        <f>VLOOKUP(CP$2,'Monsters Stats'!$B:$L,8,FALSE)</f>
        <v>0.5</v>
      </c>
      <c r="CQ6">
        <f>VLOOKUP(CQ$2,'Monsters Stats'!$B:$L,8,FALSE)</f>
        <v>1</v>
      </c>
      <c r="CR6">
        <f>VLOOKUP(CR$2,'Monsters Stats'!$B:$L,8,FALSE)</f>
        <v>1</v>
      </c>
      <c r="CS6">
        <f>VLOOKUP(CS$2,'Monsters Stats'!$B:$L,8,FALSE)</f>
        <v>1</v>
      </c>
      <c r="CT6">
        <f>VLOOKUP(CT$2,'Monsters Stats'!$B:$L,8,FALSE)</f>
        <v>1.3</v>
      </c>
      <c r="CU6">
        <f>VLOOKUP(CU$2,'Monsters Stats'!$B:$L,8,FALSE)</f>
        <v>1.3</v>
      </c>
      <c r="CV6">
        <f>VLOOKUP(CV$2,'Monsters Stats'!$B:$L,8,FALSE)</f>
        <v>1.6</v>
      </c>
      <c r="CW6">
        <f>VLOOKUP(CW$2,'Monsters Stats'!$B:$L,8,FALSE)</f>
        <v>1.6</v>
      </c>
      <c r="CX6">
        <f>VLOOKUP(CX$2,'Monsters Stats'!$B:$L,8,FALSE)</f>
        <v>1.6</v>
      </c>
      <c r="CY6">
        <f>VLOOKUP(CY$2,'Monsters Stats'!$B:$L,8,FALSE)</f>
        <v>1.6</v>
      </c>
      <c r="CZ6">
        <f>VLOOKUP(CZ$2,'Monsters Stats'!$B:$L,8,FALSE)</f>
        <v>1.6</v>
      </c>
      <c r="DA6">
        <f>VLOOKUP(DA$2,'Monsters Stats'!$B:$L,8,FALSE)</f>
        <v>1</v>
      </c>
      <c r="DB6">
        <f>VLOOKUP(DB$2,'Monsters Stats'!$B:$L,8,FALSE)</f>
        <v>1</v>
      </c>
      <c r="DC6">
        <f>VLOOKUP(DC$2,'Monsters Stats'!$B:$L,8,FALSE)</f>
        <v>1</v>
      </c>
      <c r="DD6">
        <f>VLOOKUP(DD$2,'Monsters Stats'!$B:$L,8,FALSE)</f>
        <v>1</v>
      </c>
      <c r="DE6">
        <f>VLOOKUP(DE$2,'Monsters Stats'!$B:$L,8,FALSE)</f>
        <v>1</v>
      </c>
      <c r="DF6">
        <f>VLOOKUP(DF$2,'Monsters Stats'!$B:$L,8,FALSE)</f>
        <v>1</v>
      </c>
      <c r="DG6">
        <f>VLOOKUP(DG$2,'Monsters Stats'!$B:$L,8,FALSE)</f>
        <v>1.3</v>
      </c>
      <c r="DH6">
        <f>VLOOKUP(DH$2,'Monsters Stats'!$B:$L,8,FALSE)</f>
        <v>1.3</v>
      </c>
      <c r="DI6">
        <f>VLOOKUP(DI$2,'Monsters Stats'!$B:$L,8,FALSE)</f>
        <v>1.3</v>
      </c>
      <c r="DJ6">
        <f>VLOOKUP(DJ$2,'Monsters Stats'!$B:$L,8,FALSE)</f>
        <v>1.3</v>
      </c>
      <c r="DK6">
        <f>VLOOKUP(DK$2,'Monsters Stats'!$B:$L,8,FALSE)</f>
        <v>2</v>
      </c>
      <c r="DL6">
        <f>VLOOKUP(DL$2,'Monsters Stats'!$B:$L,8,FALSE)</f>
        <v>2</v>
      </c>
      <c r="DM6">
        <f>VLOOKUP(DM$2,'Monsters Stats'!$B:$L,8,FALSE)</f>
        <v>2</v>
      </c>
      <c r="DN6">
        <f>VLOOKUP(DN$2,'Monsters Stats'!$B:$L,8,FALSE)</f>
        <v>2</v>
      </c>
      <c r="DO6">
        <f>VLOOKUP(DO$2,'Monsters Stats'!$B:$L,8,FALSE)</f>
        <v>2</v>
      </c>
      <c r="DP6">
        <f>VLOOKUP(DP$2,'Monsters Stats'!$B:$L,8,FALSE)</f>
        <v>2</v>
      </c>
      <c r="DQ6">
        <f>VLOOKUP(DQ$2,'Monsters Stats'!$B:$L,8,FALSE)</f>
        <v>1.3</v>
      </c>
      <c r="DR6">
        <f>VLOOKUP(DR$2,'Monsters Stats'!$B:$L,8,FALSE)</f>
        <v>1.3</v>
      </c>
      <c r="DS6">
        <f>VLOOKUP(DS$2,'Monsters Stats'!$B:$L,8,FALSE)</f>
        <v>1</v>
      </c>
      <c r="DT6">
        <f>VLOOKUP(DT$2,'Monsters Stats'!$B:$L,8,FALSE)</f>
        <v>1</v>
      </c>
      <c r="DU6">
        <f>VLOOKUP(DU$2,'Monsters Stats'!$B:$L,8,FALSE)</f>
        <v>1</v>
      </c>
      <c r="DV6">
        <f>VLOOKUP(DV$2,'Monsters Stats'!$B:$L,8,FALSE)</f>
        <v>1</v>
      </c>
      <c r="DW6">
        <f>VLOOKUP(DW$2,'Monsters Stats'!$B:$L,8,FALSE)</f>
        <v>1</v>
      </c>
      <c r="DX6">
        <f>VLOOKUP(DX$2,'Monsters Stats'!$B:$L,8,FALSE)</f>
        <v>1</v>
      </c>
      <c r="DY6">
        <f>VLOOKUP(DY$2,'Monsters Stats'!$B:$L,8,FALSE)</f>
        <v>2</v>
      </c>
      <c r="DZ6">
        <f>VLOOKUP(DZ$2,'Monsters Stats'!$B:$L,8,FALSE)</f>
        <v>2</v>
      </c>
      <c r="EA6">
        <f>VLOOKUP(EA$2,'Monsters Stats'!$B:$L,8,FALSE)</f>
        <v>2</v>
      </c>
      <c r="EB6">
        <f>VLOOKUP(EB$2,'Monsters Stats'!$B:$L,8,FALSE)</f>
        <v>2</v>
      </c>
      <c r="EC6">
        <f>VLOOKUP(EC$2,'Monsters Stats'!$B:$L,8,FALSE)</f>
        <v>2</v>
      </c>
      <c r="ED6">
        <f>VLOOKUP(ED$2,'Monsters Stats'!$B:$L,8,FALSE)</f>
        <v>2</v>
      </c>
      <c r="EE6">
        <f>VLOOKUP(EE$2,'Monsters Stats'!$B:$L,8,FALSE)</f>
        <v>1.6</v>
      </c>
      <c r="EF6">
        <f>VLOOKUP(EF$2,'Monsters Stats'!$B:$L,8,FALSE)</f>
        <v>1.6</v>
      </c>
      <c r="EG6">
        <f>VLOOKUP(EG$2,'Monsters Stats'!$B:$L,8,FALSE)</f>
        <v>1.6</v>
      </c>
      <c r="EH6">
        <f>VLOOKUP(EH$2,'Monsters Stats'!$B:$L,8,FALSE)</f>
        <v>1.6</v>
      </c>
      <c r="EI6">
        <f>VLOOKUP(EI$2,'Monsters Stats'!$B:$L,8,FALSE)</f>
        <v>1.6</v>
      </c>
      <c r="EJ6">
        <f>VLOOKUP(EJ$2,'Monsters Stats'!$B:$L,8,FALSE)</f>
        <v>1.6</v>
      </c>
      <c r="EK6">
        <f>VLOOKUP(EK$2,'Monsters Stats'!$B:$L,8,FALSE)</f>
        <v>1.6</v>
      </c>
      <c r="EL6">
        <f>VLOOKUP(EL$2,'Monsters Stats'!$B:$L,8,FALSE)</f>
        <v>1.6</v>
      </c>
      <c r="EM6">
        <f>VLOOKUP(EM$2,'Monsters Stats'!$B:$L,8,FALSE)</f>
        <v>1.6</v>
      </c>
      <c r="EN6">
        <f>VLOOKUP(EN$2,'Monsters Stats'!$B:$L,8,FALSE)</f>
        <v>1.6</v>
      </c>
      <c r="EO6">
        <f>VLOOKUP(EO$2,'Monsters Stats'!$B:$L,8,FALSE)</f>
        <v>1.6</v>
      </c>
    </row>
    <row r="7" spans="1:145" x14ac:dyDescent="0.15">
      <c r="A7" t="e">
        <f>VLOOKUP(A$2,'Monsters Stats'!$B:$L,7,FALSE)</f>
        <v>#N/A</v>
      </c>
      <c r="B7" s="217" t="s">
        <v>241</v>
      </c>
      <c r="C7">
        <f>VLOOKUP(C$2,'Monsters Stats'!$B:$L,7,FALSE)</f>
        <v>12</v>
      </c>
      <c r="D7">
        <f>VLOOKUP(D$2,'Monsters Stats'!$B:$L,7,FALSE)</f>
        <v>12</v>
      </c>
      <c r="E7">
        <f>VLOOKUP(E$2,'Monsters Stats'!$B:$L,7,FALSE)</f>
        <v>12</v>
      </c>
      <c r="F7">
        <f>VLOOKUP(F$2,'Monsters Stats'!$B:$L,7,FALSE)</f>
        <v>12</v>
      </c>
      <c r="G7">
        <f>VLOOKUP(G$2,'Monsters Stats'!$B:$L,7,FALSE)</f>
        <v>12</v>
      </c>
      <c r="H7">
        <f>VLOOKUP(H$2,'Monsters Stats'!$B:$L,7,FALSE)</f>
        <v>12</v>
      </c>
      <c r="I7">
        <f>VLOOKUP(I$2,'Monsters Stats'!$B:$L,7,FALSE)</f>
        <v>21</v>
      </c>
      <c r="J7">
        <f>VLOOKUP(J$2,'Monsters Stats'!$B:$L,7,FALSE)</f>
        <v>21</v>
      </c>
      <c r="K7">
        <f>VLOOKUP(K$2,'Monsters Stats'!$B:$L,7,FALSE)</f>
        <v>21</v>
      </c>
      <c r="L7">
        <f>VLOOKUP(L$2,'Monsters Stats'!$B:$L,7,FALSE)</f>
        <v>19</v>
      </c>
      <c r="M7">
        <f>VLOOKUP(M$2,'Monsters Stats'!$B:$L,7,FALSE)</f>
        <v>19</v>
      </c>
      <c r="N7">
        <f>VLOOKUP(N$2,'Monsters Stats'!$B:$L,7,FALSE)</f>
        <v>19</v>
      </c>
      <c r="O7">
        <f>VLOOKUP(O$2,'Monsters Stats'!$B:$L,7,FALSE)</f>
        <v>6</v>
      </c>
      <c r="P7">
        <f>VLOOKUP(P$2,'Monsters Stats'!$B:$L,7,FALSE)</f>
        <v>6</v>
      </c>
      <c r="Q7">
        <f>VLOOKUP(Q$2,'Monsters Stats'!$B:$L,7,FALSE)</f>
        <v>6</v>
      </c>
      <c r="R7">
        <f>VLOOKUP(R$2,'Monsters Stats'!$B:$L,7,FALSE)</f>
        <v>6</v>
      </c>
      <c r="S7">
        <f>VLOOKUP(S$2,'Monsters Stats'!$B:$L,7,FALSE)</f>
        <v>6</v>
      </c>
      <c r="T7">
        <f>VLOOKUP(T$2,'Monsters Stats'!$B:$L,7,FALSE)</f>
        <v>8</v>
      </c>
      <c r="U7">
        <f>VLOOKUP(U$2,'Monsters Stats'!$B:$L,7,FALSE)</f>
        <v>8</v>
      </c>
      <c r="V7">
        <f>VLOOKUP(V$2,'Monsters Stats'!$B:$L,7,FALSE)</f>
        <v>8</v>
      </c>
      <c r="W7">
        <f>VLOOKUP(W$2,'Monsters Stats'!$B:$L,7,FALSE)</f>
        <v>60</v>
      </c>
      <c r="X7">
        <f>VLOOKUP(X$2,'Monsters Stats'!$B:$L,7,FALSE)</f>
        <v>60</v>
      </c>
      <c r="Y7">
        <f>VLOOKUP(Y$2,'Monsters Stats'!$B:$L,7,FALSE)</f>
        <v>60</v>
      </c>
      <c r="Z7">
        <f>VLOOKUP(Z$2,'Monsters Stats'!$B:$L,7,FALSE)</f>
        <v>4</v>
      </c>
      <c r="AA7">
        <f>VLOOKUP(AA$2,'Monsters Stats'!$B:$L,7,FALSE)</f>
        <v>4</v>
      </c>
      <c r="AB7">
        <f>VLOOKUP(AB$2,'Monsters Stats'!$B:$L,7,FALSE)</f>
        <v>4</v>
      </c>
      <c r="AC7">
        <f>VLOOKUP(AC$2,'Monsters Stats'!$B:$L,7,FALSE)</f>
        <v>60</v>
      </c>
      <c r="AD7">
        <f>VLOOKUP(AD$2,'Monsters Stats'!$B:$L,7,FALSE)</f>
        <v>60</v>
      </c>
      <c r="AE7">
        <f>VLOOKUP(AE$2,'Monsters Stats'!$B:$L,7,FALSE)</f>
        <v>60</v>
      </c>
      <c r="AF7">
        <f>VLOOKUP(AF$2,'Monsters Stats'!$B:$L,7,FALSE)</f>
        <v>60</v>
      </c>
      <c r="AG7">
        <f>VLOOKUP(AG$2,'Monsters Stats'!$B:$L,7,FALSE)</f>
        <v>60</v>
      </c>
      <c r="AH7">
        <f>VLOOKUP(AH$2,'Monsters Stats'!$B:$L,7,FALSE)</f>
        <v>60</v>
      </c>
      <c r="AI7">
        <f>VLOOKUP(AI$2,'Monsters Stats'!$B:$L,7,FALSE)</f>
        <v>45</v>
      </c>
      <c r="AJ7">
        <f>VLOOKUP(AJ$2,'Monsters Stats'!$B:$L,7,FALSE)</f>
        <v>45</v>
      </c>
      <c r="AK7">
        <f>VLOOKUP(AK$2,'Monsters Stats'!$B:$L,7,FALSE)</f>
        <v>45</v>
      </c>
      <c r="AL7">
        <f>VLOOKUP(AL$2,'Monsters Stats'!$B:$L,7,FALSE)</f>
        <v>45</v>
      </c>
      <c r="AM7">
        <f>VLOOKUP(AM$2,'Monsters Stats'!$B:$L,7,FALSE)</f>
        <v>2</v>
      </c>
      <c r="AN7">
        <f>VLOOKUP(AN$2,'Monsters Stats'!$B:$L,7,FALSE)</f>
        <v>2</v>
      </c>
      <c r="AO7">
        <f>VLOOKUP(AO$2,'Monsters Stats'!$B:$L,7,FALSE)</f>
        <v>2</v>
      </c>
      <c r="AP7">
        <f>VLOOKUP(AP$2,'Monsters Stats'!$B:$L,7,FALSE)</f>
        <v>51</v>
      </c>
      <c r="AQ7">
        <f>VLOOKUP(AQ$2,'Monsters Stats'!$B:$L,7,FALSE)</f>
        <v>51</v>
      </c>
      <c r="AR7">
        <f>VLOOKUP(AR$2,'Monsters Stats'!$B:$L,7,FALSE)</f>
        <v>51</v>
      </c>
      <c r="AS7">
        <f>VLOOKUP(AS$2,'Monsters Stats'!$B:$L,7,FALSE)</f>
        <v>51</v>
      </c>
      <c r="AT7">
        <f>VLOOKUP(AT$2,'Monsters Stats'!$B:$L,7,FALSE)</f>
        <v>51</v>
      </c>
      <c r="AU7">
        <f>VLOOKUP(AU$2,'Monsters Stats'!$B:$L,7,FALSE)</f>
        <v>51</v>
      </c>
      <c r="AV7">
        <f>VLOOKUP(AV$2,'Monsters Stats'!$B:$L,7,FALSE)</f>
        <v>51</v>
      </c>
      <c r="AW7">
        <f>VLOOKUP(AW$2,'Monsters Stats'!$B:$L,7,FALSE)</f>
        <v>4</v>
      </c>
      <c r="AX7">
        <f>VLOOKUP(AX$2,'Monsters Stats'!$B:$L,7,FALSE)</f>
        <v>4</v>
      </c>
      <c r="AY7">
        <f>VLOOKUP(AY$2,'Monsters Stats'!$B:$L,7,FALSE)</f>
        <v>8</v>
      </c>
      <c r="AZ7">
        <f>VLOOKUP(AZ$2,'Monsters Stats'!$B:$L,7,FALSE)</f>
        <v>8</v>
      </c>
      <c r="BA7">
        <f>VLOOKUP(BA$2,'Monsters Stats'!$B:$L,7,FALSE)</f>
        <v>8</v>
      </c>
      <c r="BB7">
        <f>VLOOKUP(BB$2,'Monsters Stats'!$B:$L,7,FALSE)</f>
        <v>8</v>
      </c>
      <c r="BC7">
        <f>VLOOKUP(BC$2,'Monsters Stats'!$B:$L,7,FALSE)</f>
        <v>8</v>
      </c>
      <c r="BD7">
        <f>VLOOKUP(BD$2,'Monsters Stats'!$B:$L,7,FALSE)</f>
        <v>4</v>
      </c>
      <c r="BE7">
        <f>VLOOKUP(BE$2,'Monsters Stats'!$B:$L,7,FALSE)</f>
        <v>8</v>
      </c>
      <c r="BF7">
        <f>VLOOKUP(BF$2,'Monsters Stats'!$B:$L,7,FALSE)</f>
        <v>8</v>
      </c>
      <c r="BG7">
        <f>VLOOKUP(BG$2,'Monsters Stats'!$B:$L,7,FALSE)</f>
        <v>8</v>
      </c>
      <c r="BH7">
        <f>VLOOKUP(BH$2,'Monsters Stats'!$B:$L,7,FALSE)</f>
        <v>8</v>
      </c>
      <c r="BI7">
        <f>VLOOKUP(BI$2,'Monsters Stats'!$B:$L,7,FALSE)</f>
        <v>6</v>
      </c>
      <c r="BJ7">
        <f>VLOOKUP(BJ$2,'Monsters Stats'!$B:$L,7,FALSE)</f>
        <v>6</v>
      </c>
      <c r="BK7">
        <f>VLOOKUP(BK$2,'Monsters Stats'!$B:$L,7,FALSE)</f>
        <v>6</v>
      </c>
      <c r="BL7">
        <f>VLOOKUP(BL$2,'Monsters Stats'!$B:$L,7,FALSE)</f>
        <v>6</v>
      </c>
      <c r="BM7">
        <f>VLOOKUP(BM$2,'Monsters Stats'!$B:$L,7,FALSE)</f>
        <v>3</v>
      </c>
      <c r="BN7">
        <f>VLOOKUP(BN$2,'Monsters Stats'!$B:$L,7,FALSE)</f>
        <v>4</v>
      </c>
      <c r="BO7">
        <f>VLOOKUP(BO$2,'Monsters Stats'!$B:$L,7,FALSE)</f>
        <v>4</v>
      </c>
      <c r="BP7">
        <f>VLOOKUP(BP$2,'Monsters Stats'!$B:$L,7,FALSE)</f>
        <v>8</v>
      </c>
      <c r="BQ7">
        <f>VLOOKUP(BQ$2,'Monsters Stats'!$B:$L,7,FALSE)</f>
        <v>8</v>
      </c>
      <c r="BR7">
        <f>VLOOKUP(BR$2,'Monsters Stats'!$B:$L,7,FALSE)</f>
        <v>8</v>
      </c>
      <c r="BS7">
        <f>VLOOKUP(BS$2,'Monsters Stats'!$B:$L,7,FALSE)</f>
        <v>30</v>
      </c>
      <c r="BT7">
        <f>VLOOKUP(BT$2,'Monsters Stats'!$B:$L,7,FALSE)</f>
        <v>30</v>
      </c>
      <c r="BU7">
        <f>VLOOKUP(BU$2,'Monsters Stats'!$B:$L,7,FALSE)</f>
        <v>30</v>
      </c>
      <c r="BV7">
        <f>VLOOKUP(BV$2,'Monsters Stats'!$B:$L,7,FALSE)</f>
        <v>30</v>
      </c>
      <c r="BW7">
        <f>VLOOKUP(BW$2,'Monsters Stats'!$B:$L,7,FALSE)</f>
        <v>30</v>
      </c>
      <c r="BX7">
        <f>VLOOKUP(BX$2,'Monsters Stats'!$B:$L,7,FALSE)</f>
        <v>30</v>
      </c>
      <c r="BY7">
        <f>VLOOKUP(BY$2,'Monsters Stats'!$B:$L,7,FALSE)</f>
        <v>30</v>
      </c>
      <c r="BZ7">
        <f>VLOOKUP(BZ$2,'Monsters Stats'!$B:$L,7,FALSE)</f>
        <v>30</v>
      </c>
      <c r="CA7">
        <f>VLOOKUP(CA$2,'Monsters Stats'!$B:$L,7,FALSE)</f>
        <v>30</v>
      </c>
      <c r="CB7">
        <f>VLOOKUP(CB$2,'Monsters Stats'!$B:$L,7,FALSE)</f>
        <v>30</v>
      </c>
      <c r="CC7">
        <f>VLOOKUP(CC$2,'Monsters Stats'!$B:$L,7,FALSE)</f>
        <v>30</v>
      </c>
      <c r="CD7">
        <f>VLOOKUP(CD$2,'Monsters Stats'!$B:$L,7,FALSE)</f>
        <v>30</v>
      </c>
      <c r="CE7">
        <f>VLOOKUP(CE$2,'Monsters Stats'!$B:$L,7,FALSE)</f>
        <v>30</v>
      </c>
      <c r="CF7">
        <f>VLOOKUP(CF$2,'Monsters Stats'!$B:$L,7,FALSE)</f>
        <v>30</v>
      </c>
      <c r="CG7">
        <f>VLOOKUP(CG$2,'Monsters Stats'!$B:$L,7,FALSE)</f>
        <v>30</v>
      </c>
      <c r="CH7">
        <f>VLOOKUP(CH$2,'Monsters Stats'!$B:$L,7,FALSE)</f>
        <v>30</v>
      </c>
      <c r="CI7">
        <f>VLOOKUP(CI$2,'Monsters Stats'!$B:$L,7,FALSE)</f>
        <v>30</v>
      </c>
      <c r="CJ7">
        <f>VLOOKUP(CJ$2,'Monsters Stats'!$B:$L,7,FALSE)</f>
        <v>30</v>
      </c>
      <c r="CK7">
        <f>VLOOKUP(CK$2,'Monsters Stats'!$B:$L,7,FALSE)</f>
        <v>30</v>
      </c>
      <c r="CL7">
        <f>VLOOKUP(CL$2,'Monsters Stats'!$B:$L,7,FALSE)</f>
        <v>30</v>
      </c>
      <c r="CM7">
        <f>VLOOKUP(CM$2,'Monsters Stats'!$B:$L,7,FALSE)</f>
        <v>30</v>
      </c>
      <c r="CN7">
        <f>VLOOKUP(CN$2,'Monsters Stats'!$B:$L,7,FALSE)</f>
        <v>30</v>
      </c>
      <c r="CO7">
        <f>VLOOKUP(CO$2,'Monsters Stats'!$B:$L,7,FALSE)</f>
        <v>39</v>
      </c>
      <c r="CP7">
        <f>VLOOKUP(CP$2,'Monsters Stats'!$B:$L,7,FALSE)</f>
        <v>39</v>
      </c>
      <c r="CQ7">
        <f>VLOOKUP(CQ$2,'Monsters Stats'!$B:$L,7,FALSE)</f>
        <v>12</v>
      </c>
      <c r="CR7">
        <f>VLOOKUP(CR$2,'Monsters Stats'!$B:$L,7,FALSE)</f>
        <v>12</v>
      </c>
      <c r="CS7">
        <f>VLOOKUP(CS$2,'Monsters Stats'!$B:$L,7,FALSE)</f>
        <v>12</v>
      </c>
      <c r="CT7">
        <f>VLOOKUP(CT$2,'Monsters Stats'!$B:$L,7,FALSE)</f>
        <v>4</v>
      </c>
      <c r="CU7">
        <f>VLOOKUP(CU$2,'Monsters Stats'!$B:$L,7,FALSE)</f>
        <v>4</v>
      </c>
      <c r="CV7">
        <f>VLOOKUP(CV$2,'Monsters Stats'!$B:$L,7,FALSE)</f>
        <v>6</v>
      </c>
      <c r="CW7">
        <f>VLOOKUP(CW$2,'Monsters Stats'!$B:$L,7,FALSE)</f>
        <v>6</v>
      </c>
      <c r="CX7">
        <f>VLOOKUP(CX$2,'Monsters Stats'!$B:$L,7,FALSE)</f>
        <v>6</v>
      </c>
      <c r="CY7">
        <f>VLOOKUP(CY$2,'Monsters Stats'!$B:$L,7,FALSE)</f>
        <v>6</v>
      </c>
      <c r="CZ7">
        <f>VLOOKUP(CZ$2,'Monsters Stats'!$B:$L,7,FALSE)</f>
        <v>6</v>
      </c>
      <c r="DA7">
        <f>VLOOKUP(DA$2,'Monsters Stats'!$B:$L,7,FALSE)</f>
        <v>6</v>
      </c>
      <c r="DB7">
        <f>VLOOKUP(DB$2,'Monsters Stats'!$B:$L,7,FALSE)</f>
        <v>6</v>
      </c>
      <c r="DC7">
        <f>VLOOKUP(DC$2,'Monsters Stats'!$B:$L,7,FALSE)</f>
        <v>6</v>
      </c>
      <c r="DD7">
        <f>VLOOKUP(DD$2,'Monsters Stats'!$B:$L,7,FALSE)</f>
        <v>6</v>
      </c>
      <c r="DE7">
        <f>VLOOKUP(DE$2,'Monsters Stats'!$B:$L,7,FALSE)</f>
        <v>2</v>
      </c>
      <c r="DF7">
        <f>VLOOKUP(DF$2,'Monsters Stats'!$B:$L,7,FALSE)</f>
        <v>2</v>
      </c>
      <c r="DG7">
        <f>VLOOKUP(DG$2,'Monsters Stats'!$B:$L,7,FALSE)</f>
        <v>4</v>
      </c>
      <c r="DH7">
        <f>VLOOKUP(DH$2,'Monsters Stats'!$B:$L,7,FALSE)</f>
        <v>4</v>
      </c>
      <c r="DI7">
        <f>VLOOKUP(DI$2,'Monsters Stats'!$B:$L,7,FALSE)</f>
        <v>4</v>
      </c>
      <c r="DJ7">
        <f>VLOOKUP(DJ$2,'Monsters Stats'!$B:$L,7,FALSE)</f>
        <v>4</v>
      </c>
      <c r="DK7">
        <f>VLOOKUP(DK$2,'Monsters Stats'!$B:$L,7,FALSE)</f>
        <v>8</v>
      </c>
      <c r="DL7">
        <f>VLOOKUP(DL$2,'Monsters Stats'!$B:$L,7,FALSE)</f>
        <v>8</v>
      </c>
      <c r="DM7">
        <f>VLOOKUP(DM$2,'Monsters Stats'!$B:$L,7,FALSE)</f>
        <v>8</v>
      </c>
      <c r="DN7">
        <f>VLOOKUP(DN$2,'Monsters Stats'!$B:$L,7,FALSE)</f>
        <v>8</v>
      </c>
      <c r="DO7">
        <f>VLOOKUP(DO$2,'Monsters Stats'!$B:$L,7,FALSE)</f>
        <v>8</v>
      </c>
      <c r="DP7">
        <f>VLOOKUP(DP$2,'Monsters Stats'!$B:$L,7,FALSE)</f>
        <v>8</v>
      </c>
      <c r="DQ7">
        <f>VLOOKUP(DQ$2,'Monsters Stats'!$B:$L,7,FALSE)</f>
        <v>4</v>
      </c>
      <c r="DR7">
        <f>VLOOKUP(DR$2,'Monsters Stats'!$B:$L,7,FALSE)</f>
        <v>4</v>
      </c>
      <c r="DS7">
        <f>VLOOKUP(DS$2,'Monsters Stats'!$B:$L,7,FALSE)</f>
        <v>4</v>
      </c>
      <c r="DT7">
        <f>VLOOKUP(DT$2,'Monsters Stats'!$B:$L,7,FALSE)</f>
        <v>4</v>
      </c>
      <c r="DU7">
        <f>VLOOKUP(DU$2,'Monsters Stats'!$B:$L,7,FALSE)</f>
        <v>4</v>
      </c>
      <c r="DV7">
        <f>VLOOKUP(DV$2,'Monsters Stats'!$B:$L,7,FALSE)</f>
        <v>4</v>
      </c>
      <c r="DW7">
        <f>VLOOKUP(DW$2,'Monsters Stats'!$B:$L,7,FALSE)</f>
        <v>4</v>
      </c>
      <c r="DX7">
        <f>VLOOKUP(DX$2,'Monsters Stats'!$B:$L,7,FALSE)</f>
        <v>4</v>
      </c>
      <c r="DY7">
        <f>VLOOKUP(DY$2,'Monsters Stats'!$B:$L,7,FALSE)</f>
        <v>8</v>
      </c>
      <c r="DZ7">
        <f>VLOOKUP(DZ$2,'Monsters Stats'!$B:$L,7,FALSE)</f>
        <v>8</v>
      </c>
      <c r="EA7">
        <f>VLOOKUP(EA$2,'Monsters Stats'!$B:$L,7,FALSE)</f>
        <v>8</v>
      </c>
      <c r="EB7">
        <f>VLOOKUP(EB$2,'Monsters Stats'!$B:$L,7,FALSE)</f>
        <v>8</v>
      </c>
      <c r="EC7">
        <f>VLOOKUP(EC$2,'Monsters Stats'!$B:$L,7,FALSE)</f>
        <v>8</v>
      </c>
      <c r="ED7">
        <f>VLOOKUP(ED$2,'Monsters Stats'!$B:$L,7,FALSE)</f>
        <v>8</v>
      </c>
      <c r="EE7">
        <f>VLOOKUP(EE$2,'Monsters Stats'!$B:$L,7,FALSE)</f>
        <v>6</v>
      </c>
      <c r="EF7">
        <f>VLOOKUP(EF$2,'Monsters Stats'!$B:$L,7,FALSE)</f>
        <v>6</v>
      </c>
      <c r="EG7">
        <f>VLOOKUP(EG$2,'Monsters Stats'!$B:$L,7,FALSE)</f>
        <v>6</v>
      </c>
      <c r="EH7">
        <f>VLOOKUP(EH$2,'Monsters Stats'!$B:$L,7,FALSE)</f>
        <v>6</v>
      </c>
      <c r="EI7">
        <f>VLOOKUP(EI$2,'Monsters Stats'!$B:$L,7,FALSE)</f>
        <v>6</v>
      </c>
      <c r="EJ7">
        <f>VLOOKUP(EJ$2,'Monsters Stats'!$B:$L,7,FALSE)</f>
        <v>6</v>
      </c>
      <c r="EK7">
        <f>VLOOKUP(EK$2,'Monsters Stats'!$B:$L,7,FALSE)</f>
        <v>6</v>
      </c>
      <c r="EL7">
        <f>VLOOKUP(EL$2,'Monsters Stats'!$B:$L,7,FALSE)</f>
        <v>6</v>
      </c>
      <c r="EM7">
        <f>VLOOKUP(EM$2,'Monsters Stats'!$B:$L,7,FALSE)</f>
        <v>6</v>
      </c>
      <c r="EN7">
        <f>VLOOKUP(EN$2,'Monsters Stats'!$B:$L,7,FALSE)</f>
        <v>6</v>
      </c>
      <c r="EO7">
        <f>VLOOKUP(EO$2,'Monsters Stats'!$B:$L,7,FALSE)</f>
        <v>6</v>
      </c>
    </row>
    <row r="8" spans="1:145" x14ac:dyDescent="0.15">
      <c r="A8" t="e">
        <f>VLOOKUP(A$2,'Monsters Stats'!$B:$L,11,FALSE)</f>
        <v>#N/A</v>
      </c>
      <c r="B8" s="217" t="s">
        <v>242</v>
      </c>
      <c r="C8">
        <f>VLOOKUP(C$2,'Monsters Stats'!$B:$L,11,FALSE)</f>
        <v>1</v>
      </c>
      <c r="D8">
        <f>VLOOKUP(D$2,'Monsters Stats'!$B:$L,11,FALSE)</f>
        <v>1</v>
      </c>
      <c r="E8">
        <f>VLOOKUP(E$2,'Monsters Stats'!$B:$L,11,FALSE)</f>
        <v>1</v>
      </c>
      <c r="F8">
        <f>VLOOKUP(F$2,'Monsters Stats'!$B:$L,11,FALSE)</f>
        <v>1</v>
      </c>
      <c r="G8">
        <f>VLOOKUP(G$2,'Monsters Stats'!$B:$L,11,FALSE)</f>
        <v>1</v>
      </c>
      <c r="H8">
        <f>VLOOKUP(H$2,'Monsters Stats'!$B:$L,11,FALSE)</f>
        <v>1</v>
      </c>
      <c r="I8">
        <f>VLOOKUP(I$2,'Monsters Stats'!$B:$L,11,FALSE)</f>
        <v>1</v>
      </c>
      <c r="J8">
        <f>VLOOKUP(J$2,'Monsters Stats'!$B:$L,11,FALSE)</f>
        <v>1</v>
      </c>
      <c r="K8">
        <f>VLOOKUP(K$2,'Monsters Stats'!$B:$L,11,FALSE)</f>
        <v>1</v>
      </c>
      <c r="L8">
        <f>VLOOKUP(L$2,'Monsters Stats'!$B:$L,11,FALSE)</f>
        <v>0</v>
      </c>
      <c r="M8">
        <f>VLOOKUP(M$2,'Monsters Stats'!$B:$L,11,FALSE)</f>
        <v>0</v>
      </c>
      <c r="N8">
        <f>VLOOKUP(N$2,'Monsters Stats'!$B:$L,11,FALSE)</f>
        <v>0</v>
      </c>
      <c r="O8">
        <f>VLOOKUP(O$2,'Monsters Stats'!$B:$L,11,FALSE)</f>
        <v>1</v>
      </c>
      <c r="P8">
        <f>VLOOKUP(P$2,'Monsters Stats'!$B:$L,11,FALSE)</f>
        <v>1</v>
      </c>
      <c r="Q8">
        <f>VLOOKUP(Q$2,'Monsters Stats'!$B:$L,11,FALSE)</f>
        <v>1</v>
      </c>
      <c r="R8">
        <f>VLOOKUP(R$2,'Monsters Stats'!$B:$L,11,FALSE)</f>
        <v>1</v>
      </c>
      <c r="S8">
        <f>VLOOKUP(S$2,'Monsters Stats'!$B:$L,11,FALSE)</f>
        <v>1</v>
      </c>
      <c r="T8">
        <f>VLOOKUP(T$2,'Monsters Stats'!$B:$L,11,FALSE)</f>
        <v>0</v>
      </c>
      <c r="U8">
        <f>VLOOKUP(U$2,'Monsters Stats'!$B:$L,11,FALSE)</f>
        <v>0</v>
      </c>
      <c r="V8">
        <f>VLOOKUP(V$2,'Monsters Stats'!$B:$L,11,FALSE)</f>
        <v>0</v>
      </c>
      <c r="W8">
        <f>VLOOKUP(W$2,'Monsters Stats'!$B:$L,11,FALSE)</f>
        <v>1</v>
      </c>
      <c r="X8">
        <f>VLOOKUP(X$2,'Monsters Stats'!$B:$L,11,FALSE)</f>
        <v>1</v>
      </c>
      <c r="Y8">
        <f>VLOOKUP(Y$2,'Monsters Stats'!$B:$L,11,FALSE)</f>
        <v>1</v>
      </c>
      <c r="Z8">
        <f>VLOOKUP(Z$2,'Monsters Stats'!$B:$L,11,FALSE)</f>
        <v>0</v>
      </c>
      <c r="AA8">
        <f>VLOOKUP(AA$2,'Monsters Stats'!$B:$L,11,FALSE)</f>
        <v>0</v>
      </c>
      <c r="AB8">
        <f>VLOOKUP(AB$2,'Monsters Stats'!$B:$L,11,FALSE)</f>
        <v>0</v>
      </c>
      <c r="AC8">
        <f>VLOOKUP(AC$2,'Monsters Stats'!$B:$L,11,FALSE)</f>
        <v>1</v>
      </c>
      <c r="AD8">
        <f>VLOOKUP(AD$2,'Monsters Stats'!$B:$L,11,FALSE)</f>
        <v>1</v>
      </c>
      <c r="AE8">
        <f>VLOOKUP(AE$2,'Monsters Stats'!$B:$L,11,FALSE)</f>
        <v>1</v>
      </c>
      <c r="AF8">
        <f>VLOOKUP(AF$2,'Monsters Stats'!$B:$L,11,FALSE)</f>
        <v>1</v>
      </c>
      <c r="AG8">
        <f>VLOOKUP(AG$2,'Monsters Stats'!$B:$L,11,FALSE)</f>
        <v>1</v>
      </c>
      <c r="AH8">
        <f>VLOOKUP(AH$2,'Monsters Stats'!$B:$L,11,FALSE)</f>
        <v>1</v>
      </c>
      <c r="AI8">
        <f>VLOOKUP(AI$2,'Monsters Stats'!$B:$L,11,FALSE)</f>
        <v>0</v>
      </c>
      <c r="AJ8">
        <f>VLOOKUP(AJ$2,'Monsters Stats'!$B:$L,11,FALSE)</f>
        <v>0</v>
      </c>
      <c r="AK8">
        <f>VLOOKUP(AK$2,'Monsters Stats'!$B:$L,11,FALSE)</f>
        <v>0</v>
      </c>
      <c r="AL8">
        <f>VLOOKUP(AL$2,'Monsters Stats'!$B:$L,11,FALSE)</f>
        <v>0</v>
      </c>
      <c r="AM8">
        <f>VLOOKUP(AM$2,'Monsters Stats'!$B:$L,11,FALSE)</f>
        <v>0</v>
      </c>
      <c r="AN8">
        <f>VLOOKUP(AN$2,'Monsters Stats'!$B:$L,11,FALSE)</f>
        <v>0</v>
      </c>
      <c r="AO8">
        <f>VLOOKUP(AO$2,'Monsters Stats'!$B:$L,11,FALSE)</f>
        <v>0</v>
      </c>
      <c r="AP8">
        <f>VLOOKUP(AP$2,'Monsters Stats'!$B:$L,11,FALSE)</f>
        <v>0</v>
      </c>
      <c r="AQ8">
        <f>VLOOKUP(AQ$2,'Monsters Stats'!$B:$L,11,FALSE)</f>
        <v>0</v>
      </c>
      <c r="AR8">
        <f>VLOOKUP(AR$2,'Monsters Stats'!$B:$L,11,FALSE)</f>
        <v>0</v>
      </c>
      <c r="AS8">
        <f>VLOOKUP(AS$2,'Monsters Stats'!$B:$L,11,FALSE)</f>
        <v>0</v>
      </c>
      <c r="AT8">
        <f>VLOOKUP(AT$2,'Monsters Stats'!$B:$L,11,FALSE)</f>
        <v>0</v>
      </c>
      <c r="AU8">
        <f>VLOOKUP(AU$2,'Monsters Stats'!$B:$L,11,FALSE)</f>
        <v>0</v>
      </c>
      <c r="AV8">
        <f>VLOOKUP(AV$2,'Monsters Stats'!$B:$L,11,FALSE)</f>
        <v>0</v>
      </c>
      <c r="AW8">
        <f>VLOOKUP(AW$2,'Monsters Stats'!$B:$L,11,FALSE)</f>
        <v>0</v>
      </c>
      <c r="AX8">
        <f>VLOOKUP(AX$2,'Monsters Stats'!$B:$L,11,FALSE)</f>
        <v>0</v>
      </c>
      <c r="AY8">
        <f>VLOOKUP(AY$2,'Monsters Stats'!$B:$L,11,FALSE)</f>
        <v>0</v>
      </c>
      <c r="AZ8">
        <f>VLOOKUP(AZ$2,'Monsters Stats'!$B:$L,11,FALSE)</f>
        <v>0</v>
      </c>
      <c r="BA8">
        <f>VLOOKUP(BA$2,'Monsters Stats'!$B:$L,11,FALSE)</f>
        <v>0</v>
      </c>
      <c r="BB8">
        <f>VLOOKUP(BB$2,'Monsters Stats'!$B:$L,11,FALSE)</f>
        <v>0</v>
      </c>
      <c r="BC8">
        <f>VLOOKUP(BC$2,'Monsters Stats'!$B:$L,11,FALSE)</f>
        <v>0</v>
      </c>
      <c r="BD8">
        <f>VLOOKUP(BD$2,'Monsters Stats'!$B:$L,11,FALSE)</f>
        <v>0</v>
      </c>
      <c r="BE8">
        <f>VLOOKUP(BE$2,'Monsters Stats'!$B:$L,11,FALSE)</f>
        <v>0</v>
      </c>
      <c r="BF8">
        <f>VLOOKUP(BF$2,'Monsters Stats'!$B:$L,11,FALSE)</f>
        <v>0</v>
      </c>
      <c r="BG8">
        <f>VLOOKUP(BG$2,'Monsters Stats'!$B:$L,11,FALSE)</f>
        <v>0</v>
      </c>
      <c r="BH8">
        <f>VLOOKUP(BH$2,'Monsters Stats'!$B:$L,11,FALSE)</f>
        <v>0</v>
      </c>
      <c r="BI8">
        <f>VLOOKUP(BI$2,'Monsters Stats'!$B:$L,11,FALSE)</f>
        <v>1</v>
      </c>
      <c r="BJ8">
        <f>VLOOKUP(BJ$2,'Monsters Stats'!$B:$L,11,FALSE)</f>
        <v>1</v>
      </c>
      <c r="BK8">
        <f>VLOOKUP(BK$2,'Monsters Stats'!$B:$L,11,FALSE)</f>
        <v>1</v>
      </c>
      <c r="BL8">
        <f>VLOOKUP(BL$2,'Monsters Stats'!$B:$L,11,FALSE)</f>
        <v>1</v>
      </c>
      <c r="BM8">
        <f>VLOOKUP(BM$2,'Monsters Stats'!$B:$L,11,FALSE)</f>
        <v>0</v>
      </c>
      <c r="BN8">
        <f>VLOOKUP(BN$2,'Monsters Stats'!$B:$L,11,FALSE)</f>
        <v>0</v>
      </c>
      <c r="BO8">
        <f>VLOOKUP(BO$2,'Monsters Stats'!$B:$L,11,FALSE)</f>
        <v>0</v>
      </c>
      <c r="BP8">
        <f>VLOOKUP(BP$2,'Monsters Stats'!$B:$L,11,FALSE)</f>
        <v>0</v>
      </c>
      <c r="BQ8">
        <f>VLOOKUP(BQ$2,'Monsters Stats'!$B:$L,11,FALSE)</f>
        <v>0</v>
      </c>
      <c r="BR8">
        <f>VLOOKUP(BR$2,'Monsters Stats'!$B:$L,11,FALSE)</f>
        <v>0</v>
      </c>
      <c r="BS8">
        <f>VLOOKUP(BS$2,'Monsters Stats'!$B:$L,11,FALSE)</f>
        <v>0</v>
      </c>
      <c r="BT8">
        <f>VLOOKUP(BT$2,'Monsters Stats'!$B:$L,11,FALSE)</f>
        <v>0</v>
      </c>
      <c r="BU8">
        <f>VLOOKUP(BU$2,'Monsters Stats'!$B:$L,11,FALSE)</f>
        <v>0</v>
      </c>
      <c r="BV8">
        <f>VLOOKUP(BV$2,'Monsters Stats'!$B:$L,11,FALSE)</f>
        <v>0</v>
      </c>
      <c r="BW8">
        <f>VLOOKUP(BW$2,'Monsters Stats'!$B:$L,11,FALSE)</f>
        <v>0</v>
      </c>
      <c r="BX8">
        <f>VLOOKUP(BX$2,'Monsters Stats'!$B:$L,11,FALSE)</f>
        <v>0</v>
      </c>
      <c r="BY8">
        <f>VLOOKUP(BY$2,'Monsters Stats'!$B:$L,11,FALSE)</f>
        <v>0</v>
      </c>
      <c r="BZ8">
        <f>VLOOKUP(BZ$2,'Monsters Stats'!$B:$L,11,FALSE)</f>
        <v>0</v>
      </c>
      <c r="CA8">
        <f>VLOOKUP(CA$2,'Monsters Stats'!$B:$L,11,FALSE)</f>
        <v>0</v>
      </c>
      <c r="CB8">
        <f>VLOOKUP(CB$2,'Monsters Stats'!$B:$L,11,FALSE)</f>
        <v>0</v>
      </c>
      <c r="CC8">
        <f>VLOOKUP(CC$2,'Monsters Stats'!$B:$L,11,FALSE)</f>
        <v>0</v>
      </c>
      <c r="CD8">
        <f>VLOOKUP(CD$2,'Monsters Stats'!$B:$L,11,FALSE)</f>
        <v>0</v>
      </c>
      <c r="CE8">
        <f>VLOOKUP(CE$2,'Monsters Stats'!$B:$L,11,FALSE)</f>
        <v>0</v>
      </c>
      <c r="CF8">
        <f>VLOOKUP(CF$2,'Monsters Stats'!$B:$L,11,FALSE)</f>
        <v>0</v>
      </c>
      <c r="CG8">
        <f>VLOOKUP(CG$2,'Monsters Stats'!$B:$L,11,FALSE)</f>
        <v>0</v>
      </c>
      <c r="CH8">
        <f>VLOOKUP(CH$2,'Monsters Stats'!$B:$L,11,FALSE)</f>
        <v>0</v>
      </c>
      <c r="CI8">
        <f>VLOOKUP(CI$2,'Monsters Stats'!$B:$L,11,FALSE)</f>
        <v>0</v>
      </c>
      <c r="CJ8">
        <f>VLOOKUP(CJ$2,'Monsters Stats'!$B:$L,11,FALSE)</f>
        <v>0</v>
      </c>
      <c r="CK8">
        <f>VLOOKUP(CK$2,'Monsters Stats'!$B:$L,11,FALSE)</f>
        <v>0</v>
      </c>
      <c r="CL8">
        <f>VLOOKUP(CL$2,'Monsters Stats'!$B:$L,11,FALSE)</f>
        <v>0</v>
      </c>
      <c r="CM8">
        <f>VLOOKUP(CM$2,'Monsters Stats'!$B:$L,11,FALSE)</f>
        <v>0</v>
      </c>
      <c r="CN8">
        <f>VLOOKUP(CN$2,'Monsters Stats'!$B:$L,11,FALSE)</f>
        <v>0</v>
      </c>
      <c r="CO8">
        <f>VLOOKUP(CO$2,'Monsters Stats'!$B:$L,11,FALSE)</f>
        <v>0</v>
      </c>
      <c r="CP8">
        <f>VLOOKUP(CP$2,'Monsters Stats'!$B:$L,11,FALSE)</f>
        <v>0</v>
      </c>
      <c r="CQ8">
        <f>VLOOKUP(CQ$2,'Monsters Stats'!$B:$L,11,FALSE)</f>
        <v>1</v>
      </c>
      <c r="CR8">
        <f>VLOOKUP(CR$2,'Monsters Stats'!$B:$L,11,FALSE)</f>
        <v>1</v>
      </c>
      <c r="CS8">
        <f>VLOOKUP(CS$2,'Monsters Stats'!$B:$L,11,FALSE)</f>
        <v>1</v>
      </c>
      <c r="CT8">
        <f>VLOOKUP(CT$2,'Monsters Stats'!$B:$L,11,FALSE)</f>
        <v>0</v>
      </c>
      <c r="CU8">
        <f>VLOOKUP(CU$2,'Monsters Stats'!$B:$L,11,FALSE)</f>
        <v>0</v>
      </c>
      <c r="CV8">
        <f>VLOOKUP(CV$2,'Monsters Stats'!$B:$L,11,FALSE)</f>
        <v>0</v>
      </c>
      <c r="CW8">
        <f>VLOOKUP(CW$2,'Monsters Stats'!$B:$L,11,FALSE)</f>
        <v>0</v>
      </c>
      <c r="CX8">
        <f>VLOOKUP(CX$2,'Monsters Stats'!$B:$L,11,FALSE)</f>
        <v>0</v>
      </c>
      <c r="CY8">
        <f>VLOOKUP(CY$2,'Monsters Stats'!$B:$L,11,FALSE)</f>
        <v>0</v>
      </c>
      <c r="CZ8">
        <f>VLOOKUP(CZ$2,'Monsters Stats'!$B:$L,11,FALSE)</f>
        <v>0</v>
      </c>
      <c r="DA8">
        <f>VLOOKUP(DA$2,'Monsters Stats'!$B:$L,11,FALSE)</f>
        <v>1</v>
      </c>
      <c r="DB8">
        <f>VLOOKUP(DB$2,'Monsters Stats'!$B:$L,11,FALSE)</f>
        <v>1</v>
      </c>
      <c r="DC8">
        <f>VLOOKUP(DC$2,'Monsters Stats'!$B:$L,11,FALSE)</f>
        <v>1</v>
      </c>
      <c r="DD8">
        <f>VLOOKUP(DD$2,'Monsters Stats'!$B:$L,11,FALSE)</f>
        <v>1</v>
      </c>
      <c r="DE8">
        <f>VLOOKUP(DE$2,'Monsters Stats'!$B:$L,11,FALSE)</f>
        <v>0</v>
      </c>
      <c r="DF8">
        <f>VLOOKUP(DF$2,'Monsters Stats'!$B:$L,11,FALSE)</f>
        <v>0</v>
      </c>
      <c r="DG8">
        <f>VLOOKUP(DG$2,'Monsters Stats'!$B:$L,11,FALSE)</f>
        <v>0</v>
      </c>
      <c r="DH8">
        <f>VLOOKUP(DH$2,'Monsters Stats'!$B:$L,11,FALSE)</f>
        <v>0</v>
      </c>
      <c r="DI8">
        <f>VLOOKUP(DI$2,'Monsters Stats'!$B:$L,11,FALSE)</f>
        <v>0</v>
      </c>
      <c r="DJ8">
        <f>VLOOKUP(DJ$2,'Monsters Stats'!$B:$L,11,FALSE)</f>
        <v>0</v>
      </c>
      <c r="DK8">
        <f>VLOOKUP(DK$2,'Monsters Stats'!$B:$L,11,FALSE)</f>
        <v>0</v>
      </c>
      <c r="DL8">
        <f>VLOOKUP(DL$2,'Monsters Stats'!$B:$L,11,FALSE)</f>
        <v>0</v>
      </c>
      <c r="DM8">
        <f>VLOOKUP(DM$2,'Monsters Stats'!$B:$L,11,FALSE)</f>
        <v>0</v>
      </c>
      <c r="DN8">
        <f>VLOOKUP(DN$2,'Monsters Stats'!$B:$L,11,FALSE)</f>
        <v>0</v>
      </c>
      <c r="DO8">
        <f>VLOOKUP(DO$2,'Monsters Stats'!$B:$L,11,FALSE)</f>
        <v>0</v>
      </c>
      <c r="DP8">
        <f>VLOOKUP(DP$2,'Monsters Stats'!$B:$L,11,FALSE)</f>
        <v>0</v>
      </c>
      <c r="DQ8">
        <f>VLOOKUP(DQ$2,'Monsters Stats'!$B:$L,11,FALSE)</f>
        <v>0</v>
      </c>
      <c r="DR8">
        <f>VLOOKUP(DR$2,'Monsters Stats'!$B:$L,11,FALSE)</f>
        <v>0</v>
      </c>
      <c r="DS8">
        <f>VLOOKUP(DS$2,'Monsters Stats'!$B:$L,11,FALSE)</f>
        <v>0</v>
      </c>
      <c r="DT8">
        <f>VLOOKUP(DT$2,'Monsters Stats'!$B:$L,11,FALSE)</f>
        <v>0</v>
      </c>
      <c r="DU8">
        <f>VLOOKUP(DU$2,'Monsters Stats'!$B:$L,11,FALSE)</f>
        <v>0</v>
      </c>
      <c r="DV8">
        <f>VLOOKUP(DV$2,'Monsters Stats'!$B:$L,11,FALSE)</f>
        <v>0</v>
      </c>
      <c r="DW8">
        <f>VLOOKUP(DW$2,'Monsters Stats'!$B:$L,11,FALSE)</f>
        <v>0</v>
      </c>
      <c r="DX8">
        <f>VLOOKUP(DX$2,'Monsters Stats'!$B:$L,11,FALSE)</f>
        <v>0</v>
      </c>
      <c r="DY8">
        <f>VLOOKUP(DY$2,'Monsters Stats'!$B:$L,11,FALSE)</f>
        <v>0</v>
      </c>
      <c r="DZ8">
        <f>VLOOKUP(DZ$2,'Monsters Stats'!$B:$L,11,FALSE)</f>
        <v>0</v>
      </c>
      <c r="EA8">
        <f>VLOOKUP(EA$2,'Monsters Stats'!$B:$L,11,FALSE)</f>
        <v>0</v>
      </c>
      <c r="EB8">
        <f>VLOOKUP(EB$2,'Monsters Stats'!$B:$L,11,FALSE)</f>
        <v>0</v>
      </c>
      <c r="EC8">
        <f>VLOOKUP(EC$2,'Monsters Stats'!$B:$L,11,FALSE)</f>
        <v>0</v>
      </c>
      <c r="ED8">
        <f>VLOOKUP(ED$2,'Monsters Stats'!$B:$L,11,FALSE)</f>
        <v>0</v>
      </c>
      <c r="EE8">
        <f>VLOOKUP(EE$2,'Monsters Stats'!$B:$L,11,FALSE)</f>
        <v>0</v>
      </c>
      <c r="EF8">
        <f>VLOOKUP(EF$2,'Monsters Stats'!$B:$L,11,FALSE)</f>
        <v>0</v>
      </c>
      <c r="EG8">
        <f>VLOOKUP(EG$2,'Monsters Stats'!$B:$L,11,FALSE)</f>
        <v>0</v>
      </c>
      <c r="EH8">
        <f>VLOOKUP(EH$2,'Monsters Stats'!$B:$L,11,FALSE)</f>
        <v>0</v>
      </c>
      <c r="EI8">
        <f>VLOOKUP(EI$2,'Monsters Stats'!$B:$L,11,FALSE)</f>
        <v>0</v>
      </c>
      <c r="EJ8">
        <f>VLOOKUP(EJ$2,'Monsters Stats'!$B:$L,11,FALSE)</f>
        <v>0</v>
      </c>
      <c r="EK8">
        <f>VLOOKUP(EK$2,'Monsters Stats'!$B:$L,11,FALSE)</f>
        <v>0</v>
      </c>
      <c r="EL8">
        <f>VLOOKUP(EL$2,'Monsters Stats'!$B:$L,11,FALSE)</f>
        <v>0</v>
      </c>
      <c r="EM8">
        <f>VLOOKUP(EM$2,'Monsters Stats'!$B:$L,11,FALSE)</f>
        <v>0</v>
      </c>
      <c r="EN8">
        <f>VLOOKUP(EN$2,'Monsters Stats'!$B:$L,11,FALSE)</f>
        <v>0</v>
      </c>
      <c r="EO8">
        <f>VLOOKUP(EO$2,'Monsters Stats'!$B:$L,11,FALSE)</f>
        <v>0</v>
      </c>
    </row>
    <row r="9" spans="1:145" x14ac:dyDescent="0.15">
      <c r="A9" t="e">
        <f t="shared" ref="A9:C72" si="0">IF(OR(A8=-1,AND(IF(A$3&lt;$B9,A8+A$6,IF(A$3=$B9,1,""))&gt;$B$1,A$3&lt;$B9)),-1,IF(A$3&lt;$B9,A8+A$6,IF(A$3=$B9,1,"")))</f>
        <v>#N/A</v>
      </c>
      <c r="B9" s="218">
        <v>1</v>
      </c>
      <c r="C9" t="str">
        <f t="shared" si="0"/>
        <v/>
      </c>
      <c r="D9" t="str">
        <f t="shared" ref="D9:BO9" si="1">IF(OR(D8=-1,AND(IF(D$3&lt;$B9,D8+D$6,IF(D$3=$B9,1,""))&gt;$B$1,D$3&lt;$B9)),-1,IF(D$3&lt;$B9,D8+D$6,IF(D$3=$B9,1,"")))</f>
        <v/>
      </c>
      <c r="E9" t="str">
        <f t="shared" si="1"/>
        <v/>
      </c>
      <c r="F9" t="str">
        <f t="shared" si="1"/>
        <v/>
      </c>
      <c r="G9" t="str">
        <f t="shared" si="1"/>
        <v/>
      </c>
      <c r="H9" t="str">
        <f t="shared" si="1"/>
        <v/>
      </c>
      <c r="I9" t="str">
        <f t="shared" si="1"/>
        <v/>
      </c>
      <c r="J9" t="str">
        <f t="shared" si="1"/>
        <v/>
      </c>
      <c r="K9" t="str">
        <f t="shared" si="1"/>
        <v/>
      </c>
      <c r="L9" t="str">
        <f t="shared" si="1"/>
        <v/>
      </c>
      <c r="M9" t="str">
        <f t="shared" si="1"/>
        <v/>
      </c>
      <c r="N9" t="str">
        <f t="shared" si="1"/>
        <v/>
      </c>
      <c r="O9" t="str">
        <f t="shared" si="1"/>
        <v/>
      </c>
      <c r="P9" t="str">
        <f t="shared" si="1"/>
        <v/>
      </c>
      <c r="Q9" t="str">
        <f t="shared" si="1"/>
        <v/>
      </c>
      <c r="R9" t="str">
        <f t="shared" si="1"/>
        <v/>
      </c>
      <c r="S9" t="str">
        <f t="shared" si="1"/>
        <v/>
      </c>
      <c r="T9" t="str">
        <f t="shared" si="1"/>
        <v/>
      </c>
      <c r="U9" t="str">
        <f t="shared" si="1"/>
        <v/>
      </c>
      <c r="V9" t="str">
        <f t="shared" si="1"/>
        <v/>
      </c>
      <c r="W9" t="str">
        <f t="shared" si="1"/>
        <v/>
      </c>
      <c r="X9" t="str">
        <f t="shared" si="1"/>
        <v/>
      </c>
      <c r="Y9" t="str">
        <f t="shared" si="1"/>
        <v/>
      </c>
      <c r="Z9" t="str">
        <f t="shared" si="1"/>
        <v/>
      </c>
      <c r="AA9" t="str">
        <f t="shared" si="1"/>
        <v/>
      </c>
      <c r="AB9" t="str">
        <f t="shared" si="1"/>
        <v/>
      </c>
      <c r="AC9" t="str">
        <f t="shared" si="1"/>
        <v/>
      </c>
      <c r="AD9" t="str">
        <f t="shared" si="1"/>
        <v/>
      </c>
      <c r="AE9" t="str">
        <f t="shared" si="1"/>
        <v/>
      </c>
      <c r="AF9" t="str">
        <f t="shared" si="1"/>
        <v/>
      </c>
      <c r="AG9" t="str">
        <f t="shared" si="1"/>
        <v/>
      </c>
      <c r="AH9" t="str">
        <f t="shared" si="1"/>
        <v/>
      </c>
      <c r="AI9" t="str">
        <f t="shared" si="1"/>
        <v/>
      </c>
      <c r="AJ9" t="str">
        <f t="shared" si="1"/>
        <v/>
      </c>
      <c r="AK9" t="str">
        <f t="shared" si="1"/>
        <v/>
      </c>
      <c r="AL9" t="str">
        <f t="shared" si="1"/>
        <v/>
      </c>
      <c r="AM9" t="str">
        <f t="shared" si="1"/>
        <v/>
      </c>
      <c r="AN9" t="str">
        <f t="shared" si="1"/>
        <v/>
      </c>
      <c r="AO9" t="str">
        <f t="shared" si="1"/>
        <v/>
      </c>
      <c r="AP9" t="str">
        <f t="shared" si="1"/>
        <v/>
      </c>
      <c r="AQ9" t="str">
        <f t="shared" si="1"/>
        <v/>
      </c>
      <c r="AR9" t="str">
        <f t="shared" si="1"/>
        <v/>
      </c>
      <c r="AS9" t="str">
        <f t="shared" si="1"/>
        <v/>
      </c>
      <c r="AT9" t="str">
        <f t="shared" si="1"/>
        <v/>
      </c>
      <c r="AU9" t="str">
        <f t="shared" si="1"/>
        <v/>
      </c>
      <c r="AV9" t="str">
        <f t="shared" si="1"/>
        <v/>
      </c>
      <c r="AW9" t="str">
        <f t="shared" si="1"/>
        <v/>
      </c>
      <c r="AX9" t="str">
        <f t="shared" si="1"/>
        <v/>
      </c>
      <c r="AY9" t="str">
        <f t="shared" si="1"/>
        <v/>
      </c>
      <c r="AZ9" t="str">
        <f t="shared" si="1"/>
        <v/>
      </c>
      <c r="BA9" t="str">
        <f t="shared" si="1"/>
        <v/>
      </c>
      <c r="BB9" t="str">
        <f t="shared" si="1"/>
        <v/>
      </c>
      <c r="BC9" t="str">
        <f t="shared" si="1"/>
        <v/>
      </c>
      <c r="BD9">
        <f t="shared" si="1"/>
        <v>1</v>
      </c>
      <c r="BE9" t="str">
        <f t="shared" si="1"/>
        <v/>
      </c>
      <c r="BF9" t="str">
        <f t="shared" si="1"/>
        <v/>
      </c>
      <c r="BG9" t="str">
        <f t="shared" si="1"/>
        <v/>
      </c>
      <c r="BH9" t="str">
        <f t="shared" si="1"/>
        <v/>
      </c>
      <c r="BI9" t="str">
        <f t="shared" si="1"/>
        <v/>
      </c>
      <c r="BJ9" t="str">
        <f t="shared" si="1"/>
        <v/>
      </c>
      <c r="BK9" t="str">
        <f t="shared" si="1"/>
        <v/>
      </c>
      <c r="BL9" t="str">
        <f t="shared" si="1"/>
        <v/>
      </c>
      <c r="BM9" t="str">
        <f t="shared" si="1"/>
        <v/>
      </c>
      <c r="BN9" t="str">
        <f t="shared" si="1"/>
        <v/>
      </c>
      <c r="BO9" t="str">
        <f t="shared" si="1"/>
        <v/>
      </c>
      <c r="BP9" t="str">
        <f t="shared" ref="BP9:EA9" si="2">IF(OR(BP8=-1,AND(IF(BP$3&lt;$B9,BP8+BP$6,IF(BP$3=$B9,1,""))&gt;$B$1,BP$3&lt;$B9)),-1,IF(BP$3&lt;$B9,BP8+BP$6,IF(BP$3=$B9,1,"")))</f>
        <v/>
      </c>
      <c r="BQ9" t="str">
        <f t="shared" si="2"/>
        <v/>
      </c>
      <c r="BR9" t="str">
        <f t="shared" si="2"/>
        <v/>
      </c>
      <c r="BS9" t="str">
        <f t="shared" si="2"/>
        <v/>
      </c>
      <c r="BT9" t="str">
        <f t="shared" si="2"/>
        <v/>
      </c>
      <c r="BU9" t="str">
        <f t="shared" si="2"/>
        <v/>
      </c>
      <c r="BV9" t="str">
        <f t="shared" si="2"/>
        <v/>
      </c>
      <c r="BW9" t="str">
        <f t="shared" si="2"/>
        <v/>
      </c>
      <c r="BX9" t="str">
        <f t="shared" si="2"/>
        <v/>
      </c>
      <c r="BY9" t="str">
        <f t="shared" si="2"/>
        <v/>
      </c>
      <c r="BZ9" t="str">
        <f t="shared" si="2"/>
        <v/>
      </c>
      <c r="CA9" t="str">
        <f t="shared" si="2"/>
        <v/>
      </c>
      <c r="CB9" t="str">
        <f t="shared" si="2"/>
        <v/>
      </c>
      <c r="CC9" t="str">
        <f t="shared" si="2"/>
        <v/>
      </c>
      <c r="CD9" t="str">
        <f t="shared" si="2"/>
        <v/>
      </c>
      <c r="CE9" t="str">
        <f t="shared" si="2"/>
        <v/>
      </c>
      <c r="CF9" t="str">
        <f t="shared" si="2"/>
        <v/>
      </c>
      <c r="CG9" t="str">
        <f t="shared" si="2"/>
        <v/>
      </c>
      <c r="CH9" t="str">
        <f t="shared" si="2"/>
        <v/>
      </c>
      <c r="CI9" t="str">
        <f t="shared" si="2"/>
        <v/>
      </c>
      <c r="CJ9" t="str">
        <f t="shared" si="2"/>
        <v/>
      </c>
      <c r="CK9" t="str">
        <f t="shared" si="2"/>
        <v/>
      </c>
      <c r="CL9" t="str">
        <f t="shared" si="2"/>
        <v/>
      </c>
      <c r="CM9" t="str">
        <f t="shared" si="2"/>
        <v/>
      </c>
      <c r="CN9" t="str">
        <f t="shared" si="2"/>
        <v/>
      </c>
      <c r="CO9" t="str">
        <f t="shared" si="2"/>
        <v/>
      </c>
      <c r="CP9" t="str">
        <f t="shared" si="2"/>
        <v/>
      </c>
      <c r="CQ9" t="str">
        <f t="shared" si="2"/>
        <v/>
      </c>
      <c r="CR9" t="str">
        <f t="shared" si="2"/>
        <v/>
      </c>
      <c r="CS9" t="str">
        <f t="shared" si="2"/>
        <v/>
      </c>
      <c r="CT9" t="str">
        <f t="shared" si="2"/>
        <v/>
      </c>
      <c r="CU9" t="str">
        <f t="shared" si="2"/>
        <v/>
      </c>
      <c r="CV9" t="str">
        <f t="shared" si="2"/>
        <v/>
      </c>
      <c r="CW9" t="str">
        <f t="shared" si="2"/>
        <v/>
      </c>
      <c r="CX9" t="str">
        <f t="shared" si="2"/>
        <v/>
      </c>
      <c r="CY9" t="str">
        <f t="shared" si="2"/>
        <v/>
      </c>
      <c r="CZ9" t="str">
        <f t="shared" si="2"/>
        <v/>
      </c>
      <c r="DA9" t="str">
        <f t="shared" si="2"/>
        <v/>
      </c>
      <c r="DB9" t="str">
        <f t="shared" si="2"/>
        <v/>
      </c>
      <c r="DC9" t="str">
        <f t="shared" si="2"/>
        <v/>
      </c>
      <c r="DD9" t="str">
        <f t="shared" si="2"/>
        <v/>
      </c>
      <c r="DE9" t="str">
        <f t="shared" si="2"/>
        <v/>
      </c>
      <c r="DF9" t="str">
        <f t="shared" si="2"/>
        <v/>
      </c>
      <c r="DG9">
        <f t="shared" si="2"/>
        <v>1</v>
      </c>
      <c r="DH9" t="str">
        <f t="shared" si="2"/>
        <v/>
      </c>
      <c r="DI9" t="str">
        <f t="shared" si="2"/>
        <v/>
      </c>
      <c r="DJ9" t="str">
        <f t="shared" si="2"/>
        <v/>
      </c>
      <c r="DK9" t="str">
        <f t="shared" si="2"/>
        <v/>
      </c>
      <c r="DL9" t="str">
        <f t="shared" si="2"/>
        <v/>
      </c>
      <c r="DM9" t="str">
        <f t="shared" si="2"/>
        <v/>
      </c>
      <c r="DN9" t="str">
        <f t="shared" si="2"/>
        <v/>
      </c>
      <c r="DO9" t="str">
        <f t="shared" si="2"/>
        <v/>
      </c>
      <c r="DP9" t="str">
        <f t="shared" si="2"/>
        <v/>
      </c>
      <c r="DQ9" t="str">
        <f t="shared" si="2"/>
        <v/>
      </c>
      <c r="DR9" t="str">
        <f t="shared" si="2"/>
        <v/>
      </c>
      <c r="DS9" t="str">
        <f t="shared" si="2"/>
        <v/>
      </c>
      <c r="DT9" t="str">
        <f t="shared" si="2"/>
        <v/>
      </c>
      <c r="DU9" t="str">
        <f t="shared" si="2"/>
        <v/>
      </c>
      <c r="DV9" t="str">
        <f t="shared" si="2"/>
        <v/>
      </c>
      <c r="DW9" t="str">
        <f t="shared" si="2"/>
        <v/>
      </c>
      <c r="DX9" t="str">
        <f t="shared" si="2"/>
        <v/>
      </c>
      <c r="DY9">
        <f t="shared" si="2"/>
        <v>1</v>
      </c>
      <c r="DZ9" t="str">
        <f t="shared" si="2"/>
        <v/>
      </c>
      <c r="EA9" t="str">
        <f t="shared" si="2"/>
        <v/>
      </c>
      <c r="EB9" t="str">
        <f t="shared" ref="EB9:EO9" si="3">IF(OR(EB8=-1,AND(IF(EB$3&lt;$B9,EB8+EB$6,IF(EB$3=$B9,1,""))&gt;$B$1,EB$3&lt;$B9)),-1,IF(EB$3&lt;$B9,EB8+EB$6,IF(EB$3=$B9,1,"")))</f>
        <v/>
      </c>
      <c r="EC9" t="str">
        <f t="shared" si="3"/>
        <v/>
      </c>
      <c r="ED9" t="str">
        <f t="shared" si="3"/>
        <v/>
      </c>
      <c r="EE9" t="str">
        <f t="shared" si="3"/>
        <v/>
      </c>
      <c r="EF9" t="str">
        <f t="shared" si="3"/>
        <v/>
      </c>
      <c r="EG9" t="str">
        <f t="shared" si="3"/>
        <v/>
      </c>
      <c r="EH9" t="str">
        <f t="shared" si="3"/>
        <v/>
      </c>
      <c r="EI9" t="str">
        <f t="shared" si="3"/>
        <v/>
      </c>
      <c r="EJ9" t="str">
        <f t="shared" si="3"/>
        <v/>
      </c>
      <c r="EK9" t="str">
        <f t="shared" si="3"/>
        <v/>
      </c>
      <c r="EL9" t="str">
        <f t="shared" si="3"/>
        <v/>
      </c>
      <c r="EM9" t="str">
        <f t="shared" si="3"/>
        <v/>
      </c>
      <c r="EN9" t="str">
        <f t="shared" si="3"/>
        <v/>
      </c>
      <c r="EO9" t="str">
        <f t="shared" si="3"/>
        <v/>
      </c>
    </row>
    <row r="10" spans="1:145" x14ac:dyDescent="0.15">
      <c r="A10" t="e">
        <f t="shared" si="0"/>
        <v>#N/A</v>
      </c>
      <c r="B10" s="218">
        <v>2</v>
      </c>
      <c r="C10">
        <f t="shared" si="0"/>
        <v>1</v>
      </c>
      <c r="D10" t="str">
        <f t="shared" ref="D10:BO10" si="4">IF(OR(D9=-1,AND(IF(D$3&lt;$B10,D9+D$6,IF(D$3=$B10,1,""))&gt;$B$1,D$3&lt;$B10)),-1,IF(D$3&lt;$B10,D9+D$6,IF(D$3=$B10,1,"")))</f>
        <v/>
      </c>
      <c r="E10" t="str">
        <f t="shared" si="4"/>
        <v/>
      </c>
      <c r="F10" t="str">
        <f t="shared" si="4"/>
        <v/>
      </c>
      <c r="G10" t="str">
        <f t="shared" si="4"/>
        <v/>
      </c>
      <c r="H10" t="str">
        <f t="shared" si="4"/>
        <v/>
      </c>
      <c r="I10" t="str">
        <f t="shared" si="4"/>
        <v/>
      </c>
      <c r="J10" t="str">
        <f t="shared" si="4"/>
        <v/>
      </c>
      <c r="K10" t="str">
        <f t="shared" si="4"/>
        <v/>
      </c>
      <c r="L10" t="str">
        <f t="shared" si="4"/>
        <v/>
      </c>
      <c r="M10" t="str">
        <f t="shared" si="4"/>
        <v/>
      </c>
      <c r="N10" t="str">
        <f t="shared" si="4"/>
        <v/>
      </c>
      <c r="O10">
        <f t="shared" si="4"/>
        <v>1</v>
      </c>
      <c r="P10" t="str">
        <f t="shared" si="4"/>
        <v/>
      </c>
      <c r="Q10" t="str">
        <f t="shared" si="4"/>
        <v/>
      </c>
      <c r="R10" t="str">
        <f t="shared" si="4"/>
        <v/>
      </c>
      <c r="S10" t="str">
        <f t="shared" si="4"/>
        <v/>
      </c>
      <c r="T10" t="str">
        <f t="shared" si="4"/>
        <v/>
      </c>
      <c r="U10" t="str">
        <f t="shared" si="4"/>
        <v/>
      </c>
      <c r="V10" t="str">
        <f t="shared" si="4"/>
        <v/>
      </c>
      <c r="W10">
        <f t="shared" si="4"/>
        <v>1</v>
      </c>
      <c r="X10" t="str">
        <f t="shared" si="4"/>
        <v/>
      </c>
      <c r="Y10" t="str">
        <f t="shared" si="4"/>
        <v/>
      </c>
      <c r="Z10" t="str">
        <f t="shared" si="4"/>
        <v/>
      </c>
      <c r="AA10" t="str">
        <f t="shared" si="4"/>
        <v/>
      </c>
      <c r="AB10" t="str">
        <f t="shared" si="4"/>
        <v/>
      </c>
      <c r="AC10" t="str">
        <f t="shared" si="4"/>
        <v/>
      </c>
      <c r="AD10" t="str">
        <f t="shared" si="4"/>
        <v/>
      </c>
      <c r="AE10" t="str">
        <f t="shared" si="4"/>
        <v/>
      </c>
      <c r="AF10" t="str">
        <f t="shared" si="4"/>
        <v/>
      </c>
      <c r="AG10" t="str">
        <f t="shared" si="4"/>
        <v/>
      </c>
      <c r="AH10" t="str">
        <f t="shared" si="4"/>
        <v/>
      </c>
      <c r="AI10" t="str">
        <f t="shared" si="4"/>
        <v/>
      </c>
      <c r="AJ10" t="str">
        <f t="shared" si="4"/>
        <v/>
      </c>
      <c r="AK10" t="str">
        <f t="shared" si="4"/>
        <v/>
      </c>
      <c r="AL10" t="str">
        <f t="shared" si="4"/>
        <v/>
      </c>
      <c r="AM10" t="str">
        <f t="shared" si="4"/>
        <v/>
      </c>
      <c r="AN10" t="str">
        <f t="shared" si="4"/>
        <v/>
      </c>
      <c r="AO10" t="str">
        <f t="shared" si="4"/>
        <v/>
      </c>
      <c r="AP10" t="str">
        <f t="shared" si="4"/>
        <v/>
      </c>
      <c r="AQ10" t="str">
        <f t="shared" si="4"/>
        <v/>
      </c>
      <c r="AR10" t="str">
        <f t="shared" si="4"/>
        <v/>
      </c>
      <c r="AS10" t="str">
        <f t="shared" si="4"/>
        <v/>
      </c>
      <c r="AT10" t="str">
        <f t="shared" si="4"/>
        <v/>
      </c>
      <c r="AU10" t="str">
        <f t="shared" si="4"/>
        <v/>
      </c>
      <c r="AV10" t="str">
        <f t="shared" si="4"/>
        <v/>
      </c>
      <c r="AW10" t="str">
        <f t="shared" si="4"/>
        <v/>
      </c>
      <c r="AX10" t="str">
        <f t="shared" si="4"/>
        <v/>
      </c>
      <c r="AY10" t="str">
        <f t="shared" si="4"/>
        <v/>
      </c>
      <c r="AZ10" t="str">
        <f t="shared" si="4"/>
        <v/>
      </c>
      <c r="BA10" t="str">
        <f t="shared" si="4"/>
        <v/>
      </c>
      <c r="BB10" t="str">
        <f t="shared" si="4"/>
        <v/>
      </c>
      <c r="BC10" t="str">
        <f t="shared" si="4"/>
        <v/>
      </c>
      <c r="BD10">
        <f t="shared" si="4"/>
        <v>2.2999999999999998</v>
      </c>
      <c r="BE10" t="str">
        <f t="shared" si="4"/>
        <v/>
      </c>
      <c r="BF10" t="str">
        <f t="shared" si="4"/>
        <v/>
      </c>
      <c r="BG10" t="str">
        <f t="shared" si="4"/>
        <v/>
      </c>
      <c r="BH10" t="str">
        <f t="shared" si="4"/>
        <v/>
      </c>
      <c r="BI10" t="str">
        <f t="shared" si="4"/>
        <v/>
      </c>
      <c r="BJ10" t="str">
        <f t="shared" si="4"/>
        <v/>
      </c>
      <c r="BK10" t="str">
        <f t="shared" si="4"/>
        <v/>
      </c>
      <c r="BL10" t="str">
        <f t="shared" si="4"/>
        <v/>
      </c>
      <c r="BM10" t="str">
        <f t="shared" si="4"/>
        <v/>
      </c>
      <c r="BN10">
        <f t="shared" si="4"/>
        <v>1</v>
      </c>
      <c r="BO10" t="str">
        <f t="shared" si="4"/>
        <v/>
      </c>
      <c r="BP10" t="str">
        <f t="shared" ref="BP10:EA10" si="5">IF(OR(BP9=-1,AND(IF(BP$3&lt;$B10,BP9+BP$6,IF(BP$3=$B10,1,""))&gt;$B$1,BP$3&lt;$B10)),-1,IF(BP$3&lt;$B10,BP9+BP$6,IF(BP$3=$B10,1,"")))</f>
        <v/>
      </c>
      <c r="BQ10" t="str">
        <f t="shared" si="5"/>
        <v/>
      </c>
      <c r="BR10" t="str">
        <f t="shared" si="5"/>
        <v/>
      </c>
      <c r="BS10">
        <f t="shared" si="5"/>
        <v>1</v>
      </c>
      <c r="BT10" t="str">
        <f t="shared" si="5"/>
        <v/>
      </c>
      <c r="BU10" t="str">
        <f t="shared" si="5"/>
        <v/>
      </c>
      <c r="BV10" t="str">
        <f t="shared" si="5"/>
        <v/>
      </c>
      <c r="BW10" t="str">
        <f t="shared" si="5"/>
        <v/>
      </c>
      <c r="BX10" t="str">
        <f t="shared" si="5"/>
        <v/>
      </c>
      <c r="BY10" t="str">
        <f t="shared" si="5"/>
        <v/>
      </c>
      <c r="BZ10" t="str">
        <f t="shared" si="5"/>
        <v/>
      </c>
      <c r="CA10" t="str">
        <f t="shared" si="5"/>
        <v/>
      </c>
      <c r="CB10" t="str">
        <f t="shared" si="5"/>
        <v/>
      </c>
      <c r="CC10" t="str">
        <f t="shared" si="5"/>
        <v/>
      </c>
      <c r="CD10" t="str">
        <f t="shared" si="5"/>
        <v/>
      </c>
      <c r="CE10" t="str">
        <f t="shared" si="5"/>
        <v/>
      </c>
      <c r="CF10" t="str">
        <f t="shared" si="5"/>
        <v/>
      </c>
      <c r="CG10" t="str">
        <f t="shared" si="5"/>
        <v/>
      </c>
      <c r="CH10" t="str">
        <f t="shared" si="5"/>
        <v/>
      </c>
      <c r="CI10" t="str">
        <f t="shared" si="5"/>
        <v/>
      </c>
      <c r="CJ10" t="str">
        <f t="shared" si="5"/>
        <v/>
      </c>
      <c r="CK10" t="str">
        <f t="shared" si="5"/>
        <v/>
      </c>
      <c r="CL10" t="str">
        <f t="shared" si="5"/>
        <v/>
      </c>
      <c r="CM10" t="str">
        <f t="shared" si="5"/>
        <v/>
      </c>
      <c r="CN10" t="str">
        <f t="shared" si="5"/>
        <v/>
      </c>
      <c r="CO10" t="str">
        <f t="shared" si="5"/>
        <v/>
      </c>
      <c r="CP10" t="str">
        <f t="shared" si="5"/>
        <v/>
      </c>
      <c r="CQ10" t="str">
        <f t="shared" si="5"/>
        <v/>
      </c>
      <c r="CR10" t="str">
        <f t="shared" si="5"/>
        <v/>
      </c>
      <c r="CS10" t="str">
        <f t="shared" si="5"/>
        <v/>
      </c>
      <c r="CT10">
        <f t="shared" si="5"/>
        <v>1</v>
      </c>
      <c r="CU10" t="str">
        <f t="shared" si="5"/>
        <v/>
      </c>
      <c r="CV10" t="str">
        <f t="shared" si="5"/>
        <v/>
      </c>
      <c r="CW10" t="str">
        <f t="shared" si="5"/>
        <v/>
      </c>
      <c r="CX10" t="str">
        <f t="shared" si="5"/>
        <v/>
      </c>
      <c r="CY10" t="str">
        <f t="shared" si="5"/>
        <v/>
      </c>
      <c r="CZ10" t="str">
        <f t="shared" si="5"/>
        <v/>
      </c>
      <c r="DA10" t="str">
        <f t="shared" si="5"/>
        <v/>
      </c>
      <c r="DB10" t="str">
        <f t="shared" si="5"/>
        <v/>
      </c>
      <c r="DC10" t="str">
        <f t="shared" si="5"/>
        <v/>
      </c>
      <c r="DD10" t="str">
        <f t="shared" si="5"/>
        <v/>
      </c>
      <c r="DE10">
        <f t="shared" si="5"/>
        <v>1</v>
      </c>
      <c r="DF10" t="str">
        <f t="shared" si="5"/>
        <v/>
      </c>
      <c r="DG10">
        <f t="shared" si="5"/>
        <v>2.2999999999999998</v>
      </c>
      <c r="DH10">
        <f t="shared" si="5"/>
        <v>1</v>
      </c>
      <c r="DI10" t="str">
        <f t="shared" si="5"/>
        <v/>
      </c>
      <c r="DJ10" t="str">
        <f t="shared" si="5"/>
        <v/>
      </c>
      <c r="DK10" t="str">
        <f t="shared" si="5"/>
        <v/>
      </c>
      <c r="DL10" t="str">
        <f t="shared" si="5"/>
        <v/>
      </c>
      <c r="DM10" t="str">
        <f t="shared" si="5"/>
        <v/>
      </c>
      <c r="DN10" t="str">
        <f t="shared" si="5"/>
        <v/>
      </c>
      <c r="DO10" t="str">
        <f t="shared" si="5"/>
        <v/>
      </c>
      <c r="DP10" t="str">
        <f t="shared" si="5"/>
        <v/>
      </c>
      <c r="DQ10">
        <f t="shared" si="5"/>
        <v>1</v>
      </c>
      <c r="DR10" t="str">
        <f t="shared" si="5"/>
        <v/>
      </c>
      <c r="DS10" t="str">
        <f t="shared" si="5"/>
        <v/>
      </c>
      <c r="DT10" t="str">
        <f t="shared" si="5"/>
        <v/>
      </c>
      <c r="DU10" t="str">
        <f t="shared" si="5"/>
        <v/>
      </c>
      <c r="DV10" t="str">
        <f t="shared" si="5"/>
        <v/>
      </c>
      <c r="DW10" t="str">
        <f t="shared" si="5"/>
        <v/>
      </c>
      <c r="DX10" t="str">
        <f t="shared" si="5"/>
        <v/>
      </c>
      <c r="DY10">
        <f t="shared" si="5"/>
        <v>3</v>
      </c>
      <c r="DZ10">
        <f t="shared" si="5"/>
        <v>1</v>
      </c>
      <c r="EA10" t="str">
        <f t="shared" si="5"/>
        <v/>
      </c>
      <c r="EB10" t="str">
        <f t="shared" ref="EB10:EO10" si="6">IF(OR(EB9=-1,AND(IF(EB$3&lt;$B10,EB9+EB$6,IF(EB$3=$B10,1,""))&gt;$B$1,EB$3&lt;$B10)),-1,IF(EB$3&lt;$B10,EB9+EB$6,IF(EB$3=$B10,1,"")))</f>
        <v/>
      </c>
      <c r="EC10" t="str">
        <f t="shared" si="6"/>
        <v/>
      </c>
      <c r="ED10" t="str">
        <f t="shared" si="6"/>
        <v/>
      </c>
      <c r="EE10" t="str">
        <f t="shared" si="6"/>
        <v/>
      </c>
      <c r="EF10" t="str">
        <f t="shared" si="6"/>
        <v/>
      </c>
      <c r="EG10" t="str">
        <f t="shared" si="6"/>
        <v/>
      </c>
      <c r="EH10" t="str">
        <f t="shared" si="6"/>
        <v/>
      </c>
      <c r="EI10" t="str">
        <f t="shared" si="6"/>
        <v/>
      </c>
      <c r="EJ10" t="str">
        <f t="shared" si="6"/>
        <v/>
      </c>
      <c r="EK10">
        <f t="shared" si="6"/>
        <v>1</v>
      </c>
      <c r="EL10" t="str">
        <f t="shared" si="6"/>
        <v/>
      </c>
      <c r="EM10" t="str">
        <f t="shared" si="6"/>
        <v/>
      </c>
      <c r="EN10" t="str">
        <f t="shared" si="6"/>
        <v/>
      </c>
      <c r="EO10" t="str">
        <f t="shared" si="6"/>
        <v/>
      </c>
    </row>
    <row r="11" spans="1:145" x14ac:dyDescent="0.15">
      <c r="A11" t="e">
        <f t="shared" si="0"/>
        <v>#N/A</v>
      </c>
      <c r="B11" s="218">
        <v>3</v>
      </c>
      <c r="C11">
        <f t="shared" si="0"/>
        <v>2</v>
      </c>
      <c r="D11" t="str">
        <f t="shared" ref="D11:BO11" si="7">IF(OR(D10=-1,AND(IF(D$3&lt;$B11,D10+D$6,IF(D$3=$B11,1,""))&gt;$B$1,D$3&lt;$B11)),-1,IF(D$3&lt;$B11,D10+D$6,IF(D$3=$B11,1,"")))</f>
        <v/>
      </c>
      <c r="E11" t="str">
        <f t="shared" si="7"/>
        <v/>
      </c>
      <c r="F11" t="str">
        <f t="shared" si="7"/>
        <v/>
      </c>
      <c r="G11" t="str">
        <f t="shared" si="7"/>
        <v/>
      </c>
      <c r="H11" t="str">
        <f t="shared" si="7"/>
        <v/>
      </c>
      <c r="I11" t="str">
        <f t="shared" si="7"/>
        <v/>
      </c>
      <c r="J11" t="str">
        <f t="shared" si="7"/>
        <v/>
      </c>
      <c r="K11" t="str">
        <f t="shared" si="7"/>
        <v/>
      </c>
      <c r="L11" t="str">
        <f t="shared" si="7"/>
        <v/>
      </c>
      <c r="M11" t="str">
        <f t="shared" si="7"/>
        <v/>
      </c>
      <c r="N11" t="str">
        <f t="shared" si="7"/>
        <v/>
      </c>
      <c r="O11">
        <f t="shared" si="7"/>
        <v>2</v>
      </c>
      <c r="P11" t="str">
        <f t="shared" si="7"/>
        <v/>
      </c>
      <c r="Q11" t="str">
        <f t="shared" si="7"/>
        <v/>
      </c>
      <c r="R11" t="str">
        <f t="shared" si="7"/>
        <v/>
      </c>
      <c r="S11" t="str">
        <f t="shared" si="7"/>
        <v/>
      </c>
      <c r="T11" t="str">
        <f t="shared" si="7"/>
        <v/>
      </c>
      <c r="U11" t="str">
        <f t="shared" si="7"/>
        <v/>
      </c>
      <c r="V11" t="str">
        <f t="shared" si="7"/>
        <v/>
      </c>
      <c r="W11">
        <f t="shared" si="7"/>
        <v>2.8</v>
      </c>
      <c r="X11" t="str">
        <f t="shared" si="7"/>
        <v/>
      </c>
      <c r="Y11" t="str">
        <f t="shared" si="7"/>
        <v/>
      </c>
      <c r="Z11">
        <f t="shared" si="7"/>
        <v>1</v>
      </c>
      <c r="AA11" t="str">
        <f t="shared" si="7"/>
        <v/>
      </c>
      <c r="AB11" t="str">
        <f t="shared" si="7"/>
        <v/>
      </c>
      <c r="AC11" t="str">
        <f t="shared" si="7"/>
        <v/>
      </c>
      <c r="AD11" t="str">
        <f t="shared" si="7"/>
        <v/>
      </c>
      <c r="AE11" t="str">
        <f t="shared" si="7"/>
        <v/>
      </c>
      <c r="AF11" t="str">
        <f t="shared" si="7"/>
        <v/>
      </c>
      <c r="AG11" t="str">
        <f t="shared" si="7"/>
        <v/>
      </c>
      <c r="AH11" t="str">
        <f t="shared" si="7"/>
        <v/>
      </c>
      <c r="AI11" t="str">
        <f t="shared" si="7"/>
        <v/>
      </c>
      <c r="AJ11" t="str">
        <f t="shared" si="7"/>
        <v/>
      </c>
      <c r="AK11" t="str">
        <f t="shared" si="7"/>
        <v/>
      </c>
      <c r="AL11" t="str">
        <f t="shared" si="7"/>
        <v/>
      </c>
      <c r="AM11" t="str">
        <f t="shared" si="7"/>
        <v/>
      </c>
      <c r="AN11" t="str">
        <f t="shared" si="7"/>
        <v/>
      </c>
      <c r="AO11" t="str">
        <f t="shared" si="7"/>
        <v/>
      </c>
      <c r="AP11">
        <f t="shared" si="7"/>
        <v>1</v>
      </c>
      <c r="AQ11" t="str">
        <f t="shared" si="7"/>
        <v/>
      </c>
      <c r="AR11" t="str">
        <f t="shared" si="7"/>
        <v/>
      </c>
      <c r="AS11" t="str">
        <f t="shared" si="7"/>
        <v/>
      </c>
      <c r="AT11" t="str">
        <f t="shared" si="7"/>
        <v/>
      </c>
      <c r="AU11" t="str">
        <f t="shared" si="7"/>
        <v/>
      </c>
      <c r="AV11" t="str">
        <f t="shared" si="7"/>
        <v/>
      </c>
      <c r="AW11" t="str">
        <f t="shared" si="7"/>
        <v/>
      </c>
      <c r="AX11" t="str">
        <f t="shared" si="7"/>
        <v/>
      </c>
      <c r="AY11" t="str">
        <f t="shared" si="7"/>
        <v/>
      </c>
      <c r="AZ11" t="str">
        <f t="shared" si="7"/>
        <v/>
      </c>
      <c r="BA11">
        <f t="shared" si="7"/>
        <v>1</v>
      </c>
      <c r="BB11" t="str">
        <f t="shared" si="7"/>
        <v/>
      </c>
      <c r="BC11" t="str">
        <f t="shared" si="7"/>
        <v/>
      </c>
      <c r="BD11">
        <f t="shared" si="7"/>
        <v>3.5999999999999996</v>
      </c>
      <c r="BE11" t="str">
        <f t="shared" si="7"/>
        <v/>
      </c>
      <c r="BF11" t="str">
        <f t="shared" si="7"/>
        <v/>
      </c>
      <c r="BG11" t="str">
        <f t="shared" si="7"/>
        <v/>
      </c>
      <c r="BH11" t="str">
        <f t="shared" si="7"/>
        <v/>
      </c>
      <c r="BI11" t="str">
        <f t="shared" si="7"/>
        <v/>
      </c>
      <c r="BJ11" t="str">
        <f t="shared" si="7"/>
        <v/>
      </c>
      <c r="BK11" t="str">
        <f t="shared" si="7"/>
        <v/>
      </c>
      <c r="BL11" t="str">
        <f t="shared" si="7"/>
        <v/>
      </c>
      <c r="BM11" t="str">
        <f t="shared" si="7"/>
        <v/>
      </c>
      <c r="BN11">
        <f t="shared" si="7"/>
        <v>2.2999999999999998</v>
      </c>
      <c r="BO11" t="str">
        <f t="shared" si="7"/>
        <v/>
      </c>
      <c r="BP11">
        <f t="shared" ref="BP11:EA11" si="8">IF(OR(BP10=-1,AND(IF(BP$3&lt;$B11,BP10+BP$6,IF(BP$3=$B11,1,""))&gt;$B$1,BP$3&lt;$B11)),-1,IF(BP$3&lt;$B11,BP10+BP$6,IF(BP$3=$B11,1,"")))</f>
        <v>1</v>
      </c>
      <c r="BQ11" t="str">
        <f t="shared" si="8"/>
        <v/>
      </c>
      <c r="BR11" t="str">
        <f t="shared" si="8"/>
        <v/>
      </c>
      <c r="BS11">
        <f t="shared" si="8"/>
        <v>2</v>
      </c>
      <c r="BT11" t="str">
        <f t="shared" si="8"/>
        <v/>
      </c>
      <c r="BU11" t="str">
        <f t="shared" si="8"/>
        <v/>
      </c>
      <c r="BV11" t="str">
        <f t="shared" si="8"/>
        <v/>
      </c>
      <c r="BW11" t="str">
        <f t="shared" si="8"/>
        <v/>
      </c>
      <c r="BX11" t="str">
        <f t="shared" si="8"/>
        <v/>
      </c>
      <c r="BY11" t="str">
        <f t="shared" si="8"/>
        <v/>
      </c>
      <c r="BZ11" t="str">
        <f t="shared" si="8"/>
        <v/>
      </c>
      <c r="CA11" t="str">
        <f t="shared" si="8"/>
        <v/>
      </c>
      <c r="CB11" t="str">
        <f t="shared" si="8"/>
        <v/>
      </c>
      <c r="CC11" t="str">
        <f t="shared" si="8"/>
        <v/>
      </c>
      <c r="CD11" t="str">
        <f t="shared" si="8"/>
        <v/>
      </c>
      <c r="CE11" t="str">
        <f t="shared" si="8"/>
        <v/>
      </c>
      <c r="CF11" t="str">
        <f t="shared" si="8"/>
        <v/>
      </c>
      <c r="CG11" t="str">
        <f t="shared" si="8"/>
        <v/>
      </c>
      <c r="CH11" t="str">
        <f t="shared" si="8"/>
        <v/>
      </c>
      <c r="CI11" t="str">
        <f t="shared" si="8"/>
        <v/>
      </c>
      <c r="CJ11" t="str">
        <f t="shared" si="8"/>
        <v/>
      </c>
      <c r="CK11" t="str">
        <f t="shared" si="8"/>
        <v/>
      </c>
      <c r="CL11" t="str">
        <f t="shared" si="8"/>
        <v/>
      </c>
      <c r="CM11" t="str">
        <f t="shared" si="8"/>
        <v/>
      </c>
      <c r="CN11" t="str">
        <f t="shared" si="8"/>
        <v/>
      </c>
      <c r="CO11" t="str">
        <f t="shared" si="8"/>
        <v/>
      </c>
      <c r="CP11" t="str">
        <f t="shared" si="8"/>
        <v/>
      </c>
      <c r="CQ11" t="str">
        <f t="shared" si="8"/>
        <v/>
      </c>
      <c r="CR11" t="str">
        <f t="shared" si="8"/>
        <v/>
      </c>
      <c r="CS11" t="str">
        <f t="shared" si="8"/>
        <v/>
      </c>
      <c r="CT11">
        <f t="shared" si="8"/>
        <v>2.2999999999999998</v>
      </c>
      <c r="CU11" t="str">
        <f t="shared" si="8"/>
        <v/>
      </c>
      <c r="CV11" t="str">
        <f t="shared" si="8"/>
        <v/>
      </c>
      <c r="CW11" t="str">
        <f t="shared" si="8"/>
        <v/>
      </c>
      <c r="CX11" t="str">
        <f t="shared" si="8"/>
        <v/>
      </c>
      <c r="CY11" t="str">
        <f t="shared" si="8"/>
        <v/>
      </c>
      <c r="CZ11" t="str">
        <f t="shared" si="8"/>
        <v/>
      </c>
      <c r="DA11" t="str">
        <f t="shared" si="8"/>
        <v/>
      </c>
      <c r="DB11" t="str">
        <f t="shared" si="8"/>
        <v/>
      </c>
      <c r="DC11" t="str">
        <f t="shared" si="8"/>
        <v/>
      </c>
      <c r="DD11" t="str">
        <f t="shared" si="8"/>
        <v/>
      </c>
      <c r="DE11">
        <f t="shared" si="8"/>
        <v>2</v>
      </c>
      <c r="DF11" t="str">
        <f t="shared" si="8"/>
        <v/>
      </c>
      <c r="DG11">
        <f t="shared" si="8"/>
        <v>3.5999999999999996</v>
      </c>
      <c r="DH11">
        <f t="shared" si="8"/>
        <v>2.2999999999999998</v>
      </c>
      <c r="DI11">
        <f t="shared" si="8"/>
        <v>1</v>
      </c>
      <c r="DJ11" t="str">
        <f t="shared" si="8"/>
        <v/>
      </c>
      <c r="DK11" t="str">
        <f t="shared" si="8"/>
        <v/>
      </c>
      <c r="DL11" t="str">
        <f t="shared" si="8"/>
        <v/>
      </c>
      <c r="DM11" t="str">
        <f t="shared" si="8"/>
        <v/>
      </c>
      <c r="DN11" t="str">
        <f t="shared" si="8"/>
        <v/>
      </c>
      <c r="DO11" t="str">
        <f t="shared" si="8"/>
        <v/>
      </c>
      <c r="DP11" t="str">
        <f t="shared" si="8"/>
        <v/>
      </c>
      <c r="DQ11">
        <f t="shared" si="8"/>
        <v>2.2999999999999998</v>
      </c>
      <c r="DR11" t="str">
        <f t="shared" si="8"/>
        <v/>
      </c>
      <c r="DS11" t="str">
        <f t="shared" si="8"/>
        <v/>
      </c>
      <c r="DT11" t="str">
        <f t="shared" si="8"/>
        <v/>
      </c>
      <c r="DU11" t="str">
        <f t="shared" si="8"/>
        <v/>
      </c>
      <c r="DV11" t="str">
        <f t="shared" si="8"/>
        <v/>
      </c>
      <c r="DW11" t="str">
        <f t="shared" si="8"/>
        <v/>
      </c>
      <c r="DX11" t="str">
        <f t="shared" si="8"/>
        <v/>
      </c>
      <c r="DY11">
        <f t="shared" si="8"/>
        <v>5</v>
      </c>
      <c r="DZ11">
        <f t="shared" si="8"/>
        <v>3</v>
      </c>
      <c r="EA11">
        <f t="shared" si="8"/>
        <v>1</v>
      </c>
      <c r="EB11" t="str">
        <f t="shared" ref="EB11:EO11" si="9">IF(OR(EB10=-1,AND(IF(EB$3&lt;$B11,EB10+EB$6,IF(EB$3=$B11,1,""))&gt;$B$1,EB$3&lt;$B11)),-1,IF(EB$3&lt;$B11,EB10+EB$6,IF(EB$3=$B11,1,"")))</f>
        <v/>
      </c>
      <c r="EC11" t="str">
        <f t="shared" si="9"/>
        <v/>
      </c>
      <c r="ED11" t="str">
        <f t="shared" si="9"/>
        <v/>
      </c>
      <c r="EE11" t="str">
        <f t="shared" si="9"/>
        <v/>
      </c>
      <c r="EF11" t="str">
        <f t="shared" si="9"/>
        <v/>
      </c>
      <c r="EG11" t="str">
        <f t="shared" si="9"/>
        <v/>
      </c>
      <c r="EH11" t="str">
        <f t="shared" si="9"/>
        <v/>
      </c>
      <c r="EI11" t="str">
        <f t="shared" si="9"/>
        <v/>
      </c>
      <c r="EJ11" t="str">
        <f t="shared" si="9"/>
        <v/>
      </c>
      <c r="EK11">
        <f t="shared" si="9"/>
        <v>2.6</v>
      </c>
      <c r="EL11" t="str">
        <f t="shared" si="9"/>
        <v/>
      </c>
      <c r="EM11" t="str">
        <f t="shared" si="9"/>
        <v/>
      </c>
      <c r="EN11" t="str">
        <f t="shared" si="9"/>
        <v/>
      </c>
      <c r="EO11" t="str">
        <f t="shared" si="9"/>
        <v/>
      </c>
    </row>
    <row r="12" spans="1:145" x14ac:dyDescent="0.15">
      <c r="A12" t="e">
        <f t="shared" si="0"/>
        <v>#N/A</v>
      </c>
      <c r="B12" s="218">
        <v>4</v>
      </c>
      <c r="C12">
        <f t="shared" si="0"/>
        <v>3</v>
      </c>
      <c r="D12">
        <f t="shared" ref="D12:BO12" si="10">IF(OR(D11=-1,AND(IF(D$3&lt;$B12,D11+D$6,IF(D$3=$B12,1,""))&gt;$B$1,D$3&lt;$B12)),-1,IF(D$3&lt;$B12,D11+D$6,IF(D$3=$B12,1,"")))</f>
        <v>1</v>
      </c>
      <c r="E12" t="str">
        <f t="shared" si="10"/>
        <v/>
      </c>
      <c r="F12" t="str">
        <f t="shared" si="10"/>
        <v/>
      </c>
      <c r="G12" t="str">
        <f t="shared" si="10"/>
        <v/>
      </c>
      <c r="H12" t="str">
        <f t="shared" si="10"/>
        <v/>
      </c>
      <c r="I12" t="str">
        <f t="shared" si="10"/>
        <v/>
      </c>
      <c r="J12" t="str">
        <f t="shared" si="10"/>
        <v/>
      </c>
      <c r="K12" t="str">
        <f t="shared" si="10"/>
        <v/>
      </c>
      <c r="L12" t="str">
        <f t="shared" si="10"/>
        <v/>
      </c>
      <c r="M12" t="str">
        <f t="shared" si="10"/>
        <v/>
      </c>
      <c r="N12" t="str">
        <f t="shared" si="10"/>
        <v/>
      </c>
      <c r="O12">
        <f t="shared" si="10"/>
        <v>3</v>
      </c>
      <c r="P12">
        <f t="shared" si="10"/>
        <v>1</v>
      </c>
      <c r="Q12" t="str">
        <f t="shared" si="10"/>
        <v/>
      </c>
      <c r="R12" t="str">
        <f t="shared" si="10"/>
        <v/>
      </c>
      <c r="S12" t="str">
        <f t="shared" si="10"/>
        <v/>
      </c>
      <c r="T12">
        <f t="shared" si="10"/>
        <v>1</v>
      </c>
      <c r="U12" t="str">
        <f t="shared" si="10"/>
        <v/>
      </c>
      <c r="V12" t="str">
        <f t="shared" si="10"/>
        <v/>
      </c>
      <c r="W12">
        <f t="shared" si="10"/>
        <v>4.5999999999999996</v>
      </c>
      <c r="X12">
        <f t="shared" si="10"/>
        <v>1</v>
      </c>
      <c r="Y12" t="str">
        <f t="shared" si="10"/>
        <v/>
      </c>
      <c r="Z12">
        <f t="shared" si="10"/>
        <v>2</v>
      </c>
      <c r="AA12" t="str">
        <f t="shared" si="10"/>
        <v/>
      </c>
      <c r="AB12" t="str">
        <f t="shared" si="10"/>
        <v/>
      </c>
      <c r="AC12" t="str">
        <f t="shared" si="10"/>
        <v/>
      </c>
      <c r="AD12" t="str">
        <f t="shared" si="10"/>
        <v/>
      </c>
      <c r="AE12" t="str">
        <f t="shared" si="10"/>
        <v/>
      </c>
      <c r="AF12" t="str">
        <f t="shared" si="10"/>
        <v/>
      </c>
      <c r="AG12" t="str">
        <f t="shared" si="10"/>
        <v/>
      </c>
      <c r="AH12" t="str">
        <f t="shared" si="10"/>
        <v/>
      </c>
      <c r="AI12">
        <f t="shared" si="10"/>
        <v>1</v>
      </c>
      <c r="AJ12" t="str">
        <f t="shared" si="10"/>
        <v/>
      </c>
      <c r="AK12" t="str">
        <f t="shared" si="10"/>
        <v/>
      </c>
      <c r="AL12" t="str">
        <f t="shared" si="10"/>
        <v/>
      </c>
      <c r="AM12" t="str">
        <f t="shared" si="10"/>
        <v/>
      </c>
      <c r="AN12" t="str">
        <f t="shared" si="10"/>
        <v/>
      </c>
      <c r="AO12" t="str">
        <f t="shared" si="10"/>
        <v/>
      </c>
      <c r="AP12">
        <f t="shared" si="10"/>
        <v>2.2999999999999998</v>
      </c>
      <c r="AQ12" t="str">
        <f t="shared" si="10"/>
        <v/>
      </c>
      <c r="AR12" t="str">
        <f t="shared" si="10"/>
        <v/>
      </c>
      <c r="AS12" t="str">
        <f t="shared" si="10"/>
        <v/>
      </c>
      <c r="AT12" t="str">
        <f t="shared" si="10"/>
        <v/>
      </c>
      <c r="AU12" t="str">
        <f t="shared" si="10"/>
        <v/>
      </c>
      <c r="AV12" t="str">
        <f t="shared" si="10"/>
        <v/>
      </c>
      <c r="AW12" t="str">
        <f t="shared" si="10"/>
        <v/>
      </c>
      <c r="AX12" t="str">
        <f t="shared" si="10"/>
        <v/>
      </c>
      <c r="AY12" t="str">
        <f t="shared" si="10"/>
        <v/>
      </c>
      <c r="AZ12" t="str">
        <f t="shared" si="10"/>
        <v/>
      </c>
      <c r="BA12">
        <f t="shared" si="10"/>
        <v>3</v>
      </c>
      <c r="BB12" t="str">
        <f t="shared" si="10"/>
        <v/>
      </c>
      <c r="BC12" t="str">
        <f t="shared" si="10"/>
        <v/>
      </c>
      <c r="BD12">
        <f t="shared" si="10"/>
        <v>4.8999999999999995</v>
      </c>
      <c r="BE12">
        <f t="shared" si="10"/>
        <v>1</v>
      </c>
      <c r="BF12" t="str">
        <f t="shared" si="10"/>
        <v/>
      </c>
      <c r="BG12" t="str">
        <f t="shared" si="10"/>
        <v/>
      </c>
      <c r="BH12" t="str">
        <f t="shared" si="10"/>
        <v/>
      </c>
      <c r="BI12" t="str">
        <f t="shared" si="10"/>
        <v/>
      </c>
      <c r="BJ12" t="str">
        <f t="shared" si="10"/>
        <v/>
      </c>
      <c r="BK12" t="str">
        <f t="shared" si="10"/>
        <v/>
      </c>
      <c r="BL12" t="str">
        <f t="shared" si="10"/>
        <v/>
      </c>
      <c r="BM12" t="str">
        <f t="shared" si="10"/>
        <v/>
      </c>
      <c r="BN12">
        <f t="shared" si="10"/>
        <v>3.5999999999999996</v>
      </c>
      <c r="BO12">
        <f t="shared" si="10"/>
        <v>1</v>
      </c>
      <c r="BP12">
        <f t="shared" ref="BP12:EA12" si="11">IF(OR(BP11=-1,AND(IF(BP$3&lt;$B12,BP11+BP$6,IF(BP$3=$B12,1,""))&gt;$B$1,BP$3&lt;$B12)),-1,IF(BP$3&lt;$B12,BP11+BP$6,IF(BP$3=$B12,1,"")))</f>
        <v>3</v>
      </c>
      <c r="BQ12" t="str">
        <f t="shared" si="11"/>
        <v/>
      </c>
      <c r="BR12" t="str">
        <f t="shared" si="11"/>
        <v/>
      </c>
      <c r="BS12">
        <f t="shared" si="11"/>
        <v>3</v>
      </c>
      <c r="BT12">
        <f t="shared" si="11"/>
        <v>1</v>
      </c>
      <c r="BU12" t="str">
        <f t="shared" si="11"/>
        <v/>
      </c>
      <c r="BV12" t="str">
        <f t="shared" si="11"/>
        <v/>
      </c>
      <c r="BW12" t="str">
        <f t="shared" si="11"/>
        <v/>
      </c>
      <c r="BX12" t="str">
        <f t="shared" si="11"/>
        <v/>
      </c>
      <c r="BY12" t="str">
        <f t="shared" si="11"/>
        <v/>
      </c>
      <c r="BZ12" t="str">
        <f t="shared" si="11"/>
        <v/>
      </c>
      <c r="CA12" t="str">
        <f t="shared" si="11"/>
        <v/>
      </c>
      <c r="CB12" t="str">
        <f t="shared" si="11"/>
        <v/>
      </c>
      <c r="CC12" t="str">
        <f t="shared" si="11"/>
        <v/>
      </c>
      <c r="CD12" t="str">
        <f t="shared" si="11"/>
        <v/>
      </c>
      <c r="CE12" t="str">
        <f t="shared" si="11"/>
        <v/>
      </c>
      <c r="CF12" t="str">
        <f t="shared" si="11"/>
        <v/>
      </c>
      <c r="CG12" t="str">
        <f t="shared" si="11"/>
        <v/>
      </c>
      <c r="CH12" t="str">
        <f t="shared" si="11"/>
        <v/>
      </c>
      <c r="CI12" t="str">
        <f t="shared" si="11"/>
        <v/>
      </c>
      <c r="CJ12" t="str">
        <f t="shared" si="11"/>
        <v/>
      </c>
      <c r="CK12" t="str">
        <f t="shared" si="11"/>
        <v/>
      </c>
      <c r="CL12" t="str">
        <f t="shared" si="11"/>
        <v/>
      </c>
      <c r="CM12" t="str">
        <f t="shared" si="11"/>
        <v/>
      </c>
      <c r="CN12" t="str">
        <f t="shared" si="11"/>
        <v/>
      </c>
      <c r="CO12" t="str">
        <f t="shared" si="11"/>
        <v/>
      </c>
      <c r="CP12" t="str">
        <f t="shared" si="11"/>
        <v/>
      </c>
      <c r="CQ12" t="str">
        <f t="shared" si="11"/>
        <v/>
      </c>
      <c r="CR12" t="str">
        <f t="shared" si="11"/>
        <v/>
      </c>
      <c r="CS12" t="str">
        <f t="shared" si="11"/>
        <v/>
      </c>
      <c r="CT12">
        <f t="shared" si="11"/>
        <v>3.5999999999999996</v>
      </c>
      <c r="CU12">
        <f t="shared" si="11"/>
        <v>1</v>
      </c>
      <c r="CV12" t="str">
        <f t="shared" si="11"/>
        <v/>
      </c>
      <c r="CW12" t="str">
        <f t="shared" si="11"/>
        <v/>
      </c>
      <c r="CX12" t="str">
        <f t="shared" si="11"/>
        <v/>
      </c>
      <c r="CY12" t="str">
        <f t="shared" si="11"/>
        <v/>
      </c>
      <c r="CZ12" t="str">
        <f t="shared" si="11"/>
        <v/>
      </c>
      <c r="DA12">
        <f t="shared" si="11"/>
        <v>1</v>
      </c>
      <c r="DB12" t="str">
        <f t="shared" si="11"/>
        <v/>
      </c>
      <c r="DC12" t="str">
        <f t="shared" si="11"/>
        <v/>
      </c>
      <c r="DD12" t="str">
        <f t="shared" si="11"/>
        <v/>
      </c>
      <c r="DE12">
        <f t="shared" si="11"/>
        <v>3</v>
      </c>
      <c r="DF12">
        <f t="shared" si="11"/>
        <v>1</v>
      </c>
      <c r="DG12">
        <f t="shared" si="11"/>
        <v>4.8999999999999995</v>
      </c>
      <c r="DH12">
        <f t="shared" si="11"/>
        <v>3.5999999999999996</v>
      </c>
      <c r="DI12">
        <f t="shared" si="11"/>
        <v>2.2999999999999998</v>
      </c>
      <c r="DJ12">
        <f t="shared" si="11"/>
        <v>1</v>
      </c>
      <c r="DK12">
        <f t="shared" si="11"/>
        <v>1</v>
      </c>
      <c r="DL12" t="str">
        <f t="shared" si="11"/>
        <v/>
      </c>
      <c r="DM12" t="str">
        <f t="shared" si="11"/>
        <v/>
      </c>
      <c r="DN12" t="str">
        <f t="shared" si="11"/>
        <v/>
      </c>
      <c r="DO12" t="str">
        <f t="shared" si="11"/>
        <v/>
      </c>
      <c r="DP12" t="str">
        <f t="shared" si="11"/>
        <v/>
      </c>
      <c r="DQ12">
        <f t="shared" si="11"/>
        <v>3.5999999999999996</v>
      </c>
      <c r="DR12">
        <f t="shared" si="11"/>
        <v>1</v>
      </c>
      <c r="DS12" t="str">
        <f t="shared" si="11"/>
        <v/>
      </c>
      <c r="DT12" t="str">
        <f t="shared" si="11"/>
        <v/>
      </c>
      <c r="DU12" t="str">
        <f t="shared" si="11"/>
        <v/>
      </c>
      <c r="DV12" t="str">
        <f t="shared" si="11"/>
        <v/>
      </c>
      <c r="DW12" t="str">
        <f t="shared" si="11"/>
        <v/>
      </c>
      <c r="DX12" t="str">
        <f t="shared" si="11"/>
        <v/>
      </c>
      <c r="DY12">
        <f t="shared" si="11"/>
        <v>7</v>
      </c>
      <c r="DZ12">
        <f t="shared" si="11"/>
        <v>5</v>
      </c>
      <c r="EA12">
        <f t="shared" si="11"/>
        <v>3</v>
      </c>
      <c r="EB12">
        <f t="shared" ref="EB12:EO12" si="12">IF(OR(EB11=-1,AND(IF(EB$3&lt;$B12,EB11+EB$6,IF(EB$3=$B12,1,""))&gt;$B$1,EB$3&lt;$B12)),-1,IF(EB$3&lt;$B12,EB11+EB$6,IF(EB$3=$B12,1,"")))</f>
        <v>1</v>
      </c>
      <c r="EC12" t="str">
        <f t="shared" si="12"/>
        <v/>
      </c>
      <c r="ED12" t="str">
        <f t="shared" si="12"/>
        <v/>
      </c>
      <c r="EE12" t="str">
        <f t="shared" si="12"/>
        <v/>
      </c>
      <c r="EF12" t="str">
        <f t="shared" si="12"/>
        <v/>
      </c>
      <c r="EG12" t="str">
        <f t="shared" si="12"/>
        <v/>
      </c>
      <c r="EH12" t="str">
        <f t="shared" si="12"/>
        <v/>
      </c>
      <c r="EI12" t="str">
        <f t="shared" si="12"/>
        <v/>
      </c>
      <c r="EJ12" t="str">
        <f t="shared" si="12"/>
        <v/>
      </c>
      <c r="EK12">
        <f t="shared" si="12"/>
        <v>4.2</v>
      </c>
      <c r="EL12" t="str">
        <f t="shared" si="12"/>
        <v/>
      </c>
      <c r="EM12" t="str">
        <f t="shared" si="12"/>
        <v/>
      </c>
      <c r="EN12" t="str">
        <f t="shared" si="12"/>
        <v/>
      </c>
      <c r="EO12" t="str">
        <f t="shared" si="12"/>
        <v/>
      </c>
    </row>
    <row r="13" spans="1:145" x14ac:dyDescent="0.15">
      <c r="A13" t="e">
        <f t="shared" si="0"/>
        <v>#N/A</v>
      </c>
      <c r="B13" s="218">
        <v>5</v>
      </c>
      <c r="C13">
        <f t="shared" si="0"/>
        <v>4</v>
      </c>
      <c r="D13">
        <f t="shared" ref="D13:BO13" si="13">IF(OR(D12=-1,AND(IF(D$3&lt;$B13,D12+D$6,IF(D$3=$B13,1,""))&gt;$B$1,D$3&lt;$B13)),-1,IF(D$3&lt;$B13,D12+D$6,IF(D$3=$B13,1,"")))</f>
        <v>2</v>
      </c>
      <c r="E13" t="str">
        <f t="shared" si="13"/>
        <v/>
      </c>
      <c r="F13" t="str">
        <f t="shared" si="13"/>
        <v/>
      </c>
      <c r="G13" t="str">
        <f t="shared" si="13"/>
        <v/>
      </c>
      <c r="H13" t="str">
        <f t="shared" si="13"/>
        <v/>
      </c>
      <c r="I13" t="str">
        <f t="shared" si="13"/>
        <v/>
      </c>
      <c r="J13" t="str">
        <f t="shared" si="13"/>
        <v/>
      </c>
      <c r="K13" t="str">
        <f t="shared" si="13"/>
        <v/>
      </c>
      <c r="L13">
        <f t="shared" si="13"/>
        <v>1</v>
      </c>
      <c r="M13" t="str">
        <f t="shared" si="13"/>
        <v/>
      </c>
      <c r="N13" t="str">
        <f t="shared" si="13"/>
        <v/>
      </c>
      <c r="O13">
        <f t="shared" si="13"/>
        <v>4</v>
      </c>
      <c r="P13">
        <f t="shared" si="13"/>
        <v>2</v>
      </c>
      <c r="Q13" t="str">
        <f t="shared" si="13"/>
        <v/>
      </c>
      <c r="R13" t="str">
        <f t="shared" si="13"/>
        <v/>
      </c>
      <c r="S13" t="str">
        <f t="shared" si="13"/>
        <v/>
      </c>
      <c r="T13">
        <f t="shared" si="13"/>
        <v>3</v>
      </c>
      <c r="U13" t="str">
        <f t="shared" si="13"/>
        <v/>
      </c>
      <c r="V13" t="str">
        <f t="shared" si="13"/>
        <v/>
      </c>
      <c r="W13">
        <f t="shared" si="13"/>
        <v>6.3999999999999995</v>
      </c>
      <c r="X13">
        <f t="shared" si="13"/>
        <v>2.8</v>
      </c>
      <c r="Y13" t="str">
        <f t="shared" si="13"/>
        <v/>
      </c>
      <c r="Z13">
        <f t="shared" si="13"/>
        <v>3</v>
      </c>
      <c r="AA13" t="str">
        <f t="shared" si="13"/>
        <v/>
      </c>
      <c r="AB13" t="str">
        <f t="shared" si="13"/>
        <v/>
      </c>
      <c r="AC13" t="str">
        <f t="shared" si="13"/>
        <v/>
      </c>
      <c r="AD13" t="str">
        <f t="shared" si="13"/>
        <v/>
      </c>
      <c r="AE13" t="str">
        <f t="shared" si="13"/>
        <v/>
      </c>
      <c r="AF13" t="str">
        <f t="shared" si="13"/>
        <v/>
      </c>
      <c r="AG13" t="str">
        <f t="shared" si="13"/>
        <v/>
      </c>
      <c r="AH13" t="str">
        <f t="shared" si="13"/>
        <v/>
      </c>
      <c r="AI13">
        <f t="shared" si="13"/>
        <v>1.6</v>
      </c>
      <c r="AJ13" t="str">
        <f t="shared" si="13"/>
        <v/>
      </c>
      <c r="AK13" t="str">
        <f t="shared" si="13"/>
        <v/>
      </c>
      <c r="AL13" t="str">
        <f t="shared" si="13"/>
        <v/>
      </c>
      <c r="AM13" t="str">
        <f t="shared" si="13"/>
        <v/>
      </c>
      <c r="AN13" t="str">
        <f t="shared" si="13"/>
        <v/>
      </c>
      <c r="AO13" t="str">
        <f t="shared" si="13"/>
        <v/>
      </c>
      <c r="AP13">
        <f t="shared" si="13"/>
        <v>3.5999999999999996</v>
      </c>
      <c r="AQ13" t="str">
        <f t="shared" si="13"/>
        <v/>
      </c>
      <c r="AR13" t="str">
        <f t="shared" si="13"/>
        <v/>
      </c>
      <c r="AS13" t="str">
        <f t="shared" si="13"/>
        <v/>
      </c>
      <c r="AT13" t="str">
        <f t="shared" si="13"/>
        <v/>
      </c>
      <c r="AU13" t="str">
        <f t="shared" si="13"/>
        <v/>
      </c>
      <c r="AV13" t="str">
        <f t="shared" si="13"/>
        <v/>
      </c>
      <c r="AW13" t="str">
        <f t="shared" si="13"/>
        <v/>
      </c>
      <c r="AX13" t="str">
        <f t="shared" si="13"/>
        <v/>
      </c>
      <c r="AY13">
        <f t="shared" si="13"/>
        <v>1</v>
      </c>
      <c r="AZ13" t="str">
        <f t="shared" si="13"/>
        <v/>
      </c>
      <c r="BA13">
        <f t="shared" si="13"/>
        <v>5</v>
      </c>
      <c r="BB13" t="str">
        <f t="shared" si="13"/>
        <v/>
      </c>
      <c r="BC13" t="str">
        <f t="shared" si="13"/>
        <v/>
      </c>
      <c r="BD13">
        <f t="shared" si="13"/>
        <v>6.1999999999999993</v>
      </c>
      <c r="BE13">
        <f t="shared" si="13"/>
        <v>3</v>
      </c>
      <c r="BF13" t="str">
        <f t="shared" si="13"/>
        <v/>
      </c>
      <c r="BG13" t="str">
        <f t="shared" si="13"/>
        <v/>
      </c>
      <c r="BH13" t="str">
        <f t="shared" si="13"/>
        <v/>
      </c>
      <c r="BI13">
        <f t="shared" si="13"/>
        <v>1</v>
      </c>
      <c r="BJ13" t="str">
        <f t="shared" si="13"/>
        <v/>
      </c>
      <c r="BK13" t="str">
        <f t="shared" si="13"/>
        <v/>
      </c>
      <c r="BL13" t="str">
        <f t="shared" si="13"/>
        <v/>
      </c>
      <c r="BM13" t="str">
        <f t="shared" si="13"/>
        <v/>
      </c>
      <c r="BN13">
        <f t="shared" si="13"/>
        <v>4.8999999999999995</v>
      </c>
      <c r="BO13">
        <f t="shared" si="13"/>
        <v>2.2999999999999998</v>
      </c>
      <c r="BP13">
        <f t="shared" ref="BP13:EA13" si="14">IF(OR(BP12=-1,AND(IF(BP$3&lt;$B13,BP12+BP$6,IF(BP$3=$B13,1,""))&gt;$B$1,BP$3&lt;$B13)),-1,IF(BP$3&lt;$B13,BP12+BP$6,IF(BP$3=$B13,1,"")))</f>
        <v>5</v>
      </c>
      <c r="BQ13" t="str">
        <f t="shared" si="14"/>
        <v/>
      </c>
      <c r="BR13" t="str">
        <f t="shared" si="14"/>
        <v/>
      </c>
      <c r="BS13">
        <f t="shared" si="14"/>
        <v>4</v>
      </c>
      <c r="BT13">
        <f t="shared" si="14"/>
        <v>2</v>
      </c>
      <c r="BU13" t="str">
        <f t="shared" si="14"/>
        <v/>
      </c>
      <c r="BV13" t="str">
        <f t="shared" si="14"/>
        <v/>
      </c>
      <c r="BW13" t="str">
        <f t="shared" si="14"/>
        <v/>
      </c>
      <c r="BX13" t="str">
        <f t="shared" si="14"/>
        <v/>
      </c>
      <c r="BY13" t="str">
        <f t="shared" si="14"/>
        <v/>
      </c>
      <c r="BZ13" t="str">
        <f t="shared" si="14"/>
        <v/>
      </c>
      <c r="CA13" t="str">
        <f t="shared" si="14"/>
        <v/>
      </c>
      <c r="CB13" t="str">
        <f t="shared" si="14"/>
        <v/>
      </c>
      <c r="CC13" t="str">
        <f t="shared" si="14"/>
        <v/>
      </c>
      <c r="CD13" t="str">
        <f t="shared" si="14"/>
        <v/>
      </c>
      <c r="CE13" t="str">
        <f t="shared" si="14"/>
        <v/>
      </c>
      <c r="CF13" t="str">
        <f t="shared" si="14"/>
        <v/>
      </c>
      <c r="CG13" t="str">
        <f t="shared" si="14"/>
        <v/>
      </c>
      <c r="CH13" t="str">
        <f t="shared" si="14"/>
        <v/>
      </c>
      <c r="CI13" t="str">
        <f t="shared" si="14"/>
        <v/>
      </c>
      <c r="CJ13" t="str">
        <f t="shared" si="14"/>
        <v/>
      </c>
      <c r="CK13" t="str">
        <f t="shared" si="14"/>
        <v/>
      </c>
      <c r="CL13" t="str">
        <f t="shared" si="14"/>
        <v/>
      </c>
      <c r="CM13" t="str">
        <f t="shared" si="14"/>
        <v/>
      </c>
      <c r="CN13" t="str">
        <f t="shared" si="14"/>
        <v/>
      </c>
      <c r="CO13" t="str">
        <f t="shared" si="14"/>
        <v/>
      </c>
      <c r="CP13" t="str">
        <f t="shared" si="14"/>
        <v/>
      </c>
      <c r="CQ13">
        <f t="shared" si="14"/>
        <v>1</v>
      </c>
      <c r="CR13" t="str">
        <f t="shared" si="14"/>
        <v/>
      </c>
      <c r="CS13" t="str">
        <f t="shared" si="14"/>
        <v/>
      </c>
      <c r="CT13">
        <f t="shared" si="14"/>
        <v>4.8999999999999995</v>
      </c>
      <c r="CU13">
        <f t="shared" si="14"/>
        <v>2.2999999999999998</v>
      </c>
      <c r="CV13">
        <f t="shared" si="14"/>
        <v>1</v>
      </c>
      <c r="CW13" t="str">
        <f t="shared" si="14"/>
        <v/>
      </c>
      <c r="CX13" t="str">
        <f t="shared" si="14"/>
        <v/>
      </c>
      <c r="CY13" t="str">
        <f t="shared" si="14"/>
        <v/>
      </c>
      <c r="CZ13" t="str">
        <f t="shared" si="14"/>
        <v/>
      </c>
      <c r="DA13">
        <f t="shared" si="14"/>
        <v>2</v>
      </c>
      <c r="DB13" t="str">
        <f t="shared" si="14"/>
        <v/>
      </c>
      <c r="DC13" t="str">
        <f t="shared" si="14"/>
        <v/>
      </c>
      <c r="DD13" t="str">
        <f t="shared" si="14"/>
        <v/>
      </c>
      <c r="DE13">
        <f t="shared" si="14"/>
        <v>4</v>
      </c>
      <c r="DF13">
        <f t="shared" si="14"/>
        <v>2</v>
      </c>
      <c r="DG13">
        <f t="shared" si="14"/>
        <v>6.1999999999999993</v>
      </c>
      <c r="DH13">
        <f t="shared" si="14"/>
        <v>4.8999999999999995</v>
      </c>
      <c r="DI13">
        <f t="shared" si="14"/>
        <v>3.5999999999999996</v>
      </c>
      <c r="DJ13">
        <f t="shared" si="14"/>
        <v>2.2999999999999998</v>
      </c>
      <c r="DK13">
        <f t="shared" si="14"/>
        <v>3</v>
      </c>
      <c r="DL13" t="str">
        <f t="shared" si="14"/>
        <v/>
      </c>
      <c r="DM13" t="str">
        <f t="shared" si="14"/>
        <v/>
      </c>
      <c r="DN13" t="str">
        <f t="shared" si="14"/>
        <v/>
      </c>
      <c r="DO13" t="str">
        <f t="shared" si="14"/>
        <v/>
      </c>
      <c r="DP13" t="str">
        <f t="shared" si="14"/>
        <v/>
      </c>
      <c r="DQ13">
        <f t="shared" si="14"/>
        <v>4.8999999999999995</v>
      </c>
      <c r="DR13">
        <f t="shared" si="14"/>
        <v>2.2999999999999998</v>
      </c>
      <c r="DS13" t="str">
        <f t="shared" si="14"/>
        <v/>
      </c>
      <c r="DT13" t="str">
        <f t="shared" si="14"/>
        <v/>
      </c>
      <c r="DU13" t="str">
        <f t="shared" si="14"/>
        <v/>
      </c>
      <c r="DV13" t="str">
        <f t="shared" si="14"/>
        <v/>
      </c>
      <c r="DW13" t="str">
        <f t="shared" si="14"/>
        <v/>
      </c>
      <c r="DX13" t="str">
        <f t="shared" si="14"/>
        <v/>
      </c>
      <c r="DY13">
        <f t="shared" si="14"/>
        <v>9</v>
      </c>
      <c r="DZ13">
        <f t="shared" si="14"/>
        <v>7</v>
      </c>
      <c r="EA13">
        <f t="shared" si="14"/>
        <v>5</v>
      </c>
      <c r="EB13">
        <f t="shared" ref="EB13:EO13" si="15">IF(OR(EB12=-1,AND(IF(EB$3&lt;$B13,EB12+EB$6,IF(EB$3=$B13,1,""))&gt;$B$1,EB$3&lt;$B13)),-1,IF(EB$3&lt;$B13,EB12+EB$6,IF(EB$3=$B13,1,"")))</f>
        <v>3</v>
      </c>
      <c r="EC13">
        <f t="shared" si="15"/>
        <v>1</v>
      </c>
      <c r="ED13" t="str">
        <f t="shared" si="15"/>
        <v/>
      </c>
      <c r="EE13">
        <f t="shared" si="15"/>
        <v>1</v>
      </c>
      <c r="EF13" t="str">
        <f t="shared" si="15"/>
        <v/>
      </c>
      <c r="EG13" t="str">
        <f t="shared" si="15"/>
        <v/>
      </c>
      <c r="EH13" t="str">
        <f t="shared" si="15"/>
        <v/>
      </c>
      <c r="EI13" t="str">
        <f t="shared" si="15"/>
        <v/>
      </c>
      <c r="EJ13" t="str">
        <f t="shared" si="15"/>
        <v/>
      </c>
      <c r="EK13">
        <f t="shared" si="15"/>
        <v>5.8000000000000007</v>
      </c>
      <c r="EL13" t="str">
        <f t="shared" si="15"/>
        <v/>
      </c>
      <c r="EM13" t="str">
        <f t="shared" si="15"/>
        <v/>
      </c>
      <c r="EN13" t="str">
        <f t="shared" si="15"/>
        <v/>
      </c>
      <c r="EO13" t="str">
        <f t="shared" si="15"/>
        <v/>
      </c>
    </row>
    <row r="14" spans="1:145" x14ac:dyDescent="0.15">
      <c r="A14" t="e">
        <f t="shared" si="0"/>
        <v>#N/A</v>
      </c>
      <c r="B14" s="218">
        <v>6</v>
      </c>
      <c r="C14">
        <f t="shared" si="0"/>
        <v>5</v>
      </c>
      <c r="D14">
        <f t="shared" ref="D14:BO14" si="16">IF(OR(D13=-1,AND(IF(D$3&lt;$B14,D13+D$6,IF(D$3=$B14,1,""))&gt;$B$1,D$3&lt;$B14)),-1,IF(D$3&lt;$B14,D13+D$6,IF(D$3=$B14,1,"")))</f>
        <v>3</v>
      </c>
      <c r="E14">
        <f t="shared" si="16"/>
        <v>1</v>
      </c>
      <c r="F14" t="str">
        <f t="shared" si="16"/>
        <v/>
      </c>
      <c r="G14" t="str">
        <f t="shared" si="16"/>
        <v/>
      </c>
      <c r="H14" t="str">
        <f t="shared" si="16"/>
        <v/>
      </c>
      <c r="I14" t="str">
        <f t="shared" si="16"/>
        <v/>
      </c>
      <c r="J14" t="str">
        <f t="shared" si="16"/>
        <v/>
      </c>
      <c r="K14" t="str">
        <f t="shared" si="16"/>
        <v/>
      </c>
      <c r="L14">
        <f t="shared" si="16"/>
        <v>1.7</v>
      </c>
      <c r="M14" t="str">
        <f t="shared" si="16"/>
        <v/>
      </c>
      <c r="N14" t="str">
        <f t="shared" si="16"/>
        <v/>
      </c>
      <c r="O14">
        <f t="shared" si="16"/>
        <v>5</v>
      </c>
      <c r="P14">
        <f t="shared" si="16"/>
        <v>3</v>
      </c>
      <c r="Q14">
        <f t="shared" si="16"/>
        <v>1</v>
      </c>
      <c r="R14" t="str">
        <f t="shared" si="16"/>
        <v/>
      </c>
      <c r="S14" t="str">
        <f t="shared" si="16"/>
        <v/>
      </c>
      <c r="T14">
        <f t="shared" si="16"/>
        <v>5</v>
      </c>
      <c r="U14" t="str">
        <f t="shared" si="16"/>
        <v/>
      </c>
      <c r="V14" t="str">
        <f t="shared" si="16"/>
        <v/>
      </c>
      <c r="W14">
        <f t="shared" si="16"/>
        <v>8.1999999999999993</v>
      </c>
      <c r="X14">
        <f t="shared" si="16"/>
        <v>4.5999999999999996</v>
      </c>
      <c r="Y14">
        <f t="shared" si="16"/>
        <v>1</v>
      </c>
      <c r="Z14">
        <f t="shared" si="16"/>
        <v>4</v>
      </c>
      <c r="AA14">
        <f t="shared" si="16"/>
        <v>1</v>
      </c>
      <c r="AB14" t="str">
        <f t="shared" si="16"/>
        <v/>
      </c>
      <c r="AC14">
        <f t="shared" si="16"/>
        <v>1</v>
      </c>
      <c r="AD14" t="str">
        <f t="shared" si="16"/>
        <v/>
      </c>
      <c r="AE14" t="str">
        <f t="shared" si="16"/>
        <v/>
      </c>
      <c r="AF14" t="str">
        <f t="shared" si="16"/>
        <v/>
      </c>
      <c r="AG14" t="str">
        <f t="shared" si="16"/>
        <v/>
      </c>
      <c r="AH14" t="str">
        <f t="shared" si="16"/>
        <v/>
      </c>
      <c r="AI14">
        <f t="shared" si="16"/>
        <v>2.2000000000000002</v>
      </c>
      <c r="AJ14" t="str">
        <f t="shared" si="16"/>
        <v/>
      </c>
      <c r="AK14" t="str">
        <f t="shared" si="16"/>
        <v/>
      </c>
      <c r="AL14" t="str">
        <f t="shared" si="16"/>
        <v/>
      </c>
      <c r="AM14">
        <f t="shared" si="16"/>
        <v>1</v>
      </c>
      <c r="AN14" t="str">
        <f t="shared" si="16"/>
        <v/>
      </c>
      <c r="AO14" t="str">
        <f t="shared" si="16"/>
        <v/>
      </c>
      <c r="AP14">
        <f t="shared" si="16"/>
        <v>4.8999999999999995</v>
      </c>
      <c r="AQ14">
        <f t="shared" si="16"/>
        <v>1</v>
      </c>
      <c r="AR14" t="str">
        <f t="shared" si="16"/>
        <v/>
      </c>
      <c r="AS14" t="str">
        <f t="shared" si="16"/>
        <v/>
      </c>
      <c r="AT14" t="str">
        <f t="shared" si="16"/>
        <v/>
      </c>
      <c r="AU14" t="str">
        <f t="shared" si="16"/>
        <v/>
      </c>
      <c r="AV14" t="str">
        <f t="shared" si="16"/>
        <v/>
      </c>
      <c r="AW14">
        <f t="shared" si="16"/>
        <v>1</v>
      </c>
      <c r="AX14" t="str">
        <f t="shared" si="16"/>
        <v/>
      </c>
      <c r="AY14">
        <f t="shared" si="16"/>
        <v>3</v>
      </c>
      <c r="AZ14" t="str">
        <f t="shared" si="16"/>
        <v/>
      </c>
      <c r="BA14">
        <f t="shared" si="16"/>
        <v>7</v>
      </c>
      <c r="BB14">
        <f t="shared" si="16"/>
        <v>1</v>
      </c>
      <c r="BC14" t="str">
        <f t="shared" si="16"/>
        <v/>
      </c>
      <c r="BD14">
        <f t="shared" si="16"/>
        <v>7.4999999999999991</v>
      </c>
      <c r="BE14">
        <f t="shared" si="16"/>
        <v>5</v>
      </c>
      <c r="BF14" t="str">
        <f t="shared" si="16"/>
        <v/>
      </c>
      <c r="BG14" t="str">
        <f t="shared" si="16"/>
        <v/>
      </c>
      <c r="BH14" t="str">
        <f t="shared" si="16"/>
        <v/>
      </c>
      <c r="BI14">
        <f t="shared" si="16"/>
        <v>2</v>
      </c>
      <c r="BJ14" t="str">
        <f t="shared" si="16"/>
        <v/>
      </c>
      <c r="BK14" t="str">
        <f t="shared" si="16"/>
        <v/>
      </c>
      <c r="BL14" t="str">
        <f t="shared" si="16"/>
        <v/>
      </c>
      <c r="BM14">
        <f t="shared" si="16"/>
        <v>1</v>
      </c>
      <c r="BN14">
        <f t="shared" si="16"/>
        <v>6.1999999999999993</v>
      </c>
      <c r="BO14">
        <f t="shared" si="16"/>
        <v>3.5999999999999996</v>
      </c>
      <c r="BP14">
        <f t="shared" ref="BP14:EA14" si="17">IF(OR(BP13=-1,AND(IF(BP$3&lt;$B14,BP13+BP$6,IF(BP$3=$B14,1,""))&gt;$B$1,BP$3&lt;$B14)),-1,IF(BP$3&lt;$B14,BP13+BP$6,IF(BP$3=$B14,1,"")))</f>
        <v>7</v>
      </c>
      <c r="BQ14">
        <f t="shared" si="17"/>
        <v>1</v>
      </c>
      <c r="BR14" t="str">
        <f t="shared" si="17"/>
        <v/>
      </c>
      <c r="BS14">
        <f t="shared" si="17"/>
        <v>5</v>
      </c>
      <c r="BT14">
        <f t="shared" si="17"/>
        <v>3</v>
      </c>
      <c r="BU14">
        <f t="shared" si="17"/>
        <v>1</v>
      </c>
      <c r="BV14" t="str">
        <f t="shared" si="17"/>
        <v/>
      </c>
      <c r="BW14" t="str">
        <f t="shared" si="17"/>
        <v/>
      </c>
      <c r="BX14" t="str">
        <f t="shared" si="17"/>
        <v/>
      </c>
      <c r="BY14" t="str">
        <f t="shared" si="17"/>
        <v/>
      </c>
      <c r="BZ14" t="str">
        <f t="shared" si="17"/>
        <v/>
      </c>
      <c r="CA14" t="str">
        <f t="shared" si="17"/>
        <v/>
      </c>
      <c r="CB14" t="str">
        <f t="shared" si="17"/>
        <v/>
      </c>
      <c r="CC14" t="str">
        <f t="shared" si="17"/>
        <v/>
      </c>
      <c r="CD14" t="str">
        <f t="shared" si="17"/>
        <v/>
      </c>
      <c r="CE14" t="str">
        <f t="shared" si="17"/>
        <v/>
      </c>
      <c r="CF14" t="str">
        <f t="shared" si="17"/>
        <v/>
      </c>
      <c r="CG14" t="str">
        <f t="shared" si="17"/>
        <v/>
      </c>
      <c r="CH14" t="str">
        <f t="shared" si="17"/>
        <v/>
      </c>
      <c r="CI14" t="str">
        <f t="shared" si="17"/>
        <v/>
      </c>
      <c r="CJ14" t="str">
        <f t="shared" si="17"/>
        <v/>
      </c>
      <c r="CK14" t="str">
        <f t="shared" si="17"/>
        <v/>
      </c>
      <c r="CL14" t="str">
        <f t="shared" si="17"/>
        <v/>
      </c>
      <c r="CM14" t="str">
        <f t="shared" si="17"/>
        <v/>
      </c>
      <c r="CN14" t="str">
        <f t="shared" si="17"/>
        <v/>
      </c>
      <c r="CO14" t="str">
        <f t="shared" si="17"/>
        <v/>
      </c>
      <c r="CP14" t="str">
        <f t="shared" si="17"/>
        <v/>
      </c>
      <c r="CQ14">
        <f t="shared" si="17"/>
        <v>2</v>
      </c>
      <c r="CR14" t="str">
        <f t="shared" si="17"/>
        <v/>
      </c>
      <c r="CS14" t="str">
        <f t="shared" si="17"/>
        <v/>
      </c>
      <c r="CT14">
        <f t="shared" si="17"/>
        <v>6.1999999999999993</v>
      </c>
      <c r="CU14">
        <f t="shared" si="17"/>
        <v>3.5999999999999996</v>
      </c>
      <c r="CV14">
        <f t="shared" si="17"/>
        <v>2.6</v>
      </c>
      <c r="CW14" t="str">
        <f t="shared" si="17"/>
        <v/>
      </c>
      <c r="CX14" t="str">
        <f t="shared" si="17"/>
        <v/>
      </c>
      <c r="CY14" t="str">
        <f t="shared" si="17"/>
        <v/>
      </c>
      <c r="CZ14" t="str">
        <f t="shared" si="17"/>
        <v/>
      </c>
      <c r="DA14">
        <f t="shared" si="17"/>
        <v>3</v>
      </c>
      <c r="DB14" t="str">
        <f t="shared" si="17"/>
        <v/>
      </c>
      <c r="DC14" t="str">
        <f t="shared" si="17"/>
        <v/>
      </c>
      <c r="DD14" t="str">
        <f t="shared" si="17"/>
        <v/>
      </c>
      <c r="DE14">
        <f t="shared" si="17"/>
        <v>5</v>
      </c>
      <c r="DF14">
        <f t="shared" si="17"/>
        <v>3</v>
      </c>
      <c r="DG14">
        <f t="shared" si="17"/>
        <v>7.4999999999999991</v>
      </c>
      <c r="DH14">
        <f t="shared" si="17"/>
        <v>6.1999999999999993</v>
      </c>
      <c r="DI14">
        <f t="shared" si="17"/>
        <v>4.8999999999999995</v>
      </c>
      <c r="DJ14">
        <f t="shared" si="17"/>
        <v>3.5999999999999996</v>
      </c>
      <c r="DK14">
        <f t="shared" si="17"/>
        <v>5</v>
      </c>
      <c r="DL14" t="str">
        <f t="shared" si="17"/>
        <v/>
      </c>
      <c r="DM14" t="str">
        <f t="shared" si="17"/>
        <v/>
      </c>
      <c r="DN14" t="str">
        <f t="shared" si="17"/>
        <v/>
      </c>
      <c r="DO14" t="str">
        <f t="shared" si="17"/>
        <v/>
      </c>
      <c r="DP14" t="str">
        <f t="shared" si="17"/>
        <v/>
      </c>
      <c r="DQ14">
        <f t="shared" si="17"/>
        <v>6.1999999999999993</v>
      </c>
      <c r="DR14">
        <f t="shared" si="17"/>
        <v>3.5999999999999996</v>
      </c>
      <c r="DS14">
        <f t="shared" si="17"/>
        <v>1</v>
      </c>
      <c r="DT14" t="str">
        <f t="shared" si="17"/>
        <v/>
      </c>
      <c r="DU14" t="str">
        <f t="shared" si="17"/>
        <v/>
      </c>
      <c r="DV14" t="str">
        <f t="shared" si="17"/>
        <v/>
      </c>
      <c r="DW14" t="str">
        <f t="shared" si="17"/>
        <v/>
      </c>
      <c r="DX14" t="str">
        <f t="shared" si="17"/>
        <v/>
      </c>
      <c r="DY14">
        <f t="shared" si="17"/>
        <v>11</v>
      </c>
      <c r="DZ14">
        <f t="shared" si="17"/>
        <v>9</v>
      </c>
      <c r="EA14">
        <f t="shared" si="17"/>
        <v>7</v>
      </c>
      <c r="EB14">
        <f t="shared" ref="EB14:EO14" si="18">IF(OR(EB13=-1,AND(IF(EB$3&lt;$B14,EB13+EB$6,IF(EB$3=$B14,1,""))&gt;$B$1,EB$3&lt;$B14)),-1,IF(EB$3&lt;$B14,EB13+EB$6,IF(EB$3=$B14,1,"")))</f>
        <v>5</v>
      </c>
      <c r="EC14">
        <f t="shared" si="18"/>
        <v>3</v>
      </c>
      <c r="ED14">
        <f t="shared" si="18"/>
        <v>1</v>
      </c>
      <c r="EE14">
        <f t="shared" si="18"/>
        <v>2.6</v>
      </c>
      <c r="EF14" t="str">
        <f t="shared" si="18"/>
        <v/>
      </c>
      <c r="EG14" t="str">
        <f t="shared" si="18"/>
        <v/>
      </c>
      <c r="EH14" t="str">
        <f t="shared" si="18"/>
        <v/>
      </c>
      <c r="EI14" t="str">
        <f t="shared" si="18"/>
        <v/>
      </c>
      <c r="EJ14" t="str">
        <f t="shared" si="18"/>
        <v/>
      </c>
      <c r="EK14">
        <f t="shared" si="18"/>
        <v>7.4</v>
      </c>
      <c r="EL14" t="str">
        <f t="shared" si="18"/>
        <v/>
      </c>
      <c r="EM14" t="str">
        <f t="shared" si="18"/>
        <v/>
      </c>
      <c r="EN14" t="str">
        <f t="shared" si="18"/>
        <v/>
      </c>
      <c r="EO14" t="str">
        <f t="shared" si="18"/>
        <v/>
      </c>
    </row>
    <row r="15" spans="1:145" x14ac:dyDescent="0.15">
      <c r="A15" t="e">
        <f t="shared" si="0"/>
        <v>#N/A</v>
      </c>
      <c r="B15" s="218">
        <v>7</v>
      </c>
      <c r="C15">
        <f t="shared" si="0"/>
        <v>6</v>
      </c>
      <c r="D15">
        <f t="shared" ref="D15:BO15" si="19">IF(OR(D14=-1,AND(IF(D$3&lt;$B15,D14+D$6,IF(D$3=$B15,1,""))&gt;$B$1,D$3&lt;$B15)),-1,IF(D$3&lt;$B15,D14+D$6,IF(D$3=$B15,1,"")))</f>
        <v>4</v>
      </c>
      <c r="E15">
        <f t="shared" si="19"/>
        <v>2</v>
      </c>
      <c r="F15" t="str">
        <f t="shared" si="19"/>
        <v/>
      </c>
      <c r="G15" t="str">
        <f t="shared" si="19"/>
        <v/>
      </c>
      <c r="H15" t="str">
        <f t="shared" si="19"/>
        <v/>
      </c>
      <c r="I15" t="str">
        <f t="shared" si="19"/>
        <v/>
      </c>
      <c r="J15" t="str">
        <f t="shared" si="19"/>
        <v/>
      </c>
      <c r="K15" t="str">
        <f t="shared" si="19"/>
        <v/>
      </c>
      <c r="L15">
        <f t="shared" si="19"/>
        <v>2.4</v>
      </c>
      <c r="M15" t="str">
        <f t="shared" si="19"/>
        <v/>
      </c>
      <c r="N15" t="str">
        <f t="shared" si="19"/>
        <v/>
      </c>
      <c r="O15">
        <f t="shared" si="19"/>
        <v>6</v>
      </c>
      <c r="P15">
        <f t="shared" si="19"/>
        <v>4</v>
      </c>
      <c r="Q15">
        <f t="shared" si="19"/>
        <v>2</v>
      </c>
      <c r="R15" t="str">
        <f t="shared" si="19"/>
        <v/>
      </c>
      <c r="S15" t="str">
        <f t="shared" si="19"/>
        <v/>
      </c>
      <c r="T15">
        <f t="shared" si="19"/>
        <v>7</v>
      </c>
      <c r="U15" t="str">
        <f t="shared" si="19"/>
        <v/>
      </c>
      <c r="V15" t="str">
        <f t="shared" si="19"/>
        <v/>
      </c>
      <c r="W15">
        <f t="shared" si="19"/>
        <v>10</v>
      </c>
      <c r="X15">
        <f t="shared" si="19"/>
        <v>6.3999999999999995</v>
      </c>
      <c r="Y15">
        <f t="shared" si="19"/>
        <v>2.8</v>
      </c>
      <c r="Z15">
        <f t="shared" si="19"/>
        <v>5</v>
      </c>
      <c r="AA15">
        <f t="shared" si="19"/>
        <v>2</v>
      </c>
      <c r="AB15" t="str">
        <f t="shared" si="19"/>
        <v/>
      </c>
      <c r="AC15">
        <f t="shared" si="19"/>
        <v>2.8</v>
      </c>
      <c r="AD15" t="str">
        <f t="shared" si="19"/>
        <v/>
      </c>
      <c r="AE15" t="str">
        <f t="shared" si="19"/>
        <v/>
      </c>
      <c r="AF15" t="str">
        <f t="shared" si="19"/>
        <v/>
      </c>
      <c r="AG15" t="str">
        <f t="shared" si="19"/>
        <v/>
      </c>
      <c r="AH15" t="str">
        <f t="shared" si="19"/>
        <v/>
      </c>
      <c r="AI15">
        <f t="shared" si="19"/>
        <v>2.8000000000000003</v>
      </c>
      <c r="AJ15" t="str">
        <f t="shared" si="19"/>
        <v/>
      </c>
      <c r="AK15" t="str">
        <f t="shared" si="19"/>
        <v/>
      </c>
      <c r="AL15" t="str">
        <f t="shared" si="19"/>
        <v/>
      </c>
      <c r="AM15">
        <f t="shared" si="19"/>
        <v>2</v>
      </c>
      <c r="AN15" t="str">
        <f t="shared" si="19"/>
        <v/>
      </c>
      <c r="AO15" t="str">
        <f t="shared" si="19"/>
        <v/>
      </c>
      <c r="AP15">
        <f t="shared" si="19"/>
        <v>6.1999999999999993</v>
      </c>
      <c r="AQ15">
        <f t="shared" si="19"/>
        <v>2.2999999999999998</v>
      </c>
      <c r="AR15" t="str">
        <f t="shared" si="19"/>
        <v/>
      </c>
      <c r="AS15" t="str">
        <f t="shared" si="19"/>
        <v/>
      </c>
      <c r="AT15" t="str">
        <f t="shared" si="19"/>
        <v/>
      </c>
      <c r="AU15" t="str">
        <f t="shared" si="19"/>
        <v/>
      </c>
      <c r="AV15" t="str">
        <f t="shared" si="19"/>
        <v/>
      </c>
      <c r="AW15">
        <f t="shared" si="19"/>
        <v>2</v>
      </c>
      <c r="AX15" t="str">
        <f t="shared" si="19"/>
        <v/>
      </c>
      <c r="AY15">
        <f t="shared" si="19"/>
        <v>5</v>
      </c>
      <c r="AZ15" t="str">
        <f t="shared" si="19"/>
        <v/>
      </c>
      <c r="BA15">
        <f t="shared" si="19"/>
        <v>9</v>
      </c>
      <c r="BB15">
        <f t="shared" si="19"/>
        <v>3</v>
      </c>
      <c r="BC15" t="str">
        <f t="shared" si="19"/>
        <v/>
      </c>
      <c r="BD15">
        <f t="shared" si="19"/>
        <v>8.7999999999999989</v>
      </c>
      <c r="BE15">
        <f t="shared" si="19"/>
        <v>7</v>
      </c>
      <c r="BF15" t="str">
        <f t="shared" si="19"/>
        <v/>
      </c>
      <c r="BG15" t="str">
        <f t="shared" si="19"/>
        <v/>
      </c>
      <c r="BH15" t="str">
        <f t="shared" si="19"/>
        <v/>
      </c>
      <c r="BI15">
        <f t="shared" si="19"/>
        <v>3</v>
      </c>
      <c r="BJ15" t="str">
        <f t="shared" si="19"/>
        <v/>
      </c>
      <c r="BK15" t="str">
        <f t="shared" si="19"/>
        <v/>
      </c>
      <c r="BL15" t="str">
        <f t="shared" si="19"/>
        <v/>
      </c>
      <c r="BM15">
        <f t="shared" si="19"/>
        <v>2</v>
      </c>
      <c r="BN15">
        <f t="shared" si="19"/>
        <v>7.4999999999999991</v>
      </c>
      <c r="BO15">
        <f t="shared" si="19"/>
        <v>4.8999999999999995</v>
      </c>
      <c r="BP15">
        <f t="shared" ref="BP15:EA15" si="20">IF(OR(BP14=-1,AND(IF(BP$3&lt;$B15,BP14+BP$6,IF(BP$3=$B15,1,""))&gt;$B$1,BP$3&lt;$B15)),-1,IF(BP$3&lt;$B15,BP14+BP$6,IF(BP$3=$B15,1,"")))</f>
        <v>9</v>
      </c>
      <c r="BQ15">
        <f t="shared" si="20"/>
        <v>3</v>
      </c>
      <c r="BR15" t="str">
        <f t="shared" si="20"/>
        <v/>
      </c>
      <c r="BS15">
        <f t="shared" si="20"/>
        <v>6</v>
      </c>
      <c r="BT15">
        <f t="shared" si="20"/>
        <v>4</v>
      </c>
      <c r="BU15">
        <f t="shared" si="20"/>
        <v>1.6</v>
      </c>
      <c r="BV15" t="str">
        <f t="shared" si="20"/>
        <v/>
      </c>
      <c r="BW15" t="str">
        <f t="shared" si="20"/>
        <v/>
      </c>
      <c r="BX15" t="str">
        <f t="shared" si="20"/>
        <v/>
      </c>
      <c r="BY15" t="str">
        <f t="shared" si="20"/>
        <v/>
      </c>
      <c r="BZ15" t="str">
        <f t="shared" si="20"/>
        <v/>
      </c>
      <c r="CA15" t="str">
        <f t="shared" si="20"/>
        <v/>
      </c>
      <c r="CB15" t="str">
        <f t="shared" si="20"/>
        <v/>
      </c>
      <c r="CC15" t="str">
        <f t="shared" si="20"/>
        <v/>
      </c>
      <c r="CD15" t="str">
        <f t="shared" si="20"/>
        <v/>
      </c>
      <c r="CE15" t="str">
        <f t="shared" si="20"/>
        <v/>
      </c>
      <c r="CF15" t="str">
        <f t="shared" si="20"/>
        <v/>
      </c>
      <c r="CG15" t="str">
        <f t="shared" si="20"/>
        <v/>
      </c>
      <c r="CH15" t="str">
        <f t="shared" si="20"/>
        <v/>
      </c>
      <c r="CI15" t="str">
        <f t="shared" si="20"/>
        <v/>
      </c>
      <c r="CJ15" t="str">
        <f t="shared" si="20"/>
        <v/>
      </c>
      <c r="CK15" t="str">
        <f t="shared" si="20"/>
        <v/>
      </c>
      <c r="CL15" t="str">
        <f t="shared" si="20"/>
        <v/>
      </c>
      <c r="CM15" t="str">
        <f t="shared" si="20"/>
        <v/>
      </c>
      <c r="CN15" t="str">
        <f t="shared" si="20"/>
        <v/>
      </c>
      <c r="CO15" t="str">
        <f t="shared" si="20"/>
        <v/>
      </c>
      <c r="CP15" t="str">
        <f t="shared" si="20"/>
        <v/>
      </c>
      <c r="CQ15">
        <f t="shared" si="20"/>
        <v>3</v>
      </c>
      <c r="CR15" t="str">
        <f t="shared" si="20"/>
        <v/>
      </c>
      <c r="CS15" t="str">
        <f t="shared" si="20"/>
        <v/>
      </c>
      <c r="CT15">
        <f t="shared" si="20"/>
        <v>7.4999999999999991</v>
      </c>
      <c r="CU15">
        <f t="shared" si="20"/>
        <v>4.8999999999999995</v>
      </c>
      <c r="CV15">
        <f t="shared" si="20"/>
        <v>4.2</v>
      </c>
      <c r="CW15" t="str">
        <f t="shared" si="20"/>
        <v/>
      </c>
      <c r="CX15" t="str">
        <f t="shared" si="20"/>
        <v/>
      </c>
      <c r="CY15" t="str">
        <f t="shared" si="20"/>
        <v/>
      </c>
      <c r="CZ15" t="str">
        <f t="shared" si="20"/>
        <v/>
      </c>
      <c r="DA15">
        <f t="shared" si="20"/>
        <v>4</v>
      </c>
      <c r="DB15" t="str">
        <f t="shared" si="20"/>
        <v/>
      </c>
      <c r="DC15" t="str">
        <f t="shared" si="20"/>
        <v/>
      </c>
      <c r="DD15" t="str">
        <f t="shared" si="20"/>
        <v/>
      </c>
      <c r="DE15">
        <f t="shared" si="20"/>
        <v>6</v>
      </c>
      <c r="DF15">
        <f t="shared" si="20"/>
        <v>4</v>
      </c>
      <c r="DG15">
        <f t="shared" si="20"/>
        <v>8.7999999999999989</v>
      </c>
      <c r="DH15">
        <f t="shared" si="20"/>
        <v>7.4999999999999991</v>
      </c>
      <c r="DI15">
        <f t="shared" si="20"/>
        <v>6.1999999999999993</v>
      </c>
      <c r="DJ15">
        <f t="shared" si="20"/>
        <v>4.8999999999999995</v>
      </c>
      <c r="DK15">
        <f t="shared" si="20"/>
        <v>7</v>
      </c>
      <c r="DL15" t="str">
        <f t="shared" si="20"/>
        <v/>
      </c>
      <c r="DM15" t="str">
        <f t="shared" si="20"/>
        <v/>
      </c>
      <c r="DN15" t="str">
        <f t="shared" si="20"/>
        <v/>
      </c>
      <c r="DO15" t="str">
        <f t="shared" si="20"/>
        <v/>
      </c>
      <c r="DP15" t="str">
        <f t="shared" si="20"/>
        <v/>
      </c>
      <c r="DQ15">
        <f t="shared" si="20"/>
        <v>7.4999999999999991</v>
      </c>
      <c r="DR15">
        <f t="shared" si="20"/>
        <v>4.8999999999999995</v>
      </c>
      <c r="DS15">
        <f t="shared" si="20"/>
        <v>2</v>
      </c>
      <c r="DT15" t="str">
        <f t="shared" si="20"/>
        <v/>
      </c>
      <c r="DU15" t="str">
        <f t="shared" si="20"/>
        <v/>
      </c>
      <c r="DV15" t="str">
        <f t="shared" si="20"/>
        <v/>
      </c>
      <c r="DW15" t="str">
        <f t="shared" si="20"/>
        <v/>
      </c>
      <c r="DX15" t="str">
        <f t="shared" si="20"/>
        <v/>
      </c>
      <c r="DY15">
        <f t="shared" si="20"/>
        <v>13</v>
      </c>
      <c r="DZ15">
        <f t="shared" si="20"/>
        <v>11</v>
      </c>
      <c r="EA15">
        <f t="shared" si="20"/>
        <v>9</v>
      </c>
      <c r="EB15">
        <f t="shared" ref="EB15:EO15" si="21">IF(OR(EB14=-1,AND(IF(EB$3&lt;$B15,EB14+EB$6,IF(EB$3=$B15,1,""))&gt;$B$1,EB$3&lt;$B15)),-1,IF(EB$3&lt;$B15,EB14+EB$6,IF(EB$3=$B15,1,"")))</f>
        <v>7</v>
      </c>
      <c r="EC15">
        <f t="shared" si="21"/>
        <v>5</v>
      </c>
      <c r="ED15">
        <f t="shared" si="21"/>
        <v>3</v>
      </c>
      <c r="EE15">
        <f t="shared" si="21"/>
        <v>4.2</v>
      </c>
      <c r="EF15" t="str">
        <f t="shared" si="21"/>
        <v/>
      </c>
      <c r="EG15" t="str">
        <f t="shared" si="21"/>
        <v/>
      </c>
      <c r="EH15" t="str">
        <f t="shared" si="21"/>
        <v/>
      </c>
      <c r="EI15" t="str">
        <f t="shared" si="21"/>
        <v/>
      </c>
      <c r="EJ15" t="str">
        <f t="shared" si="21"/>
        <v/>
      </c>
      <c r="EK15">
        <f t="shared" si="21"/>
        <v>9</v>
      </c>
      <c r="EL15">
        <f t="shared" si="21"/>
        <v>1</v>
      </c>
      <c r="EM15" t="str">
        <f t="shared" si="21"/>
        <v/>
      </c>
      <c r="EN15" t="str">
        <f t="shared" si="21"/>
        <v/>
      </c>
      <c r="EO15" t="str">
        <f t="shared" si="21"/>
        <v/>
      </c>
    </row>
    <row r="16" spans="1:145" x14ac:dyDescent="0.15">
      <c r="A16" t="e">
        <f t="shared" si="0"/>
        <v>#N/A</v>
      </c>
      <c r="B16" s="218">
        <v>8</v>
      </c>
      <c r="C16">
        <f t="shared" si="0"/>
        <v>7</v>
      </c>
      <c r="D16">
        <f t="shared" ref="D16:BO16" si="22">IF(OR(D15=-1,AND(IF(D$3&lt;$B16,D15+D$6,IF(D$3=$B16,1,""))&gt;$B$1,D$3&lt;$B16)),-1,IF(D$3&lt;$B16,D15+D$6,IF(D$3=$B16,1,"")))</f>
        <v>5</v>
      </c>
      <c r="E16">
        <f t="shared" si="22"/>
        <v>3</v>
      </c>
      <c r="F16">
        <f t="shared" si="22"/>
        <v>1</v>
      </c>
      <c r="G16" t="str">
        <f t="shared" si="22"/>
        <v/>
      </c>
      <c r="H16" t="str">
        <f t="shared" si="22"/>
        <v/>
      </c>
      <c r="I16" t="str">
        <f t="shared" si="22"/>
        <v/>
      </c>
      <c r="J16" t="str">
        <f t="shared" si="22"/>
        <v/>
      </c>
      <c r="K16" t="str">
        <f t="shared" si="22"/>
        <v/>
      </c>
      <c r="L16">
        <f t="shared" si="22"/>
        <v>3.0999999999999996</v>
      </c>
      <c r="M16" t="str">
        <f t="shared" si="22"/>
        <v/>
      </c>
      <c r="N16" t="str">
        <f t="shared" si="22"/>
        <v/>
      </c>
      <c r="O16">
        <f t="shared" si="22"/>
        <v>7</v>
      </c>
      <c r="P16">
        <f t="shared" si="22"/>
        <v>5</v>
      </c>
      <c r="Q16">
        <f t="shared" si="22"/>
        <v>3</v>
      </c>
      <c r="R16">
        <f t="shared" si="22"/>
        <v>1</v>
      </c>
      <c r="S16" t="str">
        <f t="shared" si="22"/>
        <v/>
      </c>
      <c r="T16">
        <f t="shared" si="22"/>
        <v>9</v>
      </c>
      <c r="U16">
        <f t="shared" si="22"/>
        <v>1</v>
      </c>
      <c r="V16" t="str">
        <f t="shared" si="22"/>
        <v/>
      </c>
      <c r="W16">
        <f t="shared" si="22"/>
        <v>11.8</v>
      </c>
      <c r="X16">
        <f t="shared" si="22"/>
        <v>8.1999999999999993</v>
      </c>
      <c r="Y16">
        <f t="shared" si="22"/>
        <v>4.5999999999999996</v>
      </c>
      <c r="Z16">
        <f t="shared" si="22"/>
        <v>6</v>
      </c>
      <c r="AA16">
        <f t="shared" si="22"/>
        <v>3</v>
      </c>
      <c r="AB16" t="str">
        <f t="shared" si="22"/>
        <v/>
      </c>
      <c r="AC16">
        <f t="shared" si="22"/>
        <v>4.5999999999999996</v>
      </c>
      <c r="AD16" t="str">
        <f t="shared" si="22"/>
        <v/>
      </c>
      <c r="AE16" t="str">
        <f t="shared" si="22"/>
        <v/>
      </c>
      <c r="AF16" t="str">
        <f t="shared" si="22"/>
        <v/>
      </c>
      <c r="AG16" t="str">
        <f t="shared" si="22"/>
        <v/>
      </c>
      <c r="AH16" t="str">
        <f t="shared" si="22"/>
        <v/>
      </c>
      <c r="AI16">
        <f t="shared" si="22"/>
        <v>3.4000000000000004</v>
      </c>
      <c r="AJ16">
        <f t="shared" si="22"/>
        <v>1</v>
      </c>
      <c r="AK16" t="str">
        <f t="shared" si="22"/>
        <v/>
      </c>
      <c r="AL16" t="str">
        <f t="shared" si="22"/>
        <v/>
      </c>
      <c r="AM16">
        <f t="shared" si="22"/>
        <v>3</v>
      </c>
      <c r="AN16" t="str">
        <f t="shared" si="22"/>
        <v/>
      </c>
      <c r="AO16" t="str">
        <f t="shared" si="22"/>
        <v/>
      </c>
      <c r="AP16">
        <f t="shared" si="22"/>
        <v>7.4999999999999991</v>
      </c>
      <c r="AQ16">
        <f t="shared" si="22"/>
        <v>3.5999999999999996</v>
      </c>
      <c r="AR16" t="str">
        <f t="shared" si="22"/>
        <v/>
      </c>
      <c r="AS16" t="str">
        <f t="shared" si="22"/>
        <v/>
      </c>
      <c r="AT16" t="str">
        <f t="shared" si="22"/>
        <v/>
      </c>
      <c r="AU16" t="str">
        <f t="shared" si="22"/>
        <v/>
      </c>
      <c r="AV16" t="str">
        <f t="shared" si="22"/>
        <v/>
      </c>
      <c r="AW16">
        <f t="shared" si="22"/>
        <v>3</v>
      </c>
      <c r="AX16" t="str">
        <f t="shared" si="22"/>
        <v/>
      </c>
      <c r="AY16">
        <f t="shared" si="22"/>
        <v>7</v>
      </c>
      <c r="AZ16" t="str">
        <f t="shared" si="22"/>
        <v/>
      </c>
      <c r="BA16">
        <f t="shared" si="22"/>
        <v>11</v>
      </c>
      <c r="BB16">
        <f t="shared" si="22"/>
        <v>5</v>
      </c>
      <c r="BC16" t="str">
        <f t="shared" si="22"/>
        <v/>
      </c>
      <c r="BD16">
        <f t="shared" si="22"/>
        <v>10.1</v>
      </c>
      <c r="BE16">
        <f t="shared" si="22"/>
        <v>9</v>
      </c>
      <c r="BF16">
        <f t="shared" si="22"/>
        <v>1</v>
      </c>
      <c r="BG16" t="str">
        <f t="shared" si="22"/>
        <v/>
      </c>
      <c r="BH16" t="str">
        <f t="shared" si="22"/>
        <v/>
      </c>
      <c r="BI16">
        <f t="shared" si="22"/>
        <v>4</v>
      </c>
      <c r="BJ16" t="str">
        <f t="shared" si="22"/>
        <v/>
      </c>
      <c r="BK16" t="str">
        <f t="shared" si="22"/>
        <v/>
      </c>
      <c r="BL16" t="str">
        <f t="shared" si="22"/>
        <v/>
      </c>
      <c r="BM16">
        <f t="shared" si="22"/>
        <v>3</v>
      </c>
      <c r="BN16">
        <f t="shared" si="22"/>
        <v>8.7999999999999989</v>
      </c>
      <c r="BO16">
        <f t="shared" si="22"/>
        <v>6.1999999999999993</v>
      </c>
      <c r="BP16">
        <f t="shared" ref="BP16:EA16" si="23">IF(OR(BP15=-1,AND(IF(BP$3&lt;$B16,BP15+BP$6,IF(BP$3=$B16,1,""))&gt;$B$1,BP$3&lt;$B16)),-1,IF(BP$3&lt;$B16,BP15+BP$6,IF(BP$3=$B16,1,"")))</f>
        <v>11</v>
      </c>
      <c r="BQ16">
        <f t="shared" si="23"/>
        <v>5</v>
      </c>
      <c r="BR16" t="str">
        <f t="shared" si="23"/>
        <v/>
      </c>
      <c r="BS16">
        <f t="shared" si="23"/>
        <v>7</v>
      </c>
      <c r="BT16">
        <f t="shared" si="23"/>
        <v>5</v>
      </c>
      <c r="BU16">
        <f t="shared" si="23"/>
        <v>2.2000000000000002</v>
      </c>
      <c r="BV16" t="str">
        <f t="shared" si="23"/>
        <v/>
      </c>
      <c r="BW16" t="str">
        <f t="shared" si="23"/>
        <v/>
      </c>
      <c r="BX16" t="str">
        <f t="shared" si="23"/>
        <v/>
      </c>
      <c r="BY16" t="str">
        <f t="shared" si="23"/>
        <v/>
      </c>
      <c r="BZ16" t="str">
        <f t="shared" si="23"/>
        <v/>
      </c>
      <c r="CA16" t="str">
        <f t="shared" si="23"/>
        <v/>
      </c>
      <c r="CB16" t="str">
        <f t="shared" si="23"/>
        <v/>
      </c>
      <c r="CC16" t="str">
        <f t="shared" si="23"/>
        <v/>
      </c>
      <c r="CD16" t="str">
        <f t="shared" si="23"/>
        <v/>
      </c>
      <c r="CE16" t="str">
        <f t="shared" si="23"/>
        <v/>
      </c>
      <c r="CF16" t="str">
        <f t="shared" si="23"/>
        <v/>
      </c>
      <c r="CG16" t="str">
        <f t="shared" si="23"/>
        <v/>
      </c>
      <c r="CH16" t="str">
        <f t="shared" si="23"/>
        <v/>
      </c>
      <c r="CI16" t="str">
        <f t="shared" si="23"/>
        <v/>
      </c>
      <c r="CJ16" t="str">
        <f t="shared" si="23"/>
        <v/>
      </c>
      <c r="CK16" t="str">
        <f t="shared" si="23"/>
        <v/>
      </c>
      <c r="CL16" t="str">
        <f t="shared" si="23"/>
        <v/>
      </c>
      <c r="CM16" t="str">
        <f t="shared" si="23"/>
        <v/>
      </c>
      <c r="CN16" t="str">
        <f t="shared" si="23"/>
        <v/>
      </c>
      <c r="CO16" t="str">
        <f t="shared" si="23"/>
        <v/>
      </c>
      <c r="CP16" t="str">
        <f t="shared" si="23"/>
        <v/>
      </c>
      <c r="CQ16">
        <f t="shared" si="23"/>
        <v>4</v>
      </c>
      <c r="CR16" t="str">
        <f t="shared" si="23"/>
        <v/>
      </c>
      <c r="CS16" t="str">
        <f t="shared" si="23"/>
        <v/>
      </c>
      <c r="CT16">
        <f t="shared" si="23"/>
        <v>8.7999999999999989</v>
      </c>
      <c r="CU16">
        <f t="shared" si="23"/>
        <v>6.1999999999999993</v>
      </c>
      <c r="CV16">
        <f t="shared" si="23"/>
        <v>5.8000000000000007</v>
      </c>
      <c r="CW16" t="str">
        <f t="shared" si="23"/>
        <v/>
      </c>
      <c r="CX16" t="str">
        <f t="shared" si="23"/>
        <v/>
      </c>
      <c r="CY16" t="str">
        <f t="shared" si="23"/>
        <v/>
      </c>
      <c r="CZ16" t="str">
        <f t="shared" si="23"/>
        <v/>
      </c>
      <c r="DA16">
        <f t="shared" si="23"/>
        <v>5</v>
      </c>
      <c r="DB16">
        <f t="shared" si="23"/>
        <v>1</v>
      </c>
      <c r="DC16" t="str">
        <f t="shared" si="23"/>
        <v/>
      </c>
      <c r="DD16" t="str">
        <f t="shared" si="23"/>
        <v/>
      </c>
      <c r="DE16">
        <f t="shared" si="23"/>
        <v>7</v>
      </c>
      <c r="DF16">
        <f t="shared" si="23"/>
        <v>5</v>
      </c>
      <c r="DG16">
        <f t="shared" si="23"/>
        <v>10.1</v>
      </c>
      <c r="DH16">
        <f t="shared" si="23"/>
        <v>8.7999999999999989</v>
      </c>
      <c r="DI16">
        <f t="shared" si="23"/>
        <v>7.4999999999999991</v>
      </c>
      <c r="DJ16">
        <f t="shared" si="23"/>
        <v>6.1999999999999993</v>
      </c>
      <c r="DK16">
        <f t="shared" si="23"/>
        <v>9</v>
      </c>
      <c r="DL16">
        <f t="shared" si="23"/>
        <v>1</v>
      </c>
      <c r="DM16" t="str">
        <f t="shared" si="23"/>
        <v/>
      </c>
      <c r="DN16" t="str">
        <f t="shared" si="23"/>
        <v/>
      </c>
      <c r="DO16" t="str">
        <f t="shared" si="23"/>
        <v/>
      </c>
      <c r="DP16" t="str">
        <f t="shared" si="23"/>
        <v/>
      </c>
      <c r="DQ16">
        <f t="shared" si="23"/>
        <v>8.7999999999999989</v>
      </c>
      <c r="DR16">
        <f t="shared" si="23"/>
        <v>6.1999999999999993</v>
      </c>
      <c r="DS16">
        <f t="shared" si="23"/>
        <v>3</v>
      </c>
      <c r="DT16" t="str">
        <f t="shared" si="23"/>
        <v/>
      </c>
      <c r="DU16" t="str">
        <f t="shared" si="23"/>
        <v/>
      </c>
      <c r="DV16" t="str">
        <f t="shared" si="23"/>
        <v/>
      </c>
      <c r="DW16" t="str">
        <f t="shared" si="23"/>
        <v/>
      </c>
      <c r="DX16" t="str">
        <f t="shared" si="23"/>
        <v/>
      </c>
      <c r="DY16">
        <f t="shared" si="23"/>
        <v>15</v>
      </c>
      <c r="DZ16">
        <f t="shared" si="23"/>
        <v>13</v>
      </c>
      <c r="EA16">
        <f t="shared" si="23"/>
        <v>11</v>
      </c>
      <c r="EB16">
        <f t="shared" ref="EB16:EO16" si="24">IF(OR(EB15=-1,AND(IF(EB$3&lt;$B16,EB15+EB$6,IF(EB$3=$B16,1,""))&gt;$B$1,EB$3&lt;$B16)),-1,IF(EB$3&lt;$B16,EB15+EB$6,IF(EB$3=$B16,1,"")))</f>
        <v>9</v>
      </c>
      <c r="EC16">
        <f t="shared" si="24"/>
        <v>7</v>
      </c>
      <c r="ED16">
        <f t="shared" si="24"/>
        <v>5</v>
      </c>
      <c r="EE16">
        <f t="shared" si="24"/>
        <v>5.8000000000000007</v>
      </c>
      <c r="EF16" t="str">
        <f t="shared" si="24"/>
        <v/>
      </c>
      <c r="EG16" t="str">
        <f t="shared" si="24"/>
        <v/>
      </c>
      <c r="EH16" t="str">
        <f t="shared" si="24"/>
        <v/>
      </c>
      <c r="EI16" t="str">
        <f t="shared" si="24"/>
        <v/>
      </c>
      <c r="EJ16" t="str">
        <f t="shared" si="24"/>
        <v/>
      </c>
      <c r="EK16">
        <f t="shared" si="24"/>
        <v>10.6</v>
      </c>
      <c r="EL16">
        <f t="shared" si="24"/>
        <v>2.6</v>
      </c>
      <c r="EM16" t="str">
        <f t="shared" si="24"/>
        <v/>
      </c>
      <c r="EN16" t="str">
        <f t="shared" si="24"/>
        <v/>
      </c>
      <c r="EO16" t="str">
        <f t="shared" si="24"/>
        <v/>
      </c>
    </row>
    <row r="17" spans="1:145" x14ac:dyDescent="0.15">
      <c r="A17" t="e">
        <f t="shared" si="0"/>
        <v>#N/A</v>
      </c>
      <c r="B17" s="218">
        <v>9</v>
      </c>
      <c r="C17">
        <f t="shared" si="0"/>
        <v>8</v>
      </c>
      <c r="D17">
        <f t="shared" ref="D17:BO17" si="25">IF(OR(D16=-1,AND(IF(D$3&lt;$B17,D16+D$6,IF(D$3=$B17,1,""))&gt;$B$1,D$3&lt;$B17)),-1,IF(D$3&lt;$B17,D16+D$6,IF(D$3=$B17,1,"")))</f>
        <v>6</v>
      </c>
      <c r="E17">
        <f t="shared" si="25"/>
        <v>4</v>
      </c>
      <c r="F17">
        <f t="shared" si="25"/>
        <v>2</v>
      </c>
      <c r="G17" t="str">
        <f t="shared" si="25"/>
        <v/>
      </c>
      <c r="H17" t="str">
        <f t="shared" si="25"/>
        <v/>
      </c>
      <c r="I17">
        <f t="shared" si="25"/>
        <v>1</v>
      </c>
      <c r="J17" t="str">
        <f t="shared" si="25"/>
        <v/>
      </c>
      <c r="K17" t="str">
        <f t="shared" si="25"/>
        <v/>
      </c>
      <c r="L17">
        <f t="shared" si="25"/>
        <v>3.8</v>
      </c>
      <c r="M17" t="str">
        <f t="shared" si="25"/>
        <v/>
      </c>
      <c r="N17" t="str">
        <f t="shared" si="25"/>
        <v/>
      </c>
      <c r="O17">
        <f t="shared" si="25"/>
        <v>8</v>
      </c>
      <c r="P17">
        <f t="shared" si="25"/>
        <v>6</v>
      </c>
      <c r="Q17">
        <f t="shared" si="25"/>
        <v>4</v>
      </c>
      <c r="R17">
        <f t="shared" si="25"/>
        <v>2</v>
      </c>
      <c r="S17" t="str">
        <f t="shared" si="25"/>
        <v/>
      </c>
      <c r="T17">
        <f t="shared" si="25"/>
        <v>11</v>
      </c>
      <c r="U17">
        <f t="shared" si="25"/>
        <v>3</v>
      </c>
      <c r="V17" t="str">
        <f t="shared" si="25"/>
        <v/>
      </c>
      <c r="W17">
        <f t="shared" si="25"/>
        <v>13.600000000000001</v>
      </c>
      <c r="X17">
        <f t="shared" si="25"/>
        <v>10</v>
      </c>
      <c r="Y17">
        <f t="shared" si="25"/>
        <v>6.3999999999999995</v>
      </c>
      <c r="Z17">
        <f t="shared" si="25"/>
        <v>7</v>
      </c>
      <c r="AA17">
        <f t="shared" si="25"/>
        <v>4</v>
      </c>
      <c r="AB17">
        <f t="shared" si="25"/>
        <v>1</v>
      </c>
      <c r="AC17">
        <f t="shared" si="25"/>
        <v>6.3999999999999995</v>
      </c>
      <c r="AD17" t="str">
        <f t="shared" si="25"/>
        <v/>
      </c>
      <c r="AE17" t="str">
        <f t="shared" si="25"/>
        <v/>
      </c>
      <c r="AF17" t="str">
        <f t="shared" si="25"/>
        <v/>
      </c>
      <c r="AG17" t="str">
        <f t="shared" si="25"/>
        <v/>
      </c>
      <c r="AH17" t="str">
        <f t="shared" si="25"/>
        <v/>
      </c>
      <c r="AI17">
        <f t="shared" si="25"/>
        <v>4</v>
      </c>
      <c r="AJ17">
        <f t="shared" si="25"/>
        <v>1.6</v>
      </c>
      <c r="AK17" t="str">
        <f t="shared" si="25"/>
        <v/>
      </c>
      <c r="AL17" t="str">
        <f t="shared" si="25"/>
        <v/>
      </c>
      <c r="AM17">
        <f t="shared" si="25"/>
        <v>4</v>
      </c>
      <c r="AN17" t="str">
        <f t="shared" si="25"/>
        <v/>
      </c>
      <c r="AO17" t="str">
        <f t="shared" si="25"/>
        <v/>
      </c>
      <c r="AP17">
        <f t="shared" si="25"/>
        <v>8.7999999999999989</v>
      </c>
      <c r="AQ17">
        <f t="shared" si="25"/>
        <v>4.8999999999999995</v>
      </c>
      <c r="AR17">
        <f t="shared" si="25"/>
        <v>1</v>
      </c>
      <c r="AS17" t="str">
        <f t="shared" si="25"/>
        <v/>
      </c>
      <c r="AT17" t="str">
        <f t="shared" si="25"/>
        <v/>
      </c>
      <c r="AU17" t="str">
        <f t="shared" si="25"/>
        <v/>
      </c>
      <c r="AV17" t="str">
        <f t="shared" si="25"/>
        <v/>
      </c>
      <c r="AW17">
        <f t="shared" si="25"/>
        <v>4</v>
      </c>
      <c r="AX17" t="str">
        <f t="shared" si="25"/>
        <v/>
      </c>
      <c r="AY17">
        <f t="shared" si="25"/>
        <v>9</v>
      </c>
      <c r="AZ17" t="str">
        <f t="shared" si="25"/>
        <v/>
      </c>
      <c r="BA17">
        <f t="shared" si="25"/>
        <v>13</v>
      </c>
      <c r="BB17">
        <f t="shared" si="25"/>
        <v>7</v>
      </c>
      <c r="BC17">
        <f t="shared" si="25"/>
        <v>1</v>
      </c>
      <c r="BD17">
        <f t="shared" si="25"/>
        <v>11.4</v>
      </c>
      <c r="BE17">
        <f t="shared" si="25"/>
        <v>11</v>
      </c>
      <c r="BF17">
        <f t="shared" si="25"/>
        <v>3</v>
      </c>
      <c r="BG17" t="str">
        <f t="shared" si="25"/>
        <v/>
      </c>
      <c r="BH17" t="str">
        <f t="shared" si="25"/>
        <v/>
      </c>
      <c r="BI17">
        <f t="shared" si="25"/>
        <v>5</v>
      </c>
      <c r="BJ17" t="str">
        <f t="shared" si="25"/>
        <v/>
      </c>
      <c r="BK17" t="str">
        <f t="shared" si="25"/>
        <v/>
      </c>
      <c r="BL17" t="str">
        <f t="shared" si="25"/>
        <v/>
      </c>
      <c r="BM17">
        <f t="shared" si="25"/>
        <v>4</v>
      </c>
      <c r="BN17">
        <f t="shared" si="25"/>
        <v>10.1</v>
      </c>
      <c r="BO17">
        <f t="shared" si="25"/>
        <v>7.4999999999999991</v>
      </c>
      <c r="BP17">
        <f t="shared" ref="BP17:EA17" si="26">IF(OR(BP16=-1,AND(IF(BP$3&lt;$B17,BP16+BP$6,IF(BP$3=$B17,1,""))&gt;$B$1,BP$3&lt;$B17)),-1,IF(BP$3&lt;$B17,BP16+BP$6,IF(BP$3=$B17,1,"")))</f>
        <v>13</v>
      </c>
      <c r="BQ17">
        <f t="shared" si="26"/>
        <v>7</v>
      </c>
      <c r="BR17">
        <f t="shared" si="26"/>
        <v>1</v>
      </c>
      <c r="BS17">
        <f t="shared" si="26"/>
        <v>8</v>
      </c>
      <c r="BT17">
        <f t="shared" si="26"/>
        <v>6</v>
      </c>
      <c r="BU17">
        <f t="shared" si="26"/>
        <v>2.8000000000000003</v>
      </c>
      <c r="BV17" t="str">
        <f t="shared" si="26"/>
        <v/>
      </c>
      <c r="BW17" t="str">
        <f t="shared" si="26"/>
        <v/>
      </c>
      <c r="BX17" t="str">
        <f t="shared" si="26"/>
        <v/>
      </c>
      <c r="BY17" t="str">
        <f t="shared" si="26"/>
        <v/>
      </c>
      <c r="BZ17" t="str">
        <f t="shared" si="26"/>
        <v/>
      </c>
      <c r="CA17" t="str">
        <f t="shared" si="26"/>
        <v/>
      </c>
      <c r="CB17" t="str">
        <f t="shared" si="26"/>
        <v/>
      </c>
      <c r="CC17" t="str">
        <f t="shared" si="26"/>
        <v/>
      </c>
      <c r="CD17" t="str">
        <f t="shared" si="26"/>
        <v/>
      </c>
      <c r="CE17" t="str">
        <f t="shared" si="26"/>
        <v/>
      </c>
      <c r="CF17" t="str">
        <f t="shared" si="26"/>
        <v/>
      </c>
      <c r="CG17" t="str">
        <f t="shared" si="26"/>
        <v/>
      </c>
      <c r="CH17" t="str">
        <f t="shared" si="26"/>
        <v/>
      </c>
      <c r="CI17" t="str">
        <f t="shared" si="26"/>
        <v/>
      </c>
      <c r="CJ17" t="str">
        <f t="shared" si="26"/>
        <v/>
      </c>
      <c r="CK17" t="str">
        <f t="shared" si="26"/>
        <v/>
      </c>
      <c r="CL17" t="str">
        <f t="shared" si="26"/>
        <v/>
      </c>
      <c r="CM17" t="str">
        <f t="shared" si="26"/>
        <v/>
      </c>
      <c r="CN17" t="str">
        <f t="shared" si="26"/>
        <v/>
      </c>
      <c r="CO17" t="str">
        <f t="shared" si="26"/>
        <v/>
      </c>
      <c r="CP17" t="str">
        <f t="shared" si="26"/>
        <v/>
      </c>
      <c r="CQ17">
        <f t="shared" si="26"/>
        <v>5</v>
      </c>
      <c r="CR17" t="str">
        <f t="shared" si="26"/>
        <v/>
      </c>
      <c r="CS17" t="str">
        <f t="shared" si="26"/>
        <v/>
      </c>
      <c r="CT17">
        <f t="shared" si="26"/>
        <v>10.1</v>
      </c>
      <c r="CU17">
        <f t="shared" si="26"/>
        <v>7.4999999999999991</v>
      </c>
      <c r="CV17">
        <f t="shared" si="26"/>
        <v>7.4</v>
      </c>
      <c r="CW17" t="str">
        <f t="shared" si="26"/>
        <v/>
      </c>
      <c r="CX17" t="str">
        <f t="shared" si="26"/>
        <v/>
      </c>
      <c r="CY17" t="str">
        <f t="shared" si="26"/>
        <v/>
      </c>
      <c r="CZ17" t="str">
        <f t="shared" si="26"/>
        <v/>
      </c>
      <c r="DA17">
        <f t="shared" si="26"/>
        <v>6</v>
      </c>
      <c r="DB17">
        <f t="shared" si="26"/>
        <v>2</v>
      </c>
      <c r="DC17" t="str">
        <f t="shared" si="26"/>
        <v/>
      </c>
      <c r="DD17" t="str">
        <f t="shared" si="26"/>
        <v/>
      </c>
      <c r="DE17">
        <f t="shared" si="26"/>
        <v>8</v>
      </c>
      <c r="DF17">
        <f t="shared" si="26"/>
        <v>6</v>
      </c>
      <c r="DG17">
        <f t="shared" si="26"/>
        <v>11.4</v>
      </c>
      <c r="DH17">
        <f t="shared" si="26"/>
        <v>10.1</v>
      </c>
      <c r="DI17">
        <f t="shared" si="26"/>
        <v>8.7999999999999989</v>
      </c>
      <c r="DJ17">
        <f t="shared" si="26"/>
        <v>7.4999999999999991</v>
      </c>
      <c r="DK17">
        <f t="shared" si="26"/>
        <v>11</v>
      </c>
      <c r="DL17">
        <f t="shared" si="26"/>
        <v>3</v>
      </c>
      <c r="DM17" t="str">
        <f t="shared" si="26"/>
        <v/>
      </c>
      <c r="DN17" t="str">
        <f t="shared" si="26"/>
        <v/>
      </c>
      <c r="DO17" t="str">
        <f t="shared" si="26"/>
        <v/>
      </c>
      <c r="DP17" t="str">
        <f t="shared" si="26"/>
        <v/>
      </c>
      <c r="DQ17">
        <f t="shared" si="26"/>
        <v>10.1</v>
      </c>
      <c r="DR17">
        <f t="shared" si="26"/>
        <v>7.4999999999999991</v>
      </c>
      <c r="DS17">
        <f t="shared" si="26"/>
        <v>4</v>
      </c>
      <c r="DT17" t="str">
        <f t="shared" si="26"/>
        <v/>
      </c>
      <c r="DU17" t="str">
        <f t="shared" si="26"/>
        <v/>
      </c>
      <c r="DV17" t="str">
        <f t="shared" si="26"/>
        <v/>
      </c>
      <c r="DW17" t="str">
        <f t="shared" si="26"/>
        <v/>
      </c>
      <c r="DX17" t="str">
        <f t="shared" si="26"/>
        <v/>
      </c>
      <c r="DY17">
        <f t="shared" si="26"/>
        <v>17</v>
      </c>
      <c r="DZ17">
        <f t="shared" si="26"/>
        <v>15</v>
      </c>
      <c r="EA17">
        <f t="shared" si="26"/>
        <v>13</v>
      </c>
      <c r="EB17">
        <f t="shared" ref="EB17:EO17" si="27">IF(OR(EB16=-1,AND(IF(EB$3&lt;$B17,EB16+EB$6,IF(EB$3=$B17,1,""))&gt;$B$1,EB$3&lt;$B17)),-1,IF(EB$3&lt;$B17,EB16+EB$6,IF(EB$3=$B17,1,"")))</f>
        <v>11</v>
      </c>
      <c r="EC17">
        <f t="shared" si="27"/>
        <v>9</v>
      </c>
      <c r="ED17">
        <f t="shared" si="27"/>
        <v>7</v>
      </c>
      <c r="EE17">
        <f t="shared" si="27"/>
        <v>7.4</v>
      </c>
      <c r="EF17" t="str">
        <f t="shared" si="27"/>
        <v/>
      </c>
      <c r="EG17" t="str">
        <f t="shared" si="27"/>
        <v/>
      </c>
      <c r="EH17" t="str">
        <f t="shared" si="27"/>
        <v/>
      </c>
      <c r="EI17" t="str">
        <f t="shared" si="27"/>
        <v/>
      </c>
      <c r="EJ17" t="str">
        <f t="shared" si="27"/>
        <v/>
      </c>
      <c r="EK17">
        <f t="shared" si="27"/>
        <v>12.2</v>
      </c>
      <c r="EL17">
        <f t="shared" si="27"/>
        <v>4.2</v>
      </c>
      <c r="EM17" t="str">
        <f t="shared" si="27"/>
        <v/>
      </c>
      <c r="EN17" t="str">
        <f t="shared" si="27"/>
        <v/>
      </c>
      <c r="EO17" t="str">
        <f t="shared" si="27"/>
        <v/>
      </c>
    </row>
    <row r="18" spans="1:145" x14ac:dyDescent="0.15">
      <c r="A18" t="e">
        <f t="shared" si="0"/>
        <v>#N/A</v>
      </c>
      <c r="B18" s="218">
        <v>10</v>
      </c>
      <c r="C18">
        <f t="shared" si="0"/>
        <v>9</v>
      </c>
      <c r="D18">
        <f t="shared" ref="D18:BO18" si="28">IF(OR(D17=-1,AND(IF(D$3&lt;$B18,D17+D$6,IF(D$3=$B18,1,""))&gt;$B$1,D$3&lt;$B18)),-1,IF(D$3&lt;$B18,D17+D$6,IF(D$3=$B18,1,"")))</f>
        <v>7</v>
      </c>
      <c r="E18">
        <f t="shared" si="28"/>
        <v>5</v>
      </c>
      <c r="F18">
        <f t="shared" si="28"/>
        <v>3</v>
      </c>
      <c r="G18">
        <f t="shared" si="28"/>
        <v>1</v>
      </c>
      <c r="H18" t="str">
        <f t="shared" si="28"/>
        <v/>
      </c>
      <c r="I18">
        <f t="shared" si="28"/>
        <v>2.2999999999999998</v>
      </c>
      <c r="J18" t="str">
        <f t="shared" si="28"/>
        <v/>
      </c>
      <c r="K18" t="str">
        <f t="shared" si="28"/>
        <v/>
      </c>
      <c r="L18">
        <f t="shared" si="28"/>
        <v>4.5</v>
      </c>
      <c r="M18">
        <f t="shared" si="28"/>
        <v>1</v>
      </c>
      <c r="N18" t="str">
        <f t="shared" si="28"/>
        <v/>
      </c>
      <c r="O18">
        <f t="shared" si="28"/>
        <v>9</v>
      </c>
      <c r="P18">
        <f t="shared" si="28"/>
        <v>7</v>
      </c>
      <c r="Q18">
        <f t="shared" si="28"/>
        <v>5</v>
      </c>
      <c r="R18">
        <f t="shared" si="28"/>
        <v>3</v>
      </c>
      <c r="S18">
        <f t="shared" si="28"/>
        <v>1</v>
      </c>
      <c r="T18">
        <f t="shared" si="28"/>
        <v>13</v>
      </c>
      <c r="U18">
        <f t="shared" si="28"/>
        <v>5</v>
      </c>
      <c r="V18" t="str">
        <f t="shared" si="28"/>
        <v/>
      </c>
      <c r="W18">
        <f t="shared" si="28"/>
        <v>15.400000000000002</v>
      </c>
      <c r="X18">
        <f t="shared" si="28"/>
        <v>11.8</v>
      </c>
      <c r="Y18">
        <f t="shared" si="28"/>
        <v>8.1999999999999993</v>
      </c>
      <c r="Z18">
        <f t="shared" si="28"/>
        <v>8</v>
      </c>
      <c r="AA18">
        <f t="shared" si="28"/>
        <v>5</v>
      </c>
      <c r="AB18">
        <f t="shared" si="28"/>
        <v>2</v>
      </c>
      <c r="AC18">
        <f t="shared" si="28"/>
        <v>8.1999999999999993</v>
      </c>
      <c r="AD18" t="str">
        <f t="shared" si="28"/>
        <v/>
      </c>
      <c r="AE18" t="str">
        <f t="shared" si="28"/>
        <v/>
      </c>
      <c r="AF18" t="str">
        <f t="shared" si="28"/>
        <v/>
      </c>
      <c r="AG18" t="str">
        <f t="shared" si="28"/>
        <v/>
      </c>
      <c r="AH18" t="str">
        <f t="shared" si="28"/>
        <v/>
      </c>
      <c r="AI18">
        <f t="shared" si="28"/>
        <v>4.5999999999999996</v>
      </c>
      <c r="AJ18">
        <f t="shared" si="28"/>
        <v>2.2000000000000002</v>
      </c>
      <c r="AK18" t="str">
        <f t="shared" si="28"/>
        <v/>
      </c>
      <c r="AL18" t="str">
        <f t="shared" si="28"/>
        <v/>
      </c>
      <c r="AM18">
        <f t="shared" si="28"/>
        <v>5</v>
      </c>
      <c r="AN18" t="str">
        <f t="shared" si="28"/>
        <v/>
      </c>
      <c r="AO18" t="str">
        <f t="shared" si="28"/>
        <v/>
      </c>
      <c r="AP18">
        <f t="shared" si="28"/>
        <v>10.1</v>
      </c>
      <c r="AQ18">
        <f t="shared" si="28"/>
        <v>6.1999999999999993</v>
      </c>
      <c r="AR18">
        <f t="shared" si="28"/>
        <v>2.2999999999999998</v>
      </c>
      <c r="AS18" t="str">
        <f t="shared" si="28"/>
        <v/>
      </c>
      <c r="AT18" t="str">
        <f t="shared" si="28"/>
        <v/>
      </c>
      <c r="AU18" t="str">
        <f t="shared" si="28"/>
        <v/>
      </c>
      <c r="AV18" t="str">
        <f t="shared" si="28"/>
        <v/>
      </c>
      <c r="AW18">
        <f t="shared" si="28"/>
        <v>5</v>
      </c>
      <c r="AX18" t="str">
        <f t="shared" si="28"/>
        <v/>
      </c>
      <c r="AY18">
        <f t="shared" si="28"/>
        <v>11</v>
      </c>
      <c r="AZ18">
        <f t="shared" si="28"/>
        <v>1</v>
      </c>
      <c r="BA18">
        <f t="shared" si="28"/>
        <v>15</v>
      </c>
      <c r="BB18">
        <f t="shared" si="28"/>
        <v>9</v>
      </c>
      <c r="BC18">
        <f t="shared" si="28"/>
        <v>3</v>
      </c>
      <c r="BD18">
        <f t="shared" si="28"/>
        <v>12.700000000000001</v>
      </c>
      <c r="BE18">
        <f t="shared" si="28"/>
        <v>13</v>
      </c>
      <c r="BF18">
        <f t="shared" si="28"/>
        <v>5</v>
      </c>
      <c r="BG18" t="str">
        <f t="shared" si="28"/>
        <v/>
      </c>
      <c r="BH18" t="str">
        <f t="shared" si="28"/>
        <v/>
      </c>
      <c r="BI18">
        <f t="shared" si="28"/>
        <v>6</v>
      </c>
      <c r="BJ18">
        <f t="shared" si="28"/>
        <v>1</v>
      </c>
      <c r="BK18" t="str">
        <f t="shared" si="28"/>
        <v/>
      </c>
      <c r="BL18" t="str">
        <f t="shared" si="28"/>
        <v/>
      </c>
      <c r="BM18">
        <f t="shared" si="28"/>
        <v>5</v>
      </c>
      <c r="BN18">
        <f t="shared" si="28"/>
        <v>11.4</v>
      </c>
      <c r="BO18">
        <f t="shared" si="28"/>
        <v>8.7999999999999989</v>
      </c>
      <c r="BP18">
        <f t="shared" ref="BP18:EA18" si="29">IF(OR(BP17=-1,AND(IF(BP$3&lt;$B18,BP17+BP$6,IF(BP$3=$B18,1,""))&gt;$B$1,BP$3&lt;$B18)),-1,IF(BP$3&lt;$B18,BP17+BP$6,IF(BP$3=$B18,1,"")))</f>
        <v>15</v>
      </c>
      <c r="BQ18">
        <f t="shared" si="29"/>
        <v>9</v>
      </c>
      <c r="BR18">
        <f t="shared" si="29"/>
        <v>3</v>
      </c>
      <c r="BS18">
        <f t="shared" si="29"/>
        <v>9</v>
      </c>
      <c r="BT18">
        <f t="shared" si="29"/>
        <v>7</v>
      </c>
      <c r="BU18">
        <f t="shared" si="29"/>
        <v>3.4000000000000004</v>
      </c>
      <c r="BV18" t="str">
        <f t="shared" si="29"/>
        <v/>
      </c>
      <c r="BW18" t="str">
        <f t="shared" si="29"/>
        <v/>
      </c>
      <c r="BX18" t="str">
        <f t="shared" si="29"/>
        <v/>
      </c>
      <c r="BY18" t="str">
        <f t="shared" si="29"/>
        <v/>
      </c>
      <c r="BZ18" t="str">
        <f t="shared" si="29"/>
        <v/>
      </c>
      <c r="CA18" t="str">
        <f t="shared" si="29"/>
        <v/>
      </c>
      <c r="CB18" t="str">
        <f t="shared" si="29"/>
        <v/>
      </c>
      <c r="CC18" t="str">
        <f t="shared" si="29"/>
        <v/>
      </c>
      <c r="CD18" t="str">
        <f t="shared" si="29"/>
        <v/>
      </c>
      <c r="CE18" t="str">
        <f t="shared" si="29"/>
        <v/>
      </c>
      <c r="CF18" t="str">
        <f t="shared" si="29"/>
        <v/>
      </c>
      <c r="CG18" t="str">
        <f t="shared" si="29"/>
        <v/>
      </c>
      <c r="CH18" t="str">
        <f t="shared" si="29"/>
        <v/>
      </c>
      <c r="CI18" t="str">
        <f t="shared" si="29"/>
        <v/>
      </c>
      <c r="CJ18" t="str">
        <f t="shared" si="29"/>
        <v/>
      </c>
      <c r="CK18" t="str">
        <f t="shared" si="29"/>
        <v/>
      </c>
      <c r="CL18" t="str">
        <f t="shared" si="29"/>
        <v/>
      </c>
      <c r="CM18" t="str">
        <f t="shared" si="29"/>
        <v/>
      </c>
      <c r="CN18" t="str">
        <f t="shared" si="29"/>
        <v/>
      </c>
      <c r="CO18" t="str">
        <f t="shared" si="29"/>
        <v/>
      </c>
      <c r="CP18" t="str">
        <f t="shared" si="29"/>
        <v/>
      </c>
      <c r="CQ18">
        <f t="shared" si="29"/>
        <v>6</v>
      </c>
      <c r="CR18">
        <f t="shared" si="29"/>
        <v>1</v>
      </c>
      <c r="CS18" t="str">
        <f t="shared" si="29"/>
        <v/>
      </c>
      <c r="CT18">
        <f t="shared" si="29"/>
        <v>11.4</v>
      </c>
      <c r="CU18">
        <f t="shared" si="29"/>
        <v>8.7999999999999989</v>
      </c>
      <c r="CV18">
        <f t="shared" si="29"/>
        <v>9</v>
      </c>
      <c r="CW18">
        <f t="shared" si="29"/>
        <v>1</v>
      </c>
      <c r="CX18" t="str">
        <f t="shared" si="29"/>
        <v/>
      </c>
      <c r="CY18" t="str">
        <f t="shared" si="29"/>
        <v/>
      </c>
      <c r="CZ18" t="str">
        <f t="shared" si="29"/>
        <v/>
      </c>
      <c r="DA18">
        <f t="shared" si="29"/>
        <v>7</v>
      </c>
      <c r="DB18">
        <f t="shared" si="29"/>
        <v>3</v>
      </c>
      <c r="DC18" t="str">
        <f t="shared" si="29"/>
        <v/>
      </c>
      <c r="DD18" t="str">
        <f t="shared" si="29"/>
        <v/>
      </c>
      <c r="DE18">
        <f t="shared" si="29"/>
        <v>9</v>
      </c>
      <c r="DF18">
        <f t="shared" si="29"/>
        <v>7</v>
      </c>
      <c r="DG18">
        <f t="shared" si="29"/>
        <v>12.700000000000001</v>
      </c>
      <c r="DH18">
        <f t="shared" si="29"/>
        <v>11.4</v>
      </c>
      <c r="DI18">
        <f t="shared" si="29"/>
        <v>10.1</v>
      </c>
      <c r="DJ18">
        <f t="shared" si="29"/>
        <v>8.7999999999999989</v>
      </c>
      <c r="DK18">
        <f t="shared" si="29"/>
        <v>13</v>
      </c>
      <c r="DL18">
        <f t="shared" si="29"/>
        <v>5</v>
      </c>
      <c r="DM18" t="str">
        <f t="shared" si="29"/>
        <v/>
      </c>
      <c r="DN18" t="str">
        <f t="shared" si="29"/>
        <v/>
      </c>
      <c r="DO18" t="str">
        <f t="shared" si="29"/>
        <v/>
      </c>
      <c r="DP18" t="str">
        <f t="shared" si="29"/>
        <v/>
      </c>
      <c r="DQ18">
        <f t="shared" si="29"/>
        <v>11.4</v>
      </c>
      <c r="DR18">
        <f t="shared" si="29"/>
        <v>8.7999999999999989</v>
      </c>
      <c r="DS18">
        <f t="shared" si="29"/>
        <v>5</v>
      </c>
      <c r="DT18" t="str">
        <f t="shared" si="29"/>
        <v/>
      </c>
      <c r="DU18" t="str">
        <f t="shared" si="29"/>
        <v/>
      </c>
      <c r="DV18" t="str">
        <f t="shared" si="29"/>
        <v/>
      </c>
      <c r="DW18" t="str">
        <f t="shared" si="29"/>
        <v/>
      </c>
      <c r="DX18" t="str">
        <f t="shared" si="29"/>
        <v/>
      </c>
      <c r="DY18">
        <f t="shared" si="29"/>
        <v>19</v>
      </c>
      <c r="DZ18">
        <f t="shared" si="29"/>
        <v>17</v>
      </c>
      <c r="EA18">
        <f t="shared" si="29"/>
        <v>15</v>
      </c>
      <c r="EB18">
        <f t="shared" ref="EB18:EO18" si="30">IF(OR(EB17=-1,AND(IF(EB$3&lt;$B18,EB17+EB$6,IF(EB$3=$B18,1,""))&gt;$B$1,EB$3&lt;$B18)),-1,IF(EB$3&lt;$B18,EB17+EB$6,IF(EB$3=$B18,1,"")))</f>
        <v>13</v>
      </c>
      <c r="EC18">
        <f t="shared" si="30"/>
        <v>11</v>
      </c>
      <c r="ED18">
        <f t="shared" si="30"/>
        <v>9</v>
      </c>
      <c r="EE18">
        <f t="shared" si="30"/>
        <v>9</v>
      </c>
      <c r="EF18">
        <f t="shared" si="30"/>
        <v>1</v>
      </c>
      <c r="EG18" t="str">
        <f t="shared" si="30"/>
        <v/>
      </c>
      <c r="EH18" t="str">
        <f t="shared" si="30"/>
        <v/>
      </c>
      <c r="EI18" t="str">
        <f t="shared" si="30"/>
        <v/>
      </c>
      <c r="EJ18" t="str">
        <f t="shared" si="30"/>
        <v/>
      </c>
      <c r="EK18">
        <f t="shared" si="30"/>
        <v>13.799999999999999</v>
      </c>
      <c r="EL18">
        <f t="shared" si="30"/>
        <v>5.8000000000000007</v>
      </c>
      <c r="EM18" t="str">
        <f t="shared" si="30"/>
        <v/>
      </c>
      <c r="EN18" t="str">
        <f t="shared" si="30"/>
        <v/>
      </c>
      <c r="EO18" t="str">
        <f t="shared" si="30"/>
        <v/>
      </c>
    </row>
    <row r="19" spans="1:145" x14ac:dyDescent="0.15">
      <c r="A19" t="e">
        <f t="shared" si="0"/>
        <v>#N/A</v>
      </c>
      <c r="B19" s="218">
        <v>11</v>
      </c>
      <c r="C19">
        <f t="shared" si="0"/>
        <v>10</v>
      </c>
      <c r="D19">
        <f t="shared" ref="D19:BO19" si="31">IF(OR(D18=-1,AND(IF(D$3&lt;$B19,D18+D$6,IF(D$3=$B19,1,""))&gt;$B$1,D$3&lt;$B19)),-1,IF(D$3&lt;$B19,D18+D$6,IF(D$3=$B19,1,"")))</f>
        <v>8</v>
      </c>
      <c r="E19">
        <f t="shared" si="31"/>
        <v>6</v>
      </c>
      <c r="F19">
        <f t="shared" si="31"/>
        <v>4</v>
      </c>
      <c r="G19">
        <f t="shared" si="31"/>
        <v>2</v>
      </c>
      <c r="H19" t="str">
        <f t="shared" si="31"/>
        <v/>
      </c>
      <c r="I19">
        <f t="shared" si="31"/>
        <v>3.5999999999999996</v>
      </c>
      <c r="J19" t="str">
        <f t="shared" si="31"/>
        <v/>
      </c>
      <c r="K19" t="str">
        <f t="shared" si="31"/>
        <v/>
      </c>
      <c r="L19">
        <f t="shared" si="31"/>
        <v>5.2</v>
      </c>
      <c r="M19">
        <f t="shared" si="31"/>
        <v>1.7</v>
      </c>
      <c r="N19" t="str">
        <f t="shared" si="31"/>
        <v/>
      </c>
      <c r="O19">
        <f t="shared" si="31"/>
        <v>10</v>
      </c>
      <c r="P19">
        <f t="shared" si="31"/>
        <v>8</v>
      </c>
      <c r="Q19">
        <f t="shared" si="31"/>
        <v>6</v>
      </c>
      <c r="R19">
        <f t="shared" si="31"/>
        <v>4</v>
      </c>
      <c r="S19">
        <f t="shared" si="31"/>
        <v>2</v>
      </c>
      <c r="T19">
        <f t="shared" si="31"/>
        <v>15</v>
      </c>
      <c r="U19">
        <f t="shared" si="31"/>
        <v>7</v>
      </c>
      <c r="V19" t="str">
        <f t="shared" si="31"/>
        <v/>
      </c>
      <c r="W19">
        <f t="shared" si="31"/>
        <v>17.200000000000003</v>
      </c>
      <c r="X19">
        <f t="shared" si="31"/>
        <v>13.600000000000001</v>
      </c>
      <c r="Y19">
        <f t="shared" si="31"/>
        <v>10</v>
      </c>
      <c r="Z19">
        <f t="shared" si="31"/>
        <v>9</v>
      </c>
      <c r="AA19">
        <f t="shared" si="31"/>
        <v>6</v>
      </c>
      <c r="AB19">
        <f t="shared" si="31"/>
        <v>3</v>
      </c>
      <c r="AC19">
        <f t="shared" si="31"/>
        <v>10</v>
      </c>
      <c r="AD19" t="str">
        <f t="shared" si="31"/>
        <v/>
      </c>
      <c r="AE19" t="str">
        <f t="shared" si="31"/>
        <v/>
      </c>
      <c r="AF19" t="str">
        <f t="shared" si="31"/>
        <v/>
      </c>
      <c r="AG19" t="str">
        <f t="shared" si="31"/>
        <v/>
      </c>
      <c r="AH19" t="str">
        <f t="shared" si="31"/>
        <v/>
      </c>
      <c r="AI19">
        <f t="shared" si="31"/>
        <v>5.1999999999999993</v>
      </c>
      <c r="AJ19">
        <f t="shared" si="31"/>
        <v>2.8000000000000003</v>
      </c>
      <c r="AK19" t="str">
        <f t="shared" si="31"/>
        <v/>
      </c>
      <c r="AL19" t="str">
        <f t="shared" si="31"/>
        <v/>
      </c>
      <c r="AM19">
        <f t="shared" si="31"/>
        <v>6</v>
      </c>
      <c r="AN19" t="str">
        <f t="shared" si="31"/>
        <v/>
      </c>
      <c r="AO19" t="str">
        <f t="shared" si="31"/>
        <v/>
      </c>
      <c r="AP19">
        <f t="shared" si="31"/>
        <v>11.4</v>
      </c>
      <c r="AQ19">
        <f t="shared" si="31"/>
        <v>7.4999999999999991</v>
      </c>
      <c r="AR19">
        <f t="shared" si="31"/>
        <v>3.5999999999999996</v>
      </c>
      <c r="AS19" t="str">
        <f t="shared" si="31"/>
        <v/>
      </c>
      <c r="AT19" t="str">
        <f t="shared" si="31"/>
        <v/>
      </c>
      <c r="AU19" t="str">
        <f t="shared" si="31"/>
        <v/>
      </c>
      <c r="AV19" t="str">
        <f t="shared" si="31"/>
        <v/>
      </c>
      <c r="AW19">
        <f t="shared" si="31"/>
        <v>6</v>
      </c>
      <c r="AX19" t="str">
        <f t="shared" si="31"/>
        <v/>
      </c>
      <c r="AY19">
        <f t="shared" si="31"/>
        <v>13</v>
      </c>
      <c r="AZ19">
        <f t="shared" si="31"/>
        <v>3</v>
      </c>
      <c r="BA19">
        <f t="shared" si="31"/>
        <v>17</v>
      </c>
      <c r="BB19">
        <f t="shared" si="31"/>
        <v>11</v>
      </c>
      <c r="BC19">
        <f t="shared" si="31"/>
        <v>5</v>
      </c>
      <c r="BD19">
        <f t="shared" si="31"/>
        <v>14.000000000000002</v>
      </c>
      <c r="BE19">
        <f t="shared" si="31"/>
        <v>15</v>
      </c>
      <c r="BF19">
        <f t="shared" si="31"/>
        <v>7</v>
      </c>
      <c r="BG19" t="str">
        <f t="shared" si="31"/>
        <v/>
      </c>
      <c r="BH19" t="str">
        <f t="shared" si="31"/>
        <v/>
      </c>
      <c r="BI19">
        <f t="shared" si="31"/>
        <v>7</v>
      </c>
      <c r="BJ19">
        <f t="shared" si="31"/>
        <v>2</v>
      </c>
      <c r="BK19" t="str">
        <f t="shared" si="31"/>
        <v/>
      </c>
      <c r="BL19" t="str">
        <f t="shared" si="31"/>
        <v/>
      </c>
      <c r="BM19">
        <f t="shared" si="31"/>
        <v>6</v>
      </c>
      <c r="BN19">
        <f t="shared" si="31"/>
        <v>12.700000000000001</v>
      </c>
      <c r="BO19">
        <f t="shared" si="31"/>
        <v>10.1</v>
      </c>
      <c r="BP19">
        <f t="shared" ref="BP19:EA19" si="32">IF(OR(BP18=-1,AND(IF(BP$3&lt;$B19,BP18+BP$6,IF(BP$3=$B19,1,""))&gt;$B$1,BP$3&lt;$B19)),-1,IF(BP$3&lt;$B19,BP18+BP$6,IF(BP$3=$B19,1,"")))</f>
        <v>17</v>
      </c>
      <c r="BQ19">
        <f t="shared" si="32"/>
        <v>11</v>
      </c>
      <c r="BR19">
        <f t="shared" si="32"/>
        <v>5</v>
      </c>
      <c r="BS19">
        <f t="shared" si="32"/>
        <v>10</v>
      </c>
      <c r="BT19">
        <f t="shared" si="32"/>
        <v>8</v>
      </c>
      <c r="BU19">
        <f t="shared" si="32"/>
        <v>4</v>
      </c>
      <c r="BV19" t="str">
        <f t="shared" si="32"/>
        <v/>
      </c>
      <c r="BW19" t="str">
        <f t="shared" si="32"/>
        <v/>
      </c>
      <c r="BX19" t="str">
        <f t="shared" si="32"/>
        <v/>
      </c>
      <c r="BY19" t="str">
        <f t="shared" si="32"/>
        <v/>
      </c>
      <c r="BZ19" t="str">
        <f t="shared" si="32"/>
        <v/>
      </c>
      <c r="CA19" t="str">
        <f t="shared" si="32"/>
        <v/>
      </c>
      <c r="CB19" t="str">
        <f t="shared" si="32"/>
        <v/>
      </c>
      <c r="CC19" t="str">
        <f t="shared" si="32"/>
        <v/>
      </c>
      <c r="CD19" t="str">
        <f t="shared" si="32"/>
        <v/>
      </c>
      <c r="CE19" t="str">
        <f t="shared" si="32"/>
        <v/>
      </c>
      <c r="CF19" t="str">
        <f t="shared" si="32"/>
        <v/>
      </c>
      <c r="CG19" t="str">
        <f t="shared" si="32"/>
        <v/>
      </c>
      <c r="CH19" t="str">
        <f t="shared" si="32"/>
        <v/>
      </c>
      <c r="CI19" t="str">
        <f t="shared" si="32"/>
        <v/>
      </c>
      <c r="CJ19" t="str">
        <f t="shared" si="32"/>
        <v/>
      </c>
      <c r="CK19" t="str">
        <f t="shared" si="32"/>
        <v/>
      </c>
      <c r="CL19" t="str">
        <f t="shared" si="32"/>
        <v/>
      </c>
      <c r="CM19" t="str">
        <f t="shared" si="32"/>
        <v/>
      </c>
      <c r="CN19" t="str">
        <f t="shared" si="32"/>
        <v/>
      </c>
      <c r="CO19" t="str">
        <f t="shared" si="32"/>
        <v/>
      </c>
      <c r="CP19" t="str">
        <f t="shared" si="32"/>
        <v/>
      </c>
      <c r="CQ19">
        <f t="shared" si="32"/>
        <v>7</v>
      </c>
      <c r="CR19">
        <f t="shared" si="32"/>
        <v>2</v>
      </c>
      <c r="CS19" t="str">
        <f t="shared" si="32"/>
        <v/>
      </c>
      <c r="CT19">
        <f t="shared" si="32"/>
        <v>12.700000000000001</v>
      </c>
      <c r="CU19">
        <f t="shared" si="32"/>
        <v>10.1</v>
      </c>
      <c r="CV19">
        <f t="shared" si="32"/>
        <v>10.6</v>
      </c>
      <c r="CW19">
        <f t="shared" si="32"/>
        <v>2.6</v>
      </c>
      <c r="CX19" t="str">
        <f t="shared" si="32"/>
        <v/>
      </c>
      <c r="CY19" t="str">
        <f t="shared" si="32"/>
        <v/>
      </c>
      <c r="CZ19" t="str">
        <f t="shared" si="32"/>
        <v/>
      </c>
      <c r="DA19">
        <f t="shared" si="32"/>
        <v>8</v>
      </c>
      <c r="DB19">
        <f t="shared" si="32"/>
        <v>4</v>
      </c>
      <c r="DC19" t="str">
        <f t="shared" si="32"/>
        <v/>
      </c>
      <c r="DD19" t="str">
        <f t="shared" si="32"/>
        <v/>
      </c>
      <c r="DE19">
        <f t="shared" si="32"/>
        <v>10</v>
      </c>
      <c r="DF19">
        <f t="shared" si="32"/>
        <v>8</v>
      </c>
      <c r="DG19">
        <f t="shared" si="32"/>
        <v>14.000000000000002</v>
      </c>
      <c r="DH19">
        <f t="shared" si="32"/>
        <v>12.700000000000001</v>
      </c>
      <c r="DI19">
        <f t="shared" si="32"/>
        <v>11.4</v>
      </c>
      <c r="DJ19">
        <f t="shared" si="32"/>
        <v>10.1</v>
      </c>
      <c r="DK19">
        <f t="shared" si="32"/>
        <v>15</v>
      </c>
      <c r="DL19">
        <f t="shared" si="32"/>
        <v>7</v>
      </c>
      <c r="DM19" t="str">
        <f t="shared" si="32"/>
        <v/>
      </c>
      <c r="DN19" t="str">
        <f t="shared" si="32"/>
        <v/>
      </c>
      <c r="DO19" t="str">
        <f t="shared" si="32"/>
        <v/>
      </c>
      <c r="DP19" t="str">
        <f t="shared" si="32"/>
        <v/>
      </c>
      <c r="DQ19">
        <f t="shared" si="32"/>
        <v>12.700000000000001</v>
      </c>
      <c r="DR19">
        <f t="shared" si="32"/>
        <v>10.1</v>
      </c>
      <c r="DS19">
        <f t="shared" si="32"/>
        <v>6</v>
      </c>
      <c r="DT19" t="str">
        <f t="shared" si="32"/>
        <v/>
      </c>
      <c r="DU19" t="str">
        <f t="shared" si="32"/>
        <v/>
      </c>
      <c r="DV19" t="str">
        <f t="shared" si="32"/>
        <v/>
      </c>
      <c r="DW19" t="str">
        <f t="shared" si="32"/>
        <v/>
      </c>
      <c r="DX19" t="str">
        <f t="shared" si="32"/>
        <v/>
      </c>
      <c r="DY19">
        <f t="shared" si="32"/>
        <v>21</v>
      </c>
      <c r="DZ19">
        <f t="shared" si="32"/>
        <v>19</v>
      </c>
      <c r="EA19">
        <f t="shared" si="32"/>
        <v>17</v>
      </c>
      <c r="EB19">
        <f t="shared" ref="EB19:EO19" si="33">IF(OR(EB18=-1,AND(IF(EB$3&lt;$B19,EB18+EB$6,IF(EB$3=$B19,1,""))&gt;$B$1,EB$3&lt;$B19)),-1,IF(EB$3&lt;$B19,EB18+EB$6,IF(EB$3=$B19,1,"")))</f>
        <v>15</v>
      </c>
      <c r="EC19">
        <f t="shared" si="33"/>
        <v>13</v>
      </c>
      <c r="ED19">
        <f t="shared" si="33"/>
        <v>11</v>
      </c>
      <c r="EE19">
        <f t="shared" si="33"/>
        <v>10.6</v>
      </c>
      <c r="EF19">
        <f t="shared" si="33"/>
        <v>2.6</v>
      </c>
      <c r="EG19" t="str">
        <f t="shared" si="33"/>
        <v/>
      </c>
      <c r="EH19" t="str">
        <f t="shared" si="33"/>
        <v/>
      </c>
      <c r="EI19" t="str">
        <f t="shared" si="33"/>
        <v/>
      </c>
      <c r="EJ19" t="str">
        <f t="shared" si="33"/>
        <v/>
      </c>
      <c r="EK19">
        <f t="shared" si="33"/>
        <v>15.399999999999999</v>
      </c>
      <c r="EL19">
        <f t="shared" si="33"/>
        <v>7.4</v>
      </c>
      <c r="EM19" t="str">
        <f t="shared" si="33"/>
        <v/>
      </c>
      <c r="EN19" t="str">
        <f t="shared" si="33"/>
        <v/>
      </c>
      <c r="EO19" t="str">
        <f t="shared" si="33"/>
        <v/>
      </c>
    </row>
    <row r="20" spans="1:145" x14ac:dyDescent="0.15">
      <c r="A20" t="e">
        <f t="shared" si="0"/>
        <v>#N/A</v>
      </c>
      <c r="B20" s="218">
        <v>12</v>
      </c>
      <c r="C20">
        <f t="shared" si="0"/>
        <v>11</v>
      </c>
      <c r="D20">
        <f t="shared" ref="D20:BO20" si="34">IF(OR(D19=-1,AND(IF(D$3&lt;$B20,D19+D$6,IF(D$3=$B20,1,""))&gt;$B$1,D$3&lt;$B20)),-1,IF(D$3&lt;$B20,D19+D$6,IF(D$3=$B20,1,"")))</f>
        <v>9</v>
      </c>
      <c r="E20">
        <f t="shared" si="34"/>
        <v>7</v>
      </c>
      <c r="F20">
        <f t="shared" si="34"/>
        <v>5</v>
      </c>
      <c r="G20">
        <f t="shared" si="34"/>
        <v>3</v>
      </c>
      <c r="H20">
        <f t="shared" si="34"/>
        <v>1</v>
      </c>
      <c r="I20">
        <f t="shared" si="34"/>
        <v>4.8999999999999995</v>
      </c>
      <c r="J20" t="str">
        <f t="shared" si="34"/>
        <v/>
      </c>
      <c r="K20" t="str">
        <f t="shared" si="34"/>
        <v/>
      </c>
      <c r="L20">
        <f t="shared" si="34"/>
        <v>5.9</v>
      </c>
      <c r="M20">
        <f t="shared" si="34"/>
        <v>2.4</v>
      </c>
      <c r="N20" t="str">
        <f t="shared" si="34"/>
        <v/>
      </c>
      <c r="O20">
        <f t="shared" si="34"/>
        <v>11</v>
      </c>
      <c r="P20">
        <f t="shared" si="34"/>
        <v>9</v>
      </c>
      <c r="Q20">
        <f t="shared" si="34"/>
        <v>7</v>
      </c>
      <c r="R20">
        <f t="shared" si="34"/>
        <v>5</v>
      </c>
      <c r="S20">
        <f t="shared" si="34"/>
        <v>3</v>
      </c>
      <c r="T20">
        <f t="shared" si="34"/>
        <v>17</v>
      </c>
      <c r="U20">
        <f t="shared" si="34"/>
        <v>9</v>
      </c>
      <c r="V20">
        <f t="shared" si="34"/>
        <v>1</v>
      </c>
      <c r="W20">
        <f t="shared" si="34"/>
        <v>19.000000000000004</v>
      </c>
      <c r="X20">
        <f t="shared" si="34"/>
        <v>15.400000000000002</v>
      </c>
      <c r="Y20">
        <f t="shared" si="34"/>
        <v>11.8</v>
      </c>
      <c r="Z20">
        <f t="shared" si="34"/>
        <v>10</v>
      </c>
      <c r="AA20">
        <f t="shared" si="34"/>
        <v>7</v>
      </c>
      <c r="AB20">
        <f t="shared" si="34"/>
        <v>4</v>
      </c>
      <c r="AC20">
        <f t="shared" si="34"/>
        <v>11.8</v>
      </c>
      <c r="AD20">
        <f t="shared" si="34"/>
        <v>1</v>
      </c>
      <c r="AE20" t="str">
        <f t="shared" si="34"/>
        <v/>
      </c>
      <c r="AF20" t="str">
        <f t="shared" si="34"/>
        <v/>
      </c>
      <c r="AG20" t="str">
        <f t="shared" si="34"/>
        <v/>
      </c>
      <c r="AH20" t="str">
        <f t="shared" si="34"/>
        <v/>
      </c>
      <c r="AI20">
        <f t="shared" si="34"/>
        <v>5.7999999999999989</v>
      </c>
      <c r="AJ20">
        <f t="shared" si="34"/>
        <v>3.4000000000000004</v>
      </c>
      <c r="AK20">
        <f t="shared" si="34"/>
        <v>1</v>
      </c>
      <c r="AL20" t="str">
        <f t="shared" si="34"/>
        <v/>
      </c>
      <c r="AM20">
        <f t="shared" si="34"/>
        <v>7</v>
      </c>
      <c r="AN20">
        <f t="shared" si="34"/>
        <v>1</v>
      </c>
      <c r="AO20" t="str">
        <f t="shared" si="34"/>
        <v/>
      </c>
      <c r="AP20">
        <f t="shared" si="34"/>
        <v>12.700000000000001</v>
      </c>
      <c r="AQ20">
        <f t="shared" si="34"/>
        <v>8.7999999999999989</v>
      </c>
      <c r="AR20">
        <f t="shared" si="34"/>
        <v>4.8999999999999995</v>
      </c>
      <c r="AS20">
        <f t="shared" si="34"/>
        <v>1</v>
      </c>
      <c r="AT20" t="str">
        <f t="shared" si="34"/>
        <v/>
      </c>
      <c r="AU20" t="str">
        <f t="shared" si="34"/>
        <v/>
      </c>
      <c r="AV20" t="str">
        <f t="shared" si="34"/>
        <v/>
      </c>
      <c r="AW20">
        <f t="shared" si="34"/>
        <v>7</v>
      </c>
      <c r="AX20">
        <f t="shared" si="34"/>
        <v>1</v>
      </c>
      <c r="AY20">
        <f t="shared" si="34"/>
        <v>15</v>
      </c>
      <c r="AZ20">
        <f t="shared" si="34"/>
        <v>5</v>
      </c>
      <c r="BA20">
        <f t="shared" si="34"/>
        <v>19</v>
      </c>
      <c r="BB20">
        <f t="shared" si="34"/>
        <v>13</v>
      </c>
      <c r="BC20">
        <f t="shared" si="34"/>
        <v>7</v>
      </c>
      <c r="BD20">
        <f t="shared" si="34"/>
        <v>15.300000000000002</v>
      </c>
      <c r="BE20">
        <f t="shared" si="34"/>
        <v>17</v>
      </c>
      <c r="BF20">
        <f t="shared" si="34"/>
        <v>9</v>
      </c>
      <c r="BG20">
        <f t="shared" si="34"/>
        <v>1</v>
      </c>
      <c r="BH20" t="str">
        <f t="shared" si="34"/>
        <v/>
      </c>
      <c r="BI20">
        <f t="shared" si="34"/>
        <v>8</v>
      </c>
      <c r="BJ20">
        <f t="shared" si="34"/>
        <v>3</v>
      </c>
      <c r="BK20" t="str">
        <f t="shared" si="34"/>
        <v/>
      </c>
      <c r="BL20" t="str">
        <f t="shared" si="34"/>
        <v/>
      </c>
      <c r="BM20">
        <f t="shared" si="34"/>
        <v>7</v>
      </c>
      <c r="BN20">
        <f t="shared" si="34"/>
        <v>14.000000000000002</v>
      </c>
      <c r="BO20">
        <f t="shared" si="34"/>
        <v>11.4</v>
      </c>
      <c r="BP20">
        <f t="shared" ref="BP20:EA20" si="35">IF(OR(BP19=-1,AND(IF(BP$3&lt;$B20,BP19+BP$6,IF(BP$3=$B20,1,""))&gt;$B$1,BP$3&lt;$B20)),-1,IF(BP$3&lt;$B20,BP19+BP$6,IF(BP$3=$B20,1,"")))</f>
        <v>19</v>
      </c>
      <c r="BQ20">
        <f t="shared" si="35"/>
        <v>13</v>
      </c>
      <c r="BR20">
        <f t="shared" si="35"/>
        <v>7</v>
      </c>
      <c r="BS20">
        <f t="shared" si="35"/>
        <v>11</v>
      </c>
      <c r="BT20">
        <f t="shared" si="35"/>
        <v>9</v>
      </c>
      <c r="BU20">
        <f t="shared" si="35"/>
        <v>4.5999999999999996</v>
      </c>
      <c r="BV20">
        <f t="shared" si="35"/>
        <v>1</v>
      </c>
      <c r="BW20" t="str">
        <f t="shared" si="35"/>
        <v/>
      </c>
      <c r="BX20" t="str">
        <f t="shared" si="35"/>
        <v/>
      </c>
      <c r="BY20" t="str">
        <f t="shared" si="35"/>
        <v/>
      </c>
      <c r="BZ20" t="str">
        <f t="shared" si="35"/>
        <v/>
      </c>
      <c r="CA20" t="str">
        <f t="shared" si="35"/>
        <v/>
      </c>
      <c r="CB20" t="str">
        <f t="shared" si="35"/>
        <v/>
      </c>
      <c r="CC20" t="str">
        <f t="shared" si="35"/>
        <v/>
      </c>
      <c r="CD20" t="str">
        <f t="shared" si="35"/>
        <v/>
      </c>
      <c r="CE20" t="str">
        <f t="shared" si="35"/>
        <v/>
      </c>
      <c r="CF20" t="str">
        <f t="shared" si="35"/>
        <v/>
      </c>
      <c r="CG20" t="str">
        <f t="shared" si="35"/>
        <v/>
      </c>
      <c r="CH20" t="str">
        <f t="shared" si="35"/>
        <v/>
      </c>
      <c r="CI20" t="str">
        <f t="shared" si="35"/>
        <v/>
      </c>
      <c r="CJ20" t="str">
        <f t="shared" si="35"/>
        <v/>
      </c>
      <c r="CK20" t="str">
        <f t="shared" si="35"/>
        <v/>
      </c>
      <c r="CL20" t="str">
        <f t="shared" si="35"/>
        <v/>
      </c>
      <c r="CM20" t="str">
        <f t="shared" si="35"/>
        <v/>
      </c>
      <c r="CN20" t="str">
        <f t="shared" si="35"/>
        <v/>
      </c>
      <c r="CO20" t="str">
        <f t="shared" si="35"/>
        <v/>
      </c>
      <c r="CP20" t="str">
        <f t="shared" si="35"/>
        <v/>
      </c>
      <c r="CQ20">
        <f t="shared" si="35"/>
        <v>8</v>
      </c>
      <c r="CR20">
        <f t="shared" si="35"/>
        <v>3</v>
      </c>
      <c r="CS20" t="str">
        <f t="shared" si="35"/>
        <v/>
      </c>
      <c r="CT20">
        <f t="shared" si="35"/>
        <v>14.000000000000002</v>
      </c>
      <c r="CU20">
        <f t="shared" si="35"/>
        <v>11.4</v>
      </c>
      <c r="CV20">
        <f t="shared" si="35"/>
        <v>12.2</v>
      </c>
      <c r="CW20">
        <f t="shared" si="35"/>
        <v>4.2</v>
      </c>
      <c r="CX20" t="str">
        <f t="shared" si="35"/>
        <v/>
      </c>
      <c r="CY20" t="str">
        <f t="shared" si="35"/>
        <v/>
      </c>
      <c r="CZ20" t="str">
        <f t="shared" si="35"/>
        <v/>
      </c>
      <c r="DA20">
        <f t="shared" si="35"/>
        <v>9</v>
      </c>
      <c r="DB20">
        <f t="shared" si="35"/>
        <v>5</v>
      </c>
      <c r="DC20">
        <f t="shared" si="35"/>
        <v>1</v>
      </c>
      <c r="DD20" t="str">
        <f t="shared" si="35"/>
        <v/>
      </c>
      <c r="DE20">
        <f t="shared" si="35"/>
        <v>11</v>
      </c>
      <c r="DF20">
        <f t="shared" si="35"/>
        <v>9</v>
      </c>
      <c r="DG20">
        <f t="shared" si="35"/>
        <v>15.300000000000002</v>
      </c>
      <c r="DH20">
        <f t="shared" si="35"/>
        <v>14.000000000000002</v>
      </c>
      <c r="DI20">
        <f t="shared" si="35"/>
        <v>12.700000000000001</v>
      </c>
      <c r="DJ20">
        <f t="shared" si="35"/>
        <v>11.4</v>
      </c>
      <c r="DK20">
        <f t="shared" si="35"/>
        <v>17</v>
      </c>
      <c r="DL20">
        <f t="shared" si="35"/>
        <v>9</v>
      </c>
      <c r="DM20">
        <f t="shared" si="35"/>
        <v>1</v>
      </c>
      <c r="DN20" t="str">
        <f t="shared" si="35"/>
        <v/>
      </c>
      <c r="DO20" t="str">
        <f t="shared" si="35"/>
        <v/>
      </c>
      <c r="DP20" t="str">
        <f t="shared" si="35"/>
        <v/>
      </c>
      <c r="DQ20">
        <f t="shared" si="35"/>
        <v>14.000000000000002</v>
      </c>
      <c r="DR20">
        <f t="shared" si="35"/>
        <v>11.4</v>
      </c>
      <c r="DS20">
        <f t="shared" si="35"/>
        <v>7</v>
      </c>
      <c r="DT20">
        <f t="shared" si="35"/>
        <v>1</v>
      </c>
      <c r="DU20" t="str">
        <f t="shared" si="35"/>
        <v/>
      </c>
      <c r="DV20" t="str">
        <f t="shared" si="35"/>
        <v/>
      </c>
      <c r="DW20" t="str">
        <f t="shared" si="35"/>
        <v/>
      </c>
      <c r="DX20" t="str">
        <f t="shared" si="35"/>
        <v/>
      </c>
      <c r="DY20">
        <f t="shared" si="35"/>
        <v>23</v>
      </c>
      <c r="DZ20">
        <f t="shared" si="35"/>
        <v>21</v>
      </c>
      <c r="EA20">
        <f t="shared" si="35"/>
        <v>19</v>
      </c>
      <c r="EB20">
        <f t="shared" ref="EB20:EO20" si="36">IF(OR(EB19=-1,AND(IF(EB$3&lt;$B20,EB19+EB$6,IF(EB$3=$B20,1,""))&gt;$B$1,EB$3&lt;$B20)),-1,IF(EB$3&lt;$B20,EB19+EB$6,IF(EB$3=$B20,1,"")))</f>
        <v>17</v>
      </c>
      <c r="EC20">
        <f t="shared" si="36"/>
        <v>15</v>
      </c>
      <c r="ED20">
        <f t="shared" si="36"/>
        <v>13</v>
      </c>
      <c r="EE20">
        <f t="shared" si="36"/>
        <v>12.2</v>
      </c>
      <c r="EF20">
        <f t="shared" si="36"/>
        <v>4.2</v>
      </c>
      <c r="EG20" t="str">
        <f t="shared" si="36"/>
        <v/>
      </c>
      <c r="EH20" t="str">
        <f t="shared" si="36"/>
        <v/>
      </c>
      <c r="EI20" t="str">
        <f t="shared" si="36"/>
        <v/>
      </c>
      <c r="EJ20" t="str">
        <f t="shared" si="36"/>
        <v/>
      </c>
      <c r="EK20">
        <f t="shared" si="36"/>
        <v>17</v>
      </c>
      <c r="EL20">
        <f t="shared" si="36"/>
        <v>9</v>
      </c>
      <c r="EM20" t="str">
        <f t="shared" si="36"/>
        <v/>
      </c>
      <c r="EN20" t="str">
        <f t="shared" si="36"/>
        <v/>
      </c>
      <c r="EO20" t="str">
        <f t="shared" si="36"/>
        <v/>
      </c>
    </row>
    <row r="21" spans="1:145" x14ac:dyDescent="0.15">
      <c r="A21" t="e">
        <f t="shared" si="0"/>
        <v>#N/A</v>
      </c>
      <c r="B21" s="218">
        <v>13</v>
      </c>
      <c r="C21">
        <f t="shared" si="0"/>
        <v>12</v>
      </c>
      <c r="D21">
        <f t="shared" ref="D21:BO21" si="37">IF(OR(D20=-1,AND(IF(D$3&lt;$B21,D20+D$6,IF(D$3=$B21,1,""))&gt;$B$1,D$3&lt;$B21)),-1,IF(D$3&lt;$B21,D20+D$6,IF(D$3=$B21,1,"")))</f>
        <v>10</v>
      </c>
      <c r="E21">
        <f t="shared" si="37"/>
        <v>8</v>
      </c>
      <c r="F21">
        <f t="shared" si="37"/>
        <v>6</v>
      </c>
      <c r="G21">
        <f t="shared" si="37"/>
        <v>4</v>
      </c>
      <c r="H21">
        <f t="shared" si="37"/>
        <v>2</v>
      </c>
      <c r="I21">
        <f t="shared" si="37"/>
        <v>6.1999999999999993</v>
      </c>
      <c r="J21" t="str">
        <f t="shared" si="37"/>
        <v/>
      </c>
      <c r="K21" t="str">
        <f t="shared" si="37"/>
        <v/>
      </c>
      <c r="L21">
        <f t="shared" si="37"/>
        <v>6.6000000000000005</v>
      </c>
      <c r="M21">
        <f t="shared" si="37"/>
        <v>3.0999999999999996</v>
      </c>
      <c r="N21" t="str">
        <f t="shared" si="37"/>
        <v/>
      </c>
      <c r="O21">
        <f t="shared" si="37"/>
        <v>12</v>
      </c>
      <c r="P21">
        <f t="shared" si="37"/>
        <v>10</v>
      </c>
      <c r="Q21">
        <f t="shared" si="37"/>
        <v>8</v>
      </c>
      <c r="R21">
        <f t="shared" si="37"/>
        <v>6</v>
      </c>
      <c r="S21">
        <f t="shared" si="37"/>
        <v>4</v>
      </c>
      <c r="T21">
        <f t="shared" si="37"/>
        <v>19</v>
      </c>
      <c r="U21">
        <f t="shared" si="37"/>
        <v>11</v>
      </c>
      <c r="V21">
        <f t="shared" si="37"/>
        <v>3</v>
      </c>
      <c r="W21">
        <f t="shared" si="37"/>
        <v>20.800000000000004</v>
      </c>
      <c r="X21">
        <f t="shared" si="37"/>
        <v>17.200000000000003</v>
      </c>
      <c r="Y21">
        <f t="shared" si="37"/>
        <v>13.600000000000001</v>
      </c>
      <c r="Z21">
        <f t="shared" si="37"/>
        <v>11</v>
      </c>
      <c r="AA21">
        <f t="shared" si="37"/>
        <v>8</v>
      </c>
      <c r="AB21">
        <f t="shared" si="37"/>
        <v>5</v>
      </c>
      <c r="AC21">
        <f t="shared" si="37"/>
        <v>13.600000000000001</v>
      </c>
      <c r="AD21">
        <f t="shared" si="37"/>
        <v>2.8</v>
      </c>
      <c r="AE21" t="str">
        <f t="shared" si="37"/>
        <v/>
      </c>
      <c r="AF21" t="str">
        <f t="shared" si="37"/>
        <v/>
      </c>
      <c r="AG21" t="str">
        <f t="shared" si="37"/>
        <v/>
      </c>
      <c r="AH21" t="str">
        <f t="shared" si="37"/>
        <v/>
      </c>
      <c r="AI21">
        <f t="shared" si="37"/>
        <v>6.3999999999999986</v>
      </c>
      <c r="AJ21">
        <f t="shared" si="37"/>
        <v>4</v>
      </c>
      <c r="AK21">
        <f t="shared" si="37"/>
        <v>1.6</v>
      </c>
      <c r="AL21" t="str">
        <f t="shared" si="37"/>
        <v/>
      </c>
      <c r="AM21">
        <f t="shared" si="37"/>
        <v>8</v>
      </c>
      <c r="AN21">
        <f t="shared" si="37"/>
        <v>2</v>
      </c>
      <c r="AO21" t="str">
        <f t="shared" si="37"/>
        <v/>
      </c>
      <c r="AP21">
        <f t="shared" si="37"/>
        <v>14.000000000000002</v>
      </c>
      <c r="AQ21">
        <f t="shared" si="37"/>
        <v>10.1</v>
      </c>
      <c r="AR21">
        <f t="shared" si="37"/>
        <v>6.1999999999999993</v>
      </c>
      <c r="AS21">
        <f t="shared" si="37"/>
        <v>2.2999999999999998</v>
      </c>
      <c r="AT21" t="str">
        <f t="shared" si="37"/>
        <v/>
      </c>
      <c r="AU21" t="str">
        <f t="shared" si="37"/>
        <v/>
      </c>
      <c r="AV21" t="str">
        <f t="shared" si="37"/>
        <v/>
      </c>
      <c r="AW21">
        <f t="shared" si="37"/>
        <v>8</v>
      </c>
      <c r="AX21">
        <f t="shared" si="37"/>
        <v>2</v>
      </c>
      <c r="AY21">
        <f t="shared" si="37"/>
        <v>17</v>
      </c>
      <c r="AZ21">
        <f t="shared" si="37"/>
        <v>7</v>
      </c>
      <c r="BA21">
        <f t="shared" si="37"/>
        <v>21</v>
      </c>
      <c r="BB21">
        <f t="shared" si="37"/>
        <v>15</v>
      </c>
      <c r="BC21">
        <f t="shared" si="37"/>
        <v>9</v>
      </c>
      <c r="BD21">
        <f t="shared" si="37"/>
        <v>16.600000000000001</v>
      </c>
      <c r="BE21">
        <f t="shared" si="37"/>
        <v>19</v>
      </c>
      <c r="BF21">
        <f t="shared" si="37"/>
        <v>11</v>
      </c>
      <c r="BG21">
        <f t="shared" si="37"/>
        <v>3</v>
      </c>
      <c r="BH21" t="str">
        <f t="shared" si="37"/>
        <v/>
      </c>
      <c r="BI21">
        <f t="shared" si="37"/>
        <v>9</v>
      </c>
      <c r="BJ21">
        <f t="shared" si="37"/>
        <v>4</v>
      </c>
      <c r="BK21" t="str">
        <f t="shared" si="37"/>
        <v/>
      </c>
      <c r="BL21" t="str">
        <f t="shared" si="37"/>
        <v/>
      </c>
      <c r="BM21">
        <f t="shared" si="37"/>
        <v>8</v>
      </c>
      <c r="BN21">
        <f t="shared" si="37"/>
        <v>15.300000000000002</v>
      </c>
      <c r="BO21">
        <f t="shared" si="37"/>
        <v>12.700000000000001</v>
      </c>
      <c r="BP21">
        <f t="shared" ref="BP21:EA21" si="38">IF(OR(BP20=-1,AND(IF(BP$3&lt;$B21,BP20+BP$6,IF(BP$3=$B21,1,""))&gt;$B$1,BP$3&lt;$B21)),-1,IF(BP$3&lt;$B21,BP20+BP$6,IF(BP$3=$B21,1,"")))</f>
        <v>21</v>
      </c>
      <c r="BQ21">
        <f t="shared" si="38"/>
        <v>15</v>
      </c>
      <c r="BR21">
        <f t="shared" si="38"/>
        <v>9</v>
      </c>
      <c r="BS21">
        <f t="shared" si="38"/>
        <v>12</v>
      </c>
      <c r="BT21">
        <f t="shared" si="38"/>
        <v>10</v>
      </c>
      <c r="BU21">
        <f t="shared" si="38"/>
        <v>5.1999999999999993</v>
      </c>
      <c r="BV21">
        <f t="shared" si="38"/>
        <v>1.6</v>
      </c>
      <c r="BW21" t="str">
        <f t="shared" si="38"/>
        <v/>
      </c>
      <c r="BX21" t="str">
        <f t="shared" si="38"/>
        <v/>
      </c>
      <c r="BY21" t="str">
        <f t="shared" si="38"/>
        <v/>
      </c>
      <c r="BZ21" t="str">
        <f t="shared" si="38"/>
        <v/>
      </c>
      <c r="CA21" t="str">
        <f t="shared" si="38"/>
        <v/>
      </c>
      <c r="CB21" t="str">
        <f t="shared" si="38"/>
        <v/>
      </c>
      <c r="CC21" t="str">
        <f t="shared" si="38"/>
        <v/>
      </c>
      <c r="CD21" t="str">
        <f t="shared" si="38"/>
        <v/>
      </c>
      <c r="CE21" t="str">
        <f t="shared" si="38"/>
        <v/>
      </c>
      <c r="CF21" t="str">
        <f t="shared" si="38"/>
        <v/>
      </c>
      <c r="CG21" t="str">
        <f t="shared" si="38"/>
        <v/>
      </c>
      <c r="CH21" t="str">
        <f t="shared" si="38"/>
        <v/>
      </c>
      <c r="CI21" t="str">
        <f t="shared" si="38"/>
        <v/>
      </c>
      <c r="CJ21" t="str">
        <f t="shared" si="38"/>
        <v/>
      </c>
      <c r="CK21" t="str">
        <f t="shared" si="38"/>
        <v/>
      </c>
      <c r="CL21" t="str">
        <f t="shared" si="38"/>
        <v/>
      </c>
      <c r="CM21" t="str">
        <f t="shared" si="38"/>
        <v/>
      </c>
      <c r="CN21" t="str">
        <f t="shared" si="38"/>
        <v/>
      </c>
      <c r="CO21" t="str">
        <f t="shared" si="38"/>
        <v/>
      </c>
      <c r="CP21" t="str">
        <f t="shared" si="38"/>
        <v/>
      </c>
      <c r="CQ21">
        <f t="shared" si="38"/>
        <v>9</v>
      </c>
      <c r="CR21">
        <f t="shared" si="38"/>
        <v>4</v>
      </c>
      <c r="CS21" t="str">
        <f t="shared" si="38"/>
        <v/>
      </c>
      <c r="CT21">
        <f t="shared" si="38"/>
        <v>15.300000000000002</v>
      </c>
      <c r="CU21">
        <f t="shared" si="38"/>
        <v>12.700000000000001</v>
      </c>
      <c r="CV21">
        <f t="shared" si="38"/>
        <v>13.799999999999999</v>
      </c>
      <c r="CW21">
        <f t="shared" si="38"/>
        <v>5.8000000000000007</v>
      </c>
      <c r="CX21" t="str">
        <f t="shared" si="38"/>
        <v/>
      </c>
      <c r="CY21" t="str">
        <f t="shared" si="38"/>
        <v/>
      </c>
      <c r="CZ21" t="str">
        <f t="shared" si="38"/>
        <v/>
      </c>
      <c r="DA21">
        <f t="shared" si="38"/>
        <v>10</v>
      </c>
      <c r="DB21">
        <f t="shared" si="38"/>
        <v>6</v>
      </c>
      <c r="DC21">
        <f t="shared" si="38"/>
        <v>2</v>
      </c>
      <c r="DD21" t="str">
        <f t="shared" si="38"/>
        <v/>
      </c>
      <c r="DE21">
        <f t="shared" si="38"/>
        <v>12</v>
      </c>
      <c r="DF21">
        <f t="shared" si="38"/>
        <v>10</v>
      </c>
      <c r="DG21">
        <f t="shared" si="38"/>
        <v>16.600000000000001</v>
      </c>
      <c r="DH21">
        <f t="shared" si="38"/>
        <v>15.300000000000002</v>
      </c>
      <c r="DI21">
        <f t="shared" si="38"/>
        <v>14.000000000000002</v>
      </c>
      <c r="DJ21">
        <f t="shared" si="38"/>
        <v>12.700000000000001</v>
      </c>
      <c r="DK21">
        <f t="shared" si="38"/>
        <v>19</v>
      </c>
      <c r="DL21">
        <f t="shared" si="38"/>
        <v>11</v>
      </c>
      <c r="DM21">
        <f t="shared" si="38"/>
        <v>3</v>
      </c>
      <c r="DN21" t="str">
        <f t="shared" si="38"/>
        <v/>
      </c>
      <c r="DO21" t="str">
        <f t="shared" si="38"/>
        <v/>
      </c>
      <c r="DP21" t="str">
        <f t="shared" si="38"/>
        <v/>
      </c>
      <c r="DQ21">
        <f t="shared" si="38"/>
        <v>15.300000000000002</v>
      </c>
      <c r="DR21">
        <f t="shared" si="38"/>
        <v>12.700000000000001</v>
      </c>
      <c r="DS21">
        <f t="shared" si="38"/>
        <v>8</v>
      </c>
      <c r="DT21">
        <f t="shared" si="38"/>
        <v>2</v>
      </c>
      <c r="DU21" t="str">
        <f t="shared" si="38"/>
        <v/>
      </c>
      <c r="DV21" t="str">
        <f t="shared" si="38"/>
        <v/>
      </c>
      <c r="DW21" t="str">
        <f t="shared" si="38"/>
        <v/>
      </c>
      <c r="DX21" t="str">
        <f t="shared" si="38"/>
        <v/>
      </c>
      <c r="DY21">
        <f t="shared" si="38"/>
        <v>25</v>
      </c>
      <c r="DZ21">
        <f t="shared" si="38"/>
        <v>23</v>
      </c>
      <c r="EA21">
        <f t="shared" si="38"/>
        <v>21</v>
      </c>
      <c r="EB21">
        <f t="shared" ref="EB21:EO21" si="39">IF(OR(EB20=-1,AND(IF(EB$3&lt;$B21,EB20+EB$6,IF(EB$3=$B21,1,""))&gt;$B$1,EB$3&lt;$B21)),-1,IF(EB$3&lt;$B21,EB20+EB$6,IF(EB$3=$B21,1,"")))</f>
        <v>19</v>
      </c>
      <c r="EC21">
        <f t="shared" si="39"/>
        <v>17</v>
      </c>
      <c r="ED21">
        <f t="shared" si="39"/>
        <v>15</v>
      </c>
      <c r="EE21">
        <f t="shared" si="39"/>
        <v>13.799999999999999</v>
      </c>
      <c r="EF21">
        <f t="shared" si="39"/>
        <v>5.8000000000000007</v>
      </c>
      <c r="EG21" t="str">
        <f t="shared" si="39"/>
        <v/>
      </c>
      <c r="EH21" t="str">
        <f t="shared" si="39"/>
        <v/>
      </c>
      <c r="EI21" t="str">
        <f t="shared" si="39"/>
        <v/>
      </c>
      <c r="EJ21" t="str">
        <f t="shared" si="39"/>
        <v/>
      </c>
      <c r="EK21">
        <f t="shared" si="39"/>
        <v>18.600000000000001</v>
      </c>
      <c r="EL21">
        <f t="shared" si="39"/>
        <v>10.6</v>
      </c>
      <c r="EM21" t="str">
        <f t="shared" si="39"/>
        <v/>
      </c>
      <c r="EN21" t="str">
        <f t="shared" si="39"/>
        <v/>
      </c>
      <c r="EO21" t="str">
        <f t="shared" si="39"/>
        <v/>
      </c>
    </row>
    <row r="22" spans="1:145" x14ac:dyDescent="0.15">
      <c r="A22" t="e">
        <f t="shared" si="0"/>
        <v>#N/A</v>
      </c>
      <c r="B22" s="218">
        <v>14</v>
      </c>
      <c r="C22">
        <f t="shared" si="0"/>
        <v>13</v>
      </c>
      <c r="D22">
        <f t="shared" ref="D22:BO22" si="40">IF(OR(D21=-1,AND(IF(D$3&lt;$B22,D21+D$6,IF(D$3=$B22,1,""))&gt;$B$1,D$3&lt;$B22)),-1,IF(D$3&lt;$B22,D21+D$6,IF(D$3=$B22,1,"")))</f>
        <v>11</v>
      </c>
      <c r="E22">
        <f t="shared" si="40"/>
        <v>9</v>
      </c>
      <c r="F22">
        <f t="shared" si="40"/>
        <v>7</v>
      </c>
      <c r="G22">
        <f t="shared" si="40"/>
        <v>5</v>
      </c>
      <c r="H22">
        <f t="shared" si="40"/>
        <v>3</v>
      </c>
      <c r="I22">
        <f t="shared" si="40"/>
        <v>7.4999999999999991</v>
      </c>
      <c r="J22" t="str">
        <f t="shared" si="40"/>
        <v/>
      </c>
      <c r="K22" t="str">
        <f t="shared" si="40"/>
        <v/>
      </c>
      <c r="L22">
        <f t="shared" si="40"/>
        <v>7.3000000000000007</v>
      </c>
      <c r="M22">
        <f t="shared" si="40"/>
        <v>3.8</v>
      </c>
      <c r="N22" t="str">
        <f t="shared" si="40"/>
        <v/>
      </c>
      <c r="O22">
        <f t="shared" si="40"/>
        <v>13</v>
      </c>
      <c r="P22">
        <f t="shared" si="40"/>
        <v>11</v>
      </c>
      <c r="Q22">
        <f t="shared" si="40"/>
        <v>9</v>
      </c>
      <c r="R22">
        <f t="shared" si="40"/>
        <v>7</v>
      </c>
      <c r="S22">
        <f t="shared" si="40"/>
        <v>5</v>
      </c>
      <c r="T22">
        <f t="shared" si="40"/>
        <v>21</v>
      </c>
      <c r="U22">
        <f t="shared" si="40"/>
        <v>13</v>
      </c>
      <c r="V22">
        <f t="shared" si="40"/>
        <v>5</v>
      </c>
      <c r="W22">
        <f t="shared" si="40"/>
        <v>22.600000000000005</v>
      </c>
      <c r="X22">
        <f t="shared" si="40"/>
        <v>19.000000000000004</v>
      </c>
      <c r="Y22">
        <f t="shared" si="40"/>
        <v>15.400000000000002</v>
      </c>
      <c r="Z22">
        <f t="shared" si="40"/>
        <v>12</v>
      </c>
      <c r="AA22">
        <f t="shared" si="40"/>
        <v>9</v>
      </c>
      <c r="AB22">
        <f t="shared" si="40"/>
        <v>6</v>
      </c>
      <c r="AC22">
        <f t="shared" si="40"/>
        <v>15.400000000000002</v>
      </c>
      <c r="AD22">
        <f t="shared" si="40"/>
        <v>4.5999999999999996</v>
      </c>
      <c r="AE22" t="str">
        <f t="shared" si="40"/>
        <v/>
      </c>
      <c r="AF22" t="str">
        <f t="shared" si="40"/>
        <v/>
      </c>
      <c r="AG22" t="str">
        <f t="shared" si="40"/>
        <v/>
      </c>
      <c r="AH22" t="str">
        <f t="shared" si="40"/>
        <v/>
      </c>
      <c r="AI22">
        <f t="shared" si="40"/>
        <v>6.9999999999999982</v>
      </c>
      <c r="AJ22">
        <f t="shared" si="40"/>
        <v>4.5999999999999996</v>
      </c>
      <c r="AK22">
        <f t="shared" si="40"/>
        <v>2.2000000000000002</v>
      </c>
      <c r="AL22" t="str">
        <f t="shared" si="40"/>
        <v/>
      </c>
      <c r="AM22">
        <f t="shared" si="40"/>
        <v>9</v>
      </c>
      <c r="AN22">
        <f t="shared" si="40"/>
        <v>3</v>
      </c>
      <c r="AO22" t="str">
        <f t="shared" si="40"/>
        <v/>
      </c>
      <c r="AP22">
        <f t="shared" si="40"/>
        <v>15.300000000000002</v>
      </c>
      <c r="AQ22">
        <f t="shared" si="40"/>
        <v>11.4</v>
      </c>
      <c r="AR22">
        <f t="shared" si="40"/>
        <v>7.4999999999999991</v>
      </c>
      <c r="AS22">
        <f t="shared" si="40"/>
        <v>3.5999999999999996</v>
      </c>
      <c r="AT22" t="str">
        <f t="shared" si="40"/>
        <v/>
      </c>
      <c r="AU22" t="str">
        <f t="shared" si="40"/>
        <v/>
      </c>
      <c r="AV22" t="str">
        <f t="shared" si="40"/>
        <v/>
      </c>
      <c r="AW22">
        <f t="shared" si="40"/>
        <v>9</v>
      </c>
      <c r="AX22">
        <f t="shared" si="40"/>
        <v>3</v>
      </c>
      <c r="AY22">
        <f t="shared" si="40"/>
        <v>19</v>
      </c>
      <c r="AZ22">
        <f t="shared" si="40"/>
        <v>9</v>
      </c>
      <c r="BA22">
        <f t="shared" si="40"/>
        <v>23</v>
      </c>
      <c r="BB22">
        <f t="shared" si="40"/>
        <v>17</v>
      </c>
      <c r="BC22">
        <f t="shared" si="40"/>
        <v>11</v>
      </c>
      <c r="BD22">
        <f t="shared" si="40"/>
        <v>17.900000000000002</v>
      </c>
      <c r="BE22">
        <f t="shared" si="40"/>
        <v>21</v>
      </c>
      <c r="BF22">
        <f t="shared" si="40"/>
        <v>13</v>
      </c>
      <c r="BG22">
        <f t="shared" si="40"/>
        <v>5</v>
      </c>
      <c r="BH22" t="str">
        <f t="shared" si="40"/>
        <v/>
      </c>
      <c r="BI22">
        <f t="shared" si="40"/>
        <v>10</v>
      </c>
      <c r="BJ22">
        <f t="shared" si="40"/>
        <v>5</v>
      </c>
      <c r="BK22" t="str">
        <f t="shared" si="40"/>
        <v/>
      </c>
      <c r="BL22" t="str">
        <f t="shared" si="40"/>
        <v/>
      </c>
      <c r="BM22">
        <f t="shared" si="40"/>
        <v>9</v>
      </c>
      <c r="BN22">
        <f t="shared" si="40"/>
        <v>16.600000000000001</v>
      </c>
      <c r="BO22">
        <f t="shared" si="40"/>
        <v>14.000000000000002</v>
      </c>
      <c r="BP22">
        <f t="shared" ref="BP22:EA22" si="41">IF(OR(BP21=-1,AND(IF(BP$3&lt;$B22,BP21+BP$6,IF(BP$3=$B22,1,""))&gt;$B$1,BP$3&lt;$B22)),-1,IF(BP$3&lt;$B22,BP21+BP$6,IF(BP$3=$B22,1,"")))</f>
        <v>23</v>
      </c>
      <c r="BQ22">
        <f t="shared" si="41"/>
        <v>17</v>
      </c>
      <c r="BR22">
        <f t="shared" si="41"/>
        <v>11</v>
      </c>
      <c r="BS22">
        <f t="shared" si="41"/>
        <v>13</v>
      </c>
      <c r="BT22">
        <f t="shared" si="41"/>
        <v>11</v>
      </c>
      <c r="BU22">
        <f t="shared" si="41"/>
        <v>5.7999999999999989</v>
      </c>
      <c r="BV22">
        <f t="shared" si="41"/>
        <v>2.2000000000000002</v>
      </c>
      <c r="BW22" t="str">
        <f t="shared" si="41"/>
        <v/>
      </c>
      <c r="BX22" t="str">
        <f t="shared" si="41"/>
        <v/>
      </c>
      <c r="BY22" t="str">
        <f t="shared" si="41"/>
        <v/>
      </c>
      <c r="BZ22" t="str">
        <f t="shared" si="41"/>
        <v/>
      </c>
      <c r="CA22" t="str">
        <f t="shared" si="41"/>
        <v/>
      </c>
      <c r="CB22" t="str">
        <f t="shared" si="41"/>
        <v/>
      </c>
      <c r="CC22" t="str">
        <f t="shared" si="41"/>
        <v/>
      </c>
      <c r="CD22" t="str">
        <f t="shared" si="41"/>
        <v/>
      </c>
      <c r="CE22" t="str">
        <f t="shared" si="41"/>
        <v/>
      </c>
      <c r="CF22" t="str">
        <f t="shared" si="41"/>
        <v/>
      </c>
      <c r="CG22" t="str">
        <f t="shared" si="41"/>
        <v/>
      </c>
      <c r="CH22" t="str">
        <f t="shared" si="41"/>
        <v/>
      </c>
      <c r="CI22" t="str">
        <f t="shared" si="41"/>
        <v/>
      </c>
      <c r="CJ22" t="str">
        <f t="shared" si="41"/>
        <v/>
      </c>
      <c r="CK22" t="str">
        <f t="shared" si="41"/>
        <v/>
      </c>
      <c r="CL22" t="str">
        <f t="shared" si="41"/>
        <v/>
      </c>
      <c r="CM22" t="str">
        <f t="shared" si="41"/>
        <v/>
      </c>
      <c r="CN22" t="str">
        <f t="shared" si="41"/>
        <v/>
      </c>
      <c r="CO22" t="str">
        <f t="shared" si="41"/>
        <v/>
      </c>
      <c r="CP22" t="str">
        <f t="shared" si="41"/>
        <v/>
      </c>
      <c r="CQ22">
        <f t="shared" si="41"/>
        <v>10</v>
      </c>
      <c r="CR22">
        <f t="shared" si="41"/>
        <v>5</v>
      </c>
      <c r="CS22" t="str">
        <f t="shared" si="41"/>
        <v/>
      </c>
      <c r="CT22">
        <f t="shared" si="41"/>
        <v>16.600000000000001</v>
      </c>
      <c r="CU22">
        <f t="shared" si="41"/>
        <v>14.000000000000002</v>
      </c>
      <c r="CV22">
        <f t="shared" si="41"/>
        <v>15.399999999999999</v>
      </c>
      <c r="CW22">
        <f t="shared" si="41"/>
        <v>7.4</v>
      </c>
      <c r="CX22" t="str">
        <f t="shared" si="41"/>
        <v/>
      </c>
      <c r="CY22" t="str">
        <f t="shared" si="41"/>
        <v/>
      </c>
      <c r="CZ22" t="str">
        <f t="shared" si="41"/>
        <v/>
      </c>
      <c r="DA22">
        <f t="shared" si="41"/>
        <v>11</v>
      </c>
      <c r="DB22">
        <f t="shared" si="41"/>
        <v>7</v>
      </c>
      <c r="DC22">
        <f t="shared" si="41"/>
        <v>3</v>
      </c>
      <c r="DD22" t="str">
        <f t="shared" si="41"/>
        <v/>
      </c>
      <c r="DE22">
        <f t="shared" si="41"/>
        <v>13</v>
      </c>
      <c r="DF22">
        <f t="shared" si="41"/>
        <v>11</v>
      </c>
      <c r="DG22">
        <f t="shared" si="41"/>
        <v>17.900000000000002</v>
      </c>
      <c r="DH22">
        <f t="shared" si="41"/>
        <v>16.600000000000001</v>
      </c>
      <c r="DI22">
        <f t="shared" si="41"/>
        <v>15.300000000000002</v>
      </c>
      <c r="DJ22">
        <f t="shared" si="41"/>
        <v>14.000000000000002</v>
      </c>
      <c r="DK22">
        <f t="shared" si="41"/>
        <v>21</v>
      </c>
      <c r="DL22">
        <f t="shared" si="41"/>
        <v>13</v>
      </c>
      <c r="DM22">
        <f t="shared" si="41"/>
        <v>5</v>
      </c>
      <c r="DN22" t="str">
        <f t="shared" si="41"/>
        <v/>
      </c>
      <c r="DO22" t="str">
        <f t="shared" si="41"/>
        <v/>
      </c>
      <c r="DP22" t="str">
        <f t="shared" si="41"/>
        <v/>
      </c>
      <c r="DQ22">
        <f t="shared" si="41"/>
        <v>16.600000000000001</v>
      </c>
      <c r="DR22">
        <f t="shared" si="41"/>
        <v>14.000000000000002</v>
      </c>
      <c r="DS22">
        <f t="shared" si="41"/>
        <v>9</v>
      </c>
      <c r="DT22">
        <f t="shared" si="41"/>
        <v>3</v>
      </c>
      <c r="DU22" t="str">
        <f t="shared" si="41"/>
        <v/>
      </c>
      <c r="DV22" t="str">
        <f t="shared" si="41"/>
        <v/>
      </c>
      <c r="DW22" t="str">
        <f t="shared" si="41"/>
        <v/>
      </c>
      <c r="DX22" t="str">
        <f t="shared" si="41"/>
        <v/>
      </c>
      <c r="DY22">
        <f t="shared" si="41"/>
        <v>27</v>
      </c>
      <c r="DZ22">
        <f t="shared" si="41"/>
        <v>25</v>
      </c>
      <c r="EA22">
        <f t="shared" si="41"/>
        <v>23</v>
      </c>
      <c r="EB22">
        <f t="shared" ref="EB22:EO22" si="42">IF(OR(EB21=-1,AND(IF(EB$3&lt;$B22,EB21+EB$6,IF(EB$3=$B22,1,""))&gt;$B$1,EB$3&lt;$B22)),-1,IF(EB$3&lt;$B22,EB21+EB$6,IF(EB$3=$B22,1,"")))</f>
        <v>21</v>
      </c>
      <c r="EC22">
        <f t="shared" si="42"/>
        <v>19</v>
      </c>
      <c r="ED22">
        <f t="shared" si="42"/>
        <v>17</v>
      </c>
      <c r="EE22">
        <f t="shared" si="42"/>
        <v>15.399999999999999</v>
      </c>
      <c r="EF22">
        <f t="shared" si="42"/>
        <v>7.4</v>
      </c>
      <c r="EG22" t="str">
        <f t="shared" si="42"/>
        <v/>
      </c>
      <c r="EH22" t="str">
        <f t="shared" si="42"/>
        <v/>
      </c>
      <c r="EI22" t="str">
        <f t="shared" si="42"/>
        <v/>
      </c>
      <c r="EJ22" t="str">
        <f t="shared" si="42"/>
        <v/>
      </c>
      <c r="EK22">
        <f t="shared" si="42"/>
        <v>20.200000000000003</v>
      </c>
      <c r="EL22">
        <f t="shared" si="42"/>
        <v>12.2</v>
      </c>
      <c r="EM22">
        <f t="shared" si="42"/>
        <v>1</v>
      </c>
      <c r="EN22" t="str">
        <f t="shared" si="42"/>
        <v/>
      </c>
      <c r="EO22" t="str">
        <f t="shared" si="42"/>
        <v/>
      </c>
    </row>
    <row r="23" spans="1:145" x14ac:dyDescent="0.15">
      <c r="A23" t="e">
        <f t="shared" si="0"/>
        <v>#N/A</v>
      </c>
      <c r="B23" s="218">
        <v>15</v>
      </c>
      <c r="C23">
        <f t="shared" si="0"/>
        <v>14</v>
      </c>
      <c r="D23">
        <f t="shared" ref="D23:BO23" si="43">IF(OR(D22=-1,AND(IF(D$3&lt;$B23,D22+D$6,IF(D$3=$B23,1,""))&gt;$B$1,D$3&lt;$B23)),-1,IF(D$3&lt;$B23,D22+D$6,IF(D$3=$B23,1,"")))</f>
        <v>12</v>
      </c>
      <c r="E23">
        <f t="shared" si="43"/>
        <v>10</v>
      </c>
      <c r="F23">
        <f t="shared" si="43"/>
        <v>8</v>
      </c>
      <c r="G23">
        <f t="shared" si="43"/>
        <v>6</v>
      </c>
      <c r="H23">
        <f t="shared" si="43"/>
        <v>4</v>
      </c>
      <c r="I23">
        <f t="shared" si="43"/>
        <v>8.7999999999999989</v>
      </c>
      <c r="J23" t="str">
        <f t="shared" si="43"/>
        <v/>
      </c>
      <c r="K23" t="str">
        <f t="shared" si="43"/>
        <v/>
      </c>
      <c r="L23">
        <f t="shared" si="43"/>
        <v>8</v>
      </c>
      <c r="M23">
        <f t="shared" si="43"/>
        <v>4.5</v>
      </c>
      <c r="N23">
        <f t="shared" si="43"/>
        <v>1</v>
      </c>
      <c r="O23">
        <f t="shared" si="43"/>
        <v>14</v>
      </c>
      <c r="P23">
        <f t="shared" si="43"/>
        <v>12</v>
      </c>
      <c r="Q23">
        <f t="shared" si="43"/>
        <v>10</v>
      </c>
      <c r="R23">
        <f t="shared" si="43"/>
        <v>8</v>
      </c>
      <c r="S23">
        <f t="shared" si="43"/>
        <v>6</v>
      </c>
      <c r="T23">
        <f t="shared" si="43"/>
        <v>23</v>
      </c>
      <c r="U23">
        <f t="shared" si="43"/>
        <v>15</v>
      </c>
      <c r="V23">
        <f t="shared" si="43"/>
        <v>7</v>
      </c>
      <c r="W23">
        <f t="shared" si="43"/>
        <v>24.400000000000006</v>
      </c>
      <c r="X23">
        <f t="shared" si="43"/>
        <v>20.800000000000004</v>
      </c>
      <c r="Y23">
        <f t="shared" si="43"/>
        <v>17.200000000000003</v>
      </c>
      <c r="Z23">
        <f t="shared" si="43"/>
        <v>13</v>
      </c>
      <c r="AA23">
        <f t="shared" si="43"/>
        <v>10</v>
      </c>
      <c r="AB23">
        <f t="shared" si="43"/>
        <v>7</v>
      </c>
      <c r="AC23">
        <f t="shared" si="43"/>
        <v>17.200000000000003</v>
      </c>
      <c r="AD23">
        <f t="shared" si="43"/>
        <v>6.3999999999999995</v>
      </c>
      <c r="AE23" t="str">
        <f t="shared" si="43"/>
        <v/>
      </c>
      <c r="AF23" t="str">
        <f t="shared" si="43"/>
        <v/>
      </c>
      <c r="AG23" t="str">
        <f t="shared" si="43"/>
        <v/>
      </c>
      <c r="AH23" t="str">
        <f t="shared" si="43"/>
        <v/>
      </c>
      <c r="AI23">
        <f t="shared" si="43"/>
        <v>7.5999999999999979</v>
      </c>
      <c r="AJ23">
        <f t="shared" si="43"/>
        <v>5.1999999999999993</v>
      </c>
      <c r="AK23">
        <f t="shared" si="43"/>
        <v>2.8000000000000003</v>
      </c>
      <c r="AL23" t="str">
        <f t="shared" si="43"/>
        <v/>
      </c>
      <c r="AM23">
        <f t="shared" si="43"/>
        <v>10</v>
      </c>
      <c r="AN23">
        <f t="shared" si="43"/>
        <v>4</v>
      </c>
      <c r="AO23" t="str">
        <f t="shared" si="43"/>
        <v/>
      </c>
      <c r="AP23">
        <f t="shared" si="43"/>
        <v>16.600000000000001</v>
      </c>
      <c r="AQ23">
        <f t="shared" si="43"/>
        <v>12.700000000000001</v>
      </c>
      <c r="AR23">
        <f t="shared" si="43"/>
        <v>8.7999999999999989</v>
      </c>
      <c r="AS23">
        <f t="shared" si="43"/>
        <v>4.8999999999999995</v>
      </c>
      <c r="AT23">
        <f t="shared" si="43"/>
        <v>1</v>
      </c>
      <c r="AU23" t="str">
        <f t="shared" si="43"/>
        <v/>
      </c>
      <c r="AV23" t="str">
        <f t="shared" si="43"/>
        <v/>
      </c>
      <c r="AW23">
        <f t="shared" si="43"/>
        <v>10</v>
      </c>
      <c r="AX23">
        <f t="shared" si="43"/>
        <v>4</v>
      </c>
      <c r="AY23">
        <f t="shared" si="43"/>
        <v>21</v>
      </c>
      <c r="AZ23">
        <f t="shared" si="43"/>
        <v>11</v>
      </c>
      <c r="BA23">
        <f t="shared" si="43"/>
        <v>25</v>
      </c>
      <c r="BB23">
        <f t="shared" si="43"/>
        <v>19</v>
      </c>
      <c r="BC23">
        <f t="shared" si="43"/>
        <v>13</v>
      </c>
      <c r="BD23">
        <f t="shared" si="43"/>
        <v>19.200000000000003</v>
      </c>
      <c r="BE23">
        <f t="shared" si="43"/>
        <v>23</v>
      </c>
      <c r="BF23">
        <f t="shared" si="43"/>
        <v>15</v>
      </c>
      <c r="BG23">
        <f t="shared" si="43"/>
        <v>7</v>
      </c>
      <c r="BH23" t="str">
        <f t="shared" si="43"/>
        <v/>
      </c>
      <c r="BI23">
        <f t="shared" si="43"/>
        <v>11</v>
      </c>
      <c r="BJ23">
        <f t="shared" si="43"/>
        <v>6</v>
      </c>
      <c r="BK23">
        <f t="shared" si="43"/>
        <v>1</v>
      </c>
      <c r="BL23" t="str">
        <f t="shared" si="43"/>
        <v/>
      </c>
      <c r="BM23">
        <f t="shared" si="43"/>
        <v>10</v>
      </c>
      <c r="BN23">
        <f t="shared" si="43"/>
        <v>17.900000000000002</v>
      </c>
      <c r="BO23">
        <f t="shared" si="43"/>
        <v>15.300000000000002</v>
      </c>
      <c r="BP23">
        <f t="shared" ref="BP23:EA23" si="44">IF(OR(BP22=-1,AND(IF(BP$3&lt;$B23,BP22+BP$6,IF(BP$3=$B23,1,""))&gt;$B$1,BP$3&lt;$B23)),-1,IF(BP$3&lt;$B23,BP22+BP$6,IF(BP$3=$B23,1,"")))</f>
        <v>25</v>
      </c>
      <c r="BQ23">
        <f t="shared" si="44"/>
        <v>19</v>
      </c>
      <c r="BR23">
        <f t="shared" si="44"/>
        <v>13</v>
      </c>
      <c r="BS23">
        <f t="shared" si="44"/>
        <v>14</v>
      </c>
      <c r="BT23">
        <f t="shared" si="44"/>
        <v>12</v>
      </c>
      <c r="BU23">
        <f t="shared" si="44"/>
        <v>6.3999999999999986</v>
      </c>
      <c r="BV23">
        <f t="shared" si="44"/>
        <v>2.8000000000000003</v>
      </c>
      <c r="BW23" t="str">
        <f t="shared" si="44"/>
        <v/>
      </c>
      <c r="BX23" t="str">
        <f t="shared" si="44"/>
        <v/>
      </c>
      <c r="BY23" t="str">
        <f t="shared" si="44"/>
        <v/>
      </c>
      <c r="BZ23" t="str">
        <f t="shared" si="44"/>
        <v/>
      </c>
      <c r="CA23" t="str">
        <f t="shared" si="44"/>
        <v/>
      </c>
      <c r="CB23" t="str">
        <f t="shared" si="44"/>
        <v/>
      </c>
      <c r="CC23" t="str">
        <f t="shared" si="44"/>
        <v/>
      </c>
      <c r="CD23" t="str">
        <f t="shared" si="44"/>
        <v/>
      </c>
      <c r="CE23" t="str">
        <f t="shared" si="44"/>
        <v/>
      </c>
      <c r="CF23" t="str">
        <f t="shared" si="44"/>
        <v/>
      </c>
      <c r="CG23" t="str">
        <f t="shared" si="44"/>
        <v/>
      </c>
      <c r="CH23" t="str">
        <f t="shared" si="44"/>
        <v/>
      </c>
      <c r="CI23" t="str">
        <f t="shared" si="44"/>
        <v/>
      </c>
      <c r="CJ23" t="str">
        <f t="shared" si="44"/>
        <v/>
      </c>
      <c r="CK23" t="str">
        <f t="shared" si="44"/>
        <v/>
      </c>
      <c r="CL23" t="str">
        <f t="shared" si="44"/>
        <v/>
      </c>
      <c r="CM23" t="str">
        <f t="shared" si="44"/>
        <v/>
      </c>
      <c r="CN23" t="str">
        <f t="shared" si="44"/>
        <v/>
      </c>
      <c r="CO23" t="str">
        <f t="shared" si="44"/>
        <v/>
      </c>
      <c r="CP23" t="str">
        <f t="shared" si="44"/>
        <v/>
      </c>
      <c r="CQ23">
        <f t="shared" si="44"/>
        <v>11</v>
      </c>
      <c r="CR23">
        <f t="shared" si="44"/>
        <v>6</v>
      </c>
      <c r="CS23">
        <f t="shared" si="44"/>
        <v>1</v>
      </c>
      <c r="CT23">
        <f t="shared" si="44"/>
        <v>17.900000000000002</v>
      </c>
      <c r="CU23">
        <f t="shared" si="44"/>
        <v>15.300000000000002</v>
      </c>
      <c r="CV23">
        <f t="shared" si="44"/>
        <v>17</v>
      </c>
      <c r="CW23">
        <f t="shared" si="44"/>
        <v>9</v>
      </c>
      <c r="CX23">
        <f t="shared" si="44"/>
        <v>1</v>
      </c>
      <c r="CY23" t="str">
        <f t="shared" si="44"/>
        <v/>
      </c>
      <c r="CZ23" t="str">
        <f t="shared" si="44"/>
        <v/>
      </c>
      <c r="DA23">
        <f t="shared" si="44"/>
        <v>12</v>
      </c>
      <c r="DB23">
        <f t="shared" si="44"/>
        <v>8</v>
      </c>
      <c r="DC23">
        <f t="shared" si="44"/>
        <v>4</v>
      </c>
      <c r="DD23" t="str">
        <f t="shared" si="44"/>
        <v/>
      </c>
      <c r="DE23">
        <f t="shared" si="44"/>
        <v>14</v>
      </c>
      <c r="DF23">
        <f t="shared" si="44"/>
        <v>12</v>
      </c>
      <c r="DG23">
        <f t="shared" si="44"/>
        <v>19.200000000000003</v>
      </c>
      <c r="DH23">
        <f t="shared" si="44"/>
        <v>17.900000000000002</v>
      </c>
      <c r="DI23">
        <f t="shared" si="44"/>
        <v>16.600000000000001</v>
      </c>
      <c r="DJ23">
        <f t="shared" si="44"/>
        <v>15.300000000000002</v>
      </c>
      <c r="DK23">
        <f t="shared" si="44"/>
        <v>23</v>
      </c>
      <c r="DL23">
        <f t="shared" si="44"/>
        <v>15</v>
      </c>
      <c r="DM23">
        <f t="shared" si="44"/>
        <v>7</v>
      </c>
      <c r="DN23" t="str">
        <f t="shared" si="44"/>
        <v/>
      </c>
      <c r="DO23" t="str">
        <f t="shared" si="44"/>
        <v/>
      </c>
      <c r="DP23" t="str">
        <f t="shared" si="44"/>
        <v/>
      </c>
      <c r="DQ23">
        <f t="shared" si="44"/>
        <v>17.900000000000002</v>
      </c>
      <c r="DR23">
        <f t="shared" si="44"/>
        <v>15.300000000000002</v>
      </c>
      <c r="DS23">
        <f t="shared" si="44"/>
        <v>10</v>
      </c>
      <c r="DT23">
        <f t="shared" si="44"/>
        <v>4</v>
      </c>
      <c r="DU23" t="str">
        <f t="shared" si="44"/>
        <v/>
      </c>
      <c r="DV23" t="str">
        <f t="shared" si="44"/>
        <v/>
      </c>
      <c r="DW23" t="str">
        <f t="shared" si="44"/>
        <v/>
      </c>
      <c r="DX23" t="str">
        <f t="shared" si="44"/>
        <v/>
      </c>
      <c r="DY23">
        <f t="shared" si="44"/>
        <v>29</v>
      </c>
      <c r="DZ23">
        <f t="shared" si="44"/>
        <v>27</v>
      </c>
      <c r="EA23">
        <f t="shared" si="44"/>
        <v>25</v>
      </c>
      <c r="EB23">
        <f t="shared" ref="EB23:EO23" si="45">IF(OR(EB22=-1,AND(IF(EB$3&lt;$B23,EB22+EB$6,IF(EB$3=$B23,1,""))&gt;$B$1,EB$3&lt;$B23)),-1,IF(EB$3&lt;$B23,EB22+EB$6,IF(EB$3=$B23,1,"")))</f>
        <v>23</v>
      </c>
      <c r="EC23">
        <f t="shared" si="45"/>
        <v>21</v>
      </c>
      <c r="ED23">
        <f t="shared" si="45"/>
        <v>19</v>
      </c>
      <c r="EE23">
        <f t="shared" si="45"/>
        <v>17</v>
      </c>
      <c r="EF23">
        <f t="shared" si="45"/>
        <v>9</v>
      </c>
      <c r="EG23">
        <f t="shared" si="45"/>
        <v>1</v>
      </c>
      <c r="EH23" t="str">
        <f t="shared" si="45"/>
        <v/>
      </c>
      <c r="EI23" t="str">
        <f t="shared" si="45"/>
        <v/>
      </c>
      <c r="EJ23" t="str">
        <f t="shared" si="45"/>
        <v/>
      </c>
      <c r="EK23">
        <f t="shared" si="45"/>
        <v>21.800000000000004</v>
      </c>
      <c r="EL23">
        <f t="shared" si="45"/>
        <v>13.799999999999999</v>
      </c>
      <c r="EM23">
        <f t="shared" si="45"/>
        <v>2.6</v>
      </c>
      <c r="EN23" t="str">
        <f t="shared" si="45"/>
        <v/>
      </c>
      <c r="EO23" t="str">
        <f t="shared" si="45"/>
        <v/>
      </c>
    </row>
    <row r="24" spans="1:145" x14ac:dyDescent="0.15">
      <c r="A24" t="e">
        <f t="shared" si="0"/>
        <v>#N/A</v>
      </c>
      <c r="B24" s="218">
        <v>16</v>
      </c>
      <c r="C24">
        <f t="shared" si="0"/>
        <v>15</v>
      </c>
      <c r="D24">
        <f t="shared" ref="D24:BO24" si="46">IF(OR(D23=-1,AND(IF(D$3&lt;$B24,D23+D$6,IF(D$3=$B24,1,""))&gt;$B$1,D$3&lt;$B24)),-1,IF(D$3&lt;$B24,D23+D$6,IF(D$3=$B24,1,"")))</f>
        <v>13</v>
      </c>
      <c r="E24">
        <f t="shared" si="46"/>
        <v>11</v>
      </c>
      <c r="F24">
        <f t="shared" si="46"/>
        <v>9</v>
      </c>
      <c r="G24">
        <f t="shared" si="46"/>
        <v>7</v>
      </c>
      <c r="H24">
        <f t="shared" si="46"/>
        <v>5</v>
      </c>
      <c r="I24">
        <f t="shared" si="46"/>
        <v>10.1</v>
      </c>
      <c r="J24" t="str">
        <f t="shared" si="46"/>
        <v/>
      </c>
      <c r="K24" t="str">
        <f t="shared" si="46"/>
        <v/>
      </c>
      <c r="L24">
        <f t="shared" si="46"/>
        <v>8.6999999999999993</v>
      </c>
      <c r="M24">
        <f t="shared" si="46"/>
        <v>5.2</v>
      </c>
      <c r="N24">
        <f t="shared" si="46"/>
        <v>1.7</v>
      </c>
      <c r="O24">
        <f t="shared" si="46"/>
        <v>15</v>
      </c>
      <c r="P24">
        <f t="shared" si="46"/>
        <v>13</v>
      </c>
      <c r="Q24">
        <f t="shared" si="46"/>
        <v>11</v>
      </c>
      <c r="R24">
        <f t="shared" si="46"/>
        <v>9</v>
      </c>
      <c r="S24">
        <f t="shared" si="46"/>
        <v>7</v>
      </c>
      <c r="T24">
        <f t="shared" si="46"/>
        <v>25</v>
      </c>
      <c r="U24">
        <f t="shared" si="46"/>
        <v>17</v>
      </c>
      <c r="V24">
        <f t="shared" si="46"/>
        <v>9</v>
      </c>
      <c r="W24">
        <f t="shared" si="46"/>
        <v>26.200000000000006</v>
      </c>
      <c r="X24">
        <f t="shared" si="46"/>
        <v>22.600000000000005</v>
      </c>
      <c r="Y24">
        <f t="shared" si="46"/>
        <v>19.000000000000004</v>
      </c>
      <c r="Z24">
        <f t="shared" si="46"/>
        <v>14</v>
      </c>
      <c r="AA24">
        <f t="shared" si="46"/>
        <v>11</v>
      </c>
      <c r="AB24">
        <f t="shared" si="46"/>
        <v>8</v>
      </c>
      <c r="AC24">
        <f t="shared" si="46"/>
        <v>19.000000000000004</v>
      </c>
      <c r="AD24">
        <f t="shared" si="46"/>
        <v>8.1999999999999993</v>
      </c>
      <c r="AE24" t="str">
        <f t="shared" si="46"/>
        <v/>
      </c>
      <c r="AF24" t="str">
        <f t="shared" si="46"/>
        <v/>
      </c>
      <c r="AG24" t="str">
        <f t="shared" si="46"/>
        <v/>
      </c>
      <c r="AH24" t="str">
        <f t="shared" si="46"/>
        <v/>
      </c>
      <c r="AI24">
        <f t="shared" si="46"/>
        <v>8.1999999999999975</v>
      </c>
      <c r="AJ24">
        <f t="shared" si="46"/>
        <v>5.7999999999999989</v>
      </c>
      <c r="AK24">
        <f t="shared" si="46"/>
        <v>3.4000000000000004</v>
      </c>
      <c r="AL24">
        <f t="shared" si="46"/>
        <v>1</v>
      </c>
      <c r="AM24">
        <f t="shared" si="46"/>
        <v>11</v>
      </c>
      <c r="AN24">
        <f t="shared" si="46"/>
        <v>5</v>
      </c>
      <c r="AO24" t="str">
        <f t="shared" si="46"/>
        <v/>
      </c>
      <c r="AP24">
        <f t="shared" si="46"/>
        <v>17.900000000000002</v>
      </c>
      <c r="AQ24">
        <f t="shared" si="46"/>
        <v>14.000000000000002</v>
      </c>
      <c r="AR24">
        <f t="shared" si="46"/>
        <v>10.1</v>
      </c>
      <c r="AS24">
        <f t="shared" si="46"/>
        <v>6.1999999999999993</v>
      </c>
      <c r="AT24">
        <f t="shared" si="46"/>
        <v>2.2999999999999998</v>
      </c>
      <c r="AU24" t="str">
        <f t="shared" si="46"/>
        <v/>
      </c>
      <c r="AV24" t="str">
        <f t="shared" si="46"/>
        <v/>
      </c>
      <c r="AW24">
        <f t="shared" si="46"/>
        <v>11</v>
      </c>
      <c r="AX24">
        <f t="shared" si="46"/>
        <v>5</v>
      </c>
      <c r="AY24">
        <f t="shared" si="46"/>
        <v>23</v>
      </c>
      <c r="AZ24">
        <f t="shared" si="46"/>
        <v>13</v>
      </c>
      <c r="BA24">
        <f t="shared" si="46"/>
        <v>27</v>
      </c>
      <c r="BB24">
        <f t="shared" si="46"/>
        <v>21</v>
      </c>
      <c r="BC24">
        <f t="shared" si="46"/>
        <v>15</v>
      </c>
      <c r="BD24">
        <f t="shared" si="46"/>
        <v>20.500000000000004</v>
      </c>
      <c r="BE24">
        <f t="shared" si="46"/>
        <v>25</v>
      </c>
      <c r="BF24">
        <f t="shared" si="46"/>
        <v>17</v>
      </c>
      <c r="BG24">
        <f t="shared" si="46"/>
        <v>9</v>
      </c>
      <c r="BH24">
        <f t="shared" si="46"/>
        <v>1</v>
      </c>
      <c r="BI24">
        <f t="shared" si="46"/>
        <v>12</v>
      </c>
      <c r="BJ24">
        <f t="shared" si="46"/>
        <v>7</v>
      </c>
      <c r="BK24">
        <f t="shared" si="46"/>
        <v>2</v>
      </c>
      <c r="BL24" t="str">
        <f t="shared" si="46"/>
        <v/>
      </c>
      <c r="BM24">
        <f t="shared" si="46"/>
        <v>11</v>
      </c>
      <c r="BN24">
        <f t="shared" si="46"/>
        <v>19.200000000000003</v>
      </c>
      <c r="BO24">
        <f t="shared" si="46"/>
        <v>16.600000000000001</v>
      </c>
      <c r="BP24">
        <f t="shared" ref="BP24:EA24" si="47">IF(OR(BP23=-1,AND(IF(BP$3&lt;$B24,BP23+BP$6,IF(BP$3=$B24,1,""))&gt;$B$1,BP$3&lt;$B24)),-1,IF(BP$3&lt;$B24,BP23+BP$6,IF(BP$3=$B24,1,"")))</f>
        <v>27</v>
      </c>
      <c r="BQ24">
        <f t="shared" si="47"/>
        <v>21</v>
      </c>
      <c r="BR24">
        <f t="shared" si="47"/>
        <v>15</v>
      </c>
      <c r="BS24">
        <f t="shared" si="47"/>
        <v>15</v>
      </c>
      <c r="BT24">
        <f t="shared" si="47"/>
        <v>13</v>
      </c>
      <c r="BU24">
        <f t="shared" si="47"/>
        <v>6.9999999999999982</v>
      </c>
      <c r="BV24">
        <f t="shared" si="47"/>
        <v>3.4000000000000004</v>
      </c>
      <c r="BW24" t="str">
        <f t="shared" si="47"/>
        <v/>
      </c>
      <c r="BX24" t="str">
        <f t="shared" si="47"/>
        <v/>
      </c>
      <c r="BY24" t="str">
        <f t="shared" si="47"/>
        <v/>
      </c>
      <c r="BZ24" t="str">
        <f t="shared" si="47"/>
        <v/>
      </c>
      <c r="CA24" t="str">
        <f t="shared" si="47"/>
        <v/>
      </c>
      <c r="CB24" t="str">
        <f t="shared" si="47"/>
        <v/>
      </c>
      <c r="CC24" t="str">
        <f t="shared" si="47"/>
        <v/>
      </c>
      <c r="CD24" t="str">
        <f t="shared" si="47"/>
        <v/>
      </c>
      <c r="CE24" t="str">
        <f t="shared" si="47"/>
        <v/>
      </c>
      <c r="CF24" t="str">
        <f t="shared" si="47"/>
        <v/>
      </c>
      <c r="CG24" t="str">
        <f t="shared" si="47"/>
        <v/>
      </c>
      <c r="CH24" t="str">
        <f t="shared" si="47"/>
        <v/>
      </c>
      <c r="CI24" t="str">
        <f t="shared" si="47"/>
        <v/>
      </c>
      <c r="CJ24" t="str">
        <f t="shared" si="47"/>
        <v/>
      </c>
      <c r="CK24" t="str">
        <f t="shared" si="47"/>
        <v/>
      </c>
      <c r="CL24" t="str">
        <f t="shared" si="47"/>
        <v/>
      </c>
      <c r="CM24" t="str">
        <f t="shared" si="47"/>
        <v/>
      </c>
      <c r="CN24" t="str">
        <f t="shared" si="47"/>
        <v/>
      </c>
      <c r="CO24" t="str">
        <f t="shared" si="47"/>
        <v/>
      </c>
      <c r="CP24" t="str">
        <f t="shared" si="47"/>
        <v/>
      </c>
      <c r="CQ24">
        <f t="shared" si="47"/>
        <v>12</v>
      </c>
      <c r="CR24">
        <f t="shared" si="47"/>
        <v>7</v>
      </c>
      <c r="CS24">
        <f t="shared" si="47"/>
        <v>2</v>
      </c>
      <c r="CT24">
        <f t="shared" si="47"/>
        <v>19.200000000000003</v>
      </c>
      <c r="CU24">
        <f t="shared" si="47"/>
        <v>16.600000000000001</v>
      </c>
      <c r="CV24">
        <f t="shared" si="47"/>
        <v>18.600000000000001</v>
      </c>
      <c r="CW24">
        <f t="shared" si="47"/>
        <v>10.6</v>
      </c>
      <c r="CX24">
        <f t="shared" si="47"/>
        <v>2.6</v>
      </c>
      <c r="CY24" t="str">
        <f t="shared" si="47"/>
        <v/>
      </c>
      <c r="CZ24" t="str">
        <f t="shared" si="47"/>
        <v/>
      </c>
      <c r="DA24">
        <f t="shared" si="47"/>
        <v>13</v>
      </c>
      <c r="DB24">
        <f t="shared" si="47"/>
        <v>9</v>
      </c>
      <c r="DC24">
        <f t="shared" si="47"/>
        <v>5</v>
      </c>
      <c r="DD24">
        <f t="shared" si="47"/>
        <v>1</v>
      </c>
      <c r="DE24">
        <f t="shared" si="47"/>
        <v>15</v>
      </c>
      <c r="DF24">
        <f t="shared" si="47"/>
        <v>13</v>
      </c>
      <c r="DG24">
        <f t="shared" si="47"/>
        <v>20.500000000000004</v>
      </c>
      <c r="DH24">
        <f t="shared" si="47"/>
        <v>19.200000000000003</v>
      </c>
      <c r="DI24">
        <f t="shared" si="47"/>
        <v>17.900000000000002</v>
      </c>
      <c r="DJ24">
        <f t="shared" si="47"/>
        <v>16.600000000000001</v>
      </c>
      <c r="DK24">
        <f t="shared" si="47"/>
        <v>25</v>
      </c>
      <c r="DL24">
        <f t="shared" si="47"/>
        <v>17</v>
      </c>
      <c r="DM24">
        <f t="shared" si="47"/>
        <v>9</v>
      </c>
      <c r="DN24">
        <f t="shared" si="47"/>
        <v>1</v>
      </c>
      <c r="DO24" t="str">
        <f t="shared" si="47"/>
        <v/>
      </c>
      <c r="DP24" t="str">
        <f t="shared" si="47"/>
        <v/>
      </c>
      <c r="DQ24">
        <f t="shared" si="47"/>
        <v>19.200000000000003</v>
      </c>
      <c r="DR24">
        <f t="shared" si="47"/>
        <v>16.600000000000001</v>
      </c>
      <c r="DS24">
        <f t="shared" si="47"/>
        <v>11</v>
      </c>
      <c r="DT24">
        <f t="shared" si="47"/>
        <v>5</v>
      </c>
      <c r="DU24" t="str">
        <f t="shared" si="47"/>
        <v/>
      </c>
      <c r="DV24" t="str">
        <f t="shared" si="47"/>
        <v/>
      </c>
      <c r="DW24" t="str">
        <f t="shared" si="47"/>
        <v/>
      </c>
      <c r="DX24" t="str">
        <f t="shared" si="47"/>
        <v/>
      </c>
      <c r="DY24">
        <f t="shared" si="47"/>
        <v>31</v>
      </c>
      <c r="DZ24">
        <f t="shared" si="47"/>
        <v>29</v>
      </c>
      <c r="EA24">
        <f t="shared" si="47"/>
        <v>27</v>
      </c>
      <c r="EB24">
        <f t="shared" ref="EB24:EO24" si="48">IF(OR(EB23=-1,AND(IF(EB$3&lt;$B24,EB23+EB$6,IF(EB$3=$B24,1,""))&gt;$B$1,EB$3&lt;$B24)),-1,IF(EB$3&lt;$B24,EB23+EB$6,IF(EB$3=$B24,1,"")))</f>
        <v>25</v>
      </c>
      <c r="EC24">
        <f t="shared" si="48"/>
        <v>23</v>
      </c>
      <c r="ED24">
        <f t="shared" si="48"/>
        <v>21</v>
      </c>
      <c r="EE24">
        <f t="shared" si="48"/>
        <v>18.600000000000001</v>
      </c>
      <c r="EF24">
        <f t="shared" si="48"/>
        <v>10.6</v>
      </c>
      <c r="EG24">
        <f t="shared" si="48"/>
        <v>2.6</v>
      </c>
      <c r="EH24" t="str">
        <f t="shared" si="48"/>
        <v/>
      </c>
      <c r="EI24" t="str">
        <f t="shared" si="48"/>
        <v/>
      </c>
      <c r="EJ24" t="str">
        <f t="shared" si="48"/>
        <v/>
      </c>
      <c r="EK24">
        <f t="shared" si="48"/>
        <v>23.400000000000006</v>
      </c>
      <c r="EL24">
        <f t="shared" si="48"/>
        <v>15.399999999999999</v>
      </c>
      <c r="EM24">
        <f t="shared" si="48"/>
        <v>4.2</v>
      </c>
      <c r="EN24" t="str">
        <f t="shared" si="48"/>
        <v/>
      </c>
      <c r="EO24" t="str">
        <f t="shared" si="48"/>
        <v/>
      </c>
    </row>
    <row r="25" spans="1:145" x14ac:dyDescent="0.15">
      <c r="A25" t="e">
        <f t="shared" si="0"/>
        <v>#N/A</v>
      </c>
      <c r="B25" s="218">
        <v>17</v>
      </c>
      <c r="C25">
        <f t="shared" si="0"/>
        <v>16</v>
      </c>
      <c r="D25">
        <f t="shared" ref="D25:BO25" si="49">IF(OR(D24=-1,AND(IF(D$3&lt;$B25,D24+D$6,IF(D$3=$B25,1,""))&gt;$B$1,D$3&lt;$B25)),-1,IF(D$3&lt;$B25,D24+D$6,IF(D$3=$B25,1,"")))</f>
        <v>14</v>
      </c>
      <c r="E25">
        <f t="shared" si="49"/>
        <v>12</v>
      </c>
      <c r="F25">
        <f t="shared" si="49"/>
        <v>10</v>
      </c>
      <c r="G25">
        <f t="shared" si="49"/>
        <v>8</v>
      </c>
      <c r="H25">
        <f t="shared" si="49"/>
        <v>6</v>
      </c>
      <c r="I25">
        <f t="shared" si="49"/>
        <v>11.4</v>
      </c>
      <c r="J25" t="str">
        <f t="shared" si="49"/>
        <v/>
      </c>
      <c r="K25" t="str">
        <f t="shared" si="49"/>
        <v/>
      </c>
      <c r="L25">
        <f t="shared" si="49"/>
        <v>9.3999999999999986</v>
      </c>
      <c r="M25">
        <f t="shared" si="49"/>
        <v>5.9</v>
      </c>
      <c r="N25">
        <f t="shared" si="49"/>
        <v>2.4</v>
      </c>
      <c r="O25">
        <f t="shared" si="49"/>
        <v>16</v>
      </c>
      <c r="P25">
        <f t="shared" si="49"/>
        <v>14</v>
      </c>
      <c r="Q25">
        <f t="shared" si="49"/>
        <v>12</v>
      </c>
      <c r="R25">
        <f t="shared" si="49"/>
        <v>10</v>
      </c>
      <c r="S25">
        <f t="shared" si="49"/>
        <v>8</v>
      </c>
      <c r="T25">
        <f t="shared" si="49"/>
        <v>27</v>
      </c>
      <c r="U25">
        <f t="shared" si="49"/>
        <v>19</v>
      </c>
      <c r="V25">
        <f t="shared" si="49"/>
        <v>11</v>
      </c>
      <c r="W25">
        <f t="shared" si="49"/>
        <v>28.000000000000007</v>
      </c>
      <c r="X25">
        <f t="shared" si="49"/>
        <v>24.400000000000006</v>
      </c>
      <c r="Y25">
        <f t="shared" si="49"/>
        <v>20.800000000000004</v>
      </c>
      <c r="Z25">
        <f t="shared" si="49"/>
        <v>15</v>
      </c>
      <c r="AA25">
        <f t="shared" si="49"/>
        <v>12</v>
      </c>
      <c r="AB25">
        <f t="shared" si="49"/>
        <v>9</v>
      </c>
      <c r="AC25">
        <f t="shared" si="49"/>
        <v>20.800000000000004</v>
      </c>
      <c r="AD25">
        <f t="shared" si="49"/>
        <v>10</v>
      </c>
      <c r="AE25" t="str">
        <f t="shared" si="49"/>
        <v/>
      </c>
      <c r="AF25" t="str">
        <f t="shared" si="49"/>
        <v/>
      </c>
      <c r="AG25" t="str">
        <f t="shared" si="49"/>
        <v/>
      </c>
      <c r="AH25" t="str">
        <f t="shared" si="49"/>
        <v/>
      </c>
      <c r="AI25">
        <f t="shared" si="49"/>
        <v>8.7999999999999972</v>
      </c>
      <c r="AJ25">
        <f t="shared" si="49"/>
        <v>6.3999999999999986</v>
      </c>
      <c r="AK25">
        <f t="shared" si="49"/>
        <v>4</v>
      </c>
      <c r="AL25">
        <f t="shared" si="49"/>
        <v>1.6</v>
      </c>
      <c r="AM25">
        <f t="shared" si="49"/>
        <v>12</v>
      </c>
      <c r="AN25">
        <f t="shared" si="49"/>
        <v>6</v>
      </c>
      <c r="AO25" t="str">
        <f t="shared" si="49"/>
        <v/>
      </c>
      <c r="AP25">
        <f t="shared" si="49"/>
        <v>19.200000000000003</v>
      </c>
      <c r="AQ25">
        <f t="shared" si="49"/>
        <v>15.300000000000002</v>
      </c>
      <c r="AR25">
        <f t="shared" si="49"/>
        <v>11.4</v>
      </c>
      <c r="AS25">
        <f t="shared" si="49"/>
        <v>7.4999999999999991</v>
      </c>
      <c r="AT25">
        <f t="shared" si="49"/>
        <v>3.5999999999999996</v>
      </c>
      <c r="AU25" t="str">
        <f t="shared" si="49"/>
        <v/>
      </c>
      <c r="AV25" t="str">
        <f t="shared" si="49"/>
        <v/>
      </c>
      <c r="AW25">
        <f t="shared" si="49"/>
        <v>12</v>
      </c>
      <c r="AX25">
        <f t="shared" si="49"/>
        <v>6</v>
      </c>
      <c r="AY25">
        <f t="shared" si="49"/>
        <v>25</v>
      </c>
      <c r="AZ25">
        <f t="shared" si="49"/>
        <v>15</v>
      </c>
      <c r="BA25">
        <f t="shared" si="49"/>
        <v>29</v>
      </c>
      <c r="BB25">
        <f t="shared" si="49"/>
        <v>23</v>
      </c>
      <c r="BC25">
        <f t="shared" si="49"/>
        <v>17</v>
      </c>
      <c r="BD25">
        <f t="shared" si="49"/>
        <v>21.800000000000004</v>
      </c>
      <c r="BE25">
        <f t="shared" si="49"/>
        <v>27</v>
      </c>
      <c r="BF25">
        <f t="shared" si="49"/>
        <v>19</v>
      </c>
      <c r="BG25">
        <f t="shared" si="49"/>
        <v>11</v>
      </c>
      <c r="BH25">
        <f t="shared" si="49"/>
        <v>3</v>
      </c>
      <c r="BI25">
        <f t="shared" si="49"/>
        <v>13</v>
      </c>
      <c r="BJ25">
        <f t="shared" si="49"/>
        <v>8</v>
      </c>
      <c r="BK25">
        <f t="shared" si="49"/>
        <v>3</v>
      </c>
      <c r="BL25" t="str">
        <f t="shared" si="49"/>
        <v/>
      </c>
      <c r="BM25">
        <f t="shared" si="49"/>
        <v>12</v>
      </c>
      <c r="BN25">
        <f t="shared" si="49"/>
        <v>20.500000000000004</v>
      </c>
      <c r="BO25">
        <f t="shared" si="49"/>
        <v>17.900000000000002</v>
      </c>
      <c r="BP25">
        <f t="shared" ref="BP25:EA25" si="50">IF(OR(BP24=-1,AND(IF(BP$3&lt;$B25,BP24+BP$6,IF(BP$3=$B25,1,""))&gt;$B$1,BP$3&lt;$B25)),-1,IF(BP$3&lt;$B25,BP24+BP$6,IF(BP$3=$B25,1,"")))</f>
        <v>29</v>
      </c>
      <c r="BQ25">
        <f t="shared" si="50"/>
        <v>23</v>
      </c>
      <c r="BR25">
        <f t="shared" si="50"/>
        <v>17</v>
      </c>
      <c r="BS25">
        <f t="shared" si="50"/>
        <v>16</v>
      </c>
      <c r="BT25">
        <f t="shared" si="50"/>
        <v>14</v>
      </c>
      <c r="BU25">
        <f t="shared" si="50"/>
        <v>7.5999999999999979</v>
      </c>
      <c r="BV25">
        <f t="shared" si="50"/>
        <v>4</v>
      </c>
      <c r="BW25" t="str">
        <f t="shared" si="50"/>
        <v/>
      </c>
      <c r="BX25" t="str">
        <f t="shared" si="50"/>
        <v/>
      </c>
      <c r="BY25" t="str">
        <f t="shared" si="50"/>
        <v/>
      </c>
      <c r="BZ25" t="str">
        <f t="shared" si="50"/>
        <v/>
      </c>
      <c r="CA25" t="str">
        <f t="shared" si="50"/>
        <v/>
      </c>
      <c r="CB25" t="str">
        <f t="shared" si="50"/>
        <v/>
      </c>
      <c r="CC25" t="str">
        <f t="shared" si="50"/>
        <v/>
      </c>
      <c r="CD25" t="str">
        <f t="shared" si="50"/>
        <v/>
      </c>
      <c r="CE25" t="str">
        <f t="shared" si="50"/>
        <v/>
      </c>
      <c r="CF25" t="str">
        <f t="shared" si="50"/>
        <v/>
      </c>
      <c r="CG25" t="str">
        <f t="shared" si="50"/>
        <v/>
      </c>
      <c r="CH25" t="str">
        <f t="shared" si="50"/>
        <v/>
      </c>
      <c r="CI25" t="str">
        <f t="shared" si="50"/>
        <v/>
      </c>
      <c r="CJ25" t="str">
        <f t="shared" si="50"/>
        <v/>
      </c>
      <c r="CK25" t="str">
        <f t="shared" si="50"/>
        <v/>
      </c>
      <c r="CL25" t="str">
        <f t="shared" si="50"/>
        <v/>
      </c>
      <c r="CM25" t="str">
        <f t="shared" si="50"/>
        <v/>
      </c>
      <c r="CN25" t="str">
        <f t="shared" si="50"/>
        <v/>
      </c>
      <c r="CO25" t="str">
        <f t="shared" si="50"/>
        <v/>
      </c>
      <c r="CP25" t="str">
        <f t="shared" si="50"/>
        <v/>
      </c>
      <c r="CQ25">
        <f t="shared" si="50"/>
        <v>13</v>
      </c>
      <c r="CR25">
        <f t="shared" si="50"/>
        <v>8</v>
      </c>
      <c r="CS25">
        <f t="shared" si="50"/>
        <v>3</v>
      </c>
      <c r="CT25">
        <f t="shared" si="50"/>
        <v>20.500000000000004</v>
      </c>
      <c r="CU25">
        <f t="shared" si="50"/>
        <v>17.900000000000002</v>
      </c>
      <c r="CV25">
        <f t="shared" si="50"/>
        <v>20.200000000000003</v>
      </c>
      <c r="CW25">
        <f t="shared" si="50"/>
        <v>12.2</v>
      </c>
      <c r="CX25">
        <f t="shared" si="50"/>
        <v>4.2</v>
      </c>
      <c r="CY25" t="str">
        <f t="shared" si="50"/>
        <v/>
      </c>
      <c r="CZ25" t="str">
        <f t="shared" si="50"/>
        <v/>
      </c>
      <c r="DA25">
        <f t="shared" si="50"/>
        <v>14</v>
      </c>
      <c r="DB25">
        <f t="shared" si="50"/>
        <v>10</v>
      </c>
      <c r="DC25">
        <f t="shared" si="50"/>
        <v>6</v>
      </c>
      <c r="DD25">
        <f t="shared" si="50"/>
        <v>2</v>
      </c>
      <c r="DE25">
        <f t="shared" si="50"/>
        <v>16</v>
      </c>
      <c r="DF25">
        <f t="shared" si="50"/>
        <v>14</v>
      </c>
      <c r="DG25">
        <f t="shared" si="50"/>
        <v>21.800000000000004</v>
      </c>
      <c r="DH25">
        <f t="shared" si="50"/>
        <v>20.500000000000004</v>
      </c>
      <c r="DI25">
        <f t="shared" si="50"/>
        <v>19.200000000000003</v>
      </c>
      <c r="DJ25">
        <f t="shared" si="50"/>
        <v>17.900000000000002</v>
      </c>
      <c r="DK25">
        <f t="shared" si="50"/>
        <v>27</v>
      </c>
      <c r="DL25">
        <f t="shared" si="50"/>
        <v>19</v>
      </c>
      <c r="DM25">
        <f t="shared" si="50"/>
        <v>11</v>
      </c>
      <c r="DN25">
        <f t="shared" si="50"/>
        <v>3</v>
      </c>
      <c r="DO25" t="str">
        <f t="shared" si="50"/>
        <v/>
      </c>
      <c r="DP25" t="str">
        <f t="shared" si="50"/>
        <v/>
      </c>
      <c r="DQ25">
        <f t="shared" si="50"/>
        <v>20.500000000000004</v>
      </c>
      <c r="DR25">
        <f t="shared" si="50"/>
        <v>17.900000000000002</v>
      </c>
      <c r="DS25">
        <f t="shared" si="50"/>
        <v>12</v>
      </c>
      <c r="DT25">
        <f t="shared" si="50"/>
        <v>6</v>
      </c>
      <c r="DU25" t="str">
        <f t="shared" si="50"/>
        <v/>
      </c>
      <c r="DV25" t="str">
        <f t="shared" si="50"/>
        <v/>
      </c>
      <c r="DW25" t="str">
        <f t="shared" si="50"/>
        <v/>
      </c>
      <c r="DX25" t="str">
        <f t="shared" si="50"/>
        <v/>
      </c>
      <c r="DY25">
        <f t="shared" si="50"/>
        <v>33</v>
      </c>
      <c r="DZ25">
        <f t="shared" si="50"/>
        <v>31</v>
      </c>
      <c r="EA25">
        <f t="shared" si="50"/>
        <v>29</v>
      </c>
      <c r="EB25">
        <f t="shared" ref="EB25:EO25" si="51">IF(OR(EB24=-1,AND(IF(EB$3&lt;$B25,EB24+EB$6,IF(EB$3=$B25,1,""))&gt;$B$1,EB$3&lt;$B25)),-1,IF(EB$3&lt;$B25,EB24+EB$6,IF(EB$3=$B25,1,"")))</f>
        <v>27</v>
      </c>
      <c r="EC25">
        <f t="shared" si="51"/>
        <v>25</v>
      </c>
      <c r="ED25">
        <f t="shared" si="51"/>
        <v>23</v>
      </c>
      <c r="EE25">
        <f t="shared" si="51"/>
        <v>20.200000000000003</v>
      </c>
      <c r="EF25">
        <f t="shared" si="51"/>
        <v>12.2</v>
      </c>
      <c r="EG25">
        <f t="shared" si="51"/>
        <v>4.2</v>
      </c>
      <c r="EH25" t="str">
        <f t="shared" si="51"/>
        <v/>
      </c>
      <c r="EI25" t="str">
        <f t="shared" si="51"/>
        <v/>
      </c>
      <c r="EJ25" t="str">
        <f t="shared" si="51"/>
        <v/>
      </c>
      <c r="EK25">
        <f t="shared" si="51"/>
        <v>25.000000000000007</v>
      </c>
      <c r="EL25">
        <f t="shared" si="51"/>
        <v>17</v>
      </c>
      <c r="EM25">
        <f t="shared" si="51"/>
        <v>5.8000000000000007</v>
      </c>
      <c r="EN25" t="str">
        <f t="shared" si="51"/>
        <v/>
      </c>
      <c r="EO25" t="str">
        <f t="shared" si="51"/>
        <v/>
      </c>
    </row>
    <row r="26" spans="1:145" x14ac:dyDescent="0.15">
      <c r="A26" t="e">
        <f t="shared" si="0"/>
        <v>#N/A</v>
      </c>
      <c r="B26" s="218">
        <v>18</v>
      </c>
      <c r="C26">
        <f t="shared" si="0"/>
        <v>17</v>
      </c>
      <c r="D26">
        <f t="shared" ref="D26:BO26" si="52">IF(OR(D25=-1,AND(IF(D$3&lt;$B26,D25+D$6,IF(D$3=$B26,1,""))&gt;$B$1,D$3&lt;$B26)),-1,IF(D$3&lt;$B26,D25+D$6,IF(D$3=$B26,1,"")))</f>
        <v>15</v>
      </c>
      <c r="E26">
        <f t="shared" si="52"/>
        <v>13</v>
      </c>
      <c r="F26">
        <f t="shared" si="52"/>
        <v>11</v>
      </c>
      <c r="G26">
        <f t="shared" si="52"/>
        <v>9</v>
      </c>
      <c r="H26">
        <f t="shared" si="52"/>
        <v>7</v>
      </c>
      <c r="I26">
        <f t="shared" si="52"/>
        <v>12.700000000000001</v>
      </c>
      <c r="J26">
        <f t="shared" si="52"/>
        <v>1</v>
      </c>
      <c r="K26" t="str">
        <f t="shared" si="52"/>
        <v/>
      </c>
      <c r="L26">
        <f t="shared" si="52"/>
        <v>10.099999999999998</v>
      </c>
      <c r="M26">
        <f t="shared" si="52"/>
        <v>6.6000000000000005</v>
      </c>
      <c r="N26">
        <f t="shared" si="52"/>
        <v>3.0999999999999996</v>
      </c>
      <c r="O26">
        <f t="shared" si="52"/>
        <v>17</v>
      </c>
      <c r="P26">
        <f t="shared" si="52"/>
        <v>15</v>
      </c>
      <c r="Q26">
        <f t="shared" si="52"/>
        <v>13</v>
      </c>
      <c r="R26">
        <f t="shared" si="52"/>
        <v>11</v>
      </c>
      <c r="S26">
        <f t="shared" si="52"/>
        <v>9</v>
      </c>
      <c r="T26">
        <f t="shared" si="52"/>
        <v>29</v>
      </c>
      <c r="U26">
        <f t="shared" si="52"/>
        <v>21</v>
      </c>
      <c r="V26">
        <f t="shared" si="52"/>
        <v>13</v>
      </c>
      <c r="W26">
        <f t="shared" si="52"/>
        <v>29.800000000000008</v>
      </c>
      <c r="X26">
        <f t="shared" si="52"/>
        <v>26.200000000000006</v>
      </c>
      <c r="Y26">
        <f t="shared" si="52"/>
        <v>22.600000000000005</v>
      </c>
      <c r="Z26">
        <f t="shared" si="52"/>
        <v>16</v>
      </c>
      <c r="AA26">
        <f t="shared" si="52"/>
        <v>13</v>
      </c>
      <c r="AB26">
        <f t="shared" si="52"/>
        <v>10</v>
      </c>
      <c r="AC26">
        <f t="shared" si="52"/>
        <v>22.600000000000005</v>
      </c>
      <c r="AD26">
        <f t="shared" si="52"/>
        <v>11.8</v>
      </c>
      <c r="AE26">
        <f t="shared" si="52"/>
        <v>1</v>
      </c>
      <c r="AF26" t="str">
        <f t="shared" si="52"/>
        <v/>
      </c>
      <c r="AG26" t="str">
        <f t="shared" si="52"/>
        <v/>
      </c>
      <c r="AH26" t="str">
        <f t="shared" si="52"/>
        <v/>
      </c>
      <c r="AI26">
        <f t="shared" si="52"/>
        <v>9.3999999999999968</v>
      </c>
      <c r="AJ26">
        <f t="shared" si="52"/>
        <v>6.9999999999999982</v>
      </c>
      <c r="AK26">
        <f t="shared" si="52"/>
        <v>4.5999999999999996</v>
      </c>
      <c r="AL26">
        <f t="shared" si="52"/>
        <v>2.2000000000000002</v>
      </c>
      <c r="AM26">
        <f t="shared" si="52"/>
        <v>13</v>
      </c>
      <c r="AN26">
        <f t="shared" si="52"/>
        <v>7</v>
      </c>
      <c r="AO26">
        <f t="shared" si="52"/>
        <v>1</v>
      </c>
      <c r="AP26">
        <f t="shared" si="52"/>
        <v>20.500000000000004</v>
      </c>
      <c r="AQ26">
        <f t="shared" si="52"/>
        <v>16.600000000000001</v>
      </c>
      <c r="AR26">
        <f t="shared" si="52"/>
        <v>12.700000000000001</v>
      </c>
      <c r="AS26">
        <f t="shared" si="52"/>
        <v>8.7999999999999989</v>
      </c>
      <c r="AT26">
        <f t="shared" si="52"/>
        <v>4.8999999999999995</v>
      </c>
      <c r="AU26">
        <f t="shared" si="52"/>
        <v>1</v>
      </c>
      <c r="AV26" t="str">
        <f t="shared" si="52"/>
        <v/>
      </c>
      <c r="AW26">
        <f t="shared" si="52"/>
        <v>13</v>
      </c>
      <c r="AX26">
        <f t="shared" si="52"/>
        <v>7</v>
      </c>
      <c r="AY26">
        <f t="shared" si="52"/>
        <v>27</v>
      </c>
      <c r="AZ26">
        <f t="shared" si="52"/>
        <v>17</v>
      </c>
      <c r="BA26">
        <f t="shared" si="52"/>
        <v>31</v>
      </c>
      <c r="BB26">
        <f t="shared" si="52"/>
        <v>25</v>
      </c>
      <c r="BC26">
        <f t="shared" si="52"/>
        <v>19</v>
      </c>
      <c r="BD26">
        <f t="shared" si="52"/>
        <v>23.100000000000005</v>
      </c>
      <c r="BE26">
        <f t="shared" si="52"/>
        <v>29</v>
      </c>
      <c r="BF26">
        <f t="shared" si="52"/>
        <v>21</v>
      </c>
      <c r="BG26">
        <f t="shared" si="52"/>
        <v>13</v>
      </c>
      <c r="BH26">
        <f t="shared" si="52"/>
        <v>5</v>
      </c>
      <c r="BI26">
        <f t="shared" si="52"/>
        <v>14</v>
      </c>
      <c r="BJ26">
        <f t="shared" si="52"/>
        <v>9</v>
      </c>
      <c r="BK26">
        <f t="shared" si="52"/>
        <v>4</v>
      </c>
      <c r="BL26" t="str">
        <f t="shared" si="52"/>
        <v/>
      </c>
      <c r="BM26">
        <f t="shared" si="52"/>
        <v>13</v>
      </c>
      <c r="BN26">
        <f t="shared" si="52"/>
        <v>21.800000000000004</v>
      </c>
      <c r="BO26">
        <f t="shared" si="52"/>
        <v>19.200000000000003</v>
      </c>
      <c r="BP26">
        <f t="shared" ref="BP26:EA26" si="53">IF(OR(BP25=-1,AND(IF(BP$3&lt;$B26,BP25+BP$6,IF(BP$3=$B26,1,""))&gt;$B$1,BP$3&lt;$B26)),-1,IF(BP$3&lt;$B26,BP25+BP$6,IF(BP$3=$B26,1,"")))</f>
        <v>31</v>
      </c>
      <c r="BQ26">
        <f t="shared" si="53"/>
        <v>25</v>
      </c>
      <c r="BR26">
        <f t="shared" si="53"/>
        <v>19</v>
      </c>
      <c r="BS26">
        <f t="shared" si="53"/>
        <v>17</v>
      </c>
      <c r="BT26">
        <f t="shared" si="53"/>
        <v>15</v>
      </c>
      <c r="BU26">
        <f t="shared" si="53"/>
        <v>8.1999999999999975</v>
      </c>
      <c r="BV26">
        <f t="shared" si="53"/>
        <v>4.5999999999999996</v>
      </c>
      <c r="BW26">
        <f t="shared" si="53"/>
        <v>1</v>
      </c>
      <c r="BX26" t="str">
        <f t="shared" si="53"/>
        <v/>
      </c>
      <c r="BY26" t="str">
        <f t="shared" si="53"/>
        <v/>
      </c>
      <c r="BZ26" t="str">
        <f t="shared" si="53"/>
        <v/>
      </c>
      <c r="CA26" t="str">
        <f t="shared" si="53"/>
        <v/>
      </c>
      <c r="CB26" t="str">
        <f t="shared" si="53"/>
        <v/>
      </c>
      <c r="CC26" t="str">
        <f t="shared" si="53"/>
        <v/>
      </c>
      <c r="CD26" t="str">
        <f t="shared" si="53"/>
        <v/>
      </c>
      <c r="CE26" t="str">
        <f t="shared" si="53"/>
        <v/>
      </c>
      <c r="CF26" t="str">
        <f t="shared" si="53"/>
        <v/>
      </c>
      <c r="CG26" t="str">
        <f t="shared" si="53"/>
        <v/>
      </c>
      <c r="CH26" t="str">
        <f t="shared" si="53"/>
        <v/>
      </c>
      <c r="CI26" t="str">
        <f t="shared" si="53"/>
        <v/>
      </c>
      <c r="CJ26" t="str">
        <f t="shared" si="53"/>
        <v/>
      </c>
      <c r="CK26" t="str">
        <f t="shared" si="53"/>
        <v/>
      </c>
      <c r="CL26" t="str">
        <f t="shared" si="53"/>
        <v/>
      </c>
      <c r="CM26" t="str">
        <f t="shared" si="53"/>
        <v/>
      </c>
      <c r="CN26" t="str">
        <f t="shared" si="53"/>
        <v/>
      </c>
      <c r="CO26" t="str">
        <f t="shared" si="53"/>
        <v/>
      </c>
      <c r="CP26" t="str">
        <f t="shared" si="53"/>
        <v/>
      </c>
      <c r="CQ26">
        <f t="shared" si="53"/>
        <v>14</v>
      </c>
      <c r="CR26">
        <f t="shared" si="53"/>
        <v>9</v>
      </c>
      <c r="CS26">
        <f t="shared" si="53"/>
        <v>4</v>
      </c>
      <c r="CT26">
        <f t="shared" si="53"/>
        <v>21.800000000000004</v>
      </c>
      <c r="CU26">
        <f t="shared" si="53"/>
        <v>19.200000000000003</v>
      </c>
      <c r="CV26">
        <f t="shared" si="53"/>
        <v>21.800000000000004</v>
      </c>
      <c r="CW26">
        <f t="shared" si="53"/>
        <v>13.799999999999999</v>
      </c>
      <c r="CX26">
        <f t="shared" si="53"/>
        <v>5.8000000000000007</v>
      </c>
      <c r="CY26" t="str">
        <f t="shared" si="53"/>
        <v/>
      </c>
      <c r="CZ26" t="str">
        <f t="shared" si="53"/>
        <v/>
      </c>
      <c r="DA26">
        <f t="shared" si="53"/>
        <v>15</v>
      </c>
      <c r="DB26">
        <f t="shared" si="53"/>
        <v>11</v>
      </c>
      <c r="DC26">
        <f t="shared" si="53"/>
        <v>7</v>
      </c>
      <c r="DD26">
        <f t="shared" si="53"/>
        <v>3</v>
      </c>
      <c r="DE26">
        <f t="shared" si="53"/>
        <v>17</v>
      </c>
      <c r="DF26">
        <f t="shared" si="53"/>
        <v>15</v>
      </c>
      <c r="DG26">
        <f t="shared" si="53"/>
        <v>23.100000000000005</v>
      </c>
      <c r="DH26">
        <f t="shared" si="53"/>
        <v>21.800000000000004</v>
      </c>
      <c r="DI26">
        <f t="shared" si="53"/>
        <v>20.500000000000004</v>
      </c>
      <c r="DJ26">
        <f t="shared" si="53"/>
        <v>19.200000000000003</v>
      </c>
      <c r="DK26">
        <f t="shared" si="53"/>
        <v>29</v>
      </c>
      <c r="DL26">
        <f t="shared" si="53"/>
        <v>21</v>
      </c>
      <c r="DM26">
        <f t="shared" si="53"/>
        <v>13</v>
      </c>
      <c r="DN26">
        <f t="shared" si="53"/>
        <v>5</v>
      </c>
      <c r="DO26" t="str">
        <f t="shared" si="53"/>
        <v/>
      </c>
      <c r="DP26" t="str">
        <f t="shared" si="53"/>
        <v/>
      </c>
      <c r="DQ26">
        <f t="shared" si="53"/>
        <v>21.800000000000004</v>
      </c>
      <c r="DR26">
        <f t="shared" si="53"/>
        <v>19.200000000000003</v>
      </c>
      <c r="DS26">
        <f t="shared" si="53"/>
        <v>13</v>
      </c>
      <c r="DT26">
        <f t="shared" si="53"/>
        <v>7</v>
      </c>
      <c r="DU26">
        <f t="shared" si="53"/>
        <v>1</v>
      </c>
      <c r="DV26" t="str">
        <f t="shared" si="53"/>
        <v/>
      </c>
      <c r="DW26" t="str">
        <f t="shared" si="53"/>
        <v/>
      </c>
      <c r="DX26" t="str">
        <f t="shared" si="53"/>
        <v/>
      </c>
      <c r="DY26">
        <f t="shared" si="53"/>
        <v>35</v>
      </c>
      <c r="DZ26">
        <f t="shared" si="53"/>
        <v>33</v>
      </c>
      <c r="EA26">
        <f t="shared" si="53"/>
        <v>31</v>
      </c>
      <c r="EB26">
        <f t="shared" ref="EB26:EO26" si="54">IF(OR(EB25=-1,AND(IF(EB$3&lt;$B26,EB25+EB$6,IF(EB$3=$B26,1,""))&gt;$B$1,EB$3&lt;$B26)),-1,IF(EB$3&lt;$B26,EB25+EB$6,IF(EB$3=$B26,1,"")))</f>
        <v>29</v>
      </c>
      <c r="EC26">
        <f t="shared" si="54"/>
        <v>27</v>
      </c>
      <c r="ED26">
        <f t="shared" si="54"/>
        <v>25</v>
      </c>
      <c r="EE26">
        <f t="shared" si="54"/>
        <v>21.800000000000004</v>
      </c>
      <c r="EF26">
        <f t="shared" si="54"/>
        <v>13.799999999999999</v>
      </c>
      <c r="EG26">
        <f t="shared" si="54"/>
        <v>5.8000000000000007</v>
      </c>
      <c r="EH26" t="str">
        <f t="shared" si="54"/>
        <v/>
      </c>
      <c r="EI26" t="str">
        <f t="shared" si="54"/>
        <v/>
      </c>
      <c r="EJ26" t="str">
        <f t="shared" si="54"/>
        <v/>
      </c>
      <c r="EK26">
        <f t="shared" si="54"/>
        <v>26.600000000000009</v>
      </c>
      <c r="EL26">
        <f t="shared" si="54"/>
        <v>18.600000000000001</v>
      </c>
      <c r="EM26">
        <f t="shared" si="54"/>
        <v>7.4</v>
      </c>
      <c r="EN26" t="str">
        <f t="shared" si="54"/>
        <v/>
      </c>
      <c r="EO26" t="str">
        <f t="shared" si="54"/>
        <v/>
      </c>
    </row>
    <row r="27" spans="1:145" x14ac:dyDescent="0.15">
      <c r="A27" t="e">
        <f t="shared" si="0"/>
        <v>#N/A</v>
      </c>
      <c r="B27" s="218">
        <v>19</v>
      </c>
      <c r="C27">
        <f t="shared" si="0"/>
        <v>18</v>
      </c>
      <c r="D27">
        <f t="shared" ref="D27:BO27" si="55">IF(OR(D26=-1,AND(IF(D$3&lt;$B27,D26+D$6,IF(D$3=$B27,1,""))&gt;$B$1,D$3&lt;$B27)),-1,IF(D$3&lt;$B27,D26+D$6,IF(D$3=$B27,1,"")))</f>
        <v>16</v>
      </c>
      <c r="E27">
        <f t="shared" si="55"/>
        <v>14</v>
      </c>
      <c r="F27">
        <f t="shared" si="55"/>
        <v>12</v>
      </c>
      <c r="G27">
        <f t="shared" si="55"/>
        <v>10</v>
      </c>
      <c r="H27">
        <f t="shared" si="55"/>
        <v>8</v>
      </c>
      <c r="I27">
        <f t="shared" si="55"/>
        <v>14.000000000000002</v>
      </c>
      <c r="J27">
        <f t="shared" si="55"/>
        <v>2.2999999999999998</v>
      </c>
      <c r="K27" t="str">
        <f t="shared" si="55"/>
        <v/>
      </c>
      <c r="L27">
        <f t="shared" si="55"/>
        <v>10.799999999999997</v>
      </c>
      <c r="M27">
        <f t="shared" si="55"/>
        <v>7.3000000000000007</v>
      </c>
      <c r="N27">
        <f t="shared" si="55"/>
        <v>3.8</v>
      </c>
      <c r="O27">
        <f t="shared" si="55"/>
        <v>18</v>
      </c>
      <c r="P27">
        <f t="shared" si="55"/>
        <v>16</v>
      </c>
      <c r="Q27">
        <f t="shared" si="55"/>
        <v>14</v>
      </c>
      <c r="R27">
        <f t="shared" si="55"/>
        <v>12</v>
      </c>
      <c r="S27">
        <f t="shared" si="55"/>
        <v>10</v>
      </c>
      <c r="T27">
        <f t="shared" si="55"/>
        <v>31</v>
      </c>
      <c r="U27">
        <f t="shared" si="55"/>
        <v>23</v>
      </c>
      <c r="V27">
        <f t="shared" si="55"/>
        <v>15</v>
      </c>
      <c r="W27">
        <f t="shared" si="55"/>
        <v>31.600000000000009</v>
      </c>
      <c r="X27">
        <f t="shared" si="55"/>
        <v>28.000000000000007</v>
      </c>
      <c r="Y27">
        <f t="shared" si="55"/>
        <v>24.400000000000006</v>
      </c>
      <c r="Z27">
        <f t="shared" si="55"/>
        <v>17</v>
      </c>
      <c r="AA27">
        <f t="shared" si="55"/>
        <v>14</v>
      </c>
      <c r="AB27">
        <f t="shared" si="55"/>
        <v>11</v>
      </c>
      <c r="AC27">
        <f t="shared" si="55"/>
        <v>24.400000000000006</v>
      </c>
      <c r="AD27">
        <f t="shared" si="55"/>
        <v>13.600000000000001</v>
      </c>
      <c r="AE27">
        <f t="shared" si="55"/>
        <v>2.8</v>
      </c>
      <c r="AF27" t="str">
        <f t="shared" si="55"/>
        <v/>
      </c>
      <c r="AG27" t="str">
        <f t="shared" si="55"/>
        <v/>
      </c>
      <c r="AH27" t="str">
        <f t="shared" si="55"/>
        <v/>
      </c>
      <c r="AI27">
        <f t="shared" si="55"/>
        <v>9.9999999999999964</v>
      </c>
      <c r="AJ27">
        <f t="shared" si="55"/>
        <v>7.5999999999999979</v>
      </c>
      <c r="AK27">
        <f t="shared" si="55"/>
        <v>5.1999999999999993</v>
      </c>
      <c r="AL27">
        <f t="shared" si="55"/>
        <v>2.8000000000000003</v>
      </c>
      <c r="AM27">
        <f t="shared" si="55"/>
        <v>14</v>
      </c>
      <c r="AN27">
        <f t="shared" si="55"/>
        <v>8</v>
      </c>
      <c r="AO27">
        <f t="shared" si="55"/>
        <v>2</v>
      </c>
      <c r="AP27">
        <f t="shared" si="55"/>
        <v>21.800000000000004</v>
      </c>
      <c r="AQ27">
        <f t="shared" si="55"/>
        <v>17.900000000000002</v>
      </c>
      <c r="AR27">
        <f t="shared" si="55"/>
        <v>14.000000000000002</v>
      </c>
      <c r="AS27">
        <f t="shared" si="55"/>
        <v>10.1</v>
      </c>
      <c r="AT27">
        <f t="shared" si="55"/>
        <v>6.1999999999999993</v>
      </c>
      <c r="AU27">
        <f t="shared" si="55"/>
        <v>2.2999999999999998</v>
      </c>
      <c r="AV27" t="str">
        <f t="shared" si="55"/>
        <v/>
      </c>
      <c r="AW27">
        <f t="shared" si="55"/>
        <v>14</v>
      </c>
      <c r="AX27">
        <f t="shared" si="55"/>
        <v>8</v>
      </c>
      <c r="AY27">
        <f t="shared" si="55"/>
        <v>29</v>
      </c>
      <c r="AZ27">
        <f t="shared" si="55"/>
        <v>19</v>
      </c>
      <c r="BA27">
        <f t="shared" si="55"/>
        <v>33</v>
      </c>
      <c r="BB27">
        <f t="shared" si="55"/>
        <v>27</v>
      </c>
      <c r="BC27">
        <f t="shared" si="55"/>
        <v>21</v>
      </c>
      <c r="BD27">
        <f t="shared" si="55"/>
        <v>24.400000000000006</v>
      </c>
      <c r="BE27">
        <f t="shared" si="55"/>
        <v>31</v>
      </c>
      <c r="BF27">
        <f t="shared" si="55"/>
        <v>23</v>
      </c>
      <c r="BG27">
        <f t="shared" si="55"/>
        <v>15</v>
      </c>
      <c r="BH27">
        <f t="shared" si="55"/>
        <v>7</v>
      </c>
      <c r="BI27">
        <f t="shared" si="55"/>
        <v>15</v>
      </c>
      <c r="BJ27">
        <f t="shared" si="55"/>
        <v>10</v>
      </c>
      <c r="BK27">
        <f t="shared" si="55"/>
        <v>5</v>
      </c>
      <c r="BL27" t="str">
        <f t="shared" si="55"/>
        <v/>
      </c>
      <c r="BM27">
        <f t="shared" si="55"/>
        <v>14</v>
      </c>
      <c r="BN27">
        <f t="shared" si="55"/>
        <v>23.100000000000005</v>
      </c>
      <c r="BO27">
        <f t="shared" si="55"/>
        <v>20.500000000000004</v>
      </c>
      <c r="BP27">
        <f t="shared" ref="BP27:EA27" si="56">IF(OR(BP26=-1,AND(IF(BP$3&lt;$B27,BP26+BP$6,IF(BP$3=$B27,1,""))&gt;$B$1,BP$3&lt;$B27)),-1,IF(BP$3&lt;$B27,BP26+BP$6,IF(BP$3=$B27,1,"")))</f>
        <v>33</v>
      </c>
      <c r="BQ27">
        <f t="shared" si="56"/>
        <v>27</v>
      </c>
      <c r="BR27">
        <f t="shared" si="56"/>
        <v>21</v>
      </c>
      <c r="BS27">
        <f t="shared" si="56"/>
        <v>18</v>
      </c>
      <c r="BT27">
        <f t="shared" si="56"/>
        <v>16</v>
      </c>
      <c r="BU27">
        <f t="shared" si="56"/>
        <v>8.7999999999999972</v>
      </c>
      <c r="BV27">
        <f t="shared" si="56"/>
        <v>5.1999999999999993</v>
      </c>
      <c r="BW27">
        <f t="shared" si="56"/>
        <v>1.6</v>
      </c>
      <c r="BX27" t="str">
        <f t="shared" si="56"/>
        <v/>
      </c>
      <c r="BY27" t="str">
        <f t="shared" si="56"/>
        <v/>
      </c>
      <c r="BZ27" t="str">
        <f t="shared" si="56"/>
        <v/>
      </c>
      <c r="CA27" t="str">
        <f t="shared" si="56"/>
        <v/>
      </c>
      <c r="CB27" t="str">
        <f t="shared" si="56"/>
        <v/>
      </c>
      <c r="CC27" t="str">
        <f t="shared" si="56"/>
        <v/>
      </c>
      <c r="CD27" t="str">
        <f t="shared" si="56"/>
        <v/>
      </c>
      <c r="CE27" t="str">
        <f t="shared" si="56"/>
        <v/>
      </c>
      <c r="CF27" t="str">
        <f t="shared" si="56"/>
        <v/>
      </c>
      <c r="CG27" t="str">
        <f t="shared" si="56"/>
        <v/>
      </c>
      <c r="CH27" t="str">
        <f t="shared" si="56"/>
        <v/>
      </c>
      <c r="CI27" t="str">
        <f t="shared" si="56"/>
        <v/>
      </c>
      <c r="CJ27" t="str">
        <f t="shared" si="56"/>
        <v/>
      </c>
      <c r="CK27" t="str">
        <f t="shared" si="56"/>
        <v/>
      </c>
      <c r="CL27" t="str">
        <f t="shared" si="56"/>
        <v/>
      </c>
      <c r="CM27" t="str">
        <f t="shared" si="56"/>
        <v/>
      </c>
      <c r="CN27" t="str">
        <f t="shared" si="56"/>
        <v/>
      </c>
      <c r="CO27" t="str">
        <f t="shared" si="56"/>
        <v/>
      </c>
      <c r="CP27" t="str">
        <f t="shared" si="56"/>
        <v/>
      </c>
      <c r="CQ27">
        <f t="shared" si="56"/>
        <v>15</v>
      </c>
      <c r="CR27">
        <f t="shared" si="56"/>
        <v>10</v>
      </c>
      <c r="CS27">
        <f t="shared" si="56"/>
        <v>5</v>
      </c>
      <c r="CT27">
        <f t="shared" si="56"/>
        <v>23.100000000000005</v>
      </c>
      <c r="CU27">
        <f t="shared" si="56"/>
        <v>20.500000000000004</v>
      </c>
      <c r="CV27">
        <f t="shared" si="56"/>
        <v>23.400000000000006</v>
      </c>
      <c r="CW27">
        <f t="shared" si="56"/>
        <v>15.399999999999999</v>
      </c>
      <c r="CX27">
        <f t="shared" si="56"/>
        <v>7.4</v>
      </c>
      <c r="CY27" t="str">
        <f t="shared" si="56"/>
        <v/>
      </c>
      <c r="CZ27" t="str">
        <f t="shared" si="56"/>
        <v/>
      </c>
      <c r="DA27">
        <f t="shared" si="56"/>
        <v>16</v>
      </c>
      <c r="DB27">
        <f t="shared" si="56"/>
        <v>12</v>
      </c>
      <c r="DC27">
        <f t="shared" si="56"/>
        <v>8</v>
      </c>
      <c r="DD27">
        <f t="shared" si="56"/>
        <v>4</v>
      </c>
      <c r="DE27">
        <f t="shared" si="56"/>
        <v>18</v>
      </c>
      <c r="DF27">
        <f t="shared" si="56"/>
        <v>16</v>
      </c>
      <c r="DG27">
        <f t="shared" si="56"/>
        <v>24.400000000000006</v>
      </c>
      <c r="DH27">
        <f t="shared" si="56"/>
        <v>23.100000000000005</v>
      </c>
      <c r="DI27">
        <f t="shared" si="56"/>
        <v>21.800000000000004</v>
      </c>
      <c r="DJ27">
        <f t="shared" si="56"/>
        <v>20.500000000000004</v>
      </c>
      <c r="DK27">
        <f t="shared" si="56"/>
        <v>31</v>
      </c>
      <c r="DL27">
        <f t="shared" si="56"/>
        <v>23</v>
      </c>
      <c r="DM27">
        <f t="shared" si="56"/>
        <v>15</v>
      </c>
      <c r="DN27">
        <f t="shared" si="56"/>
        <v>7</v>
      </c>
      <c r="DO27" t="str">
        <f t="shared" si="56"/>
        <v/>
      </c>
      <c r="DP27" t="str">
        <f t="shared" si="56"/>
        <v/>
      </c>
      <c r="DQ27">
        <f t="shared" si="56"/>
        <v>23.100000000000005</v>
      </c>
      <c r="DR27">
        <f t="shared" si="56"/>
        <v>20.500000000000004</v>
      </c>
      <c r="DS27">
        <f t="shared" si="56"/>
        <v>14</v>
      </c>
      <c r="DT27">
        <f t="shared" si="56"/>
        <v>8</v>
      </c>
      <c r="DU27">
        <f t="shared" si="56"/>
        <v>2</v>
      </c>
      <c r="DV27" t="str">
        <f t="shared" si="56"/>
        <v/>
      </c>
      <c r="DW27" t="str">
        <f t="shared" si="56"/>
        <v/>
      </c>
      <c r="DX27" t="str">
        <f t="shared" si="56"/>
        <v/>
      </c>
      <c r="DY27">
        <f t="shared" si="56"/>
        <v>37</v>
      </c>
      <c r="DZ27">
        <f t="shared" si="56"/>
        <v>35</v>
      </c>
      <c r="EA27">
        <f t="shared" si="56"/>
        <v>33</v>
      </c>
      <c r="EB27">
        <f t="shared" ref="EB27:EO27" si="57">IF(OR(EB26=-1,AND(IF(EB$3&lt;$B27,EB26+EB$6,IF(EB$3=$B27,1,""))&gt;$B$1,EB$3&lt;$B27)),-1,IF(EB$3&lt;$B27,EB26+EB$6,IF(EB$3=$B27,1,"")))</f>
        <v>31</v>
      </c>
      <c r="EC27">
        <f t="shared" si="57"/>
        <v>29</v>
      </c>
      <c r="ED27">
        <f t="shared" si="57"/>
        <v>27</v>
      </c>
      <c r="EE27">
        <f t="shared" si="57"/>
        <v>23.400000000000006</v>
      </c>
      <c r="EF27">
        <f t="shared" si="57"/>
        <v>15.399999999999999</v>
      </c>
      <c r="EG27">
        <f t="shared" si="57"/>
        <v>7.4</v>
      </c>
      <c r="EH27" t="str">
        <f t="shared" si="57"/>
        <v/>
      </c>
      <c r="EI27" t="str">
        <f t="shared" si="57"/>
        <v/>
      </c>
      <c r="EJ27" t="str">
        <f t="shared" si="57"/>
        <v/>
      </c>
      <c r="EK27">
        <f t="shared" si="57"/>
        <v>28.20000000000001</v>
      </c>
      <c r="EL27">
        <f t="shared" si="57"/>
        <v>20.200000000000003</v>
      </c>
      <c r="EM27">
        <f t="shared" si="57"/>
        <v>9</v>
      </c>
      <c r="EN27" t="str">
        <f t="shared" si="57"/>
        <v/>
      </c>
      <c r="EO27" t="str">
        <f t="shared" si="57"/>
        <v/>
      </c>
    </row>
    <row r="28" spans="1:145" x14ac:dyDescent="0.15">
      <c r="A28" t="e">
        <f t="shared" si="0"/>
        <v>#N/A</v>
      </c>
      <c r="B28" s="218">
        <v>20</v>
      </c>
      <c r="C28">
        <f t="shared" si="0"/>
        <v>19</v>
      </c>
      <c r="D28">
        <f t="shared" ref="D28:BO28" si="58">IF(OR(D27=-1,AND(IF(D$3&lt;$B28,D27+D$6,IF(D$3=$B28,1,""))&gt;$B$1,D$3&lt;$B28)),-1,IF(D$3&lt;$B28,D27+D$6,IF(D$3=$B28,1,"")))</f>
        <v>17</v>
      </c>
      <c r="E28">
        <f t="shared" si="58"/>
        <v>15</v>
      </c>
      <c r="F28">
        <f t="shared" si="58"/>
        <v>13</v>
      </c>
      <c r="G28">
        <f t="shared" si="58"/>
        <v>11</v>
      </c>
      <c r="H28">
        <f t="shared" si="58"/>
        <v>9</v>
      </c>
      <c r="I28">
        <f t="shared" si="58"/>
        <v>15.300000000000002</v>
      </c>
      <c r="J28">
        <f t="shared" si="58"/>
        <v>3.5999999999999996</v>
      </c>
      <c r="K28" t="str">
        <f t="shared" si="58"/>
        <v/>
      </c>
      <c r="L28">
        <f t="shared" si="58"/>
        <v>11.499999999999996</v>
      </c>
      <c r="M28">
        <f t="shared" si="58"/>
        <v>8</v>
      </c>
      <c r="N28">
        <f t="shared" si="58"/>
        <v>4.5</v>
      </c>
      <c r="O28">
        <f t="shared" si="58"/>
        <v>19</v>
      </c>
      <c r="P28">
        <f t="shared" si="58"/>
        <v>17</v>
      </c>
      <c r="Q28">
        <f t="shared" si="58"/>
        <v>15</v>
      </c>
      <c r="R28">
        <f t="shared" si="58"/>
        <v>13</v>
      </c>
      <c r="S28">
        <f t="shared" si="58"/>
        <v>11</v>
      </c>
      <c r="T28">
        <f t="shared" si="58"/>
        <v>33</v>
      </c>
      <c r="U28">
        <f t="shared" si="58"/>
        <v>25</v>
      </c>
      <c r="V28">
        <f t="shared" si="58"/>
        <v>17</v>
      </c>
      <c r="W28">
        <f t="shared" si="58"/>
        <v>33.400000000000006</v>
      </c>
      <c r="X28">
        <f t="shared" si="58"/>
        <v>29.800000000000008</v>
      </c>
      <c r="Y28">
        <f t="shared" si="58"/>
        <v>26.200000000000006</v>
      </c>
      <c r="Z28">
        <f t="shared" si="58"/>
        <v>18</v>
      </c>
      <c r="AA28">
        <f t="shared" si="58"/>
        <v>15</v>
      </c>
      <c r="AB28">
        <f t="shared" si="58"/>
        <v>12</v>
      </c>
      <c r="AC28">
        <f t="shared" si="58"/>
        <v>26.200000000000006</v>
      </c>
      <c r="AD28">
        <f t="shared" si="58"/>
        <v>15.400000000000002</v>
      </c>
      <c r="AE28">
        <f t="shared" si="58"/>
        <v>4.5999999999999996</v>
      </c>
      <c r="AF28" t="str">
        <f t="shared" si="58"/>
        <v/>
      </c>
      <c r="AG28" t="str">
        <f t="shared" si="58"/>
        <v/>
      </c>
      <c r="AH28" t="str">
        <f t="shared" si="58"/>
        <v/>
      </c>
      <c r="AI28">
        <f t="shared" si="58"/>
        <v>10.599999999999996</v>
      </c>
      <c r="AJ28">
        <f t="shared" si="58"/>
        <v>8.1999999999999975</v>
      </c>
      <c r="AK28">
        <f t="shared" si="58"/>
        <v>5.7999999999999989</v>
      </c>
      <c r="AL28">
        <f t="shared" si="58"/>
        <v>3.4000000000000004</v>
      </c>
      <c r="AM28">
        <f t="shared" si="58"/>
        <v>15</v>
      </c>
      <c r="AN28">
        <f t="shared" si="58"/>
        <v>9</v>
      </c>
      <c r="AO28">
        <f t="shared" si="58"/>
        <v>3</v>
      </c>
      <c r="AP28">
        <f t="shared" si="58"/>
        <v>23.100000000000005</v>
      </c>
      <c r="AQ28">
        <f t="shared" si="58"/>
        <v>19.200000000000003</v>
      </c>
      <c r="AR28">
        <f t="shared" si="58"/>
        <v>15.300000000000002</v>
      </c>
      <c r="AS28">
        <f t="shared" si="58"/>
        <v>11.4</v>
      </c>
      <c r="AT28">
        <f t="shared" si="58"/>
        <v>7.4999999999999991</v>
      </c>
      <c r="AU28">
        <f t="shared" si="58"/>
        <v>3.5999999999999996</v>
      </c>
      <c r="AV28" t="str">
        <f t="shared" si="58"/>
        <v/>
      </c>
      <c r="AW28">
        <f t="shared" si="58"/>
        <v>15</v>
      </c>
      <c r="AX28">
        <f t="shared" si="58"/>
        <v>9</v>
      </c>
      <c r="AY28">
        <f t="shared" si="58"/>
        <v>31</v>
      </c>
      <c r="AZ28">
        <f t="shared" si="58"/>
        <v>21</v>
      </c>
      <c r="BA28">
        <f t="shared" si="58"/>
        <v>35</v>
      </c>
      <c r="BB28">
        <f t="shared" si="58"/>
        <v>29</v>
      </c>
      <c r="BC28">
        <f t="shared" si="58"/>
        <v>23</v>
      </c>
      <c r="BD28">
        <f t="shared" si="58"/>
        <v>25.700000000000006</v>
      </c>
      <c r="BE28">
        <f t="shared" si="58"/>
        <v>33</v>
      </c>
      <c r="BF28">
        <f t="shared" si="58"/>
        <v>25</v>
      </c>
      <c r="BG28">
        <f t="shared" si="58"/>
        <v>17</v>
      </c>
      <c r="BH28">
        <f t="shared" si="58"/>
        <v>9</v>
      </c>
      <c r="BI28">
        <f t="shared" si="58"/>
        <v>16</v>
      </c>
      <c r="BJ28">
        <f t="shared" si="58"/>
        <v>11</v>
      </c>
      <c r="BK28">
        <f t="shared" si="58"/>
        <v>6</v>
      </c>
      <c r="BL28">
        <f t="shared" si="58"/>
        <v>1</v>
      </c>
      <c r="BM28">
        <f t="shared" si="58"/>
        <v>15</v>
      </c>
      <c r="BN28">
        <f t="shared" si="58"/>
        <v>24.400000000000006</v>
      </c>
      <c r="BO28">
        <f t="shared" si="58"/>
        <v>21.800000000000004</v>
      </c>
      <c r="BP28">
        <f t="shared" ref="BP28:EA28" si="59">IF(OR(BP27=-1,AND(IF(BP$3&lt;$B28,BP27+BP$6,IF(BP$3=$B28,1,""))&gt;$B$1,BP$3&lt;$B28)),-1,IF(BP$3&lt;$B28,BP27+BP$6,IF(BP$3=$B28,1,"")))</f>
        <v>35</v>
      </c>
      <c r="BQ28">
        <f t="shared" si="59"/>
        <v>29</v>
      </c>
      <c r="BR28">
        <f t="shared" si="59"/>
        <v>23</v>
      </c>
      <c r="BS28">
        <f t="shared" si="59"/>
        <v>19</v>
      </c>
      <c r="BT28">
        <f t="shared" si="59"/>
        <v>17</v>
      </c>
      <c r="BU28">
        <f t="shared" si="59"/>
        <v>9.3999999999999968</v>
      </c>
      <c r="BV28">
        <f t="shared" si="59"/>
        <v>5.7999999999999989</v>
      </c>
      <c r="BW28">
        <f t="shared" si="59"/>
        <v>2.2000000000000002</v>
      </c>
      <c r="BX28" t="str">
        <f t="shared" si="59"/>
        <v/>
      </c>
      <c r="BY28" t="str">
        <f t="shared" si="59"/>
        <v/>
      </c>
      <c r="BZ28" t="str">
        <f t="shared" si="59"/>
        <v/>
      </c>
      <c r="CA28" t="str">
        <f t="shared" si="59"/>
        <v/>
      </c>
      <c r="CB28" t="str">
        <f t="shared" si="59"/>
        <v/>
      </c>
      <c r="CC28" t="str">
        <f t="shared" si="59"/>
        <v/>
      </c>
      <c r="CD28" t="str">
        <f t="shared" si="59"/>
        <v/>
      </c>
      <c r="CE28" t="str">
        <f t="shared" si="59"/>
        <v/>
      </c>
      <c r="CF28" t="str">
        <f t="shared" si="59"/>
        <v/>
      </c>
      <c r="CG28" t="str">
        <f t="shared" si="59"/>
        <v/>
      </c>
      <c r="CH28" t="str">
        <f t="shared" si="59"/>
        <v/>
      </c>
      <c r="CI28" t="str">
        <f t="shared" si="59"/>
        <v/>
      </c>
      <c r="CJ28" t="str">
        <f t="shared" si="59"/>
        <v/>
      </c>
      <c r="CK28" t="str">
        <f t="shared" si="59"/>
        <v/>
      </c>
      <c r="CL28" t="str">
        <f t="shared" si="59"/>
        <v/>
      </c>
      <c r="CM28" t="str">
        <f t="shared" si="59"/>
        <v/>
      </c>
      <c r="CN28" t="str">
        <f t="shared" si="59"/>
        <v/>
      </c>
      <c r="CO28" t="str">
        <f t="shared" si="59"/>
        <v/>
      </c>
      <c r="CP28" t="str">
        <f t="shared" si="59"/>
        <v/>
      </c>
      <c r="CQ28">
        <f t="shared" si="59"/>
        <v>16</v>
      </c>
      <c r="CR28">
        <f t="shared" si="59"/>
        <v>11</v>
      </c>
      <c r="CS28">
        <f t="shared" si="59"/>
        <v>6</v>
      </c>
      <c r="CT28">
        <f t="shared" si="59"/>
        <v>24.400000000000006</v>
      </c>
      <c r="CU28">
        <f t="shared" si="59"/>
        <v>21.800000000000004</v>
      </c>
      <c r="CV28">
        <f t="shared" si="59"/>
        <v>25.000000000000007</v>
      </c>
      <c r="CW28">
        <f t="shared" si="59"/>
        <v>17</v>
      </c>
      <c r="CX28">
        <f t="shared" si="59"/>
        <v>9</v>
      </c>
      <c r="CY28">
        <f t="shared" si="59"/>
        <v>1</v>
      </c>
      <c r="CZ28" t="str">
        <f t="shared" si="59"/>
        <v/>
      </c>
      <c r="DA28">
        <f t="shared" si="59"/>
        <v>17</v>
      </c>
      <c r="DB28">
        <f t="shared" si="59"/>
        <v>13</v>
      </c>
      <c r="DC28">
        <f t="shared" si="59"/>
        <v>9</v>
      </c>
      <c r="DD28">
        <f t="shared" si="59"/>
        <v>5</v>
      </c>
      <c r="DE28">
        <f t="shared" si="59"/>
        <v>19</v>
      </c>
      <c r="DF28">
        <f t="shared" si="59"/>
        <v>17</v>
      </c>
      <c r="DG28">
        <f t="shared" si="59"/>
        <v>25.700000000000006</v>
      </c>
      <c r="DH28">
        <f t="shared" si="59"/>
        <v>24.400000000000006</v>
      </c>
      <c r="DI28">
        <f t="shared" si="59"/>
        <v>23.100000000000005</v>
      </c>
      <c r="DJ28">
        <f t="shared" si="59"/>
        <v>21.800000000000004</v>
      </c>
      <c r="DK28">
        <f t="shared" si="59"/>
        <v>33</v>
      </c>
      <c r="DL28">
        <f t="shared" si="59"/>
        <v>25</v>
      </c>
      <c r="DM28">
        <f t="shared" si="59"/>
        <v>17</v>
      </c>
      <c r="DN28">
        <f t="shared" si="59"/>
        <v>9</v>
      </c>
      <c r="DO28">
        <f t="shared" si="59"/>
        <v>1</v>
      </c>
      <c r="DP28" t="str">
        <f t="shared" si="59"/>
        <v/>
      </c>
      <c r="DQ28">
        <f t="shared" si="59"/>
        <v>24.400000000000006</v>
      </c>
      <c r="DR28">
        <f t="shared" si="59"/>
        <v>21.800000000000004</v>
      </c>
      <c r="DS28">
        <f t="shared" si="59"/>
        <v>15</v>
      </c>
      <c r="DT28">
        <f t="shared" si="59"/>
        <v>9</v>
      </c>
      <c r="DU28">
        <f t="shared" si="59"/>
        <v>3</v>
      </c>
      <c r="DV28" t="str">
        <f t="shared" si="59"/>
        <v/>
      </c>
      <c r="DW28" t="str">
        <f t="shared" si="59"/>
        <v/>
      </c>
      <c r="DX28" t="str">
        <f t="shared" si="59"/>
        <v/>
      </c>
      <c r="DY28">
        <f t="shared" si="59"/>
        <v>39</v>
      </c>
      <c r="DZ28">
        <f t="shared" si="59"/>
        <v>37</v>
      </c>
      <c r="EA28">
        <f t="shared" si="59"/>
        <v>35</v>
      </c>
      <c r="EB28">
        <f t="shared" ref="EB28:EO28" si="60">IF(OR(EB27=-1,AND(IF(EB$3&lt;$B28,EB27+EB$6,IF(EB$3=$B28,1,""))&gt;$B$1,EB$3&lt;$B28)),-1,IF(EB$3&lt;$B28,EB27+EB$6,IF(EB$3=$B28,1,"")))</f>
        <v>33</v>
      </c>
      <c r="EC28">
        <f t="shared" si="60"/>
        <v>31</v>
      </c>
      <c r="ED28">
        <f t="shared" si="60"/>
        <v>29</v>
      </c>
      <c r="EE28">
        <f t="shared" si="60"/>
        <v>25.000000000000007</v>
      </c>
      <c r="EF28">
        <f t="shared" si="60"/>
        <v>17</v>
      </c>
      <c r="EG28">
        <f t="shared" si="60"/>
        <v>9</v>
      </c>
      <c r="EH28">
        <f t="shared" si="60"/>
        <v>1</v>
      </c>
      <c r="EI28" t="str">
        <f t="shared" si="60"/>
        <v/>
      </c>
      <c r="EJ28" t="str">
        <f t="shared" si="60"/>
        <v/>
      </c>
      <c r="EK28">
        <f t="shared" si="60"/>
        <v>29.800000000000011</v>
      </c>
      <c r="EL28">
        <f t="shared" si="60"/>
        <v>21.800000000000004</v>
      </c>
      <c r="EM28">
        <f t="shared" si="60"/>
        <v>10.6</v>
      </c>
      <c r="EN28" t="str">
        <f t="shared" si="60"/>
        <v/>
      </c>
      <c r="EO28" t="str">
        <f t="shared" si="60"/>
        <v/>
      </c>
    </row>
    <row r="29" spans="1:145" x14ac:dyDescent="0.15">
      <c r="A29" t="e">
        <f t="shared" si="0"/>
        <v>#N/A</v>
      </c>
      <c r="B29" s="218">
        <v>21</v>
      </c>
      <c r="C29">
        <f t="shared" si="0"/>
        <v>20</v>
      </c>
      <c r="D29">
        <f t="shared" ref="D29:BO29" si="61">IF(OR(D28=-1,AND(IF(D$3&lt;$B29,D28+D$6,IF(D$3=$B29,1,""))&gt;$B$1,D$3&lt;$B29)),-1,IF(D$3&lt;$B29,D28+D$6,IF(D$3=$B29,1,"")))</f>
        <v>18</v>
      </c>
      <c r="E29">
        <f t="shared" si="61"/>
        <v>16</v>
      </c>
      <c r="F29">
        <f t="shared" si="61"/>
        <v>14</v>
      </c>
      <c r="G29">
        <f t="shared" si="61"/>
        <v>12</v>
      </c>
      <c r="H29">
        <f t="shared" si="61"/>
        <v>10</v>
      </c>
      <c r="I29">
        <f t="shared" si="61"/>
        <v>16.600000000000001</v>
      </c>
      <c r="J29">
        <f t="shared" si="61"/>
        <v>4.8999999999999995</v>
      </c>
      <c r="K29" t="str">
        <f t="shared" si="61"/>
        <v/>
      </c>
      <c r="L29">
        <f t="shared" si="61"/>
        <v>12.199999999999996</v>
      </c>
      <c r="M29">
        <f t="shared" si="61"/>
        <v>8.6999999999999993</v>
      </c>
      <c r="N29">
        <f t="shared" si="61"/>
        <v>5.2</v>
      </c>
      <c r="O29">
        <f t="shared" si="61"/>
        <v>20</v>
      </c>
      <c r="P29">
        <f t="shared" si="61"/>
        <v>18</v>
      </c>
      <c r="Q29">
        <f t="shared" si="61"/>
        <v>16</v>
      </c>
      <c r="R29">
        <f t="shared" si="61"/>
        <v>14</v>
      </c>
      <c r="S29">
        <f t="shared" si="61"/>
        <v>12</v>
      </c>
      <c r="T29">
        <f t="shared" si="61"/>
        <v>35</v>
      </c>
      <c r="U29">
        <f t="shared" si="61"/>
        <v>27</v>
      </c>
      <c r="V29">
        <f t="shared" si="61"/>
        <v>19</v>
      </c>
      <c r="W29">
        <f t="shared" si="61"/>
        <v>35.200000000000003</v>
      </c>
      <c r="X29">
        <f t="shared" si="61"/>
        <v>31.600000000000009</v>
      </c>
      <c r="Y29">
        <f t="shared" si="61"/>
        <v>28.000000000000007</v>
      </c>
      <c r="Z29">
        <f t="shared" si="61"/>
        <v>19</v>
      </c>
      <c r="AA29">
        <f t="shared" si="61"/>
        <v>16</v>
      </c>
      <c r="AB29">
        <f t="shared" si="61"/>
        <v>13</v>
      </c>
      <c r="AC29">
        <f t="shared" si="61"/>
        <v>28.000000000000007</v>
      </c>
      <c r="AD29">
        <f t="shared" si="61"/>
        <v>17.200000000000003</v>
      </c>
      <c r="AE29">
        <f t="shared" si="61"/>
        <v>6.3999999999999995</v>
      </c>
      <c r="AF29" t="str">
        <f t="shared" si="61"/>
        <v/>
      </c>
      <c r="AG29" t="str">
        <f t="shared" si="61"/>
        <v/>
      </c>
      <c r="AH29" t="str">
        <f t="shared" si="61"/>
        <v/>
      </c>
      <c r="AI29">
        <f t="shared" si="61"/>
        <v>11.199999999999996</v>
      </c>
      <c r="AJ29">
        <f t="shared" si="61"/>
        <v>8.7999999999999972</v>
      </c>
      <c r="AK29">
        <f t="shared" si="61"/>
        <v>6.3999999999999986</v>
      </c>
      <c r="AL29">
        <f t="shared" si="61"/>
        <v>4</v>
      </c>
      <c r="AM29">
        <f t="shared" si="61"/>
        <v>16</v>
      </c>
      <c r="AN29">
        <f t="shared" si="61"/>
        <v>10</v>
      </c>
      <c r="AO29">
        <f t="shared" si="61"/>
        <v>4</v>
      </c>
      <c r="AP29">
        <f t="shared" si="61"/>
        <v>24.400000000000006</v>
      </c>
      <c r="AQ29">
        <f t="shared" si="61"/>
        <v>20.500000000000004</v>
      </c>
      <c r="AR29">
        <f t="shared" si="61"/>
        <v>16.600000000000001</v>
      </c>
      <c r="AS29">
        <f t="shared" si="61"/>
        <v>12.700000000000001</v>
      </c>
      <c r="AT29">
        <f t="shared" si="61"/>
        <v>8.7999999999999989</v>
      </c>
      <c r="AU29">
        <f t="shared" si="61"/>
        <v>4.8999999999999995</v>
      </c>
      <c r="AV29">
        <f t="shared" si="61"/>
        <v>1</v>
      </c>
      <c r="AW29">
        <f t="shared" si="61"/>
        <v>16</v>
      </c>
      <c r="AX29">
        <f t="shared" si="61"/>
        <v>10</v>
      </c>
      <c r="AY29">
        <f t="shared" si="61"/>
        <v>33</v>
      </c>
      <c r="AZ29">
        <f t="shared" si="61"/>
        <v>23</v>
      </c>
      <c r="BA29">
        <f t="shared" si="61"/>
        <v>37</v>
      </c>
      <c r="BB29">
        <f t="shared" si="61"/>
        <v>31</v>
      </c>
      <c r="BC29">
        <f t="shared" si="61"/>
        <v>25</v>
      </c>
      <c r="BD29">
        <f t="shared" si="61"/>
        <v>27.000000000000007</v>
      </c>
      <c r="BE29">
        <f t="shared" si="61"/>
        <v>35</v>
      </c>
      <c r="BF29">
        <f t="shared" si="61"/>
        <v>27</v>
      </c>
      <c r="BG29">
        <f t="shared" si="61"/>
        <v>19</v>
      </c>
      <c r="BH29">
        <f t="shared" si="61"/>
        <v>11</v>
      </c>
      <c r="BI29">
        <f t="shared" si="61"/>
        <v>17</v>
      </c>
      <c r="BJ29">
        <f t="shared" si="61"/>
        <v>12</v>
      </c>
      <c r="BK29">
        <f t="shared" si="61"/>
        <v>7</v>
      </c>
      <c r="BL29">
        <f t="shared" si="61"/>
        <v>2</v>
      </c>
      <c r="BM29">
        <f t="shared" si="61"/>
        <v>16</v>
      </c>
      <c r="BN29">
        <f t="shared" si="61"/>
        <v>25.700000000000006</v>
      </c>
      <c r="BO29">
        <f t="shared" si="61"/>
        <v>23.100000000000005</v>
      </c>
      <c r="BP29">
        <f t="shared" ref="BP29:EA29" si="62">IF(OR(BP28=-1,AND(IF(BP$3&lt;$B29,BP28+BP$6,IF(BP$3=$B29,1,""))&gt;$B$1,BP$3&lt;$B29)),-1,IF(BP$3&lt;$B29,BP28+BP$6,IF(BP$3=$B29,1,"")))</f>
        <v>37</v>
      </c>
      <c r="BQ29">
        <f t="shared" si="62"/>
        <v>31</v>
      </c>
      <c r="BR29">
        <f t="shared" si="62"/>
        <v>25</v>
      </c>
      <c r="BS29">
        <f t="shared" si="62"/>
        <v>20</v>
      </c>
      <c r="BT29">
        <f t="shared" si="62"/>
        <v>18</v>
      </c>
      <c r="BU29">
        <f t="shared" si="62"/>
        <v>9.9999999999999964</v>
      </c>
      <c r="BV29">
        <f t="shared" si="62"/>
        <v>6.3999999999999986</v>
      </c>
      <c r="BW29">
        <f t="shared" si="62"/>
        <v>2.8000000000000003</v>
      </c>
      <c r="BX29" t="str">
        <f t="shared" si="62"/>
        <v/>
      </c>
      <c r="BY29" t="str">
        <f t="shared" si="62"/>
        <v/>
      </c>
      <c r="BZ29" t="str">
        <f t="shared" si="62"/>
        <v/>
      </c>
      <c r="CA29" t="str">
        <f t="shared" si="62"/>
        <v/>
      </c>
      <c r="CB29" t="str">
        <f t="shared" si="62"/>
        <v/>
      </c>
      <c r="CC29" t="str">
        <f t="shared" si="62"/>
        <v/>
      </c>
      <c r="CD29" t="str">
        <f t="shared" si="62"/>
        <v/>
      </c>
      <c r="CE29" t="str">
        <f t="shared" si="62"/>
        <v/>
      </c>
      <c r="CF29" t="str">
        <f t="shared" si="62"/>
        <v/>
      </c>
      <c r="CG29" t="str">
        <f t="shared" si="62"/>
        <v/>
      </c>
      <c r="CH29" t="str">
        <f t="shared" si="62"/>
        <v/>
      </c>
      <c r="CI29" t="str">
        <f t="shared" si="62"/>
        <v/>
      </c>
      <c r="CJ29" t="str">
        <f t="shared" si="62"/>
        <v/>
      </c>
      <c r="CK29" t="str">
        <f t="shared" si="62"/>
        <v/>
      </c>
      <c r="CL29" t="str">
        <f t="shared" si="62"/>
        <v/>
      </c>
      <c r="CM29" t="str">
        <f t="shared" si="62"/>
        <v/>
      </c>
      <c r="CN29" t="str">
        <f t="shared" si="62"/>
        <v/>
      </c>
      <c r="CO29" t="str">
        <f t="shared" si="62"/>
        <v/>
      </c>
      <c r="CP29" t="str">
        <f t="shared" si="62"/>
        <v/>
      </c>
      <c r="CQ29">
        <f t="shared" si="62"/>
        <v>17</v>
      </c>
      <c r="CR29">
        <f t="shared" si="62"/>
        <v>12</v>
      </c>
      <c r="CS29">
        <f t="shared" si="62"/>
        <v>7</v>
      </c>
      <c r="CT29">
        <f t="shared" si="62"/>
        <v>25.700000000000006</v>
      </c>
      <c r="CU29">
        <f t="shared" si="62"/>
        <v>23.100000000000005</v>
      </c>
      <c r="CV29">
        <f t="shared" si="62"/>
        <v>26.600000000000009</v>
      </c>
      <c r="CW29">
        <f t="shared" si="62"/>
        <v>18.600000000000001</v>
      </c>
      <c r="CX29">
        <f t="shared" si="62"/>
        <v>10.6</v>
      </c>
      <c r="CY29">
        <f t="shared" si="62"/>
        <v>2.6</v>
      </c>
      <c r="CZ29" t="str">
        <f t="shared" si="62"/>
        <v/>
      </c>
      <c r="DA29">
        <f t="shared" si="62"/>
        <v>18</v>
      </c>
      <c r="DB29">
        <f t="shared" si="62"/>
        <v>14</v>
      </c>
      <c r="DC29">
        <f t="shared" si="62"/>
        <v>10</v>
      </c>
      <c r="DD29">
        <f t="shared" si="62"/>
        <v>6</v>
      </c>
      <c r="DE29">
        <f t="shared" si="62"/>
        <v>20</v>
      </c>
      <c r="DF29">
        <f t="shared" si="62"/>
        <v>18</v>
      </c>
      <c r="DG29">
        <f t="shared" si="62"/>
        <v>27.000000000000007</v>
      </c>
      <c r="DH29">
        <f t="shared" si="62"/>
        <v>25.700000000000006</v>
      </c>
      <c r="DI29">
        <f t="shared" si="62"/>
        <v>24.400000000000006</v>
      </c>
      <c r="DJ29">
        <f t="shared" si="62"/>
        <v>23.100000000000005</v>
      </c>
      <c r="DK29">
        <f t="shared" si="62"/>
        <v>35</v>
      </c>
      <c r="DL29">
        <f t="shared" si="62"/>
        <v>27</v>
      </c>
      <c r="DM29">
        <f t="shared" si="62"/>
        <v>19</v>
      </c>
      <c r="DN29">
        <f t="shared" si="62"/>
        <v>11</v>
      </c>
      <c r="DO29">
        <f t="shared" si="62"/>
        <v>3</v>
      </c>
      <c r="DP29" t="str">
        <f t="shared" si="62"/>
        <v/>
      </c>
      <c r="DQ29">
        <f t="shared" si="62"/>
        <v>25.700000000000006</v>
      </c>
      <c r="DR29">
        <f t="shared" si="62"/>
        <v>23.100000000000005</v>
      </c>
      <c r="DS29">
        <f t="shared" si="62"/>
        <v>16</v>
      </c>
      <c r="DT29">
        <f t="shared" si="62"/>
        <v>10</v>
      </c>
      <c r="DU29">
        <f t="shared" si="62"/>
        <v>4</v>
      </c>
      <c r="DV29" t="str">
        <f t="shared" si="62"/>
        <v/>
      </c>
      <c r="DW29" t="str">
        <f t="shared" si="62"/>
        <v/>
      </c>
      <c r="DX29" t="str">
        <f t="shared" si="62"/>
        <v/>
      </c>
      <c r="DY29">
        <f t="shared" si="62"/>
        <v>41</v>
      </c>
      <c r="DZ29">
        <f t="shared" si="62"/>
        <v>39</v>
      </c>
      <c r="EA29">
        <f t="shared" si="62"/>
        <v>37</v>
      </c>
      <c r="EB29">
        <f t="shared" ref="EB29:EO29" si="63">IF(OR(EB28=-1,AND(IF(EB$3&lt;$B29,EB28+EB$6,IF(EB$3=$B29,1,""))&gt;$B$1,EB$3&lt;$B29)),-1,IF(EB$3&lt;$B29,EB28+EB$6,IF(EB$3=$B29,1,"")))</f>
        <v>35</v>
      </c>
      <c r="EC29">
        <f t="shared" si="63"/>
        <v>33</v>
      </c>
      <c r="ED29">
        <f t="shared" si="63"/>
        <v>31</v>
      </c>
      <c r="EE29">
        <f t="shared" si="63"/>
        <v>26.600000000000009</v>
      </c>
      <c r="EF29">
        <f t="shared" si="63"/>
        <v>18.600000000000001</v>
      </c>
      <c r="EG29">
        <f t="shared" si="63"/>
        <v>10.6</v>
      </c>
      <c r="EH29">
        <f t="shared" si="63"/>
        <v>2.6</v>
      </c>
      <c r="EI29" t="str">
        <f t="shared" si="63"/>
        <v/>
      </c>
      <c r="EJ29" t="str">
        <f t="shared" si="63"/>
        <v/>
      </c>
      <c r="EK29">
        <f t="shared" si="63"/>
        <v>31.400000000000013</v>
      </c>
      <c r="EL29">
        <f t="shared" si="63"/>
        <v>23.400000000000006</v>
      </c>
      <c r="EM29">
        <f t="shared" si="63"/>
        <v>12.2</v>
      </c>
      <c r="EN29">
        <f t="shared" si="63"/>
        <v>1</v>
      </c>
      <c r="EO29" t="str">
        <f t="shared" si="63"/>
        <v/>
      </c>
    </row>
    <row r="30" spans="1:145" x14ac:dyDescent="0.15">
      <c r="A30" t="e">
        <f t="shared" si="0"/>
        <v>#N/A</v>
      </c>
      <c r="B30" s="218">
        <v>22</v>
      </c>
      <c r="C30">
        <f t="shared" si="0"/>
        <v>21</v>
      </c>
      <c r="D30">
        <f t="shared" ref="D30:BO30" si="64">IF(OR(D29=-1,AND(IF(D$3&lt;$B30,D29+D$6,IF(D$3=$B30,1,""))&gt;$B$1,D$3&lt;$B30)),-1,IF(D$3&lt;$B30,D29+D$6,IF(D$3=$B30,1,"")))</f>
        <v>19</v>
      </c>
      <c r="E30">
        <f t="shared" si="64"/>
        <v>17</v>
      </c>
      <c r="F30">
        <f t="shared" si="64"/>
        <v>15</v>
      </c>
      <c r="G30">
        <f t="shared" si="64"/>
        <v>13</v>
      </c>
      <c r="H30">
        <f t="shared" si="64"/>
        <v>11</v>
      </c>
      <c r="I30">
        <f t="shared" si="64"/>
        <v>17.900000000000002</v>
      </c>
      <c r="J30">
        <f t="shared" si="64"/>
        <v>6.1999999999999993</v>
      </c>
      <c r="K30" t="str">
        <f t="shared" si="64"/>
        <v/>
      </c>
      <c r="L30">
        <f t="shared" si="64"/>
        <v>12.899999999999995</v>
      </c>
      <c r="M30">
        <f t="shared" si="64"/>
        <v>9.3999999999999986</v>
      </c>
      <c r="N30">
        <f t="shared" si="64"/>
        <v>5.9</v>
      </c>
      <c r="O30">
        <f t="shared" si="64"/>
        <v>21</v>
      </c>
      <c r="P30">
        <f t="shared" si="64"/>
        <v>19</v>
      </c>
      <c r="Q30">
        <f t="shared" si="64"/>
        <v>17</v>
      </c>
      <c r="R30">
        <f t="shared" si="64"/>
        <v>15</v>
      </c>
      <c r="S30">
        <f t="shared" si="64"/>
        <v>13</v>
      </c>
      <c r="T30">
        <f t="shared" si="64"/>
        <v>37</v>
      </c>
      <c r="U30">
        <f t="shared" si="64"/>
        <v>29</v>
      </c>
      <c r="V30">
        <f t="shared" si="64"/>
        <v>21</v>
      </c>
      <c r="W30">
        <f t="shared" si="64"/>
        <v>37</v>
      </c>
      <c r="X30">
        <f t="shared" si="64"/>
        <v>33.400000000000006</v>
      </c>
      <c r="Y30">
        <f t="shared" si="64"/>
        <v>29.800000000000008</v>
      </c>
      <c r="Z30">
        <f t="shared" si="64"/>
        <v>20</v>
      </c>
      <c r="AA30">
        <f t="shared" si="64"/>
        <v>17</v>
      </c>
      <c r="AB30">
        <f t="shared" si="64"/>
        <v>14</v>
      </c>
      <c r="AC30">
        <f t="shared" si="64"/>
        <v>29.800000000000008</v>
      </c>
      <c r="AD30">
        <f t="shared" si="64"/>
        <v>19.000000000000004</v>
      </c>
      <c r="AE30">
        <f t="shared" si="64"/>
        <v>8.1999999999999993</v>
      </c>
      <c r="AF30" t="str">
        <f t="shared" si="64"/>
        <v/>
      </c>
      <c r="AG30" t="str">
        <f t="shared" si="64"/>
        <v/>
      </c>
      <c r="AH30" t="str">
        <f t="shared" si="64"/>
        <v/>
      </c>
      <c r="AI30">
        <f t="shared" si="64"/>
        <v>11.799999999999995</v>
      </c>
      <c r="AJ30">
        <f t="shared" si="64"/>
        <v>9.3999999999999968</v>
      </c>
      <c r="AK30">
        <f t="shared" si="64"/>
        <v>6.9999999999999982</v>
      </c>
      <c r="AL30">
        <f t="shared" si="64"/>
        <v>4.5999999999999996</v>
      </c>
      <c r="AM30">
        <f t="shared" si="64"/>
        <v>17</v>
      </c>
      <c r="AN30">
        <f t="shared" si="64"/>
        <v>11</v>
      </c>
      <c r="AO30">
        <f t="shared" si="64"/>
        <v>5</v>
      </c>
      <c r="AP30">
        <f t="shared" si="64"/>
        <v>25.700000000000006</v>
      </c>
      <c r="AQ30">
        <f t="shared" si="64"/>
        <v>21.800000000000004</v>
      </c>
      <c r="AR30">
        <f t="shared" si="64"/>
        <v>17.900000000000002</v>
      </c>
      <c r="AS30">
        <f t="shared" si="64"/>
        <v>14.000000000000002</v>
      </c>
      <c r="AT30">
        <f t="shared" si="64"/>
        <v>10.1</v>
      </c>
      <c r="AU30">
        <f t="shared" si="64"/>
        <v>6.1999999999999993</v>
      </c>
      <c r="AV30">
        <f t="shared" si="64"/>
        <v>2.2999999999999998</v>
      </c>
      <c r="AW30">
        <f t="shared" si="64"/>
        <v>17</v>
      </c>
      <c r="AX30">
        <f t="shared" si="64"/>
        <v>11</v>
      </c>
      <c r="AY30">
        <f t="shared" si="64"/>
        <v>35</v>
      </c>
      <c r="AZ30">
        <f t="shared" si="64"/>
        <v>25</v>
      </c>
      <c r="BA30">
        <f t="shared" si="64"/>
        <v>39</v>
      </c>
      <c r="BB30">
        <f t="shared" si="64"/>
        <v>33</v>
      </c>
      <c r="BC30">
        <f t="shared" si="64"/>
        <v>27</v>
      </c>
      <c r="BD30">
        <f t="shared" si="64"/>
        <v>28.300000000000008</v>
      </c>
      <c r="BE30">
        <f t="shared" si="64"/>
        <v>37</v>
      </c>
      <c r="BF30">
        <f t="shared" si="64"/>
        <v>29</v>
      </c>
      <c r="BG30">
        <f t="shared" si="64"/>
        <v>21</v>
      </c>
      <c r="BH30">
        <f t="shared" si="64"/>
        <v>13</v>
      </c>
      <c r="BI30">
        <f t="shared" si="64"/>
        <v>18</v>
      </c>
      <c r="BJ30">
        <f t="shared" si="64"/>
        <v>13</v>
      </c>
      <c r="BK30">
        <f t="shared" si="64"/>
        <v>8</v>
      </c>
      <c r="BL30">
        <f t="shared" si="64"/>
        <v>3</v>
      </c>
      <c r="BM30">
        <f t="shared" si="64"/>
        <v>17</v>
      </c>
      <c r="BN30">
        <f t="shared" si="64"/>
        <v>27.000000000000007</v>
      </c>
      <c r="BO30">
        <f t="shared" si="64"/>
        <v>24.400000000000006</v>
      </c>
      <c r="BP30">
        <f t="shared" ref="BP30:EA30" si="65">IF(OR(BP29=-1,AND(IF(BP$3&lt;$B30,BP29+BP$6,IF(BP$3=$B30,1,""))&gt;$B$1,BP$3&lt;$B30)),-1,IF(BP$3&lt;$B30,BP29+BP$6,IF(BP$3=$B30,1,"")))</f>
        <v>39</v>
      </c>
      <c r="BQ30">
        <f t="shared" si="65"/>
        <v>33</v>
      </c>
      <c r="BR30">
        <f t="shared" si="65"/>
        <v>27</v>
      </c>
      <c r="BS30">
        <f t="shared" si="65"/>
        <v>21</v>
      </c>
      <c r="BT30">
        <f t="shared" si="65"/>
        <v>19</v>
      </c>
      <c r="BU30">
        <f t="shared" si="65"/>
        <v>10.599999999999996</v>
      </c>
      <c r="BV30">
        <f t="shared" si="65"/>
        <v>6.9999999999999982</v>
      </c>
      <c r="BW30">
        <f t="shared" si="65"/>
        <v>3.4000000000000004</v>
      </c>
      <c r="BX30" t="str">
        <f t="shared" si="65"/>
        <v/>
      </c>
      <c r="BY30" t="str">
        <f t="shared" si="65"/>
        <v/>
      </c>
      <c r="BZ30" t="str">
        <f t="shared" si="65"/>
        <v/>
      </c>
      <c r="CA30" t="str">
        <f t="shared" si="65"/>
        <v/>
      </c>
      <c r="CB30" t="str">
        <f t="shared" si="65"/>
        <v/>
      </c>
      <c r="CC30" t="str">
        <f t="shared" si="65"/>
        <v/>
      </c>
      <c r="CD30" t="str">
        <f t="shared" si="65"/>
        <v/>
      </c>
      <c r="CE30" t="str">
        <f t="shared" si="65"/>
        <v/>
      </c>
      <c r="CF30" t="str">
        <f t="shared" si="65"/>
        <v/>
      </c>
      <c r="CG30" t="str">
        <f t="shared" si="65"/>
        <v/>
      </c>
      <c r="CH30" t="str">
        <f t="shared" si="65"/>
        <v/>
      </c>
      <c r="CI30" t="str">
        <f t="shared" si="65"/>
        <v/>
      </c>
      <c r="CJ30" t="str">
        <f t="shared" si="65"/>
        <v/>
      </c>
      <c r="CK30" t="str">
        <f t="shared" si="65"/>
        <v/>
      </c>
      <c r="CL30" t="str">
        <f t="shared" si="65"/>
        <v/>
      </c>
      <c r="CM30" t="str">
        <f t="shared" si="65"/>
        <v/>
      </c>
      <c r="CN30" t="str">
        <f t="shared" si="65"/>
        <v/>
      </c>
      <c r="CO30" t="str">
        <f t="shared" si="65"/>
        <v/>
      </c>
      <c r="CP30" t="str">
        <f t="shared" si="65"/>
        <v/>
      </c>
      <c r="CQ30">
        <f t="shared" si="65"/>
        <v>18</v>
      </c>
      <c r="CR30">
        <f t="shared" si="65"/>
        <v>13</v>
      </c>
      <c r="CS30">
        <f t="shared" si="65"/>
        <v>8</v>
      </c>
      <c r="CT30">
        <f t="shared" si="65"/>
        <v>27.000000000000007</v>
      </c>
      <c r="CU30">
        <f t="shared" si="65"/>
        <v>24.400000000000006</v>
      </c>
      <c r="CV30">
        <f t="shared" si="65"/>
        <v>28.20000000000001</v>
      </c>
      <c r="CW30">
        <f t="shared" si="65"/>
        <v>20.200000000000003</v>
      </c>
      <c r="CX30">
        <f t="shared" si="65"/>
        <v>12.2</v>
      </c>
      <c r="CY30">
        <f t="shared" si="65"/>
        <v>4.2</v>
      </c>
      <c r="CZ30" t="str">
        <f t="shared" si="65"/>
        <v/>
      </c>
      <c r="DA30">
        <f t="shared" si="65"/>
        <v>19</v>
      </c>
      <c r="DB30">
        <f t="shared" si="65"/>
        <v>15</v>
      </c>
      <c r="DC30">
        <f t="shared" si="65"/>
        <v>11</v>
      </c>
      <c r="DD30">
        <f t="shared" si="65"/>
        <v>7</v>
      </c>
      <c r="DE30">
        <f t="shared" si="65"/>
        <v>21</v>
      </c>
      <c r="DF30">
        <f t="shared" si="65"/>
        <v>19</v>
      </c>
      <c r="DG30">
        <f t="shared" si="65"/>
        <v>28.300000000000008</v>
      </c>
      <c r="DH30">
        <f t="shared" si="65"/>
        <v>27.000000000000007</v>
      </c>
      <c r="DI30">
        <f t="shared" si="65"/>
        <v>25.700000000000006</v>
      </c>
      <c r="DJ30">
        <f t="shared" si="65"/>
        <v>24.400000000000006</v>
      </c>
      <c r="DK30">
        <f t="shared" si="65"/>
        <v>37</v>
      </c>
      <c r="DL30">
        <f t="shared" si="65"/>
        <v>29</v>
      </c>
      <c r="DM30">
        <f t="shared" si="65"/>
        <v>21</v>
      </c>
      <c r="DN30">
        <f t="shared" si="65"/>
        <v>13</v>
      </c>
      <c r="DO30">
        <f t="shared" si="65"/>
        <v>5</v>
      </c>
      <c r="DP30" t="str">
        <f t="shared" si="65"/>
        <v/>
      </c>
      <c r="DQ30">
        <f t="shared" si="65"/>
        <v>27.000000000000007</v>
      </c>
      <c r="DR30">
        <f t="shared" si="65"/>
        <v>24.400000000000006</v>
      </c>
      <c r="DS30">
        <f t="shared" si="65"/>
        <v>17</v>
      </c>
      <c r="DT30">
        <f t="shared" si="65"/>
        <v>11</v>
      </c>
      <c r="DU30">
        <f t="shared" si="65"/>
        <v>5</v>
      </c>
      <c r="DV30" t="str">
        <f t="shared" si="65"/>
        <v/>
      </c>
      <c r="DW30" t="str">
        <f t="shared" si="65"/>
        <v/>
      </c>
      <c r="DX30" t="str">
        <f t="shared" si="65"/>
        <v/>
      </c>
      <c r="DY30">
        <f t="shared" si="65"/>
        <v>43</v>
      </c>
      <c r="DZ30">
        <f t="shared" si="65"/>
        <v>41</v>
      </c>
      <c r="EA30">
        <f t="shared" si="65"/>
        <v>39</v>
      </c>
      <c r="EB30">
        <f t="shared" ref="EB30:EO30" si="66">IF(OR(EB29=-1,AND(IF(EB$3&lt;$B30,EB29+EB$6,IF(EB$3=$B30,1,""))&gt;$B$1,EB$3&lt;$B30)),-1,IF(EB$3&lt;$B30,EB29+EB$6,IF(EB$3=$B30,1,"")))</f>
        <v>37</v>
      </c>
      <c r="EC30">
        <f t="shared" si="66"/>
        <v>35</v>
      </c>
      <c r="ED30">
        <f t="shared" si="66"/>
        <v>33</v>
      </c>
      <c r="EE30">
        <f t="shared" si="66"/>
        <v>28.20000000000001</v>
      </c>
      <c r="EF30">
        <f t="shared" si="66"/>
        <v>20.200000000000003</v>
      </c>
      <c r="EG30">
        <f t="shared" si="66"/>
        <v>12.2</v>
      </c>
      <c r="EH30">
        <f t="shared" si="66"/>
        <v>4.2</v>
      </c>
      <c r="EI30" t="str">
        <f t="shared" si="66"/>
        <v/>
      </c>
      <c r="EJ30" t="str">
        <f t="shared" si="66"/>
        <v/>
      </c>
      <c r="EK30">
        <f t="shared" si="66"/>
        <v>33.000000000000014</v>
      </c>
      <c r="EL30">
        <f t="shared" si="66"/>
        <v>25.000000000000007</v>
      </c>
      <c r="EM30">
        <f t="shared" si="66"/>
        <v>13.799999999999999</v>
      </c>
      <c r="EN30">
        <f t="shared" si="66"/>
        <v>2.6</v>
      </c>
      <c r="EO30" t="str">
        <f t="shared" si="66"/>
        <v/>
      </c>
    </row>
    <row r="31" spans="1:145" x14ac:dyDescent="0.15">
      <c r="A31" t="e">
        <f t="shared" si="0"/>
        <v>#N/A</v>
      </c>
      <c r="B31" s="218">
        <v>23</v>
      </c>
      <c r="C31">
        <f t="shared" si="0"/>
        <v>22</v>
      </c>
      <c r="D31">
        <f t="shared" ref="D31:BO31" si="67">IF(OR(D30=-1,AND(IF(D$3&lt;$B31,D30+D$6,IF(D$3=$B31,1,""))&gt;$B$1,D$3&lt;$B31)),-1,IF(D$3&lt;$B31,D30+D$6,IF(D$3=$B31,1,"")))</f>
        <v>20</v>
      </c>
      <c r="E31">
        <f t="shared" si="67"/>
        <v>18</v>
      </c>
      <c r="F31">
        <f t="shared" si="67"/>
        <v>16</v>
      </c>
      <c r="G31">
        <f t="shared" si="67"/>
        <v>14</v>
      </c>
      <c r="H31">
        <f t="shared" si="67"/>
        <v>12</v>
      </c>
      <c r="I31">
        <f t="shared" si="67"/>
        <v>19.200000000000003</v>
      </c>
      <c r="J31">
        <f t="shared" si="67"/>
        <v>7.4999999999999991</v>
      </c>
      <c r="K31" t="str">
        <f t="shared" si="67"/>
        <v/>
      </c>
      <c r="L31">
        <f t="shared" si="67"/>
        <v>13.599999999999994</v>
      </c>
      <c r="M31">
        <f t="shared" si="67"/>
        <v>10.099999999999998</v>
      </c>
      <c r="N31">
        <f t="shared" si="67"/>
        <v>6.6000000000000005</v>
      </c>
      <c r="O31">
        <f t="shared" si="67"/>
        <v>22</v>
      </c>
      <c r="P31">
        <f t="shared" si="67"/>
        <v>20</v>
      </c>
      <c r="Q31">
        <f t="shared" si="67"/>
        <v>18</v>
      </c>
      <c r="R31">
        <f t="shared" si="67"/>
        <v>16</v>
      </c>
      <c r="S31">
        <f t="shared" si="67"/>
        <v>14</v>
      </c>
      <c r="T31">
        <f t="shared" si="67"/>
        <v>39</v>
      </c>
      <c r="U31">
        <f t="shared" si="67"/>
        <v>31</v>
      </c>
      <c r="V31">
        <f t="shared" si="67"/>
        <v>23</v>
      </c>
      <c r="W31">
        <f t="shared" si="67"/>
        <v>38.799999999999997</v>
      </c>
      <c r="X31">
        <f t="shared" si="67"/>
        <v>35.200000000000003</v>
      </c>
      <c r="Y31">
        <f t="shared" si="67"/>
        <v>31.600000000000009</v>
      </c>
      <c r="Z31">
        <f t="shared" si="67"/>
        <v>21</v>
      </c>
      <c r="AA31">
        <f t="shared" si="67"/>
        <v>18</v>
      </c>
      <c r="AB31">
        <f t="shared" si="67"/>
        <v>15</v>
      </c>
      <c r="AC31">
        <f t="shared" si="67"/>
        <v>31.600000000000009</v>
      </c>
      <c r="AD31">
        <f t="shared" si="67"/>
        <v>20.800000000000004</v>
      </c>
      <c r="AE31">
        <f t="shared" si="67"/>
        <v>10</v>
      </c>
      <c r="AF31" t="str">
        <f t="shared" si="67"/>
        <v/>
      </c>
      <c r="AG31" t="str">
        <f t="shared" si="67"/>
        <v/>
      </c>
      <c r="AH31" t="str">
        <f t="shared" si="67"/>
        <v/>
      </c>
      <c r="AI31">
        <f t="shared" si="67"/>
        <v>12.399999999999995</v>
      </c>
      <c r="AJ31">
        <f t="shared" si="67"/>
        <v>9.9999999999999964</v>
      </c>
      <c r="AK31">
        <f t="shared" si="67"/>
        <v>7.5999999999999979</v>
      </c>
      <c r="AL31">
        <f t="shared" si="67"/>
        <v>5.1999999999999993</v>
      </c>
      <c r="AM31">
        <f t="shared" si="67"/>
        <v>18</v>
      </c>
      <c r="AN31">
        <f t="shared" si="67"/>
        <v>12</v>
      </c>
      <c r="AO31">
        <f t="shared" si="67"/>
        <v>6</v>
      </c>
      <c r="AP31">
        <f t="shared" si="67"/>
        <v>27.000000000000007</v>
      </c>
      <c r="AQ31">
        <f t="shared" si="67"/>
        <v>23.100000000000005</v>
      </c>
      <c r="AR31">
        <f t="shared" si="67"/>
        <v>19.200000000000003</v>
      </c>
      <c r="AS31">
        <f t="shared" si="67"/>
        <v>15.300000000000002</v>
      </c>
      <c r="AT31">
        <f t="shared" si="67"/>
        <v>11.4</v>
      </c>
      <c r="AU31">
        <f t="shared" si="67"/>
        <v>7.4999999999999991</v>
      </c>
      <c r="AV31">
        <f t="shared" si="67"/>
        <v>3.5999999999999996</v>
      </c>
      <c r="AW31">
        <f t="shared" si="67"/>
        <v>18</v>
      </c>
      <c r="AX31">
        <f t="shared" si="67"/>
        <v>12</v>
      </c>
      <c r="AY31">
        <f t="shared" si="67"/>
        <v>37</v>
      </c>
      <c r="AZ31">
        <f t="shared" si="67"/>
        <v>27</v>
      </c>
      <c r="BA31">
        <f t="shared" si="67"/>
        <v>41</v>
      </c>
      <c r="BB31">
        <f t="shared" si="67"/>
        <v>35</v>
      </c>
      <c r="BC31">
        <f t="shared" si="67"/>
        <v>29</v>
      </c>
      <c r="BD31">
        <f t="shared" si="67"/>
        <v>29.600000000000009</v>
      </c>
      <c r="BE31">
        <f t="shared" si="67"/>
        <v>39</v>
      </c>
      <c r="BF31">
        <f t="shared" si="67"/>
        <v>31</v>
      </c>
      <c r="BG31">
        <f t="shared" si="67"/>
        <v>23</v>
      </c>
      <c r="BH31">
        <f t="shared" si="67"/>
        <v>15</v>
      </c>
      <c r="BI31">
        <f t="shared" si="67"/>
        <v>19</v>
      </c>
      <c r="BJ31">
        <f t="shared" si="67"/>
        <v>14</v>
      </c>
      <c r="BK31">
        <f t="shared" si="67"/>
        <v>9</v>
      </c>
      <c r="BL31">
        <f t="shared" si="67"/>
        <v>4</v>
      </c>
      <c r="BM31">
        <f t="shared" si="67"/>
        <v>18</v>
      </c>
      <c r="BN31">
        <f t="shared" si="67"/>
        <v>28.300000000000008</v>
      </c>
      <c r="BO31">
        <f t="shared" si="67"/>
        <v>25.700000000000006</v>
      </c>
      <c r="BP31">
        <f t="shared" ref="BP31:EA31" si="68">IF(OR(BP30=-1,AND(IF(BP$3&lt;$B31,BP30+BP$6,IF(BP$3=$B31,1,""))&gt;$B$1,BP$3&lt;$B31)),-1,IF(BP$3&lt;$B31,BP30+BP$6,IF(BP$3=$B31,1,"")))</f>
        <v>41</v>
      </c>
      <c r="BQ31">
        <f t="shared" si="68"/>
        <v>35</v>
      </c>
      <c r="BR31">
        <f t="shared" si="68"/>
        <v>29</v>
      </c>
      <c r="BS31">
        <f t="shared" si="68"/>
        <v>22</v>
      </c>
      <c r="BT31">
        <f t="shared" si="68"/>
        <v>20</v>
      </c>
      <c r="BU31">
        <f t="shared" si="68"/>
        <v>11.199999999999996</v>
      </c>
      <c r="BV31">
        <f t="shared" si="68"/>
        <v>7.5999999999999979</v>
      </c>
      <c r="BW31">
        <f t="shared" si="68"/>
        <v>4</v>
      </c>
      <c r="BX31" t="str">
        <f t="shared" si="68"/>
        <v/>
      </c>
      <c r="BY31" t="str">
        <f t="shared" si="68"/>
        <v/>
      </c>
      <c r="BZ31" t="str">
        <f t="shared" si="68"/>
        <v/>
      </c>
      <c r="CA31" t="str">
        <f t="shared" si="68"/>
        <v/>
      </c>
      <c r="CB31" t="str">
        <f t="shared" si="68"/>
        <v/>
      </c>
      <c r="CC31" t="str">
        <f t="shared" si="68"/>
        <v/>
      </c>
      <c r="CD31" t="str">
        <f t="shared" si="68"/>
        <v/>
      </c>
      <c r="CE31" t="str">
        <f t="shared" si="68"/>
        <v/>
      </c>
      <c r="CF31" t="str">
        <f t="shared" si="68"/>
        <v/>
      </c>
      <c r="CG31" t="str">
        <f t="shared" si="68"/>
        <v/>
      </c>
      <c r="CH31" t="str">
        <f t="shared" si="68"/>
        <v/>
      </c>
      <c r="CI31" t="str">
        <f t="shared" si="68"/>
        <v/>
      </c>
      <c r="CJ31" t="str">
        <f t="shared" si="68"/>
        <v/>
      </c>
      <c r="CK31" t="str">
        <f t="shared" si="68"/>
        <v/>
      </c>
      <c r="CL31" t="str">
        <f t="shared" si="68"/>
        <v/>
      </c>
      <c r="CM31" t="str">
        <f t="shared" si="68"/>
        <v/>
      </c>
      <c r="CN31" t="str">
        <f t="shared" si="68"/>
        <v/>
      </c>
      <c r="CO31" t="str">
        <f t="shared" si="68"/>
        <v/>
      </c>
      <c r="CP31" t="str">
        <f t="shared" si="68"/>
        <v/>
      </c>
      <c r="CQ31">
        <f t="shared" si="68"/>
        <v>19</v>
      </c>
      <c r="CR31">
        <f t="shared" si="68"/>
        <v>14</v>
      </c>
      <c r="CS31">
        <f t="shared" si="68"/>
        <v>9</v>
      </c>
      <c r="CT31">
        <f t="shared" si="68"/>
        <v>28.300000000000008</v>
      </c>
      <c r="CU31">
        <f t="shared" si="68"/>
        <v>25.700000000000006</v>
      </c>
      <c r="CV31">
        <f t="shared" si="68"/>
        <v>29.800000000000011</v>
      </c>
      <c r="CW31">
        <f t="shared" si="68"/>
        <v>21.800000000000004</v>
      </c>
      <c r="CX31">
        <f t="shared" si="68"/>
        <v>13.799999999999999</v>
      </c>
      <c r="CY31">
        <f t="shared" si="68"/>
        <v>5.8000000000000007</v>
      </c>
      <c r="CZ31" t="str">
        <f t="shared" si="68"/>
        <v/>
      </c>
      <c r="DA31">
        <f t="shared" si="68"/>
        <v>20</v>
      </c>
      <c r="DB31">
        <f t="shared" si="68"/>
        <v>16</v>
      </c>
      <c r="DC31">
        <f t="shared" si="68"/>
        <v>12</v>
      </c>
      <c r="DD31">
        <f t="shared" si="68"/>
        <v>8</v>
      </c>
      <c r="DE31">
        <f t="shared" si="68"/>
        <v>22</v>
      </c>
      <c r="DF31">
        <f t="shared" si="68"/>
        <v>20</v>
      </c>
      <c r="DG31">
        <f t="shared" si="68"/>
        <v>29.600000000000009</v>
      </c>
      <c r="DH31">
        <f t="shared" si="68"/>
        <v>28.300000000000008</v>
      </c>
      <c r="DI31">
        <f t="shared" si="68"/>
        <v>27.000000000000007</v>
      </c>
      <c r="DJ31">
        <f t="shared" si="68"/>
        <v>25.700000000000006</v>
      </c>
      <c r="DK31">
        <f t="shared" si="68"/>
        <v>39</v>
      </c>
      <c r="DL31">
        <f t="shared" si="68"/>
        <v>31</v>
      </c>
      <c r="DM31">
        <f t="shared" si="68"/>
        <v>23</v>
      </c>
      <c r="DN31">
        <f t="shared" si="68"/>
        <v>15</v>
      </c>
      <c r="DO31">
        <f t="shared" si="68"/>
        <v>7</v>
      </c>
      <c r="DP31" t="str">
        <f t="shared" si="68"/>
        <v/>
      </c>
      <c r="DQ31">
        <f t="shared" si="68"/>
        <v>28.300000000000008</v>
      </c>
      <c r="DR31">
        <f t="shared" si="68"/>
        <v>25.700000000000006</v>
      </c>
      <c r="DS31">
        <f t="shared" si="68"/>
        <v>18</v>
      </c>
      <c r="DT31">
        <f t="shared" si="68"/>
        <v>12</v>
      </c>
      <c r="DU31">
        <f t="shared" si="68"/>
        <v>6</v>
      </c>
      <c r="DV31" t="str">
        <f t="shared" si="68"/>
        <v/>
      </c>
      <c r="DW31" t="str">
        <f t="shared" si="68"/>
        <v/>
      </c>
      <c r="DX31" t="str">
        <f t="shared" si="68"/>
        <v/>
      </c>
      <c r="DY31">
        <f t="shared" si="68"/>
        <v>45</v>
      </c>
      <c r="DZ31">
        <f t="shared" si="68"/>
        <v>43</v>
      </c>
      <c r="EA31">
        <f t="shared" si="68"/>
        <v>41</v>
      </c>
      <c r="EB31">
        <f t="shared" ref="EB31:EO31" si="69">IF(OR(EB30=-1,AND(IF(EB$3&lt;$B31,EB30+EB$6,IF(EB$3=$B31,1,""))&gt;$B$1,EB$3&lt;$B31)),-1,IF(EB$3&lt;$B31,EB30+EB$6,IF(EB$3=$B31,1,"")))</f>
        <v>39</v>
      </c>
      <c r="EC31">
        <f t="shared" si="69"/>
        <v>37</v>
      </c>
      <c r="ED31">
        <f t="shared" si="69"/>
        <v>35</v>
      </c>
      <c r="EE31">
        <f t="shared" si="69"/>
        <v>29.800000000000011</v>
      </c>
      <c r="EF31">
        <f t="shared" si="69"/>
        <v>21.800000000000004</v>
      </c>
      <c r="EG31">
        <f t="shared" si="69"/>
        <v>13.799999999999999</v>
      </c>
      <c r="EH31">
        <f t="shared" si="69"/>
        <v>5.8000000000000007</v>
      </c>
      <c r="EI31" t="str">
        <f t="shared" si="69"/>
        <v/>
      </c>
      <c r="EJ31" t="str">
        <f t="shared" si="69"/>
        <v/>
      </c>
      <c r="EK31">
        <f t="shared" si="69"/>
        <v>34.600000000000016</v>
      </c>
      <c r="EL31">
        <f t="shared" si="69"/>
        <v>26.600000000000009</v>
      </c>
      <c r="EM31">
        <f t="shared" si="69"/>
        <v>15.399999999999999</v>
      </c>
      <c r="EN31">
        <f t="shared" si="69"/>
        <v>4.2</v>
      </c>
      <c r="EO31" t="str">
        <f t="shared" si="69"/>
        <v/>
      </c>
    </row>
    <row r="32" spans="1:145" x14ac:dyDescent="0.15">
      <c r="A32" t="e">
        <f t="shared" si="0"/>
        <v>#N/A</v>
      </c>
      <c r="B32" s="218">
        <v>24</v>
      </c>
      <c r="C32">
        <f t="shared" si="0"/>
        <v>23</v>
      </c>
      <c r="D32">
        <f t="shared" ref="D32:BO32" si="70">IF(OR(D31=-1,AND(IF(D$3&lt;$B32,D31+D$6,IF(D$3=$B32,1,""))&gt;$B$1,D$3&lt;$B32)),-1,IF(D$3&lt;$B32,D31+D$6,IF(D$3=$B32,1,"")))</f>
        <v>21</v>
      </c>
      <c r="E32">
        <f t="shared" si="70"/>
        <v>19</v>
      </c>
      <c r="F32">
        <f t="shared" si="70"/>
        <v>17</v>
      </c>
      <c r="G32">
        <f t="shared" si="70"/>
        <v>15</v>
      </c>
      <c r="H32">
        <f t="shared" si="70"/>
        <v>13</v>
      </c>
      <c r="I32">
        <f t="shared" si="70"/>
        <v>20.500000000000004</v>
      </c>
      <c r="J32">
        <f t="shared" si="70"/>
        <v>8.7999999999999989</v>
      </c>
      <c r="K32" t="str">
        <f t="shared" si="70"/>
        <v/>
      </c>
      <c r="L32">
        <f t="shared" si="70"/>
        <v>14.299999999999994</v>
      </c>
      <c r="M32">
        <f t="shared" si="70"/>
        <v>10.799999999999997</v>
      </c>
      <c r="N32">
        <f t="shared" si="70"/>
        <v>7.3000000000000007</v>
      </c>
      <c r="O32">
        <f t="shared" si="70"/>
        <v>23</v>
      </c>
      <c r="P32">
        <f t="shared" si="70"/>
        <v>21</v>
      </c>
      <c r="Q32">
        <f t="shared" si="70"/>
        <v>19</v>
      </c>
      <c r="R32">
        <f t="shared" si="70"/>
        <v>17</v>
      </c>
      <c r="S32">
        <f t="shared" si="70"/>
        <v>15</v>
      </c>
      <c r="T32">
        <f t="shared" si="70"/>
        <v>41</v>
      </c>
      <c r="U32">
        <f t="shared" si="70"/>
        <v>33</v>
      </c>
      <c r="V32">
        <f t="shared" si="70"/>
        <v>25</v>
      </c>
      <c r="W32">
        <f t="shared" si="70"/>
        <v>40.599999999999994</v>
      </c>
      <c r="X32">
        <f t="shared" si="70"/>
        <v>37</v>
      </c>
      <c r="Y32">
        <f t="shared" si="70"/>
        <v>33.400000000000006</v>
      </c>
      <c r="Z32">
        <f t="shared" si="70"/>
        <v>22</v>
      </c>
      <c r="AA32">
        <f t="shared" si="70"/>
        <v>19</v>
      </c>
      <c r="AB32">
        <f t="shared" si="70"/>
        <v>16</v>
      </c>
      <c r="AC32">
        <f t="shared" si="70"/>
        <v>33.400000000000006</v>
      </c>
      <c r="AD32">
        <f t="shared" si="70"/>
        <v>22.600000000000005</v>
      </c>
      <c r="AE32">
        <f t="shared" si="70"/>
        <v>11.8</v>
      </c>
      <c r="AF32">
        <f t="shared" si="70"/>
        <v>1</v>
      </c>
      <c r="AG32" t="str">
        <f t="shared" si="70"/>
        <v/>
      </c>
      <c r="AH32" t="str">
        <f t="shared" si="70"/>
        <v/>
      </c>
      <c r="AI32">
        <f t="shared" si="70"/>
        <v>12.999999999999995</v>
      </c>
      <c r="AJ32">
        <f t="shared" si="70"/>
        <v>10.599999999999996</v>
      </c>
      <c r="AK32">
        <f t="shared" si="70"/>
        <v>8.1999999999999975</v>
      </c>
      <c r="AL32">
        <f t="shared" si="70"/>
        <v>5.7999999999999989</v>
      </c>
      <c r="AM32">
        <f t="shared" si="70"/>
        <v>19</v>
      </c>
      <c r="AN32">
        <f t="shared" si="70"/>
        <v>13</v>
      </c>
      <c r="AO32">
        <f t="shared" si="70"/>
        <v>7</v>
      </c>
      <c r="AP32">
        <f t="shared" si="70"/>
        <v>28.300000000000008</v>
      </c>
      <c r="AQ32">
        <f t="shared" si="70"/>
        <v>24.400000000000006</v>
      </c>
      <c r="AR32">
        <f t="shared" si="70"/>
        <v>20.500000000000004</v>
      </c>
      <c r="AS32">
        <f t="shared" si="70"/>
        <v>16.600000000000001</v>
      </c>
      <c r="AT32">
        <f t="shared" si="70"/>
        <v>12.700000000000001</v>
      </c>
      <c r="AU32">
        <f t="shared" si="70"/>
        <v>8.7999999999999989</v>
      </c>
      <c r="AV32">
        <f t="shared" si="70"/>
        <v>4.8999999999999995</v>
      </c>
      <c r="AW32">
        <f t="shared" si="70"/>
        <v>19</v>
      </c>
      <c r="AX32">
        <f t="shared" si="70"/>
        <v>13</v>
      </c>
      <c r="AY32">
        <f t="shared" si="70"/>
        <v>39</v>
      </c>
      <c r="AZ32">
        <f t="shared" si="70"/>
        <v>29</v>
      </c>
      <c r="BA32">
        <f t="shared" si="70"/>
        <v>43</v>
      </c>
      <c r="BB32">
        <f t="shared" si="70"/>
        <v>37</v>
      </c>
      <c r="BC32">
        <f t="shared" si="70"/>
        <v>31</v>
      </c>
      <c r="BD32">
        <f t="shared" si="70"/>
        <v>30.900000000000009</v>
      </c>
      <c r="BE32">
        <f t="shared" si="70"/>
        <v>41</v>
      </c>
      <c r="BF32">
        <f t="shared" si="70"/>
        <v>33</v>
      </c>
      <c r="BG32">
        <f t="shared" si="70"/>
        <v>25</v>
      </c>
      <c r="BH32">
        <f t="shared" si="70"/>
        <v>17</v>
      </c>
      <c r="BI32">
        <f t="shared" si="70"/>
        <v>20</v>
      </c>
      <c r="BJ32">
        <f t="shared" si="70"/>
        <v>15</v>
      </c>
      <c r="BK32">
        <f t="shared" si="70"/>
        <v>10</v>
      </c>
      <c r="BL32">
        <f t="shared" si="70"/>
        <v>5</v>
      </c>
      <c r="BM32">
        <f t="shared" si="70"/>
        <v>19</v>
      </c>
      <c r="BN32">
        <f t="shared" si="70"/>
        <v>29.600000000000009</v>
      </c>
      <c r="BO32">
        <f t="shared" si="70"/>
        <v>27.000000000000007</v>
      </c>
      <c r="BP32">
        <f t="shared" ref="BP32:EA32" si="71">IF(OR(BP31=-1,AND(IF(BP$3&lt;$B32,BP31+BP$6,IF(BP$3=$B32,1,""))&gt;$B$1,BP$3&lt;$B32)),-1,IF(BP$3&lt;$B32,BP31+BP$6,IF(BP$3=$B32,1,"")))</f>
        <v>43</v>
      </c>
      <c r="BQ32">
        <f t="shared" si="71"/>
        <v>37</v>
      </c>
      <c r="BR32">
        <f t="shared" si="71"/>
        <v>31</v>
      </c>
      <c r="BS32">
        <f t="shared" si="71"/>
        <v>23</v>
      </c>
      <c r="BT32">
        <f t="shared" si="71"/>
        <v>21</v>
      </c>
      <c r="BU32">
        <f t="shared" si="71"/>
        <v>11.799999999999995</v>
      </c>
      <c r="BV32">
        <f t="shared" si="71"/>
        <v>8.1999999999999975</v>
      </c>
      <c r="BW32">
        <f t="shared" si="71"/>
        <v>4.5999999999999996</v>
      </c>
      <c r="BX32">
        <f t="shared" si="71"/>
        <v>1</v>
      </c>
      <c r="BY32" t="str">
        <f t="shared" si="71"/>
        <v/>
      </c>
      <c r="BZ32" t="str">
        <f t="shared" si="71"/>
        <v/>
      </c>
      <c r="CA32" t="str">
        <f t="shared" si="71"/>
        <v/>
      </c>
      <c r="CB32" t="str">
        <f t="shared" si="71"/>
        <v/>
      </c>
      <c r="CC32" t="str">
        <f t="shared" si="71"/>
        <v/>
      </c>
      <c r="CD32" t="str">
        <f t="shared" si="71"/>
        <v/>
      </c>
      <c r="CE32" t="str">
        <f t="shared" si="71"/>
        <v/>
      </c>
      <c r="CF32" t="str">
        <f t="shared" si="71"/>
        <v/>
      </c>
      <c r="CG32" t="str">
        <f t="shared" si="71"/>
        <v/>
      </c>
      <c r="CH32" t="str">
        <f t="shared" si="71"/>
        <v/>
      </c>
      <c r="CI32" t="str">
        <f t="shared" si="71"/>
        <v/>
      </c>
      <c r="CJ32" t="str">
        <f t="shared" si="71"/>
        <v/>
      </c>
      <c r="CK32" t="str">
        <f t="shared" si="71"/>
        <v/>
      </c>
      <c r="CL32" t="str">
        <f t="shared" si="71"/>
        <v/>
      </c>
      <c r="CM32" t="str">
        <f t="shared" si="71"/>
        <v/>
      </c>
      <c r="CN32" t="str">
        <f t="shared" si="71"/>
        <v/>
      </c>
      <c r="CO32" t="str">
        <f t="shared" si="71"/>
        <v/>
      </c>
      <c r="CP32" t="str">
        <f t="shared" si="71"/>
        <v/>
      </c>
      <c r="CQ32">
        <f t="shared" si="71"/>
        <v>20</v>
      </c>
      <c r="CR32">
        <f t="shared" si="71"/>
        <v>15</v>
      </c>
      <c r="CS32">
        <f t="shared" si="71"/>
        <v>10</v>
      </c>
      <c r="CT32">
        <f t="shared" si="71"/>
        <v>29.600000000000009</v>
      </c>
      <c r="CU32">
        <f t="shared" si="71"/>
        <v>27.000000000000007</v>
      </c>
      <c r="CV32">
        <f t="shared" si="71"/>
        <v>31.400000000000013</v>
      </c>
      <c r="CW32">
        <f t="shared" si="71"/>
        <v>23.400000000000006</v>
      </c>
      <c r="CX32">
        <f t="shared" si="71"/>
        <v>15.399999999999999</v>
      </c>
      <c r="CY32">
        <f t="shared" si="71"/>
        <v>7.4</v>
      </c>
      <c r="CZ32" t="str">
        <f t="shared" si="71"/>
        <v/>
      </c>
      <c r="DA32">
        <f t="shared" si="71"/>
        <v>21</v>
      </c>
      <c r="DB32">
        <f t="shared" si="71"/>
        <v>17</v>
      </c>
      <c r="DC32">
        <f t="shared" si="71"/>
        <v>13</v>
      </c>
      <c r="DD32">
        <f t="shared" si="71"/>
        <v>9</v>
      </c>
      <c r="DE32">
        <f t="shared" si="71"/>
        <v>23</v>
      </c>
      <c r="DF32">
        <f t="shared" si="71"/>
        <v>21</v>
      </c>
      <c r="DG32">
        <f t="shared" si="71"/>
        <v>30.900000000000009</v>
      </c>
      <c r="DH32">
        <f t="shared" si="71"/>
        <v>29.600000000000009</v>
      </c>
      <c r="DI32">
        <f t="shared" si="71"/>
        <v>28.300000000000008</v>
      </c>
      <c r="DJ32">
        <f t="shared" si="71"/>
        <v>27.000000000000007</v>
      </c>
      <c r="DK32">
        <f t="shared" si="71"/>
        <v>41</v>
      </c>
      <c r="DL32">
        <f t="shared" si="71"/>
        <v>33</v>
      </c>
      <c r="DM32">
        <f t="shared" si="71"/>
        <v>25</v>
      </c>
      <c r="DN32">
        <f t="shared" si="71"/>
        <v>17</v>
      </c>
      <c r="DO32">
        <f t="shared" si="71"/>
        <v>9</v>
      </c>
      <c r="DP32">
        <f t="shared" si="71"/>
        <v>1</v>
      </c>
      <c r="DQ32">
        <f t="shared" si="71"/>
        <v>29.600000000000009</v>
      </c>
      <c r="DR32">
        <f t="shared" si="71"/>
        <v>27.000000000000007</v>
      </c>
      <c r="DS32">
        <f t="shared" si="71"/>
        <v>19</v>
      </c>
      <c r="DT32">
        <f t="shared" si="71"/>
        <v>13</v>
      </c>
      <c r="DU32">
        <f t="shared" si="71"/>
        <v>7</v>
      </c>
      <c r="DV32">
        <f t="shared" si="71"/>
        <v>1</v>
      </c>
      <c r="DW32" t="str">
        <f t="shared" si="71"/>
        <v/>
      </c>
      <c r="DX32" t="str">
        <f t="shared" si="71"/>
        <v/>
      </c>
      <c r="DY32">
        <f t="shared" si="71"/>
        <v>47</v>
      </c>
      <c r="DZ32">
        <f t="shared" si="71"/>
        <v>45</v>
      </c>
      <c r="EA32">
        <f t="shared" si="71"/>
        <v>43</v>
      </c>
      <c r="EB32">
        <f t="shared" ref="EB32:EO32" si="72">IF(OR(EB31=-1,AND(IF(EB$3&lt;$B32,EB31+EB$6,IF(EB$3=$B32,1,""))&gt;$B$1,EB$3&lt;$B32)),-1,IF(EB$3&lt;$B32,EB31+EB$6,IF(EB$3=$B32,1,"")))</f>
        <v>41</v>
      </c>
      <c r="EC32">
        <f t="shared" si="72"/>
        <v>39</v>
      </c>
      <c r="ED32">
        <f t="shared" si="72"/>
        <v>37</v>
      </c>
      <c r="EE32">
        <f t="shared" si="72"/>
        <v>31.400000000000013</v>
      </c>
      <c r="EF32">
        <f t="shared" si="72"/>
        <v>23.400000000000006</v>
      </c>
      <c r="EG32">
        <f t="shared" si="72"/>
        <v>15.399999999999999</v>
      </c>
      <c r="EH32">
        <f t="shared" si="72"/>
        <v>7.4</v>
      </c>
      <c r="EI32" t="str">
        <f t="shared" si="72"/>
        <v/>
      </c>
      <c r="EJ32" t="str">
        <f t="shared" si="72"/>
        <v/>
      </c>
      <c r="EK32">
        <f t="shared" si="72"/>
        <v>36.200000000000017</v>
      </c>
      <c r="EL32">
        <f t="shared" si="72"/>
        <v>28.20000000000001</v>
      </c>
      <c r="EM32">
        <f t="shared" si="72"/>
        <v>17</v>
      </c>
      <c r="EN32">
        <f t="shared" si="72"/>
        <v>5.8000000000000007</v>
      </c>
      <c r="EO32" t="str">
        <f t="shared" si="72"/>
        <v/>
      </c>
    </row>
    <row r="33" spans="1:145" x14ac:dyDescent="0.15">
      <c r="A33" t="e">
        <f t="shared" si="0"/>
        <v>#N/A</v>
      </c>
      <c r="B33" s="218">
        <v>25</v>
      </c>
      <c r="C33">
        <f t="shared" si="0"/>
        <v>24</v>
      </c>
      <c r="D33">
        <f t="shared" ref="D33:BO33" si="73">IF(OR(D32=-1,AND(IF(D$3&lt;$B33,D32+D$6,IF(D$3=$B33,1,""))&gt;$B$1,D$3&lt;$B33)),-1,IF(D$3&lt;$B33,D32+D$6,IF(D$3=$B33,1,"")))</f>
        <v>22</v>
      </c>
      <c r="E33">
        <f t="shared" si="73"/>
        <v>20</v>
      </c>
      <c r="F33">
        <f t="shared" si="73"/>
        <v>18</v>
      </c>
      <c r="G33">
        <f t="shared" si="73"/>
        <v>16</v>
      </c>
      <c r="H33">
        <f t="shared" si="73"/>
        <v>14</v>
      </c>
      <c r="I33">
        <f t="shared" si="73"/>
        <v>21.800000000000004</v>
      </c>
      <c r="J33">
        <f t="shared" si="73"/>
        <v>10.1</v>
      </c>
      <c r="K33" t="str">
        <f t="shared" si="73"/>
        <v/>
      </c>
      <c r="L33">
        <f t="shared" si="73"/>
        <v>14.999999999999993</v>
      </c>
      <c r="M33">
        <f t="shared" si="73"/>
        <v>11.499999999999996</v>
      </c>
      <c r="N33">
        <f t="shared" si="73"/>
        <v>8</v>
      </c>
      <c r="O33">
        <f t="shared" si="73"/>
        <v>24</v>
      </c>
      <c r="P33">
        <f t="shared" si="73"/>
        <v>22</v>
      </c>
      <c r="Q33">
        <f t="shared" si="73"/>
        <v>20</v>
      </c>
      <c r="R33">
        <f t="shared" si="73"/>
        <v>18</v>
      </c>
      <c r="S33">
        <f t="shared" si="73"/>
        <v>16</v>
      </c>
      <c r="T33">
        <f t="shared" si="73"/>
        <v>43</v>
      </c>
      <c r="U33">
        <f t="shared" si="73"/>
        <v>35</v>
      </c>
      <c r="V33">
        <f t="shared" si="73"/>
        <v>27</v>
      </c>
      <c r="W33">
        <f t="shared" si="73"/>
        <v>42.399999999999991</v>
      </c>
      <c r="X33">
        <f t="shared" si="73"/>
        <v>38.799999999999997</v>
      </c>
      <c r="Y33">
        <f t="shared" si="73"/>
        <v>35.200000000000003</v>
      </c>
      <c r="Z33">
        <f t="shared" si="73"/>
        <v>23</v>
      </c>
      <c r="AA33">
        <f t="shared" si="73"/>
        <v>20</v>
      </c>
      <c r="AB33">
        <f t="shared" si="73"/>
        <v>17</v>
      </c>
      <c r="AC33">
        <f t="shared" si="73"/>
        <v>35.200000000000003</v>
      </c>
      <c r="AD33">
        <f t="shared" si="73"/>
        <v>24.400000000000006</v>
      </c>
      <c r="AE33">
        <f t="shared" si="73"/>
        <v>13.600000000000001</v>
      </c>
      <c r="AF33">
        <f t="shared" si="73"/>
        <v>2.8</v>
      </c>
      <c r="AG33" t="str">
        <f t="shared" si="73"/>
        <v/>
      </c>
      <c r="AH33" t="str">
        <f t="shared" si="73"/>
        <v/>
      </c>
      <c r="AI33">
        <f t="shared" si="73"/>
        <v>13.599999999999994</v>
      </c>
      <c r="AJ33">
        <f t="shared" si="73"/>
        <v>11.199999999999996</v>
      </c>
      <c r="AK33">
        <f t="shared" si="73"/>
        <v>8.7999999999999972</v>
      </c>
      <c r="AL33">
        <f t="shared" si="73"/>
        <v>6.3999999999999986</v>
      </c>
      <c r="AM33">
        <f t="shared" si="73"/>
        <v>20</v>
      </c>
      <c r="AN33">
        <f t="shared" si="73"/>
        <v>14</v>
      </c>
      <c r="AO33">
        <f t="shared" si="73"/>
        <v>8</v>
      </c>
      <c r="AP33">
        <f t="shared" si="73"/>
        <v>29.600000000000009</v>
      </c>
      <c r="AQ33">
        <f t="shared" si="73"/>
        <v>25.700000000000006</v>
      </c>
      <c r="AR33">
        <f t="shared" si="73"/>
        <v>21.800000000000004</v>
      </c>
      <c r="AS33">
        <f t="shared" si="73"/>
        <v>17.900000000000002</v>
      </c>
      <c r="AT33">
        <f t="shared" si="73"/>
        <v>14.000000000000002</v>
      </c>
      <c r="AU33">
        <f t="shared" si="73"/>
        <v>10.1</v>
      </c>
      <c r="AV33">
        <f t="shared" si="73"/>
        <v>6.1999999999999993</v>
      </c>
      <c r="AW33">
        <f t="shared" si="73"/>
        <v>20</v>
      </c>
      <c r="AX33">
        <f t="shared" si="73"/>
        <v>14</v>
      </c>
      <c r="AY33">
        <f t="shared" si="73"/>
        <v>41</v>
      </c>
      <c r="AZ33">
        <f t="shared" si="73"/>
        <v>31</v>
      </c>
      <c r="BA33">
        <f t="shared" si="73"/>
        <v>45</v>
      </c>
      <c r="BB33">
        <f t="shared" si="73"/>
        <v>39</v>
      </c>
      <c r="BC33">
        <f t="shared" si="73"/>
        <v>33</v>
      </c>
      <c r="BD33">
        <f t="shared" si="73"/>
        <v>32.20000000000001</v>
      </c>
      <c r="BE33">
        <f t="shared" si="73"/>
        <v>43</v>
      </c>
      <c r="BF33">
        <f t="shared" si="73"/>
        <v>35</v>
      </c>
      <c r="BG33">
        <f t="shared" si="73"/>
        <v>27</v>
      </c>
      <c r="BH33">
        <f t="shared" si="73"/>
        <v>19</v>
      </c>
      <c r="BI33">
        <f t="shared" si="73"/>
        <v>21</v>
      </c>
      <c r="BJ33">
        <f t="shared" si="73"/>
        <v>16</v>
      </c>
      <c r="BK33">
        <f t="shared" si="73"/>
        <v>11</v>
      </c>
      <c r="BL33">
        <f t="shared" si="73"/>
        <v>6</v>
      </c>
      <c r="BM33">
        <f t="shared" si="73"/>
        <v>20</v>
      </c>
      <c r="BN33">
        <f t="shared" si="73"/>
        <v>30.900000000000009</v>
      </c>
      <c r="BO33">
        <f t="shared" si="73"/>
        <v>28.300000000000008</v>
      </c>
      <c r="BP33">
        <f t="shared" ref="BP33:EA33" si="74">IF(OR(BP32=-1,AND(IF(BP$3&lt;$B33,BP32+BP$6,IF(BP$3=$B33,1,""))&gt;$B$1,BP$3&lt;$B33)),-1,IF(BP$3&lt;$B33,BP32+BP$6,IF(BP$3=$B33,1,"")))</f>
        <v>45</v>
      </c>
      <c r="BQ33">
        <f t="shared" si="74"/>
        <v>39</v>
      </c>
      <c r="BR33">
        <f t="shared" si="74"/>
        <v>33</v>
      </c>
      <c r="BS33">
        <f t="shared" si="74"/>
        <v>24</v>
      </c>
      <c r="BT33">
        <f t="shared" si="74"/>
        <v>22</v>
      </c>
      <c r="BU33">
        <f t="shared" si="74"/>
        <v>12.399999999999995</v>
      </c>
      <c r="BV33">
        <f t="shared" si="74"/>
        <v>8.7999999999999972</v>
      </c>
      <c r="BW33">
        <f t="shared" si="74"/>
        <v>5.1999999999999993</v>
      </c>
      <c r="BX33">
        <f t="shared" si="74"/>
        <v>1.6</v>
      </c>
      <c r="BY33" t="str">
        <f t="shared" si="74"/>
        <v/>
      </c>
      <c r="BZ33" t="str">
        <f t="shared" si="74"/>
        <v/>
      </c>
      <c r="CA33" t="str">
        <f t="shared" si="74"/>
        <v/>
      </c>
      <c r="CB33" t="str">
        <f t="shared" si="74"/>
        <v/>
      </c>
      <c r="CC33" t="str">
        <f t="shared" si="74"/>
        <v/>
      </c>
      <c r="CD33" t="str">
        <f t="shared" si="74"/>
        <v/>
      </c>
      <c r="CE33" t="str">
        <f t="shared" si="74"/>
        <v/>
      </c>
      <c r="CF33" t="str">
        <f t="shared" si="74"/>
        <v/>
      </c>
      <c r="CG33" t="str">
        <f t="shared" si="74"/>
        <v/>
      </c>
      <c r="CH33" t="str">
        <f t="shared" si="74"/>
        <v/>
      </c>
      <c r="CI33" t="str">
        <f t="shared" si="74"/>
        <v/>
      </c>
      <c r="CJ33" t="str">
        <f t="shared" si="74"/>
        <v/>
      </c>
      <c r="CK33" t="str">
        <f t="shared" si="74"/>
        <v/>
      </c>
      <c r="CL33" t="str">
        <f t="shared" si="74"/>
        <v/>
      </c>
      <c r="CM33" t="str">
        <f t="shared" si="74"/>
        <v/>
      </c>
      <c r="CN33" t="str">
        <f t="shared" si="74"/>
        <v/>
      </c>
      <c r="CO33" t="str">
        <f t="shared" si="74"/>
        <v/>
      </c>
      <c r="CP33" t="str">
        <f t="shared" si="74"/>
        <v/>
      </c>
      <c r="CQ33">
        <f t="shared" si="74"/>
        <v>21</v>
      </c>
      <c r="CR33">
        <f t="shared" si="74"/>
        <v>16</v>
      </c>
      <c r="CS33">
        <f t="shared" si="74"/>
        <v>11</v>
      </c>
      <c r="CT33">
        <f t="shared" si="74"/>
        <v>30.900000000000009</v>
      </c>
      <c r="CU33">
        <f t="shared" si="74"/>
        <v>28.300000000000008</v>
      </c>
      <c r="CV33">
        <f t="shared" si="74"/>
        <v>33.000000000000014</v>
      </c>
      <c r="CW33">
        <f t="shared" si="74"/>
        <v>25.000000000000007</v>
      </c>
      <c r="CX33">
        <f t="shared" si="74"/>
        <v>17</v>
      </c>
      <c r="CY33">
        <f t="shared" si="74"/>
        <v>9</v>
      </c>
      <c r="CZ33">
        <f t="shared" si="74"/>
        <v>1</v>
      </c>
      <c r="DA33">
        <f t="shared" si="74"/>
        <v>22</v>
      </c>
      <c r="DB33">
        <f t="shared" si="74"/>
        <v>18</v>
      </c>
      <c r="DC33">
        <f t="shared" si="74"/>
        <v>14</v>
      </c>
      <c r="DD33">
        <f t="shared" si="74"/>
        <v>10</v>
      </c>
      <c r="DE33">
        <f t="shared" si="74"/>
        <v>24</v>
      </c>
      <c r="DF33">
        <f t="shared" si="74"/>
        <v>22</v>
      </c>
      <c r="DG33">
        <f t="shared" si="74"/>
        <v>32.20000000000001</v>
      </c>
      <c r="DH33">
        <f t="shared" si="74"/>
        <v>30.900000000000009</v>
      </c>
      <c r="DI33">
        <f t="shared" si="74"/>
        <v>29.600000000000009</v>
      </c>
      <c r="DJ33">
        <f t="shared" si="74"/>
        <v>28.300000000000008</v>
      </c>
      <c r="DK33">
        <f t="shared" si="74"/>
        <v>43</v>
      </c>
      <c r="DL33">
        <f t="shared" si="74"/>
        <v>35</v>
      </c>
      <c r="DM33">
        <f t="shared" si="74"/>
        <v>27</v>
      </c>
      <c r="DN33">
        <f t="shared" si="74"/>
        <v>19</v>
      </c>
      <c r="DO33">
        <f t="shared" si="74"/>
        <v>11</v>
      </c>
      <c r="DP33">
        <f t="shared" si="74"/>
        <v>3</v>
      </c>
      <c r="DQ33">
        <f t="shared" si="74"/>
        <v>30.900000000000009</v>
      </c>
      <c r="DR33">
        <f t="shared" si="74"/>
        <v>28.300000000000008</v>
      </c>
      <c r="DS33">
        <f t="shared" si="74"/>
        <v>20</v>
      </c>
      <c r="DT33">
        <f t="shared" si="74"/>
        <v>14</v>
      </c>
      <c r="DU33">
        <f t="shared" si="74"/>
        <v>8</v>
      </c>
      <c r="DV33">
        <f t="shared" si="74"/>
        <v>2</v>
      </c>
      <c r="DW33" t="str">
        <f t="shared" si="74"/>
        <v/>
      </c>
      <c r="DX33" t="str">
        <f t="shared" si="74"/>
        <v/>
      </c>
      <c r="DY33">
        <f t="shared" si="74"/>
        <v>49</v>
      </c>
      <c r="DZ33">
        <f t="shared" si="74"/>
        <v>47</v>
      </c>
      <c r="EA33">
        <f t="shared" si="74"/>
        <v>45</v>
      </c>
      <c r="EB33">
        <f t="shared" ref="EB33:EO33" si="75">IF(OR(EB32=-1,AND(IF(EB$3&lt;$B33,EB32+EB$6,IF(EB$3=$B33,1,""))&gt;$B$1,EB$3&lt;$B33)),-1,IF(EB$3&lt;$B33,EB32+EB$6,IF(EB$3=$B33,1,"")))</f>
        <v>43</v>
      </c>
      <c r="EC33">
        <f t="shared" si="75"/>
        <v>41</v>
      </c>
      <c r="ED33">
        <f t="shared" si="75"/>
        <v>39</v>
      </c>
      <c r="EE33">
        <f t="shared" si="75"/>
        <v>33.000000000000014</v>
      </c>
      <c r="EF33">
        <f t="shared" si="75"/>
        <v>25.000000000000007</v>
      </c>
      <c r="EG33">
        <f t="shared" si="75"/>
        <v>17</v>
      </c>
      <c r="EH33">
        <f t="shared" si="75"/>
        <v>9</v>
      </c>
      <c r="EI33">
        <f t="shared" si="75"/>
        <v>1</v>
      </c>
      <c r="EJ33" t="str">
        <f t="shared" si="75"/>
        <v/>
      </c>
      <c r="EK33">
        <f t="shared" si="75"/>
        <v>37.800000000000018</v>
      </c>
      <c r="EL33">
        <f t="shared" si="75"/>
        <v>29.800000000000011</v>
      </c>
      <c r="EM33">
        <f t="shared" si="75"/>
        <v>18.600000000000001</v>
      </c>
      <c r="EN33">
        <f t="shared" si="75"/>
        <v>7.4</v>
      </c>
      <c r="EO33" t="str">
        <f t="shared" si="75"/>
        <v/>
      </c>
    </row>
    <row r="34" spans="1:145" x14ac:dyDescent="0.15">
      <c r="A34" t="e">
        <f t="shared" si="0"/>
        <v>#N/A</v>
      </c>
      <c r="B34" s="218">
        <v>26</v>
      </c>
      <c r="C34">
        <f t="shared" si="0"/>
        <v>25</v>
      </c>
      <c r="D34">
        <f t="shared" ref="D34:BO34" si="76">IF(OR(D33=-1,AND(IF(D$3&lt;$B34,D33+D$6,IF(D$3=$B34,1,""))&gt;$B$1,D$3&lt;$B34)),-1,IF(D$3&lt;$B34,D33+D$6,IF(D$3=$B34,1,"")))</f>
        <v>23</v>
      </c>
      <c r="E34">
        <f t="shared" si="76"/>
        <v>21</v>
      </c>
      <c r="F34">
        <f t="shared" si="76"/>
        <v>19</v>
      </c>
      <c r="G34">
        <f t="shared" si="76"/>
        <v>17</v>
      </c>
      <c r="H34">
        <f t="shared" si="76"/>
        <v>15</v>
      </c>
      <c r="I34">
        <f t="shared" si="76"/>
        <v>23.100000000000005</v>
      </c>
      <c r="J34">
        <f t="shared" si="76"/>
        <v>11.4</v>
      </c>
      <c r="K34" t="str">
        <f t="shared" si="76"/>
        <v/>
      </c>
      <c r="L34">
        <f t="shared" si="76"/>
        <v>15.699999999999992</v>
      </c>
      <c r="M34">
        <f t="shared" si="76"/>
        <v>12.199999999999996</v>
      </c>
      <c r="N34">
        <f t="shared" si="76"/>
        <v>8.6999999999999993</v>
      </c>
      <c r="O34">
        <f t="shared" si="76"/>
        <v>25</v>
      </c>
      <c r="P34">
        <f t="shared" si="76"/>
        <v>23</v>
      </c>
      <c r="Q34">
        <f t="shared" si="76"/>
        <v>21</v>
      </c>
      <c r="R34">
        <f t="shared" si="76"/>
        <v>19</v>
      </c>
      <c r="S34">
        <f t="shared" si="76"/>
        <v>17</v>
      </c>
      <c r="T34">
        <f t="shared" si="76"/>
        <v>45</v>
      </c>
      <c r="U34">
        <f t="shared" si="76"/>
        <v>37</v>
      </c>
      <c r="V34">
        <f t="shared" si="76"/>
        <v>29</v>
      </c>
      <c r="W34">
        <f t="shared" si="76"/>
        <v>44.199999999999989</v>
      </c>
      <c r="X34">
        <f t="shared" si="76"/>
        <v>40.599999999999994</v>
      </c>
      <c r="Y34">
        <f t="shared" si="76"/>
        <v>37</v>
      </c>
      <c r="Z34">
        <f t="shared" si="76"/>
        <v>24</v>
      </c>
      <c r="AA34">
        <f t="shared" si="76"/>
        <v>21</v>
      </c>
      <c r="AB34">
        <f t="shared" si="76"/>
        <v>18</v>
      </c>
      <c r="AC34">
        <f t="shared" si="76"/>
        <v>37</v>
      </c>
      <c r="AD34">
        <f t="shared" si="76"/>
        <v>26.200000000000006</v>
      </c>
      <c r="AE34">
        <f t="shared" si="76"/>
        <v>15.400000000000002</v>
      </c>
      <c r="AF34">
        <f t="shared" si="76"/>
        <v>4.5999999999999996</v>
      </c>
      <c r="AG34" t="str">
        <f t="shared" si="76"/>
        <v/>
      </c>
      <c r="AH34" t="str">
        <f t="shared" si="76"/>
        <v/>
      </c>
      <c r="AI34">
        <f t="shared" si="76"/>
        <v>14.199999999999994</v>
      </c>
      <c r="AJ34">
        <f t="shared" si="76"/>
        <v>11.799999999999995</v>
      </c>
      <c r="AK34">
        <f t="shared" si="76"/>
        <v>9.3999999999999968</v>
      </c>
      <c r="AL34">
        <f t="shared" si="76"/>
        <v>6.9999999999999982</v>
      </c>
      <c r="AM34">
        <f t="shared" si="76"/>
        <v>21</v>
      </c>
      <c r="AN34">
        <f t="shared" si="76"/>
        <v>15</v>
      </c>
      <c r="AO34">
        <f t="shared" si="76"/>
        <v>9</v>
      </c>
      <c r="AP34">
        <f t="shared" si="76"/>
        <v>30.900000000000009</v>
      </c>
      <c r="AQ34">
        <f t="shared" si="76"/>
        <v>27.000000000000007</v>
      </c>
      <c r="AR34">
        <f t="shared" si="76"/>
        <v>23.100000000000005</v>
      </c>
      <c r="AS34">
        <f t="shared" si="76"/>
        <v>19.200000000000003</v>
      </c>
      <c r="AT34">
        <f t="shared" si="76"/>
        <v>15.300000000000002</v>
      </c>
      <c r="AU34">
        <f t="shared" si="76"/>
        <v>11.4</v>
      </c>
      <c r="AV34">
        <f t="shared" si="76"/>
        <v>7.4999999999999991</v>
      </c>
      <c r="AW34">
        <f t="shared" si="76"/>
        <v>21</v>
      </c>
      <c r="AX34">
        <f t="shared" si="76"/>
        <v>15</v>
      </c>
      <c r="AY34">
        <f t="shared" si="76"/>
        <v>43</v>
      </c>
      <c r="AZ34">
        <f t="shared" si="76"/>
        <v>33</v>
      </c>
      <c r="BA34">
        <f t="shared" si="76"/>
        <v>47</v>
      </c>
      <c r="BB34">
        <f t="shared" si="76"/>
        <v>41</v>
      </c>
      <c r="BC34">
        <f t="shared" si="76"/>
        <v>35</v>
      </c>
      <c r="BD34">
        <f t="shared" si="76"/>
        <v>33.500000000000007</v>
      </c>
      <c r="BE34">
        <f t="shared" si="76"/>
        <v>45</v>
      </c>
      <c r="BF34">
        <f t="shared" si="76"/>
        <v>37</v>
      </c>
      <c r="BG34">
        <f t="shared" si="76"/>
        <v>29</v>
      </c>
      <c r="BH34">
        <f t="shared" si="76"/>
        <v>21</v>
      </c>
      <c r="BI34">
        <f t="shared" si="76"/>
        <v>22</v>
      </c>
      <c r="BJ34">
        <f t="shared" si="76"/>
        <v>17</v>
      </c>
      <c r="BK34">
        <f t="shared" si="76"/>
        <v>12</v>
      </c>
      <c r="BL34">
        <f t="shared" si="76"/>
        <v>7</v>
      </c>
      <c r="BM34">
        <f t="shared" si="76"/>
        <v>21</v>
      </c>
      <c r="BN34">
        <f t="shared" si="76"/>
        <v>32.20000000000001</v>
      </c>
      <c r="BO34">
        <f t="shared" si="76"/>
        <v>29.600000000000009</v>
      </c>
      <c r="BP34">
        <f t="shared" ref="BP34:EA34" si="77">IF(OR(BP33=-1,AND(IF(BP$3&lt;$B34,BP33+BP$6,IF(BP$3=$B34,1,""))&gt;$B$1,BP$3&lt;$B34)),-1,IF(BP$3&lt;$B34,BP33+BP$6,IF(BP$3=$B34,1,"")))</f>
        <v>47</v>
      </c>
      <c r="BQ34">
        <f t="shared" si="77"/>
        <v>41</v>
      </c>
      <c r="BR34">
        <f t="shared" si="77"/>
        <v>35</v>
      </c>
      <c r="BS34">
        <f t="shared" si="77"/>
        <v>25</v>
      </c>
      <c r="BT34">
        <f t="shared" si="77"/>
        <v>23</v>
      </c>
      <c r="BU34">
        <f t="shared" si="77"/>
        <v>12.999999999999995</v>
      </c>
      <c r="BV34">
        <f t="shared" si="77"/>
        <v>9.3999999999999968</v>
      </c>
      <c r="BW34">
        <f t="shared" si="77"/>
        <v>5.7999999999999989</v>
      </c>
      <c r="BX34">
        <f t="shared" si="77"/>
        <v>2.2000000000000002</v>
      </c>
      <c r="BY34" t="str">
        <f t="shared" si="77"/>
        <v/>
      </c>
      <c r="BZ34" t="str">
        <f t="shared" si="77"/>
        <v/>
      </c>
      <c r="CA34" t="str">
        <f t="shared" si="77"/>
        <v/>
      </c>
      <c r="CB34" t="str">
        <f t="shared" si="77"/>
        <v/>
      </c>
      <c r="CC34" t="str">
        <f t="shared" si="77"/>
        <v/>
      </c>
      <c r="CD34" t="str">
        <f t="shared" si="77"/>
        <v/>
      </c>
      <c r="CE34" t="str">
        <f t="shared" si="77"/>
        <v/>
      </c>
      <c r="CF34" t="str">
        <f t="shared" si="77"/>
        <v/>
      </c>
      <c r="CG34" t="str">
        <f t="shared" si="77"/>
        <v/>
      </c>
      <c r="CH34" t="str">
        <f t="shared" si="77"/>
        <v/>
      </c>
      <c r="CI34" t="str">
        <f t="shared" si="77"/>
        <v/>
      </c>
      <c r="CJ34" t="str">
        <f t="shared" si="77"/>
        <v/>
      </c>
      <c r="CK34" t="str">
        <f t="shared" si="77"/>
        <v/>
      </c>
      <c r="CL34" t="str">
        <f t="shared" si="77"/>
        <v/>
      </c>
      <c r="CM34" t="str">
        <f t="shared" si="77"/>
        <v/>
      </c>
      <c r="CN34" t="str">
        <f t="shared" si="77"/>
        <v/>
      </c>
      <c r="CO34">
        <f t="shared" si="77"/>
        <v>1</v>
      </c>
      <c r="CP34" t="str">
        <f t="shared" si="77"/>
        <v/>
      </c>
      <c r="CQ34">
        <f t="shared" si="77"/>
        <v>22</v>
      </c>
      <c r="CR34">
        <f t="shared" si="77"/>
        <v>17</v>
      </c>
      <c r="CS34">
        <f t="shared" si="77"/>
        <v>12</v>
      </c>
      <c r="CT34">
        <f t="shared" si="77"/>
        <v>32.20000000000001</v>
      </c>
      <c r="CU34">
        <f t="shared" si="77"/>
        <v>29.600000000000009</v>
      </c>
      <c r="CV34">
        <f t="shared" si="77"/>
        <v>34.600000000000016</v>
      </c>
      <c r="CW34">
        <f t="shared" si="77"/>
        <v>26.600000000000009</v>
      </c>
      <c r="CX34">
        <f t="shared" si="77"/>
        <v>18.600000000000001</v>
      </c>
      <c r="CY34">
        <f t="shared" si="77"/>
        <v>10.6</v>
      </c>
      <c r="CZ34">
        <f t="shared" si="77"/>
        <v>2.6</v>
      </c>
      <c r="DA34">
        <f t="shared" si="77"/>
        <v>23</v>
      </c>
      <c r="DB34">
        <f t="shared" si="77"/>
        <v>19</v>
      </c>
      <c r="DC34">
        <f t="shared" si="77"/>
        <v>15</v>
      </c>
      <c r="DD34">
        <f t="shared" si="77"/>
        <v>11</v>
      </c>
      <c r="DE34">
        <f t="shared" si="77"/>
        <v>25</v>
      </c>
      <c r="DF34">
        <f t="shared" si="77"/>
        <v>23</v>
      </c>
      <c r="DG34">
        <f t="shared" si="77"/>
        <v>33.500000000000007</v>
      </c>
      <c r="DH34">
        <f t="shared" si="77"/>
        <v>32.20000000000001</v>
      </c>
      <c r="DI34">
        <f t="shared" si="77"/>
        <v>30.900000000000009</v>
      </c>
      <c r="DJ34">
        <f t="shared" si="77"/>
        <v>29.600000000000009</v>
      </c>
      <c r="DK34">
        <f t="shared" si="77"/>
        <v>45</v>
      </c>
      <c r="DL34">
        <f t="shared" si="77"/>
        <v>37</v>
      </c>
      <c r="DM34">
        <f t="shared" si="77"/>
        <v>29</v>
      </c>
      <c r="DN34">
        <f t="shared" si="77"/>
        <v>21</v>
      </c>
      <c r="DO34">
        <f t="shared" si="77"/>
        <v>13</v>
      </c>
      <c r="DP34">
        <f t="shared" si="77"/>
        <v>5</v>
      </c>
      <c r="DQ34">
        <f t="shared" si="77"/>
        <v>32.20000000000001</v>
      </c>
      <c r="DR34">
        <f t="shared" si="77"/>
        <v>29.600000000000009</v>
      </c>
      <c r="DS34">
        <f t="shared" si="77"/>
        <v>21</v>
      </c>
      <c r="DT34">
        <f t="shared" si="77"/>
        <v>15</v>
      </c>
      <c r="DU34">
        <f t="shared" si="77"/>
        <v>9</v>
      </c>
      <c r="DV34">
        <f t="shared" si="77"/>
        <v>3</v>
      </c>
      <c r="DW34" t="str">
        <f t="shared" si="77"/>
        <v/>
      </c>
      <c r="DX34" t="str">
        <f t="shared" si="77"/>
        <v/>
      </c>
      <c r="DY34">
        <f t="shared" si="77"/>
        <v>51</v>
      </c>
      <c r="DZ34">
        <f t="shared" si="77"/>
        <v>49</v>
      </c>
      <c r="EA34">
        <f t="shared" si="77"/>
        <v>47</v>
      </c>
      <c r="EB34">
        <f t="shared" ref="EB34:EO34" si="78">IF(OR(EB33=-1,AND(IF(EB$3&lt;$B34,EB33+EB$6,IF(EB$3=$B34,1,""))&gt;$B$1,EB$3&lt;$B34)),-1,IF(EB$3&lt;$B34,EB33+EB$6,IF(EB$3=$B34,1,"")))</f>
        <v>45</v>
      </c>
      <c r="EC34">
        <f t="shared" si="78"/>
        <v>43</v>
      </c>
      <c r="ED34">
        <f t="shared" si="78"/>
        <v>41</v>
      </c>
      <c r="EE34">
        <f t="shared" si="78"/>
        <v>34.600000000000016</v>
      </c>
      <c r="EF34">
        <f t="shared" si="78"/>
        <v>26.600000000000009</v>
      </c>
      <c r="EG34">
        <f t="shared" si="78"/>
        <v>18.600000000000001</v>
      </c>
      <c r="EH34">
        <f t="shared" si="78"/>
        <v>10.6</v>
      </c>
      <c r="EI34">
        <f t="shared" si="78"/>
        <v>2.6</v>
      </c>
      <c r="EJ34" t="str">
        <f t="shared" si="78"/>
        <v/>
      </c>
      <c r="EK34">
        <f t="shared" si="78"/>
        <v>39.40000000000002</v>
      </c>
      <c r="EL34">
        <f t="shared" si="78"/>
        <v>31.400000000000013</v>
      </c>
      <c r="EM34">
        <f t="shared" si="78"/>
        <v>20.200000000000003</v>
      </c>
      <c r="EN34">
        <f t="shared" si="78"/>
        <v>9</v>
      </c>
      <c r="EO34" t="str">
        <f t="shared" si="78"/>
        <v/>
      </c>
    </row>
    <row r="35" spans="1:145" x14ac:dyDescent="0.15">
      <c r="A35" t="e">
        <f t="shared" si="0"/>
        <v>#N/A</v>
      </c>
      <c r="B35" s="218">
        <v>27</v>
      </c>
      <c r="C35">
        <f t="shared" si="0"/>
        <v>26</v>
      </c>
      <c r="D35">
        <f t="shared" ref="D35:BO35" si="79">IF(OR(D34=-1,AND(IF(D$3&lt;$B35,D34+D$6,IF(D$3=$B35,1,""))&gt;$B$1,D$3&lt;$B35)),-1,IF(D$3&lt;$B35,D34+D$6,IF(D$3=$B35,1,"")))</f>
        <v>24</v>
      </c>
      <c r="E35">
        <f t="shared" si="79"/>
        <v>22</v>
      </c>
      <c r="F35">
        <f t="shared" si="79"/>
        <v>20</v>
      </c>
      <c r="G35">
        <f t="shared" si="79"/>
        <v>18</v>
      </c>
      <c r="H35">
        <f t="shared" si="79"/>
        <v>16</v>
      </c>
      <c r="I35">
        <f t="shared" si="79"/>
        <v>24.400000000000006</v>
      </c>
      <c r="J35">
        <f t="shared" si="79"/>
        <v>12.700000000000001</v>
      </c>
      <c r="K35">
        <f t="shared" si="79"/>
        <v>1</v>
      </c>
      <c r="L35">
        <f t="shared" si="79"/>
        <v>16.399999999999991</v>
      </c>
      <c r="M35">
        <f t="shared" si="79"/>
        <v>12.899999999999995</v>
      </c>
      <c r="N35">
        <f t="shared" si="79"/>
        <v>9.3999999999999986</v>
      </c>
      <c r="O35">
        <f t="shared" si="79"/>
        <v>26</v>
      </c>
      <c r="P35">
        <f t="shared" si="79"/>
        <v>24</v>
      </c>
      <c r="Q35">
        <f t="shared" si="79"/>
        <v>22</v>
      </c>
      <c r="R35">
        <f t="shared" si="79"/>
        <v>20</v>
      </c>
      <c r="S35">
        <f t="shared" si="79"/>
        <v>18</v>
      </c>
      <c r="T35">
        <f t="shared" si="79"/>
        <v>47</v>
      </c>
      <c r="U35">
        <f t="shared" si="79"/>
        <v>39</v>
      </c>
      <c r="V35">
        <f t="shared" si="79"/>
        <v>31</v>
      </c>
      <c r="W35">
        <f t="shared" si="79"/>
        <v>45.999999999999986</v>
      </c>
      <c r="X35">
        <f t="shared" si="79"/>
        <v>42.399999999999991</v>
      </c>
      <c r="Y35">
        <f t="shared" si="79"/>
        <v>38.799999999999997</v>
      </c>
      <c r="Z35">
        <f t="shared" si="79"/>
        <v>25</v>
      </c>
      <c r="AA35">
        <f t="shared" si="79"/>
        <v>22</v>
      </c>
      <c r="AB35">
        <f t="shared" si="79"/>
        <v>19</v>
      </c>
      <c r="AC35">
        <f t="shared" si="79"/>
        <v>38.799999999999997</v>
      </c>
      <c r="AD35">
        <f t="shared" si="79"/>
        <v>28.000000000000007</v>
      </c>
      <c r="AE35">
        <f t="shared" si="79"/>
        <v>17.200000000000003</v>
      </c>
      <c r="AF35">
        <f t="shared" si="79"/>
        <v>6.3999999999999995</v>
      </c>
      <c r="AG35" t="str">
        <f t="shared" si="79"/>
        <v/>
      </c>
      <c r="AH35" t="str">
        <f t="shared" si="79"/>
        <v/>
      </c>
      <c r="AI35">
        <f t="shared" si="79"/>
        <v>14.799999999999994</v>
      </c>
      <c r="AJ35">
        <f t="shared" si="79"/>
        <v>12.399999999999995</v>
      </c>
      <c r="AK35">
        <f t="shared" si="79"/>
        <v>9.9999999999999964</v>
      </c>
      <c r="AL35">
        <f t="shared" si="79"/>
        <v>7.5999999999999979</v>
      </c>
      <c r="AM35">
        <f t="shared" si="79"/>
        <v>22</v>
      </c>
      <c r="AN35">
        <f t="shared" si="79"/>
        <v>16</v>
      </c>
      <c r="AO35">
        <f t="shared" si="79"/>
        <v>10</v>
      </c>
      <c r="AP35">
        <f t="shared" si="79"/>
        <v>32.20000000000001</v>
      </c>
      <c r="AQ35">
        <f t="shared" si="79"/>
        <v>28.300000000000008</v>
      </c>
      <c r="AR35">
        <f t="shared" si="79"/>
        <v>24.400000000000006</v>
      </c>
      <c r="AS35">
        <f t="shared" si="79"/>
        <v>20.500000000000004</v>
      </c>
      <c r="AT35">
        <f t="shared" si="79"/>
        <v>16.600000000000001</v>
      </c>
      <c r="AU35">
        <f t="shared" si="79"/>
        <v>12.700000000000001</v>
      </c>
      <c r="AV35">
        <f t="shared" si="79"/>
        <v>8.7999999999999989</v>
      </c>
      <c r="AW35">
        <f t="shared" si="79"/>
        <v>22</v>
      </c>
      <c r="AX35">
        <f t="shared" si="79"/>
        <v>16</v>
      </c>
      <c r="AY35">
        <f t="shared" si="79"/>
        <v>45</v>
      </c>
      <c r="AZ35">
        <f t="shared" si="79"/>
        <v>35</v>
      </c>
      <c r="BA35">
        <f t="shared" si="79"/>
        <v>49</v>
      </c>
      <c r="BB35">
        <f t="shared" si="79"/>
        <v>43</v>
      </c>
      <c r="BC35">
        <f t="shared" si="79"/>
        <v>37</v>
      </c>
      <c r="BD35">
        <f t="shared" si="79"/>
        <v>34.800000000000004</v>
      </c>
      <c r="BE35">
        <f t="shared" si="79"/>
        <v>47</v>
      </c>
      <c r="BF35">
        <f t="shared" si="79"/>
        <v>39</v>
      </c>
      <c r="BG35">
        <f t="shared" si="79"/>
        <v>31</v>
      </c>
      <c r="BH35">
        <f t="shared" si="79"/>
        <v>23</v>
      </c>
      <c r="BI35">
        <f t="shared" si="79"/>
        <v>23</v>
      </c>
      <c r="BJ35">
        <f t="shared" si="79"/>
        <v>18</v>
      </c>
      <c r="BK35">
        <f t="shared" si="79"/>
        <v>13</v>
      </c>
      <c r="BL35">
        <f t="shared" si="79"/>
        <v>8</v>
      </c>
      <c r="BM35">
        <f t="shared" si="79"/>
        <v>22</v>
      </c>
      <c r="BN35">
        <f t="shared" si="79"/>
        <v>33.500000000000007</v>
      </c>
      <c r="BO35">
        <f t="shared" si="79"/>
        <v>30.900000000000009</v>
      </c>
      <c r="BP35">
        <f t="shared" ref="BP35:EA35" si="80">IF(OR(BP34=-1,AND(IF(BP$3&lt;$B35,BP34+BP$6,IF(BP$3=$B35,1,""))&gt;$B$1,BP$3&lt;$B35)),-1,IF(BP$3&lt;$B35,BP34+BP$6,IF(BP$3=$B35,1,"")))</f>
        <v>49</v>
      </c>
      <c r="BQ35">
        <f t="shared" si="80"/>
        <v>43</v>
      </c>
      <c r="BR35">
        <f t="shared" si="80"/>
        <v>37</v>
      </c>
      <c r="BS35">
        <f t="shared" si="80"/>
        <v>26</v>
      </c>
      <c r="BT35">
        <f t="shared" si="80"/>
        <v>24</v>
      </c>
      <c r="BU35">
        <f t="shared" si="80"/>
        <v>13.599999999999994</v>
      </c>
      <c r="BV35">
        <f t="shared" si="80"/>
        <v>9.9999999999999964</v>
      </c>
      <c r="BW35">
        <f t="shared" si="80"/>
        <v>6.3999999999999986</v>
      </c>
      <c r="BX35">
        <f t="shared" si="80"/>
        <v>2.8000000000000003</v>
      </c>
      <c r="BY35" t="str">
        <f t="shared" si="80"/>
        <v/>
      </c>
      <c r="BZ35" t="str">
        <f t="shared" si="80"/>
        <v/>
      </c>
      <c r="CA35" t="str">
        <f t="shared" si="80"/>
        <v/>
      </c>
      <c r="CB35" t="str">
        <f t="shared" si="80"/>
        <v/>
      </c>
      <c r="CC35" t="str">
        <f t="shared" si="80"/>
        <v/>
      </c>
      <c r="CD35" t="str">
        <f t="shared" si="80"/>
        <v/>
      </c>
      <c r="CE35" t="str">
        <f t="shared" si="80"/>
        <v/>
      </c>
      <c r="CF35" t="str">
        <f t="shared" si="80"/>
        <v/>
      </c>
      <c r="CG35" t="str">
        <f t="shared" si="80"/>
        <v/>
      </c>
      <c r="CH35" t="str">
        <f t="shared" si="80"/>
        <v/>
      </c>
      <c r="CI35" t="str">
        <f t="shared" si="80"/>
        <v/>
      </c>
      <c r="CJ35" t="str">
        <f t="shared" si="80"/>
        <v/>
      </c>
      <c r="CK35" t="str">
        <f t="shared" si="80"/>
        <v/>
      </c>
      <c r="CL35" t="str">
        <f t="shared" si="80"/>
        <v/>
      </c>
      <c r="CM35" t="str">
        <f t="shared" si="80"/>
        <v/>
      </c>
      <c r="CN35" t="str">
        <f t="shared" si="80"/>
        <v/>
      </c>
      <c r="CO35">
        <f t="shared" si="80"/>
        <v>1.5</v>
      </c>
      <c r="CP35" t="str">
        <f t="shared" si="80"/>
        <v/>
      </c>
      <c r="CQ35">
        <f t="shared" si="80"/>
        <v>23</v>
      </c>
      <c r="CR35">
        <f t="shared" si="80"/>
        <v>18</v>
      </c>
      <c r="CS35">
        <f t="shared" si="80"/>
        <v>13</v>
      </c>
      <c r="CT35">
        <f t="shared" si="80"/>
        <v>33.500000000000007</v>
      </c>
      <c r="CU35">
        <f t="shared" si="80"/>
        <v>30.900000000000009</v>
      </c>
      <c r="CV35">
        <f t="shared" si="80"/>
        <v>36.200000000000017</v>
      </c>
      <c r="CW35">
        <f t="shared" si="80"/>
        <v>28.20000000000001</v>
      </c>
      <c r="CX35">
        <f t="shared" si="80"/>
        <v>20.200000000000003</v>
      </c>
      <c r="CY35">
        <f t="shared" si="80"/>
        <v>12.2</v>
      </c>
      <c r="CZ35">
        <f t="shared" si="80"/>
        <v>4.2</v>
      </c>
      <c r="DA35">
        <f t="shared" si="80"/>
        <v>24</v>
      </c>
      <c r="DB35">
        <f t="shared" si="80"/>
        <v>20</v>
      </c>
      <c r="DC35">
        <f t="shared" si="80"/>
        <v>16</v>
      </c>
      <c r="DD35">
        <f t="shared" si="80"/>
        <v>12</v>
      </c>
      <c r="DE35">
        <f t="shared" si="80"/>
        <v>26</v>
      </c>
      <c r="DF35">
        <f t="shared" si="80"/>
        <v>24</v>
      </c>
      <c r="DG35">
        <f t="shared" si="80"/>
        <v>34.800000000000004</v>
      </c>
      <c r="DH35">
        <f t="shared" si="80"/>
        <v>33.500000000000007</v>
      </c>
      <c r="DI35">
        <f t="shared" si="80"/>
        <v>32.20000000000001</v>
      </c>
      <c r="DJ35">
        <f t="shared" si="80"/>
        <v>30.900000000000009</v>
      </c>
      <c r="DK35">
        <f t="shared" si="80"/>
        <v>47</v>
      </c>
      <c r="DL35">
        <f t="shared" si="80"/>
        <v>39</v>
      </c>
      <c r="DM35">
        <f t="shared" si="80"/>
        <v>31</v>
      </c>
      <c r="DN35">
        <f t="shared" si="80"/>
        <v>23</v>
      </c>
      <c r="DO35">
        <f t="shared" si="80"/>
        <v>15</v>
      </c>
      <c r="DP35">
        <f t="shared" si="80"/>
        <v>7</v>
      </c>
      <c r="DQ35">
        <f t="shared" si="80"/>
        <v>33.500000000000007</v>
      </c>
      <c r="DR35">
        <f t="shared" si="80"/>
        <v>30.900000000000009</v>
      </c>
      <c r="DS35">
        <f t="shared" si="80"/>
        <v>22</v>
      </c>
      <c r="DT35">
        <f t="shared" si="80"/>
        <v>16</v>
      </c>
      <c r="DU35">
        <f t="shared" si="80"/>
        <v>10</v>
      </c>
      <c r="DV35">
        <f t="shared" si="80"/>
        <v>4</v>
      </c>
      <c r="DW35" t="str">
        <f t="shared" si="80"/>
        <v/>
      </c>
      <c r="DX35" t="str">
        <f t="shared" si="80"/>
        <v/>
      </c>
      <c r="DY35">
        <f t="shared" si="80"/>
        <v>53</v>
      </c>
      <c r="DZ35">
        <f t="shared" si="80"/>
        <v>51</v>
      </c>
      <c r="EA35">
        <f t="shared" si="80"/>
        <v>49</v>
      </c>
      <c r="EB35">
        <f t="shared" ref="EB35:EO35" si="81">IF(OR(EB34=-1,AND(IF(EB$3&lt;$B35,EB34+EB$6,IF(EB$3=$B35,1,""))&gt;$B$1,EB$3&lt;$B35)),-1,IF(EB$3&lt;$B35,EB34+EB$6,IF(EB$3=$B35,1,"")))</f>
        <v>47</v>
      </c>
      <c r="EC35">
        <f t="shared" si="81"/>
        <v>45</v>
      </c>
      <c r="ED35">
        <f t="shared" si="81"/>
        <v>43</v>
      </c>
      <c r="EE35">
        <f t="shared" si="81"/>
        <v>36.200000000000017</v>
      </c>
      <c r="EF35">
        <f t="shared" si="81"/>
        <v>28.20000000000001</v>
      </c>
      <c r="EG35">
        <f t="shared" si="81"/>
        <v>20.200000000000003</v>
      </c>
      <c r="EH35">
        <f t="shared" si="81"/>
        <v>12.2</v>
      </c>
      <c r="EI35">
        <f t="shared" si="81"/>
        <v>4.2</v>
      </c>
      <c r="EJ35" t="str">
        <f t="shared" si="81"/>
        <v/>
      </c>
      <c r="EK35">
        <f t="shared" si="81"/>
        <v>41.000000000000021</v>
      </c>
      <c r="EL35">
        <f t="shared" si="81"/>
        <v>33.000000000000014</v>
      </c>
      <c r="EM35">
        <f t="shared" si="81"/>
        <v>21.800000000000004</v>
      </c>
      <c r="EN35">
        <f t="shared" si="81"/>
        <v>10.6</v>
      </c>
      <c r="EO35" t="str">
        <f t="shared" si="81"/>
        <v/>
      </c>
    </row>
    <row r="36" spans="1:145" x14ac:dyDescent="0.15">
      <c r="A36" t="e">
        <f t="shared" si="0"/>
        <v>#N/A</v>
      </c>
      <c r="B36" s="218">
        <v>28</v>
      </c>
      <c r="C36">
        <f t="shared" si="0"/>
        <v>27</v>
      </c>
      <c r="D36">
        <f t="shared" ref="D36:BO36" si="82">IF(OR(D35=-1,AND(IF(D$3&lt;$B36,D35+D$6,IF(D$3=$B36,1,""))&gt;$B$1,D$3&lt;$B36)),-1,IF(D$3&lt;$B36,D35+D$6,IF(D$3=$B36,1,"")))</f>
        <v>25</v>
      </c>
      <c r="E36">
        <f t="shared" si="82"/>
        <v>23</v>
      </c>
      <c r="F36">
        <f t="shared" si="82"/>
        <v>21</v>
      </c>
      <c r="G36">
        <f t="shared" si="82"/>
        <v>19</v>
      </c>
      <c r="H36">
        <f t="shared" si="82"/>
        <v>17</v>
      </c>
      <c r="I36">
        <f t="shared" si="82"/>
        <v>25.700000000000006</v>
      </c>
      <c r="J36">
        <f t="shared" si="82"/>
        <v>14.000000000000002</v>
      </c>
      <c r="K36">
        <f t="shared" si="82"/>
        <v>2.2999999999999998</v>
      </c>
      <c r="L36">
        <f t="shared" si="82"/>
        <v>17.099999999999991</v>
      </c>
      <c r="M36">
        <f t="shared" si="82"/>
        <v>13.599999999999994</v>
      </c>
      <c r="N36">
        <f t="shared" si="82"/>
        <v>10.099999999999998</v>
      </c>
      <c r="O36">
        <f t="shared" si="82"/>
        <v>27</v>
      </c>
      <c r="P36">
        <f t="shared" si="82"/>
        <v>25</v>
      </c>
      <c r="Q36">
        <f t="shared" si="82"/>
        <v>23</v>
      </c>
      <c r="R36">
        <f t="shared" si="82"/>
        <v>21</v>
      </c>
      <c r="S36">
        <f t="shared" si="82"/>
        <v>19</v>
      </c>
      <c r="T36">
        <f t="shared" si="82"/>
        <v>49</v>
      </c>
      <c r="U36">
        <f t="shared" si="82"/>
        <v>41</v>
      </c>
      <c r="V36">
        <f t="shared" si="82"/>
        <v>33</v>
      </c>
      <c r="W36">
        <f t="shared" si="82"/>
        <v>47.799999999999983</v>
      </c>
      <c r="X36">
        <f t="shared" si="82"/>
        <v>44.199999999999989</v>
      </c>
      <c r="Y36">
        <f t="shared" si="82"/>
        <v>40.599999999999994</v>
      </c>
      <c r="Z36">
        <f t="shared" si="82"/>
        <v>26</v>
      </c>
      <c r="AA36">
        <f t="shared" si="82"/>
        <v>23</v>
      </c>
      <c r="AB36">
        <f t="shared" si="82"/>
        <v>20</v>
      </c>
      <c r="AC36">
        <f t="shared" si="82"/>
        <v>40.599999999999994</v>
      </c>
      <c r="AD36">
        <f t="shared" si="82"/>
        <v>29.800000000000008</v>
      </c>
      <c r="AE36">
        <f t="shared" si="82"/>
        <v>19.000000000000004</v>
      </c>
      <c r="AF36">
        <f t="shared" si="82"/>
        <v>8.1999999999999993</v>
      </c>
      <c r="AG36" t="str">
        <f t="shared" si="82"/>
        <v/>
      </c>
      <c r="AH36" t="str">
        <f t="shared" si="82"/>
        <v/>
      </c>
      <c r="AI36">
        <f t="shared" si="82"/>
        <v>15.399999999999993</v>
      </c>
      <c r="AJ36">
        <f t="shared" si="82"/>
        <v>12.999999999999995</v>
      </c>
      <c r="AK36">
        <f t="shared" si="82"/>
        <v>10.599999999999996</v>
      </c>
      <c r="AL36">
        <f t="shared" si="82"/>
        <v>8.1999999999999975</v>
      </c>
      <c r="AM36">
        <f t="shared" si="82"/>
        <v>23</v>
      </c>
      <c r="AN36">
        <f t="shared" si="82"/>
        <v>17</v>
      </c>
      <c r="AO36">
        <f t="shared" si="82"/>
        <v>11</v>
      </c>
      <c r="AP36">
        <f t="shared" si="82"/>
        <v>33.500000000000007</v>
      </c>
      <c r="AQ36">
        <f t="shared" si="82"/>
        <v>29.600000000000009</v>
      </c>
      <c r="AR36">
        <f t="shared" si="82"/>
        <v>25.700000000000006</v>
      </c>
      <c r="AS36">
        <f t="shared" si="82"/>
        <v>21.800000000000004</v>
      </c>
      <c r="AT36">
        <f t="shared" si="82"/>
        <v>17.900000000000002</v>
      </c>
      <c r="AU36">
        <f t="shared" si="82"/>
        <v>14.000000000000002</v>
      </c>
      <c r="AV36">
        <f t="shared" si="82"/>
        <v>10.1</v>
      </c>
      <c r="AW36">
        <f t="shared" si="82"/>
        <v>23</v>
      </c>
      <c r="AX36">
        <f t="shared" si="82"/>
        <v>17</v>
      </c>
      <c r="AY36">
        <f t="shared" si="82"/>
        <v>47</v>
      </c>
      <c r="AZ36">
        <f t="shared" si="82"/>
        <v>37</v>
      </c>
      <c r="BA36">
        <f t="shared" si="82"/>
        <v>51</v>
      </c>
      <c r="BB36">
        <f t="shared" si="82"/>
        <v>45</v>
      </c>
      <c r="BC36">
        <f t="shared" si="82"/>
        <v>39</v>
      </c>
      <c r="BD36">
        <f t="shared" si="82"/>
        <v>36.1</v>
      </c>
      <c r="BE36">
        <f t="shared" si="82"/>
        <v>49</v>
      </c>
      <c r="BF36">
        <f t="shared" si="82"/>
        <v>41</v>
      </c>
      <c r="BG36">
        <f t="shared" si="82"/>
        <v>33</v>
      </c>
      <c r="BH36">
        <f t="shared" si="82"/>
        <v>25</v>
      </c>
      <c r="BI36">
        <f t="shared" si="82"/>
        <v>24</v>
      </c>
      <c r="BJ36">
        <f t="shared" si="82"/>
        <v>19</v>
      </c>
      <c r="BK36">
        <f t="shared" si="82"/>
        <v>14</v>
      </c>
      <c r="BL36">
        <f t="shared" si="82"/>
        <v>9</v>
      </c>
      <c r="BM36">
        <f t="shared" si="82"/>
        <v>23</v>
      </c>
      <c r="BN36">
        <f t="shared" si="82"/>
        <v>34.800000000000004</v>
      </c>
      <c r="BO36">
        <f t="shared" si="82"/>
        <v>32.20000000000001</v>
      </c>
      <c r="BP36">
        <f t="shared" ref="BP36:EA36" si="83">IF(OR(BP35=-1,AND(IF(BP$3&lt;$B36,BP35+BP$6,IF(BP$3=$B36,1,""))&gt;$B$1,BP$3&lt;$B36)),-1,IF(BP$3&lt;$B36,BP35+BP$6,IF(BP$3=$B36,1,"")))</f>
        <v>51</v>
      </c>
      <c r="BQ36">
        <f t="shared" si="83"/>
        <v>45</v>
      </c>
      <c r="BR36">
        <f t="shared" si="83"/>
        <v>39</v>
      </c>
      <c r="BS36">
        <f t="shared" si="83"/>
        <v>27</v>
      </c>
      <c r="BT36">
        <f t="shared" si="83"/>
        <v>25</v>
      </c>
      <c r="BU36">
        <f t="shared" si="83"/>
        <v>14.199999999999994</v>
      </c>
      <c r="BV36">
        <f t="shared" si="83"/>
        <v>10.599999999999996</v>
      </c>
      <c r="BW36">
        <f t="shared" si="83"/>
        <v>6.9999999999999982</v>
      </c>
      <c r="BX36">
        <f t="shared" si="83"/>
        <v>3.4000000000000004</v>
      </c>
      <c r="BY36" t="str">
        <f t="shared" si="83"/>
        <v/>
      </c>
      <c r="BZ36" t="str">
        <f t="shared" si="83"/>
        <v/>
      </c>
      <c r="CA36" t="str">
        <f t="shared" si="83"/>
        <v/>
      </c>
      <c r="CB36" t="str">
        <f t="shared" si="83"/>
        <v/>
      </c>
      <c r="CC36" t="str">
        <f t="shared" si="83"/>
        <v/>
      </c>
      <c r="CD36" t="str">
        <f t="shared" si="83"/>
        <v/>
      </c>
      <c r="CE36" t="str">
        <f t="shared" si="83"/>
        <v/>
      </c>
      <c r="CF36" t="str">
        <f t="shared" si="83"/>
        <v/>
      </c>
      <c r="CG36" t="str">
        <f t="shared" si="83"/>
        <v/>
      </c>
      <c r="CH36" t="str">
        <f t="shared" si="83"/>
        <v/>
      </c>
      <c r="CI36" t="str">
        <f t="shared" si="83"/>
        <v/>
      </c>
      <c r="CJ36" t="str">
        <f t="shared" si="83"/>
        <v/>
      </c>
      <c r="CK36" t="str">
        <f t="shared" si="83"/>
        <v/>
      </c>
      <c r="CL36" t="str">
        <f t="shared" si="83"/>
        <v/>
      </c>
      <c r="CM36" t="str">
        <f t="shared" si="83"/>
        <v/>
      </c>
      <c r="CN36" t="str">
        <f t="shared" si="83"/>
        <v/>
      </c>
      <c r="CO36">
        <f t="shared" si="83"/>
        <v>2</v>
      </c>
      <c r="CP36" t="str">
        <f t="shared" si="83"/>
        <v/>
      </c>
      <c r="CQ36">
        <f t="shared" si="83"/>
        <v>24</v>
      </c>
      <c r="CR36">
        <f t="shared" si="83"/>
        <v>19</v>
      </c>
      <c r="CS36">
        <f t="shared" si="83"/>
        <v>14</v>
      </c>
      <c r="CT36">
        <f t="shared" si="83"/>
        <v>34.800000000000004</v>
      </c>
      <c r="CU36">
        <f t="shared" si="83"/>
        <v>32.20000000000001</v>
      </c>
      <c r="CV36">
        <f t="shared" si="83"/>
        <v>37.800000000000018</v>
      </c>
      <c r="CW36">
        <f t="shared" si="83"/>
        <v>29.800000000000011</v>
      </c>
      <c r="CX36">
        <f t="shared" si="83"/>
        <v>21.800000000000004</v>
      </c>
      <c r="CY36">
        <f t="shared" si="83"/>
        <v>13.799999999999999</v>
      </c>
      <c r="CZ36">
        <f t="shared" si="83"/>
        <v>5.8000000000000007</v>
      </c>
      <c r="DA36">
        <f t="shared" si="83"/>
        <v>25</v>
      </c>
      <c r="DB36">
        <f t="shared" si="83"/>
        <v>21</v>
      </c>
      <c r="DC36">
        <f t="shared" si="83"/>
        <v>17</v>
      </c>
      <c r="DD36">
        <f t="shared" si="83"/>
        <v>13</v>
      </c>
      <c r="DE36">
        <f t="shared" si="83"/>
        <v>27</v>
      </c>
      <c r="DF36">
        <f t="shared" si="83"/>
        <v>25</v>
      </c>
      <c r="DG36">
        <f t="shared" si="83"/>
        <v>36.1</v>
      </c>
      <c r="DH36">
        <f t="shared" si="83"/>
        <v>34.800000000000004</v>
      </c>
      <c r="DI36">
        <f t="shared" si="83"/>
        <v>33.500000000000007</v>
      </c>
      <c r="DJ36">
        <f t="shared" si="83"/>
        <v>32.20000000000001</v>
      </c>
      <c r="DK36">
        <f t="shared" si="83"/>
        <v>49</v>
      </c>
      <c r="DL36">
        <f t="shared" si="83"/>
        <v>41</v>
      </c>
      <c r="DM36">
        <f t="shared" si="83"/>
        <v>33</v>
      </c>
      <c r="DN36">
        <f t="shared" si="83"/>
        <v>25</v>
      </c>
      <c r="DO36">
        <f t="shared" si="83"/>
        <v>17</v>
      </c>
      <c r="DP36">
        <f t="shared" si="83"/>
        <v>9</v>
      </c>
      <c r="DQ36">
        <f t="shared" si="83"/>
        <v>34.800000000000004</v>
      </c>
      <c r="DR36">
        <f t="shared" si="83"/>
        <v>32.20000000000001</v>
      </c>
      <c r="DS36">
        <f t="shared" si="83"/>
        <v>23</v>
      </c>
      <c r="DT36">
        <f t="shared" si="83"/>
        <v>17</v>
      </c>
      <c r="DU36">
        <f t="shared" si="83"/>
        <v>11</v>
      </c>
      <c r="DV36">
        <f t="shared" si="83"/>
        <v>5</v>
      </c>
      <c r="DW36" t="str">
        <f t="shared" si="83"/>
        <v/>
      </c>
      <c r="DX36" t="str">
        <f t="shared" si="83"/>
        <v/>
      </c>
      <c r="DY36">
        <f t="shared" si="83"/>
        <v>55</v>
      </c>
      <c r="DZ36">
        <f t="shared" si="83"/>
        <v>53</v>
      </c>
      <c r="EA36">
        <f t="shared" si="83"/>
        <v>51</v>
      </c>
      <c r="EB36">
        <f t="shared" ref="EB36:EO36" si="84">IF(OR(EB35=-1,AND(IF(EB$3&lt;$B36,EB35+EB$6,IF(EB$3=$B36,1,""))&gt;$B$1,EB$3&lt;$B36)),-1,IF(EB$3&lt;$B36,EB35+EB$6,IF(EB$3=$B36,1,"")))</f>
        <v>49</v>
      </c>
      <c r="EC36">
        <f t="shared" si="84"/>
        <v>47</v>
      </c>
      <c r="ED36">
        <f t="shared" si="84"/>
        <v>45</v>
      </c>
      <c r="EE36">
        <f t="shared" si="84"/>
        <v>37.800000000000018</v>
      </c>
      <c r="EF36">
        <f t="shared" si="84"/>
        <v>29.800000000000011</v>
      </c>
      <c r="EG36">
        <f t="shared" si="84"/>
        <v>21.800000000000004</v>
      </c>
      <c r="EH36">
        <f t="shared" si="84"/>
        <v>13.799999999999999</v>
      </c>
      <c r="EI36">
        <f t="shared" si="84"/>
        <v>5.8000000000000007</v>
      </c>
      <c r="EJ36" t="str">
        <f t="shared" si="84"/>
        <v/>
      </c>
      <c r="EK36">
        <f t="shared" si="84"/>
        <v>42.600000000000023</v>
      </c>
      <c r="EL36">
        <f t="shared" si="84"/>
        <v>34.600000000000016</v>
      </c>
      <c r="EM36">
        <f t="shared" si="84"/>
        <v>23.400000000000006</v>
      </c>
      <c r="EN36">
        <f t="shared" si="84"/>
        <v>12.2</v>
      </c>
      <c r="EO36">
        <f t="shared" si="84"/>
        <v>1</v>
      </c>
    </row>
    <row r="37" spans="1:145" x14ac:dyDescent="0.15">
      <c r="A37" t="e">
        <f t="shared" si="0"/>
        <v>#N/A</v>
      </c>
      <c r="B37" s="218">
        <v>29</v>
      </c>
      <c r="C37">
        <f t="shared" si="0"/>
        <v>28</v>
      </c>
      <c r="D37">
        <f t="shared" ref="D37:BO37" si="85">IF(OR(D36=-1,AND(IF(D$3&lt;$B37,D36+D$6,IF(D$3=$B37,1,""))&gt;$B$1,D$3&lt;$B37)),-1,IF(D$3&lt;$B37,D36+D$6,IF(D$3=$B37,1,"")))</f>
        <v>26</v>
      </c>
      <c r="E37">
        <f t="shared" si="85"/>
        <v>24</v>
      </c>
      <c r="F37">
        <f t="shared" si="85"/>
        <v>22</v>
      </c>
      <c r="G37">
        <f t="shared" si="85"/>
        <v>20</v>
      </c>
      <c r="H37">
        <f t="shared" si="85"/>
        <v>18</v>
      </c>
      <c r="I37">
        <f t="shared" si="85"/>
        <v>27.000000000000007</v>
      </c>
      <c r="J37">
        <f t="shared" si="85"/>
        <v>15.300000000000002</v>
      </c>
      <c r="K37">
        <f t="shared" si="85"/>
        <v>3.5999999999999996</v>
      </c>
      <c r="L37">
        <f t="shared" si="85"/>
        <v>17.79999999999999</v>
      </c>
      <c r="M37">
        <f t="shared" si="85"/>
        <v>14.299999999999994</v>
      </c>
      <c r="N37">
        <f t="shared" si="85"/>
        <v>10.799999999999997</v>
      </c>
      <c r="O37">
        <f t="shared" si="85"/>
        <v>28</v>
      </c>
      <c r="P37">
        <f t="shared" si="85"/>
        <v>26</v>
      </c>
      <c r="Q37">
        <f t="shared" si="85"/>
        <v>24</v>
      </c>
      <c r="R37">
        <f t="shared" si="85"/>
        <v>22</v>
      </c>
      <c r="S37">
        <f t="shared" si="85"/>
        <v>20</v>
      </c>
      <c r="T37">
        <f t="shared" si="85"/>
        <v>51</v>
      </c>
      <c r="U37">
        <f t="shared" si="85"/>
        <v>43</v>
      </c>
      <c r="V37">
        <f t="shared" si="85"/>
        <v>35</v>
      </c>
      <c r="W37">
        <f t="shared" si="85"/>
        <v>49.59999999999998</v>
      </c>
      <c r="X37">
        <f t="shared" si="85"/>
        <v>45.999999999999986</v>
      </c>
      <c r="Y37">
        <f t="shared" si="85"/>
        <v>42.399999999999991</v>
      </c>
      <c r="Z37">
        <f t="shared" si="85"/>
        <v>27</v>
      </c>
      <c r="AA37">
        <f t="shared" si="85"/>
        <v>24</v>
      </c>
      <c r="AB37">
        <f t="shared" si="85"/>
        <v>21</v>
      </c>
      <c r="AC37">
        <f t="shared" si="85"/>
        <v>42.399999999999991</v>
      </c>
      <c r="AD37">
        <f t="shared" si="85"/>
        <v>31.600000000000009</v>
      </c>
      <c r="AE37">
        <f t="shared" si="85"/>
        <v>20.800000000000004</v>
      </c>
      <c r="AF37">
        <f t="shared" si="85"/>
        <v>10</v>
      </c>
      <c r="AG37" t="str">
        <f t="shared" si="85"/>
        <v/>
      </c>
      <c r="AH37" t="str">
        <f t="shared" si="85"/>
        <v/>
      </c>
      <c r="AI37">
        <f t="shared" si="85"/>
        <v>15.999999999999993</v>
      </c>
      <c r="AJ37">
        <f t="shared" si="85"/>
        <v>13.599999999999994</v>
      </c>
      <c r="AK37">
        <f t="shared" si="85"/>
        <v>11.199999999999996</v>
      </c>
      <c r="AL37">
        <f t="shared" si="85"/>
        <v>8.7999999999999972</v>
      </c>
      <c r="AM37">
        <f t="shared" si="85"/>
        <v>24</v>
      </c>
      <c r="AN37">
        <f t="shared" si="85"/>
        <v>18</v>
      </c>
      <c r="AO37">
        <f t="shared" si="85"/>
        <v>12</v>
      </c>
      <c r="AP37">
        <f t="shared" si="85"/>
        <v>34.800000000000004</v>
      </c>
      <c r="AQ37">
        <f t="shared" si="85"/>
        <v>30.900000000000009</v>
      </c>
      <c r="AR37">
        <f t="shared" si="85"/>
        <v>27.000000000000007</v>
      </c>
      <c r="AS37">
        <f t="shared" si="85"/>
        <v>23.100000000000005</v>
      </c>
      <c r="AT37">
        <f t="shared" si="85"/>
        <v>19.200000000000003</v>
      </c>
      <c r="AU37">
        <f t="shared" si="85"/>
        <v>15.300000000000002</v>
      </c>
      <c r="AV37">
        <f t="shared" si="85"/>
        <v>11.4</v>
      </c>
      <c r="AW37">
        <f t="shared" si="85"/>
        <v>24</v>
      </c>
      <c r="AX37">
        <f t="shared" si="85"/>
        <v>18</v>
      </c>
      <c r="AY37">
        <f t="shared" si="85"/>
        <v>49</v>
      </c>
      <c r="AZ37">
        <f t="shared" si="85"/>
        <v>39</v>
      </c>
      <c r="BA37">
        <f t="shared" si="85"/>
        <v>53</v>
      </c>
      <c r="BB37">
        <f t="shared" si="85"/>
        <v>47</v>
      </c>
      <c r="BC37">
        <f t="shared" si="85"/>
        <v>41</v>
      </c>
      <c r="BD37">
        <f t="shared" si="85"/>
        <v>37.4</v>
      </c>
      <c r="BE37">
        <f t="shared" si="85"/>
        <v>51</v>
      </c>
      <c r="BF37">
        <f t="shared" si="85"/>
        <v>43</v>
      </c>
      <c r="BG37">
        <f t="shared" si="85"/>
        <v>35</v>
      </c>
      <c r="BH37">
        <f t="shared" si="85"/>
        <v>27</v>
      </c>
      <c r="BI37">
        <f t="shared" si="85"/>
        <v>25</v>
      </c>
      <c r="BJ37">
        <f t="shared" si="85"/>
        <v>20</v>
      </c>
      <c r="BK37">
        <f t="shared" si="85"/>
        <v>15</v>
      </c>
      <c r="BL37">
        <f t="shared" si="85"/>
        <v>10</v>
      </c>
      <c r="BM37">
        <f t="shared" si="85"/>
        <v>24</v>
      </c>
      <c r="BN37">
        <f t="shared" si="85"/>
        <v>36.1</v>
      </c>
      <c r="BO37">
        <f t="shared" si="85"/>
        <v>33.500000000000007</v>
      </c>
      <c r="BP37">
        <f t="shared" ref="BP37:EA37" si="86">IF(OR(BP36=-1,AND(IF(BP$3&lt;$B37,BP36+BP$6,IF(BP$3=$B37,1,""))&gt;$B$1,BP$3&lt;$B37)),-1,IF(BP$3&lt;$B37,BP36+BP$6,IF(BP$3=$B37,1,"")))</f>
        <v>53</v>
      </c>
      <c r="BQ37">
        <f t="shared" si="86"/>
        <v>47</v>
      </c>
      <c r="BR37">
        <f t="shared" si="86"/>
        <v>41</v>
      </c>
      <c r="BS37">
        <f t="shared" si="86"/>
        <v>28</v>
      </c>
      <c r="BT37">
        <f t="shared" si="86"/>
        <v>26</v>
      </c>
      <c r="BU37">
        <f t="shared" si="86"/>
        <v>14.799999999999994</v>
      </c>
      <c r="BV37">
        <f t="shared" si="86"/>
        <v>11.199999999999996</v>
      </c>
      <c r="BW37">
        <f t="shared" si="86"/>
        <v>7.5999999999999979</v>
      </c>
      <c r="BX37">
        <f t="shared" si="86"/>
        <v>4</v>
      </c>
      <c r="BY37" t="str">
        <f t="shared" si="86"/>
        <v/>
      </c>
      <c r="BZ37" t="str">
        <f t="shared" si="86"/>
        <v/>
      </c>
      <c r="CA37" t="str">
        <f t="shared" si="86"/>
        <v/>
      </c>
      <c r="CB37" t="str">
        <f t="shared" si="86"/>
        <v/>
      </c>
      <c r="CC37" t="str">
        <f t="shared" si="86"/>
        <v/>
      </c>
      <c r="CD37" t="str">
        <f t="shared" si="86"/>
        <v/>
      </c>
      <c r="CE37" t="str">
        <f t="shared" si="86"/>
        <v/>
      </c>
      <c r="CF37" t="str">
        <f t="shared" si="86"/>
        <v/>
      </c>
      <c r="CG37" t="str">
        <f t="shared" si="86"/>
        <v/>
      </c>
      <c r="CH37" t="str">
        <f t="shared" si="86"/>
        <v/>
      </c>
      <c r="CI37" t="str">
        <f t="shared" si="86"/>
        <v/>
      </c>
      <c r="CJ37" t="str">
        <f t="shared" si="86"/>
        <v/>
      </c>
      <c r="CK37" t="str">
        <f t="shared" si="86"/>
        <v/>
      </c>
      <c r="CL37" t="str">
        <f t="shared" si="86"/>
        <v/>
      </c>
      <c r="CM37" t="str">
        <f t="shared" si="86"/>
        <v/>
      </c>
      <c r="CN37" t="str">
        <f t="shared" si="86"/>
        <v/>
      </c>
      <c r="CO37">
        <f t="shared" si="86"/>
        <v>2.5</v>
      </c>
      <c r="CP37" t="str">
        <f t="shared" si="86"/>
        <v/>
      </c>
      <c r="CQ37">
        <f t="shared" si="86"/>
        <v>25</v>
      </c>
      <c r="CR37">
        <f t="shared" si="86"/>
        <v>20</v>
      </c>
      <c r="CS37">
        <f t="shared" si="86"/>
        <v>15</v>
      </c>
      <c r="CT37">
        <f t="shared" si="86"/>
        <v>36.1</v>
      </c>
      <c r="CU37">
        <f t="shared" si="86"/>
        <v>33.500000000000007</v>
      </c>
      <c r="CV37">
        <f t="shared" si="86"/>
        <v>39.40000000000002</v>
      </c>
      <c r="CW37">
        <f t="shared" si="86"/>
        <v>31.400000000000013</v>
      </c>
      <c r="CX37">
        <f t="shared" si="86"/>
        <v>23.400000000000006</v>
      </c>
      <c r="CY37">
        <f t="shared" si="86"/>
        <v>15.399999999999999</v>
      </c>
      <c r="CZ37">
        <f t="shared" si="86"/>
        <v>7.4</v>
      </c>
      <c r="DA37">
        <f t="shared" si="86"/>
        <v>26</v>
      </c>
      <c r="DB37">
        <f t="shared" si="86"/>
        <v>22</v>
      </c>
      <c r="DC37">
        <f t="shared" si="86"/>
        <v>18</v>
      </c>
      <c r="DD37">
        <f t="shared" si="86"/>
        <v>14</v>
      </c>
      <c r="DE37">
        <f t="shared" si="86"/>
        <v>28</v>
      </c>
      <c r="DF37">
        <f t="shared" si="86"/>
        <v>26</v>
      </c>
      <c r="DG37">
        <f t="shared" si="86"/>
        <v>37.4</v>
      </c>
      <c r="DH37">
        <f t="shared" si="86"/>
        <v>36.1</v>
      </c>
      <c r="DI37">
        <f t="shared" si="86"/>
        <v>34.800000000000004</v>
      </c>
      <c r="DJ37">
        <f t="shared" si="86"/>
        <v>33.500000000000007</v>
      </c>
      <c r="DK37">
        <f t="shared" si="86"/>
        <v>51</v>
      </c>
      <c r="DL37">
        <f t="shared" si="86"/>
        <v>43</v>
      </c>
      <c r="DM37">
        <f t="shared" si="86"/>
        <v>35</v>
      </c>
      <c r="DN37">
        <f t="shared" si="86"/>
        <v>27</v>
      </c>
      <c r="DO37">
        <f t="shared" si="86"/>
        <v>19</v>
      </c>
      <c r="DP37">
        <f t="shared" si="86"/>
        <v>11</v>
      </c>
      <c r="DQ37">
        <f t="shared" si="86"/>
        <v>36.1</v>
      </c>
      <c r="DR37">
        <f t="shared" si="86"/>
        <v>33.500000000000007</v>
      </c>
      <c r="DS37">
        <f t="shared" si="86"/>
        <v>24</v>
      </c>
      <c r="DT37">
        <f t="shared" si="86"/>
        <v>18</v>
      </c>
      <c r="DU37">
        <f t="shared" si="86"/>
        <v>12</v>
      </c>
      <c r="DV37">
        <f t="shared" si="86"/>
        <v>6</v>
      </c>
      <c r="DW37" t="str">
        <f t="shared" si="86"/>
        <v/>
      </c>
      <c r="DX37" t="str">
        <f t="shared" si="86"/>
        <v/>
      </c>
      <c r="DY37">
        <f t="shared" si="86"/>
        <v>57</v>
      </c>
      <c r="DZ37">
        <f t="shared" si="86"/>
        <v>55</v>
      </c>
      <c r="EA37">
        <f t="shared" si="86"/>
        <v>53</v>
      </c>
      <c r="EB37">
        <f t="shared" ref="EB37:EO37" si="87">IF(OR(EB36=-1,AND(IF(EB$3&lt;$B37,EB36+EB$6,IF(EB$3=$B37,1,""))&gt;$B$1,EB$3&lt;$B37)),-1,IF(EB$3&lt;$B37,EB36+EB$6,IF(EB$3=$B37,1,"")))</f>
        <v>51</v>
      </c>
      <c r="EC37">
        <f t="shared" si="87"/>
        <v>49</v>
      </c>
      <c r="ED37">
        <f t="shared" si="87"/>
        <v>47</v>
      </c>
      <c r="EE37">
        <f t="shared" si="87"/>
        <v>39.40000000000002</v>
      </c>
      <c r="EF37">
        <f t="shared" si="87"/>
        <v>31.400000000000013</v>
      </c>
      <c r="EG37">
        <f t="shared" si="87"/>
        <v>23.400000000000006</v>
      </c>
      <c r="EH37">
        <f t="shared" si="87"/>
        <v>15.399999999999999</v>
      </c>
      <c r="EI37">
        <f t="shared" si="87"/>
        <v>7.4</v>
      </c>
      <c r="EJ37" t="str">
        <f t="shared" si="87"/>
        <v/>
      </c>
      <c r="EK37">
        <f t="shared" si="87"/>
        <v>44.200000000000024</v>
      </c>
      <c r="EL37">
        <f t="shared" si="87"/>
        <v>36.200000000000017</v>
      </c>
      <c r="EM37">
        <f t="shared" si="87"/>
        <v>25.000000000000007</v>
      </c>
      <c r="EN37">
        <f t="shared" si="87"/>
        <v>13.799999999999999</v>
      </c>
      <c r="EO37">
        <f t="shared" si="87"/>
        <v>2.6</v>
      </c>
    </row>
    <row r="38" spans="1:145" x14ac:dyDescent="0.15">
      <c r="A38" t="e">
        <f t="shared" si="0"/>
        <v>#N/A</v>
      </c>
      <c r="B38" s="218">
        <v>30</v>
      </c>
      <c r="C38">
        <f t="shared" si="0"/>
        <v>29</v>
      </c>
      <c r="D38">
        <f t="shared" ref="D38:BO38" si="88">IF(OR(D37=-1,AND(IF(D$3&lt;$B38,D37+D$6,IF(D$3=$B38,1,""))&gt;$B$1,D$3&lt;$B38)),-1,IF(D$3&lt;$B38,D37+D$6,IF(D$3=$B38,1,"")))</f>
        <v>27</v>
      </c>
      <c r="E38">
        <f t="shared" si="88"/>
        <v>25</v>
      </c>
      <c r="F38">
        <f t="shared" si="88"/>
        <v>23</v>
      </c>
      <c r="G38">
        <f t="shared" si="88"/>
        <v>21</v>
      </c>
      <c r="H38">
        <f t="shared" si="88"/>
        <v>19</v>
      </c>
      <c r="I38">
        <f t="shared" si="88"/>
        <v>28.300000000000008</v>
      </c>
      <c r="J38">
        <f t="shared" si="88"/>
        <v>16.600000000000001</v>
      </c>
      <c r="K38">
        <f t="shared" si="88"/>
        <v>4.8999999999999995</v>
      </c>
      <c r="L38">
        <f t="shared" si="88"/>
        <v>18.499999999999989</v>
      </c>
      <c r="M38">
        <f t="shared" si="88"/>
        <v>14.999999999999993</v>
      </c>
      <c r="N38">
        <f t="shared" si="88"/>
        <v>11.499999999999996</v>
      </c>
      <c r="O38">
        <f t="shared" si="88"/>
        <v>29</v>
      </c>
      <c r="P38">
        <f t="shared" si="88"/>
        <v>27</v>
      </c>
      <c r="Q38">
        <f t="shared" si="88"/>
        <v>25</v>
      </c>
      <c r="R38">
        <f t="shared" si="88"/>
        <v>23</v>
      </c>
      <c r="S38">
        <f t="shared" si="88"/>
        <v>21</v>
      </c>
      <c r="T38">
        <f t="shared" si="88"/>
        <v>53</v>
      </c>
      <c r="U38">
        <f t="shared" si="88"/>
        <v>45</v>
      </c>
      <c r="V38">
        <f t="shared" si="88"/>
        <v>37</v>
      </c>
      <c r="W38">
        <f t="shared" si="88"/>
        <v>51.399999999999977</v>
      </c>
      <c r="X38">
        <f t="shared" si="88"/>
        <v>47.799999999999983</v>
      </c>
      <c r="Y38">
        <f t="shared" si="88"/>
        <v>44.199999999999989</v>
      </c>
      <c r="Z38">
        <f t="shared" si="88"/>
        <v>28</v>
      </c>
      <c r="AA38">
        <f t="shared" si="88"/>
        <v>25</v>
      </c>
      <c r="AB38">
        <f t="shared" si="88"/>
        <v>22</v>
      </c>
      <c r="AC38">
        <f t="shared" si="88"/>
        <v>44.199999999999989</v>
      </c>
      <c r="AD38">
        <f t="shared" si="88"/>
        <v>33.400000000000006</v>
      </c>
      <c r="AE38">
        <f t="shared" si="88"/>
        <v>22.600000000000005</v>
      </c>
      <c r="AF38">
        <f t="shared" si="88"/>
        <v>11.8</v>
      </c>
      <c r="AG38">
        <f t="shared" si="88"/>
        <v>1</v>
      </c>
      <c r="AH38" t="str">
        <f t="shared" si="88"/>
        <v/>
      </c>
      <c r="AI38">
        <f t="shared" si="88"/>
        <v>16.599999999999994</v>
      </c>
      <c r="AJ38">
        <f t="shared" si="88"/>
        <v>14.199999999999994</v>
      </c>
      <c r="AK38">
        <f t="shared" si="88"/>
        <v>11.799999999999995</v>
      </c>
      <c r="AL38">
        <f t="shared" si="88"/>
        <v>9.3999999999999968</v>
      </c>
      <c r="AM38">
        <f t="shared" si="88"/>
        <v>25</v>
      </c>
      <c r="AN38">
        <f t="shared" si="88"/>
        <v>19</v>
      </c>
      <c r="AO38">
        <f t="shared" si="88"/>
        <v>13</v>
      </c>
      <c r="AP38">
        <f t="shared" si="88"/>
        <v>36.1</v>
      </c>
      <c r="AQ38">
        <f t="shared" si="88"/>
        <v>32.20000000000001</v>
      </c>
      <c r="AR38">
        <f t="shared" si="88"/>
        <v>28.300000000000008</v>
      </c>
      <c r="AS38">
        <f t="shared" si="88"/>
        <v>24.400000000000006</v>
      </c>
      <c r="AT38">
        <f t="shared" si="88"/>
        <v>20.500000000000004</v>
      </c>
      <c r="AU38">
        <f t="shared" si="88"/>
        <v>16.600000000000001</v>
      </c>
      <c r="AV38">
        <f t="shared" si="88"/>
        <v>12.700000000000001</v>
      </c>
      <c r="AW38">
        <f t="shared" si="88"/>
        <v>25</v>
      </c>
      <c r="AX38">
        <f t="shared" si="88"/>
        <v>19</v>
      </c>
      <c r="AY38">
        <f t="shared" si="88"/>
        <v>51</v>
      </c>
      <c r="AZ38">
        <f t="shared" si="88"/>
        <v>41</v>
      </c>
      <c r="BA38">
        <f t="shared" si="88"/>
        <v>55</v>
      </c>
      <c r="BB38">
        <f t="shared" si="88"/>
        <v>49</v>
      </c>
      <c r="BC38">
        <f t="shared" si="88"/>
        <v>43</v>
      </c>
      <c r="BD38">
        <f t="shared" si="88"/>
        <v>38.699999999999996</v>
      </c>
      <c r="BE38">
        <f t="shared" si="88"/>
        <v>53</v>
      </c>
      <c r="BF38">
        <f t="shared" si="88"/>
        <v>45</v>
      </c>
      <c r="BG38">
        <f t="shared" si="88"/>
        <v>37</v>
      </c>
      <c r="BH38">
        <f t="shared" si="88"/>
        <v>29</v>
      </c>
      <c r="BI38">
        <f t="shared" si="88"/>
        <v>26</v>
      </c>
      <c r="BJ38">
        <f t="shared" si="88"/>
        <v>21</v>
      </c>
      <c r="BK38">
        <f t="shared" si="88"/>
        <v>16</v>
      </c>
      <c r="BL38">
        <f t="shared" si="88"/>
        <v>11</v>
      </c>
      <c r="BM38">
        <f t="shared" si="88"/>
        <v>25</v>
      </c>
      <c r="BN38">
        <f t="shared" si="88"/>
        <v>37.4</v>
      </c>
      <c r="BO38">
        <f t="shared" si="88"/>
        <v>34.800000000000004</v>
      </c>
      <c r="BP38">
        <f t="shared" ref="BP38:EA38" si="89">IF(OR(BP37=-1,AND(IF(BP$3&lt;$B38,BP37+BP$6,IF(BP$3=$B38,1,""))&gt;$B$1,BP$3&lt;$B38)),-1,IF(BP$3&lt;$B38,BP37+BP$6,IF(BP$3=$B38,1,"")))</f>
        <v>55</v>
      </c>
      <c r="BQ38">
        <f t="shared" si="89"/>
        <v>49</v>
      </c>
      <c r="BR38">
        <f t="shared" si="89"/>
        <v>43</v>
      </c>
      <c r="BS38">
        <f t="shared" si="89"/>
        <v>29</v>
      </c>
      <c r="BT38">
        <f t="shared" si="89"/>
        <v>27</v>
      </c>
      <c r="BU38">
        <f t="shared" si="89"/>
        <v>15.399999999999993</v>
      </c>
      <c r="BV38">
        <f t="shared" si="89"/>
        <v>11.799999999999995</v>
      </c>
      <c r="BW38">
        <f t="shared" si="89"/>
        <v>8.1999999999999975</v>
      </c>
      <c r="BX38">
        <f t="shared" si="89"/>
        <v>4.5999999999999996</v>
      </c>
      <c r="BY38">
        <f t="shared" si="89"/>
        <v>1</v>
      </c>
      <c r="BZ38" t="str">
        <f t="shared" si="89"/>
        <v/>
      </c>
      <c r="CA38" t="str">
        <f t="shared" si="89"/>
        <v/>
      </c>
      <c r="CB38" t="str">
        <f t="shared" si="89"/>
        <v/>
      </c>
      <c r="CC38" t="str">
        <f t="shared" si="89"/>
        <v/>
      </c>
      <c r="CD38" t="str">
        <f t="shared" si="89"/>
        <v/>
      </c>
      <c r="CE38" t="str">
        <f t="shared" si="89"/>
        <v/>
      </c>
      <c r="CF38" t="str">
        <f t="shared" si="89"/>
        <v/>
      </c>
      <c r="CG38" t="str">
        <f t="shared" si="89"/>
        <v/>
      </c>
      <c r="CH38" t="str">
        <f t="shared" si="89"/>
        <v/>
      </c>
      <c r="CI38" t="str">
        <f t="shared" si="89"/>
        <v/>
      </c>
      <c r="CJ38" t="str">
        <f t="shared" si="89"/>
        <v/>
      </c>
      <c r="CK38" t="str">
        <f t="shared" si="89"/>
        <v/>
      </c>
      <c r="CL38" t="str">
        <f t="shared" si="89"/>
        <v/>
      </c>
      <c r="CM38" t="str">
        <f t="shared" si="89"/>
        <v/>
      </c>
      <c r="CN38" t="str">
        <f t="shared" si="89"/>
        <v/>
      </c>
      <c r="CO38">
        <f t="shared" si="89"/>
        <v>3</v>
      </c>
      <c r="CP38" t="str">
        <f t="shared" si="89"/>
        <v/>
      </c>
      <c r="CQ38">
        <f t="shared" si="89"/>
        <v>26</v>
      </c>
      <c r="CR38">
        <f t="shared" si="89"/>
        <v>21</v>
      </c>
      <c r="CS38">
        <f t="shared" si="89"/>
        <v>16</v>
      </c>
      <c r="CT38">
        <f t="shared" si="89"/>
        <v>37.4</v>
      </c>
      <c r="CU38">
        <f t="shared" si="89"/>
        <v>34.800000000000004</v>
      </c>
      <c r="CV38">
        <f t="shared" si="89"/>
        <v>41.000000000000021</v>
      </c>
      <c r="CW38">
        <f t="shared" si="89"/>
        <v>33.000000000000014</v>
      </c>
      <c r="CX38">
        <f t="shared" si="89"/>
        <v>25.000000000000007</v>
      </c>
      <c r="CY38">
        <f t="shared" si="89"/>
        <v>17</v>
      </c>
      <c r="CZ38">
        <f t="shared" si="89"/>
        <v>9</v>
      </c>
      <c r="DA38">
        <f t="shared" si="89"/>
        <v>27</v>
      </c>
      <c r="DB38">
        <f t="shared" si="89"/>
        <v>23</v>
      </c>
      <c r="DC38">
        <f t="shared" si="89"/>
        <v>19</v>
      </c>
      <c r="DD38">
        <f t="shared" si="89"/>
        <v>15</v>
      </c>
      <c r="DE38">
        <f t="shared" si="89"/>
        <v>29</v>
      </c>
      <c r="DF38">
        <f t="shared" si="89"/>
        <v>27</v>
      </c>
      <c r="DG38">
        <f t="shared" si="89"/>
        <v>38.699999999999996</v>
      </c>
      <c r="DH38">
        <f t="shared" si="89"/>
        <v>37.4</v>
      </c>
      <c r="DI38">
        <f t="shared" si="89"/>
        <v>36.1</v>
      </c>
      <c r="DJ38">
        <f t="shared" si="89"/>
        <v>34.800000000000004</v>
      </c>
      <c r="DK38">
        <f t="shared" si="89"/>
        <v>53</v>
      </c>
      <c r="DL38">
        <f t="shared" si="89"/>
        <v>45</v>
      </c>
      <c r="DM38">
        <f t="shared" si="89"/>
        <v>37</v>
      </c>
      <c r="DN38">
        <f t="shared" si="89"/>
        <v>29</v>
      </c>
      <c r="DO38">
        <f t="shared" si="89"/>
        <v>21</v>
      </c>
      <c r="DP38">
        <f t="shared" si="89"/>
        <v>13</v>
      </c>
      <c r="DQ38">
        <f t="shared" si="89"/>
        <v>37.4</v>
      </c>
      <c r="DR38">
        <f t="shared" si="89"/>
        <v>34.800000000000004</v>
      </c>
      <c r="DS38">
        <f t="shared" si="89"/>
        <v>25</v>
      </c>
      <c r="DT38">
        <f t="shared" si="89"/>
        <v>19</v>
      </c>
      <c r="DU38">
        <f t="shared" si="89"/>
        <v>13</v>
      </c>
      <c r="DV38">
        <f t="shared" si="89"/>
        <v>7</v>
      </c>
      <c r="DW38">
        <f t="shared" si="89"/>
        <v>1</v>
      </c>
      <c r="DX38" t="str">
        <f t="shared" si="89"/>
        <v/>
      </c>
      <c r="DY38">
        <f t="shared" si="89"/>
        <v>59</v>
      </c>
      <c r="DZ38">
        <f t="shared" si="89"/>
        <v>57</v>
      </c>
      <c r="EA38">
        <f t="shared" si="89"/>
        <v>55</v>
      </c>
      <c r="EB38">
        <f t="shared" ref="EB38:EO38" si="90">IF(OR(EB37=-1,AND(IF(EB$3&lt;$B38,EB37+EB$6,IF(EB$3=$B38,1,""))&gt;$B$1,EB$3&lt;$B38)),-1,IF(EB$3&lt;$B38,EB37+EB$6,IF(EB$3=$B38,1,"")))</f>
        <v>53</v>
      </c>
      <c r="EC38">
        <f t="shared" si="90"/>
        <v>51</v>
      </c>
      <c r="ED38">
        <f t="shared" si="90"/>
        <v>49</v>
      </c>
      <c r="EE38">
        <f t="shared" si="90"/>
        <v>41.000000000000021</v>
      </c>
      <c r="EF38">
        <f t="shared" si="90"/>
        <v>33.000000000000014</v>
      </c>
      <c r="EG38">
        <f t="shared" si="90"/>
        <v>25.000000000000007</v>
      </c>
      <c r="EH38">
        <f t="shared" si="90"/>
        <v>17</v>
      </c>
      <c r="EI38">
        <f t="shared" si="90"/>
        <v>9</v>
      </c>
      <c r="EJ38">
        <f t="shared" si="90"/>
        <v>1</v>
      </c>
      <c r="EK38">
        <f t="shared" si="90"/>
        <v>45.800000000000026</v>
      </c>
      <c r="EL38">
        <f t="shared" si="90"/>
        <v>37.800000000000018</v>
      </c>
      <c r="EM38">
        <f t="shared" si="90"/>
        <v>26.600000000000009</v>
      </c>
      <c r="EN38">
        <f t="shared" si="90"/>
        <v>15.399999999999999</v>
      </c>
      <c r="EO38">
        <f t="shared" si="90"/>
        <v>4.2</v>
      </c>
    </row>
    <row r="39" spans="1:145" x14ac:dyDescent="0.15">
      <c r="A39" t="e">
        <f t="shared" si="0"/>
        <v>#N/A</v>
      </c>
      <c r="B39" s="218">
        <v>31</v>
      </c>
      <c r="C39">
        <f t="shared" si="0"/>
        <v>30</v>
      </c>
      <c r="D39">
        <f t="shared" ref="D39:BO39" si="91">IF(OR(D38=-1,AND(IF(D$3&lt;$B39,D38+D$6,IF(D$3=$B39,1,""))&gt;$B$1,D$3&lt;$B39)),-1,IF(D$3&lt;$B39,D38+D$6,IF(D$3=$B39,1,"")))</f>
        <v>28</v>
      </c>
      <c r="E39">
        <f t="shared" si="91"/>
        <v>26</v>
      </c>
      <c r="F39">
        <f t="shared" si="91"/>
        <v>24</v>
      </c>
      <c r="G39">
        <f t="shared" si="91"/>
        <v>22</v>
      </c>
      <c r="H39">
        <f t="shared" si="91"/>
        <v>20</v>
      </c>
      <c r="I39">
        <f t="shared" si="91"/>
        <v>29.600000000000009</v>
      </c>
      <c r="J39">
        <f t="shared" si="91"/>
        <v>17.900000000000002</v>
      </c>
      <c r="K39">
        <f t="shared" si="91"/>
        <v>6.1999999999999993</v>
      </c>
      <c r="L39">
        <f t="shared" si="91"/>
        <v>19.199999999999989</v>
      </c>
      <c r="M39">
        <f t="shared" si="91"/>
        <v>15.699999999999992</v>
      </c>
      <c r="N39">
        <f t="shared" si="91"/>
        <v>12.199999999999996</v>
      </c>
      <c r="O39">
        <f t="shared" si="91"/>
        <v>30</v>
      </c>
      <c r="P39">
        <f t="shared" si="91"/>
        <v>28</v>
      </c>
      <c r="Q39">
        <f t="shared" si="91"/>
        <v>26</v>
      </c>
      <c r="R39">
        <f t="shared" si="91"/>
        <v>24</v>
      </c>
      <c r="S39">
        <f t="shared" si="91"/>
        <v>22</v>
      </c>
      <c r="T39">
        <f t="shared" si="91"/>
        <v>55</v>
      </c>
      <c r="U39">
        <f t="shared" si="91"/>
        <v>47</v>
      </c>
      <c r="V39">
        <f t="shared" si="91"/>
        <v>39</v>
      </c>
      <c r="W39">
        <f t="shared" si="91"/>
        <v>53.199999999999974</v>
      </c>
      <c r="X39">
        <f t="shared" si="91"/>
        <v>49.59999999999998</v>
      </c>
      <c r="Y39">
        <f t="shared" si="91"/>
        <v>45.999999999999986</v>
      </c>
      <c r="Z39">
        <f t="shared" si="91"/>
        <v>29</v>
      </c>
      <c r="AA39">
        <f t="shared" si="91"/>
        <v>26</v>
      </c>
      <c r="AB39">
        <f t="shared" si="91"/>
        <v>23</v>
      </c>
      <c r="AC39">
        <f t="shared" si="91"/>
        <v>45.999999999999986</v>
      </c>
      <c r="AD39">
        <f t="shared" si="91"/>
        <v>35.200000000000003</v>
      </c>
      <c r="AE39">
        <f t="shared" si="91"/>
        <v>24.400000000000006</v>
      </c>
      <c r="AF39">
        <f t="shared" si="91"/>
        <v>13.600000000000001</v>
      </c>
      <c r="AG39">
        <f t="shared" si="91"/>
        <v>2.8</v>
      </c>
      <c r="AH39" t="str">
        <f t="shared" si="91"/>
        <v/>
      </c>
      <c r="AI39">
        <f t="shared" si="91"/>
        <v>17.199999999999996</v>
      </c>
      <c r="AJ39">
        <f t="shared" si="91"/>
        <v>14.799999999999994</v>
      </c>
      <c r="AK39">
        <f t="shared" si="91"/>
        <v>12.399999999999995</v>
      </c>
      <c r="AL39">
        <f t="shared" si="91"/>
        <v>9.9999999999999964</v>
      </c>
      <c r="AM39">
        <f t="shared" si="91"/>
        <v>26</v>
      </c>
      <c r="AN39">
        <f t="shared" si="91"/>
        <v>20</v>
      </c>
      <c r="AO39">
        <f t="shared" si="91"/>
        <v>14</v>
      </c>
      <c r="AP39">
        <f t="shared" si="91"/>
        <v>37.4</v>
      </c>
      <c r="AQ39">
        <f t="shared" si="91"/>
        <v>33.500000000000007</v>
      </c>
      <c r="AR39">
        <f t="shared" si="91"/>
        <v>29.600000000000009</v>
      </c>
      <c r="AS39">
        <f t="shared" si="91"/>
        <v>25.700000000000006</v>
      </c>
      <c r="AT39">
        <f t="shared" si="91"/>
        <v>21.800000000000004</v>
      </c>
      <c r="AU39">
        <f t="shared" si="91"/>
        <v>17.900000000000002</v>
      </c>
      <c r="AV39">
        <f t="shared" si="91"/>
        <v>14.000000000000002</v>
      </c>
      <c r="AW39">
        <f t="shared" si="91"/>
        <v>26</v>
      </c>
      <c r="AX39">
        <f t="shared" si="91"/>
        <v>20</v>
      </c>
      <c r="AY39">
        <f t="shared" si="91"/>
        <v>53</v>
      </c>
      <c r="AZ39">
        <f t="shared" si="91"/>
        <v>43</v>
      </c>
      <c r="BA39">
        <f t="shared" si="91"/>
        <v>57</v>
      </c>
      <c r="BB39">
        <f t="shared" si="91"/>
        <v>51</v>
      </c>
      <c r="BC39">
        <f t="shared" si="91"/>
        <v>45</v>
      </c>
      <c r="BD39">
        <f t="shared" si="91"/>
        <v>39.999999999999993</v>
      </c>
      <c r="BE39">
        <f t="shared" si="91"/>
        <v>55</v>
      </c>
      <c r="BF39">
        <f t="shared" si="91"/>
        <v>47</v>
      </c>
      <c r="BG39">
        <f t="shared" si="91"/>
        <v>39</v>
      </c>
      <c r="BH39">
        <f t="shared" si="91"/>
        <v>31</v>
      </c>
      <c r="BI39">
        <f t="shared" si="91"/>
        <v>27</v>
      </c>
      <c r="BJ39">
        <f t="shared" si="91"/>
        <v>22</v>
      </c>
      <c r="BK39">
        <f t="shared" si="91"/>
        <v>17</v>
      </c>
      <c r="BL39">
        <f t="shared" si="91"/>
        <v>12</v>
      </c>
      <c r="BM39">
        <f t="shared" si="91"/>
        <v>26</v>
      </c>
      <c r="BN39">
        <f t="shared" si="91"/>
        <v>38.699999999999996</v>
      </c>
      <c r="BO39">
        <f t="shared" si="91"/>
        <v>36.1</v>
      </c>
      <c r="BP39">
        <f t="shared" ref="BP39:EA39" si="92">IF(OR(BP38=-1,AND(IF(BP$3&lt;$B39,BP38+BP$6,IF(BP$3=$B39,1,""))&gt;$B$1,BP$3&lt;$B39)),-1,IF(BP$3&lt;$B39,BP38+BP$6,IF(BP$3=$B39,1,"")))</f>
        <v>57</v>
      </c>
      <c r="BQ39">
        <f t="shared" si="92"/>
        <v>51</v>
      </c>
      <c r="BR39">
        <f t="shared" si="92"/>
        <v>45</v>
      </c>
      <c r="BS39">
        <f t="shared" si="92"/>
        <v>30</v>
      </c>
      <c r="BT39">
        <f t="shared" si="92"/>
        <v>28</v>
      </c>
      <c r="BU39">
        <f t="shared" si="92"/>
        <v>15.999999999999993</v>
      </c>
      <c r="BV39">
        <f t="shared" si="92"/>
        <v>12.399999999999995</v>
      </c>
      <c r="BW39">
        <f t="shared" si="92"/>
        <v>8.7999999999999972</v>
      </c>
      <c r="BX39">
        <f t="shared" si="92"/>
        <v>5.1999999999999993</v>
      </c>
      <c r="BY39">
        <f t="shared" si="92"/>
        <v>1.6</v>
      </c>
      <c r="BZ39" t="str">
        <f t="shared" si="92"/>
        <v/>
      </c>
      <c r="CA39" t="str">
        <f t="shared" si="92"/>
        <v/>
      </c>
      <c r="CB39" t="str">
        <f t="shared" si="92"/>
        <v/>
      </c>
      <c r="CC39" t="str">
        <f t="shared" si="92"/>
        <v/>
      </c>
      <c r="CD39" t="str">
        <f t="shared" si="92"/>
        <v/>
      </c>
      <c r="CE39" t="str">
        <f t="shared" si="92"/>
        <v/>
      </c>
      <c r="CF39" t="str">
        <f t="shared" si="92"/>
        <v/>
      </c>
      <c r="CG39" t="str">
        <f t="shared" si="92"/>
        <v/>
      </c>
      <c r="CH39" t="str">
        <f t="shared" si="92"/>
        <v/>
      </c>
      <c r="CI39" t="str">
        <f t="shared" si="92"/>
        <v/>
      </c>
      <c r="CJ39" t="str">
        <f t="shared" si="92"/>
        <v/>
      </c>
      <c r="CK39" t="str">
        <f t="shared" si="92"/>
        <v/>
      </c>
      <c r="CL39" t="str">
        <f t="shared" si="92"/>
        <v/>
      </c>
      <c r="CM39" t="str">
        <f t="shared" si="92"/>
        <v/>
      </c>
      <c r="CN39" t="str">
        <f t="shared" si="92"/>
        <v/>
      </c>
      <c r="CO39">
        <f t="shared" si="92"/>
        <v>3.5</v>
      </c>
      <c r="CP39" t="str">
        <f t="shared" si="92"/>
        <v/>
      </c>
      <c r="CQ39">
        <f t="shared" si="92"/>
        <v>27</v>
      </c>
      <c r="CR39">
        <f t="shared" si="92"/>
        <v>22</v>
      </c>
      <c r="CS39">
        <f t="shared" si="92"/>
        <v>17</v>
      </c>
      <c r="CT39">
        <f t="shared" si="92"/>
        <v>38.699999999999996</v>
      </c>
      <c r="CU39">
        <f t="shared" si="92"/>
        <v>36.1</v>
      </c>
      <c r="CV39">
        <f t="shared" si="92"/>
        <v>42.600000000000023</v>
      </c>
      <c r="CW39">
        <f t="shared" si="92"/>
        <v>34.600000000000016</v>
      </c>
      <c r="CX39">
        <f t="shared" si="92"/>
        <v>26.600000000000009</v>
      </c>
      <c r="CY39">
        <f t="shared" si="92"/>
        <v>18.600000000000001</v>
      </c>
      <c r="CZ39">
        <f t="shared" si="92"/>
        <v>10.6</v>
      </c>
      <c r="DA39">
        <f t="shared" si="92"/>
        <v>28</v>
      </c>
      <c r="DB39">
        <f t="shared" si="92"/>
        <v>24</v>
      </c>
      <c r="DC39">
        <f t="shared" si="92"/>
        <v>20</v>
      </c>
      <c r="DD39">
        <f t="shared" si="92"/>
        <v>16</v>
      </c>
      <c r="DE39">
        <f t="shared" si="92"/>
        <v>30</v>
      </c>
      <c r="DF39">
        <f t="shared" si="92"/>
        <v>28</v>
      </c>
      <c r="DG39">
        <f t="shared" si="92"/>
        <v>39.999999999999993</v>
      </c>
      <c r="DH39">
        <f t="shared" si="92"/>
        <v>38.699999999999996</v>
      </c>
      <c r="DI39">
        <f t="shared" si="92"/>
        <v>37.4</v>
      </c>
      <c r="DJ39">
        <f t="shared" si="92"/>
        <v>36.1</v>
      </c>
      <c r="DK39">
        <f t="shared" si="92"/>
        <v>55</v>
      </c>
      <c r="DL39">
        <f t="shared" si="92"/>
        <v>47</v>
      </c>
      <c r="DM39">
        <f t="shared" si="92"/>
        <v>39</v>
      </c>
      <c r="DN39">
        <f t="shared" si="92"/>
        <v>31</v>
      </c>
      <c r="DO39">
        <f t="shared" si="92"/>
        <v>23</v>
      </c>
      <c r="DP39">
        <f t="shared" si="92"/>
        <v>15</v>
      </c>
      <c r="DQ39">
        <f t="shared" si="92"/>
        <v>38.699999999999996</v>
      </c>
      <c r="DR39">
        <f t="shared" si="92"/>
        <v>36.1</v>
      </c>
      <c r="DS39">
        <f t="shared" si="92"/>
        <v>26</v>
      </c>
      <c r="DT39">
        <f t="shared" si="92"/>
        <v>20</v>
      </c>
      <c r="DU39">
        <f t="shared" si="92"/>
        <v>14</v>
      </c>
      <c r="DV39">
        <f t="shared" si="92"/>
        <v>8</v>
      </c>
      <c r="DW39">
        <f t="shared" si="92"/>
        <v>2</v>
      </c>
      <c r="DX39" t="str">
        <f t="shared" si="92"/>
        <v/>
      </c>
      <c r="DY39">
        <f t="shared" si="92"/>
        <v>61</v>
      </c>
      <c r="DZ39">
        <f t="shared" si="92"/>
        <v>59</v>
      </c>
      <c r="EA39">
        <f t="shared" si="92"/>
        <v>57</v>
      </c>
      <c r="EB39">
        <f t="shared" ref="EB39:EO39" si="93">IF(OR(EB38=-1,AND(IF(EB$3&lt;$B39,EB38+EB$6,IF(EB$3=$B39,1,""))&gt;$B$1,EB$3&lt;$B39)),-1,IF(EB$3&lt;$B39,EB38+EB$6,IF(EB$3=$B39,1,"")))</f>
        <v>55</v>
      </c>
      <c r="EC39">
        <f t="shared" si="93"/>
        <v>53</v>
      </c>
      <c r="ED39">
        <f t="shared" si="93"/>
        <v>51</v>
      </c>
      <c r="EE39">
        <f t="shared" si="93"/>
        <v>42.600000000000023</v>
      </c>
      <c r="EF39">
        <f t="shared" si="93"/>
        <v>34.600000000000016</v>
      </c>
      <c r="EG39">
        <f t="shared" si="93"/>
        <v>26.600000000000009</v>
      </c>
      <c r="EH39">
        <f t="shared" si="93"/>
        <v>18.600000000000001</v>
      </c>
      <c r="EI39">
        <f t="shared" si="93"/>
        <v>10.6</v>
      </c>
      <c r="EJ39">
        <f t="shared" si="93"/>
        <v>2.6</v>
      </c>
      <c r="EK39">
        <f t="shared" si="93"/>
        <v>47.400000000000027</v>
      </c>
      <c r="EL39">
        <f t="shared" si="93"/>
        <v>39.40000000000002</v>
      </c>
      <c r="EM39">
        <f t="shared" si="93"/>
        <v>28.20000000000001</v>
      </c>
      <c r="EN39">
        <f t="shared" si="93"/>
        <v>17</v>
      </c>
      <c r="EO39">
        <f t="shared" si="93"/>
        <v>5.8000000000000007</v>
      </c>
    </row>
    <row r="40" spans="1:145" x14ac:dyDescent="0.15">
      <c r="A40" t="e">
        <f t="shared" si="0"/>
        <v>#N/A</v>
      </c>
      <c r="B40" s="218">
        <v>32</v>
      </c>
      <c r="C40">
        <f t="shared" si="0"/>
        <v>31</v>
      </c>
      <c r="D40">
        <f t="shared" ref="D40:BO40" si="94">IF(OR(D39=-1,AND(IF(D$3&lt;$B40,D39+D$6,IF(D$3=$B40,1,""))&gt;$B$1,D$3&lt;$B40)),-1,IF(D$3&lt;$B40,D39+D$6,IF(D$3=$B40,1,"")))</f>
        <v>29</v>
      </c>
      <c r="E40">
        <f t="shared" si="94"/>
        <v>27</v>
      </c>
      <c r="F40">
        <f t="shared" si="94"/>
        <v>25</v>
      </c>
      <c r="G40">
        <f t="shared" si="94"/>
        <v>23</v>
      </c>
      <c r="H40">
        <f t="shared" si="94"/>
        <v>21</v>
      </c>
      <c r="I40">
        <f t="shared" si="94"/>
        <v>30.900000000000009</v>
      </c>
      <c r="J40">
        <f t="shared" si="94"/>
        <v>19.200000000000003</v>
      </c>
      <c r="K40">
        <f t="shared" si="94"/>
        <v>7.4999999999999991</v>
      </c>
      <c r="L40">
        <f t="shared" si="94"/>
        <v>19.899999999999988</v>
      </c>
      <c r="M40">
        <f t="shared" si="94"/>
        <v>16.399999999999991</v>
      </c>
      <c r="N40">
        <f t="shared" si="94"/>
        <v>12.899999999999995</v>
      </c>
      <c r="O40">
        <f t="shared" si="94"/>
        <v>31</v>
      </c>
      <c r="P40">
        <f t="shared" si="94"/>
        <v>29</v>
      </c>
      <c r="Q40">
        <f t="shared" si="94"/>
        <v>27</v>
      </c>
      <c r="R40">
        <f t="shared" si="94"/>
        <v>25</v>
      </c>
      <c r="S40">
        <f t="shared" si="94"/>
        <v>23</v>
      </c>
      <c r="T40">
        <f t="shared" si="94"/>
        <v>57</v>
      </c>
      <c r="U40">
        <f t="shared" si="94"/>
        <v>49</v>
      </c>
      <c r="V40">
        <f t="shared" si="94"/>
        <v>41</v>
      </c>
      <c r="W40">
        <f t="shared" si="94"/>
        <v>54.999999999999972</v>
      </c>
      <c r="X40">
        <f t="shared" si="94"/>
        <v>51.399999999999977</v>
      </c>
      <c r="Y40">
        <f t="shared" si="94"/>
        <v>47.799999999999983</v>
      </c>
      <c r="Z40">
        <f t="shared" si="94"/>
        <v>30</v>
      </c>
      <c r="AA40">
        <f t="shared" si="94"/>
        <v>27</v>
      </c>
      <c r="AB40">
        <f t="shared" si="94"/>
        <v>24</v>
      </c>
      <c r="AC40">
        <f t="shared" si="94"/>
        <v>47.799999999999983</v>
      </c>
      <c r="AD40">
        <f t="shared" si="94"/>
        <v>37</v>
      </c>
      <c r="AE40">
        <f t="shared" si="94"/>
        <v>26.200000000000006</v>
      </c>
      <c r="AF40">
        <f t="shared" si="94"/>
        <v>15.400000000000002</v>
      </c>
      <c r="AG40">
        <f t="shared" si="94"/>
        <v>4.5999999999999996</v>
      </c>
      <c r="AH40" t="str">
        <f t="shared" si="94"/>
        <v/>
      </c>
      <c r="AI40">
        <f t="shared" si="94"/>
        <v>17.799999999999997</v>
      </c>
      <c r="AJ40">
        <f t="shared" si="94"/>
        <v>15.399999999999993</v>
      </c>
      <c r="AK40">
        <f t="shared" si="94"/>
        <v>12.999999999999995</v>
      </c>
      <c r="AL40">
        <f t="shared" si="94"/>
        <v>10.599999999999996</v>
      </c>
      <c r="AM40">
        <f t="shared" si="94"/>
        <v>27</v>
      </c>
      <c r="AN40">
        <f t="shared" si="94"/>
        <v>21</v>
      </c>
      <c r="AO40">
        <f t="shared" si="94"/>
        <v>15</v>
      </c>
      <c r="AP40">
        <f t="shared" si="94"/>
        <v>38.699999999999996</v>
      </c>
      <c r="AQ40">
        <f t="shared" si="94"/>
        <v>34.800000000000004</v>
      </c>
      <c r="AR40">
        <f t="shared" si="94"/>
        <v>30.900000000000009</v>
      </c>
      <c r="AS40">
        <f t="shared" si="94"/>
        <v>27.000000000000007</v>
      </c>
      <c r="AT40">
        <f t="shared" si="94"/>
        <v>23.100000000000005</v>
      </c>
      <c r="AU40">
        <f t="shared" si="94"/>
        <v>19.200000000000003</v>
      </c>
      <c r="AV40">
        <f t="shared" si="94"/>
        <v>15.300000000000002</v>
      </c>
      <c r="AW40">
        <f t="shared" si="94"/>
        <v>27</v>
      </c>
      <c r="AX40">
        <f t="shared" si="94"/>
        <v>21</v>
      </c>
      <c r="AY40">
        <f t="shared" si="94"/>
        <v>55</v>
      </c>
      <c r="AZ40">
        <f t="shared" si="94"/>
        <v>45</v>
      </c>
      <c r="BA40">
        <f t="shared" si="94"/>
        <v>59</v>
      </c>
      <c r="BB40">
        <f t="shared" si="94"/>
        <v>53</v>
      </c>
      <c r="BC40">
        <f t="shared" si="94"/>
        <v>47</v>
      </c>
      <c r="BD40">
        <f t="shared" si="94"/>
        <v>41.29999999999999</v>
      </c>
      <c r="BE40">
        <f t="shared" si="94"/>
        <v>57</v>
      </c>
      <c r="BF40">
        <f t="shared" si="94"/>
        <v>49</v>
      </c>
      <c r="BG40">
        <f t="shared" si="94"/>
        <v>41</v>
      </c>
      <c r="BH40">
        <f t="shared" si="94"/>
        <v>33</v>
      </c>
      <c r="BI40">
        <f t="shared" si="94"/>
        <v>28</v>
      </c>
      <c r="BJ40">
        <f t="shared" si="94"/>
        <v>23</v>
      </c>
      <c r="BK40">
        <f t="shared" si="94"/>
        <v>18</v>
      </c>
      <c r="BL40">
        <f t="shared" si="94"/>
        <v>13</v>
      </c>
      <c r="BM40">
        <f t="shared" si="94"/>
        <v>27</v>
      </c>
      <c r="BN40">
        <f t="shared" si="94"/>
        <v>39.999999999999993</v>
      </c>
      <c r="BO40">
        <f t="shared" si="94"/>
        <v>37.4</v>
      </c>
      <c r="BP40">
        <f t="shared" ref="BP40:EA40" si="95">IF(OR(BP39=-1,AND(IF(BP$3&lt;$B40,BP39+BP$6,IF(BP$3=$B40,1,""))&gt;$B$1,BP$3&lt;$B40)),-1,IF(BP$3&lt;$B40,BP39+BP$6,IF(BP$3=$B40,1,"")))</f>
        <v>59</v>
      </c>
      <c r="BQ40">
        <f t="shared" si="95"/>
        <v>53</v>
      </c>
      <c r="BR40">
        <f t="shared" si="95"/>
        <v>47</v>
      </c>
      <c r="BS40">
        <f t="shared" si="95"/>
        <v>31</v>
      </c>
      <c r="BT40">
        <f t="shared" si="95"/>
        <v>29</v>
      </c>
      <c r="BU40">
        <f t="shared" si="95"/>
        <v>16.599999999999994</v>
      </c>
      <c r="BV40">
        <f t="shared" si="95"/>
        <v>12.999999999999995</v>
      </c>
      <c r="BW40">
        <f t="shared" si="95"/>
        <v>9.3999999999999968</v>
      </c>
      <c r="BX40">
        <f t="shared" si="95"/>
        <v>5.7999999999999989</v>
      </c>
      <c r="BY40">
        <f t="shared" si="95"/>
        <v>2.2000000000000002</v>
      </c>
      <c r="BZ40" t="str">
        <f t="shared" si="95"/>
        <v/>
      </c>
      <c r="CA40" t="str">
        <f t="shared" si="95"/>
        <v/>
      </c>
      <c r="CB40" t="str">
        <f t="shared" si="95"/>
        <v/>
      </c>
      <c r="CC40" t="str">
        <f t="shared" si="95"/>
        <v/>
      </c>
      <c r="CD40" t="str">
        <f t="shared" si="95"/>
        <v/>
      </c>
      <c r="CE40" t="str">
        <f t="shared" si="95"/>
        <v/>
      </c>
      <c r="CF40" t="str">
        <f t="shared" si="95"/>
        <v/>
      </c>
      <c r="CG40" t="str">
        <f t="shared" si="95"/>
        <v/>
      </c>
      <c r="CH40" t="str">
        <f t="shared" si="95"/>
        <v/>
      </c>
      <c r="CI40" t="str">
        <f t="shared" si="95"/>
        <v/>
      </c>
      <c r="CJ40" t="str">
        <f t="shared" si="95"/>
        <v/>
      </c>
      <c r="CK40" t="str">
        <f t="shared" si="95"/>
        <v/>
      </c>
      <c r="CL40" t="str">
        <f t="shared" si="95"/>
        <v/>
      </c>
      <c r="CM40" t="str">
        <f t="shared" si="95"/>
        <v/>
      </c>
      <c r="CN40" t="str">
        <f t="shared" si="95"/>
        <v/>
      </c>
      <c r="CO40">
        <f t="shared" si="95"/>
        <v>4</v>
      </c>
      <c r="CP40" t="str">
        <f t="shared" si="95"/>
        <v/>
      </c>
      <c r="CQ40">
        <f t="shared" si="95"/>
        <v>28</v>
      </c>
      <c r="CR40">
        <f t="shared" si="95"/>
        <v>23</v>
      </c>
      <c r="CS40">
        <f t="shared" si="95"/>
        <v>18</v>
      </c>
      <c r="CT40">
        <f t="shared" si="95"/>
        <v>39.999999999999993</v>
      </c>
      <c r="CU40">
        <f t="shared" si="95"/>
        <v>37.4</v>
      </c>
      <c r="CV40">
        <f t="shared" si="95"/>
        <v>44.200000000000024</v>
      </c>
      <c r="CW40">
        <f t="shared" si="95"/>
        <v>36.200000000000017</v>
      </c>
      <c r="CX40">
        <f t="shared" si="95"/>
        <v>28.20000000000001</v>
      </c>
      <c r="CY40">
        <f t="shared" si="95"/>
        <v>20.200000000000003</v>
      </c>
      <c r="CZ40">
        <f t="shared" si="95"/>
        <v>12.2</v>
      </c>
      <c r="DA40">
        <f t="shared" si="95"/>
        <v>29</v>
      </c>
      <c r="DB40">
        <f t="shared" si="95"/>
        <v>25</v>
      </c>
      <c r="DC40">
        <f t="shared" si="95"/>
        <v>21</v>
      </c>
      <c r="DD40">
        <f t="shared" si="95"/>
        <v>17</v>
      </c>
      <c r="DE40">
        <f t="shared" si="95"/>
        <v>31</v>
      </c>
      <c r="DF40">
        <f t="shared" si="95"/>
        <v>29</v>
      </c>
      <c r="DG40">
        <f t="shared" si="95"/>
        <v>41.29999999999999</v>
      </c>
      <c r="DH40">
        <f t="shared" si="95"/>
        <v>39.999999999999993</v>
      </c>
      <c r="DI40">
        <f t="shared" si="95"/>
        <v>38.699999999999996</v>
      </c>
      <c r="DJ40">
        <f t="shared" si="95"/>
        <v>37.4</v>
      </c>
      <c r="DK40">
        <f t="shared" si="95"/>
        <v>57</v>
      </c>
      <c r="DL40">
        <f t="shared" si="95"/>
        <v>49</v>
      </c>
      <c r="DM40">
        <f t="shared" si="95"/>
        <v>41</v>
      </c>
      <c r="DN40">
        <f t="shared" si="95"/>
        <v>33</v>
      </c>
      <c r="DO40">
        <f t="shared" si="95"/>
        <v>25</v>
      </c>
      <c r="DP40">
        <f t="shared" si="95"/>
        <v>17</v>
      </c>
      <c r="DQ40">
        <f t="shared" si="95"/>
        <v>39.999999999999993</v>
      </c>
      <c r="DR40">
        <f t="shared" si="95"/>
        <v>37.4</v>
      </c>
      <c r="DS40">
        <f t="shared" si="95"/>
        <v>27</v>
      </c>
      <c r="DT40">
        <f t="shared" si="95"/>
        <v>21</v>
      </c>
      <c r="DU40">
        <f t="shared" si="95"/>
        <v>15</v>
      </c>
      <c r="DV40">
        <f t="shared" si="95"/>
        <v>9</v>
      </c>
      <c r="DW40">
        <f t="shared" si="95"/>
        <v>3</v>
      </c>
      <c r="DX40" t="str">
        <f t="shared" si="95"/>
        <v/>
      </c>
      <c r="DY40">
        <f t="shared" si="95"/>
        <v>63</v>
      </c>
      <c r="DZ40">
        <f t="shared" si="95"/>
        <v>61</v>
      </c>
      <c r="EA40">
        <f t="shared" si="95"/>
        <v>59</v>
      </c>
      <c r="EB40">
        <f t="shared" ref="EB40:EO40" si="96">IF(OR(EB39=-1,AND(IF(EB$3&lt;$B40,EB39+EB$6,IF(EB$3=$B40,1,""))&gt;$B$1,EB$3&lt;$B40)),-1,IF(EB$3&lt;$B40,EB39+EB$6,IF(EB$3=$B40,1,"")))</f>
        <v>57</v>
      </c>
      <c r="EC40">
        <f t="shared" si="96"/>
        <v>55</v>
      </c>
      <c r="ED40">
        <f t="shared" si="96"/>
        <v>53</v>
      </c>
      <c r="EE40">
        <f t="shared" si="96"/>
        <v>44.200000000000024</v>
      </c>
      <c r="EF40">
        <f t="shared" si="96"/>
        <v>36.200000000000017</v>
      </c>
      <c r="EG40">
        <f t="shared" si="96"/>
        <v>28.20000000000001</v>
      </c>
      <c r="EH40">
        <f t="shared" si="96"/>
        <v>20.200000000000003</v>
      </c>
      <c r="EI40">
        <f t="shared" si="96"/>
        <v>12.2</v>
      </c>
      <c r="EJ40">
        <f t="shared" si="96"/>
        <v>4.2</v>
      </c>
      <c r="EK40">
        <f t="shared" si="96"/>
        <v>49.000000000000028</v>
      </c>
      <c r="EL40">
        <f t="shared" si="96"/>
        <v>41.000000000000021</v>
      </c>
      <c r="EM40">
        <f t="shared" si="96"/>
        <v>29.800000000000011</v>
      </c>
      <c r="EN40">
        <f t="shared" si="96"/>
        <v>18.600000000000001</v>
      </c>
      <c r="EO40">
        <f t="shared" si="96"/>
        <v>7.4</v>
      </c>
    </row>
    <row r="41" spans="1:145" x14ac:dyDescent="0.15">
      <c r="A41" t="e">
        <f t="shared" si="0"/>
        <v>#N/A</v>
      </c>
      <c r="B41" s="218">
        <v>33</v>
      </c>
      <c r="C41">
        <f t="shared" si="0"/>
        <v>32</v>
      </c>
      <c r="D41">
        <f t="shared" ref="D41:BO41" si="97">IF(OR(D40=-1,AND(IF(D$3&lt;$B41,D40+D$6,IF(D$3=$B41,1,""))&gt;$B$1,D$3&lt;$B41)),-1,IF(D$3&lt;$B41,D40+D$6,IF(D$3=$B41,1,"")))</f>
        <v>30</v>
      </c>
      <c r="E41">
        <f t="shared" si="97"/>
        <v>28</v>
      </c>
      <c r="F41">
        <f t="shared" si="97"/>
        <v>26</v>
      </c>
      <c r="G41">
        <f t="shared" si="97"/>
        <v>24</v>
      </c>
      <c r="H41">
        <f t="shared" si="97"/>
        <v>22</v>
      </c>
      <c r="I41">
        <f t="shared" si="97"/>
        <v>32.20000000000001</v>
      </c>
      <c r="J41">
        <f t="shared" si="97"/>
        <v>20.500000000000004</v>
      </c>
      <c r="K41">
        <f t="shared" si="97"/>
        <v>8.7999999999999989</v>
      </c>
      <c r="L41">
        <f t="shared" si="97"/>
        <v>20.599999999999987</v>
      </c>
      <c r="M41">
        <f t="shared" si="97"/>
        <v>17.099999999999991</v>
      </c>
      <c r="N41">
        <f t="shared" si="97"/>
        <v>13.599999999999994</v>
      </c>
      <c r="O41">
        <f t="shared" si="97"/>
        <v>32</v>
      </c>
      <c r="P41">
        <f t="shared" si="97"/>
        <v>30</v>
      </c>
      <c r="Q41">
        <f t="shared" si="97"/>
        <v>28</v>
      </c>
      <c r="R41">
        <f t="shared" si="97"/>
        <v>26</v>
      </c>
      <c r="S41">
        <f t="shared" si="97"/>
        <v>24</v>
      </c>
      <c r="T41">
        <f t="shared" si="97"/>
        <v>59</v>
      </c>
      <c r="U41">
        <f t="shared" si="97"/>
        <v>51</v>
      </c>
      <c r="V41">
        <f t="shared" si="97"/>
        <v>43</v>
      </c>
      <c r="W41">
        <f t="shared" si="97"/>
        <v>56.799999999999969</v>
      </c>
      <c r="X41">
        <f t="shared" si="97"/>
        <v>53.199999999999974</v>
      </c>
      <c r="Y41">
        <f t="shared" si="97"/>
        <v>49.59999999999998</v>
      </c>
      <c r="Z41">
        <f t="shared" si="97"/>
        <v>31</v>
      </c>
      <c r="AA41">
        <f t="shared" si="97"/>
        <v>28</v>
      </c>
      <c r="AB41">
        <f t="shared" si="97"/>
        <v>25</v>
      </c>
      <c r="AC41">
        <f t="shared" si="97"/>
        <v>49.59999999999998</v>
      </c>
      <c r="AD41">
        <f t="shared" si="97"/>
        <v>38.799999999999997</v>
      </c>
      <c r="AE41">
        <f t="shared" si="97"/>
        <v>28.000000000000007</v>
      </c>
      <c r="AF41">
        <f t="shared" si="97"/>
        <v>17.200000000000003</v>
      </c>
      <c r="AG41">
        <f t="shared" si="97"/>
        <v>6.3999999999999995</v>
      </c>
      <c r="AH41" t="str">
        <f t="shared" si="97"/>
        <v/>
      </c>
      <c r="AI41">
        <f t="shared" si="97"/>
        <v>18.399999999999999</v>
      </c>
      <c r="AJ41">
        <f t="shared" si="97"/>
        <v>15.999999999999993</v>
      </c>
      <c r="AK41">
        <f t="shared" si="97"/>
        <v>13.599999999999994</v>
      </c>
      <c r="AL41">
        <f t="shared" si="97"/>
        <v>11.199999999999996</v>
      </c>
      <c r="AM41">
        <f t="shared" si="97"/>
        <v>28</v>
      </c>
      <c r="AN41">
        <f t="shared" si="97"/>
        <v>22</v>
      </c>
      <c r="AO41">
        <f t="shared" si="97"/>
        <v>16</v>
      </c>
      <c r="AP41">
        <f t="shared" si="97"/>
        <v>39.999999999999993</v>
      </c>
      <c r="AQ41">
        <f t="shared" si="97"/>
        <v>36.1</v>
      </c>
      <c r="AR41">
        <f t="shared" si="97"/>
        <v>32.20000000000001</v>
      </c>
      <c r="AS41">
        <f t="shared" si="97"/>
        <v>28.300000000000008</v>
      </c>
      <c r="AT41">
        <f t="shared" si="97"/>
        <v>24.400000000000006</v>
      </c>
      <c r="AU41">
        <f t="shared" si="97"/>
        <v>20.500000000000004</v>
      </c>
      <c r="AV41">
        <f t="shared" si="97"/>
        <v>16.600000000000001</v>
      </c>
      <c r="AW41">
        <f t="shared" si="97"/>
        <v>28</v>
      </c>
      <c r="AX41">
        <f t="shared" si="97"/>
        <v>22</v>
      </c>
      <c r="AY41">
        <f t="shared" si="97"/>
        <v>57</v>
      </c>
      <c r="AZ41">
        <f t="shared" si="97"/>
        <v>47</v>
      </c>
      <c r="BA41">
        <f t="shared" si="97"/>
        <v>61</v>
      </c>
      <c r="BB41">
        <f t="shared" si="97"/>
        <v>55</v>
      </c>
      <c r="BC41">
        <f t="shared" si="97"/>
        <v>49</v>
      </c>
      <c r="BD41">
        <f t="shared" si="97"/>
        <v>42.599999999999987</v>
      </c>
      <c r="BE41">
        <f t="shared" si="97"/>
        <v>59</v>
      </c>
      <c r="BF41">
        <f t="shared" si="97"/>
        <v>51</v>
      </c>
      <c r="BG41">
        <f t="shared" si="97"/>
        <v>43</v>
      </c>
      <c r="BH41">
        <f t="shared" si="97"/>
        <v>35</v>
      </c>
      <c r="BI41">
        <f t="shared" si="97"/>
        <v>29</v>
      </c>
      <c r="BJ41">
        <f t="shared" si="97"/>
        <v>24</v>
      </c>
      <c r="BK41">
        <f t="shared" si="97"/>
        <v>19</v>
      </c>
      <c r="BL41">
        <f t="shared" si="97"/>
        <v>14</v>
      </c>
      <c r="BM41">
        <f t="shared" si="97"/>
        <v>28</v>
      </c>
      <c r="BN41">
        <f t="shared" si="97"/>
        <v>41.29999999999999</v>
      </c>
      <c r="BO41">
        <f t="shared" si="97"/>
        <v>38.699999999999996</v>
      </c>
      <c r="BP41">
        <f t="shared" ref="BP41:EA41" si="98">IF(OR(BP40=-1,AND(IF(BP$3&lt;$B41,BP40+BP$6,IF(BP$3=$B41,1,""))&gt;$B$1,BP$3&lt;$B41)),-1,IF(BP$3&lt;$B41,BP40+BP$6,IF(BP$3=$B41,1,"")))</f>
        <v>61</v>
      </c>
      <c r="BQ41">
        <f t="shared" si="98"/>
        <v>55</v>
      </c>
      <c r="BR41">
        <f t="shared" si="98"/>
        <v>49</v>
      </c>
      <c r="BS41">
        <f t="shared" si="98"/>
        <v>32</v>
      </c>
      <c r="BT41">
        <f t="shared" si="98"/>
        <v>30</v>
      </c>
      <c r="BU41">
        <f t="shared" si="98"/>
        <v>17.199999999999996</v>
      </c>
      <c r="BV41">
        <f t="shared" si="98"/>
        <v>13.599999999999994</v>
      </c>
      <c r="BW41">
        <f t="shared" si="98"/>
        <v>9.9999999999999964</v>
      </c>
      <c r="BX41">
        <f t="shared" si="98"/>
        <v>6.3999999999999986</v>
      </c>
      <c r="BY41">
        <f t="shared" si="98"/>
        <v>2.8000000000000003</v>
      </c>
      <c r="BZ41" t="str">
        <f t="shared" si="98"/>
        <v/>
      </c>
      <c r="CA41" t="str">
        <f t="shared" si="98"/>
        <v/>
      </c>
      <c r="CB41" t="str">
        <f t="shared" si="98"/>
        <v/>
      </c>
      <c r="CC41" t="str">
        <f t="shared" si="98"/>
        <v/>
      </c>
      <c r="CD41" t="str">
        <f t="shared" si="98"/>
        <v/>
      </c>
      <c r="CE41" t="str">
        <f t="shared" si="98"/>
        <v/>
      </c>
      <c r="CF41" t="str">
        <f t="shared" si="98"/>
        <v/>
      </c>
      <c r="CG41" t="str">
        <f t="shared" si="98"/>
        <v/>
      </c>
      <c r="CH41" t="str">
        <f t="shared" si="98"/>
        <v/>
      </c>
      <c r="CI41" t="str">
        <f t="shared" si="98"/>
        <v/>
      </c>
      <c r="CJ41" t="str">
        <f t="shared" si="98"/>
        <v/>
      </c>
      <c r="CK41" t="str">
        <f t="shared" si="98"/>
        <v/>
      </c>
      <c r="CL41" t="str">
        <f t="shared" si="98"/>
        <v/>
      </c>
      <c r="CM41" t="str">
        <f t="shared" si="98"/>
        <v/>
      </c>
      <c r="CN41" t="str">
        <f t="shared" si="98"/>
        <v/>
      </c>
      <c r="CO41">
        <f t="shared" si="98"/>
        <v>4.5</v>
      </c>
      <c r="CP41" t="str">
        <f t="shared" si="98"/>
        <v/>
      </c>
      <c r="CQ41">
        <f t="shared" si="98"/>
        <v>29</v>
      </c>
      <c r="CR41">
        <f t="shared" si="98"/>
        <v>24</v>
      </c>
      <c r="CS41">
        <f t="shared" si="98"/>
        <v>19</v>
      </c>
      <c r="CT41">
        <f t="shared" si="98"/>
        <v>41.29999999999999</v>
      </c>
      <c r="CU41">
        <f t="shared" si="98"/>
        <v>38.699999999999996</v>
      </c>
      <c r="CV41">
        <f t="shared" si="98"/>
        <v>45.800000000000026</v>
      </c>
      <c r="CW41">
        <f t="shared" si="98"/>
        <v>37.800000000000018</v>
      </c>
      <c r="CX41">
        <f t="shared" si="98"/>
        <v>29.800000000000011</v>
      </c>
      <c r="CY41">
        <f t="shared" si="98"/>
        <v>21.800000000000004</v>
      </c>
      <c r="CZ41">
        <f t="shared" si="98"/>
        <v>13.799999999999999</v>
      </c>
      <c r="DA41">
        <f t="shared" si="98"/>
        <v>30</v>
      </c>
      <c r="DB41">
        <f t="shared" si="98"/>
        <v>26</v>
      </c>
      <c r="DC41">
        <f t="shared" si="98"/>
        <v>22</v>
      </c>
      <c r="DD41">
        <f t="shared" si="98"/>
        <v>18</v>
      </c>
      <c r="DE41">
        <f t="shared" si="98"/>
        <v>32</v>
      </c>
      <c r="DF41">
        <f t="shared" si="98"/>
        <v>30</v>
      </c>
      <c r="DG41">
        <f t="shared" si="98"/>
        <v>42.599999999999987</v>
      </c>
      <c r="DH41">
        <f t="shared" si="98"/>
        <v>41.29999999999999</v>
      </c>
      <c r="DI41">
        <f t="shared" si="98"/>
        <v>39.999999999999993</v>
      </c>
      <c r="DJ41">
        <f t="shared" si="98"/>
        <v>38.699999999999996</v>
      </c>
      <c r="DK41">
        <f t="shared" si="98"/>
        <v>59</v>
      </c>
      <c r="DL41">
        <f t="shared" si="98"/>
        <v>51</v>
      </c>
      <c r="DM41">
        <f t="shared" si="98"/>
        <v>43</v>
      </c>
      <c r="DN41">
        <f t="shared" si="98"/>
        <v>35</v>
      </c>
      <c r="DO41">
        <f t="shared" si="98"/>
        <v>27</v>
      </c>
      <c r="DP41">
        <f t="shared" si="98"/>
        <v>19</v>
      </c>
      <c r="DQ41">
        <f t="shared" si="98"/>
        <v>41.29999999999999</v>
      </c>
      <c r="DR41">
        <f t="shared" si="98"/>
        <v>38.699999999999996</v>
      </c>
      <c r="DS41">
        <f t="shared" si="98"/>
        <v>28</v>
      </c>
      <c r="DT41">
        <f t="shared" si="98"/>
        <v>22</v>
      </c>
      <c r="DU41">
        <f t="shared" si="98"/>
        <v>16</v>
      </c>
      <c r="DV41">
        <f t="shared" si="98"/>
        <v>10</v>
      </c>
      <c r="DW41">
        <f t="shared" si="98"/>
        <v>4</v>
      </c>
      <c r="DX41" t="str">
        <f t="shared" si="98"/>
        <v/>
      </c>
      <c r="DY41">
        <f t="shared" si="98"/>
        <v>65</v>
      </c>
      <c r="DZ41">
        <f t="shared" si="98"/>
        <v>63</v>
      </c>
      <c r="EA41">
        <f t="shared" si="98"/>
        <v>61</v>
      </c>
      <c r="EB41">
        <f t="shared" ref="EB41:EO41" si="99">IF(OR(EB40=-1,AND(IF(EB$3&lt;$B41,EB40+EB$6,IF(EB$3=$B41,1,""))&gt;$B$1,EB$3&lt;$B41)),-1,IF(EB$3&lt;$B41,EB40+EB$6,IF(EB$3=$B41,1,"")))</f>
        <v>59</v>
      </c>
      <c r="EC41">
        <f t="shared" si="99"/>
        <v>57</v>
      </c>
      <c r="ED41">
        <f t="shared" si="99"/>
        <v>55</v>
      </c>
      <c r="EE41">
        <f t="shared" si="99"/>
        <v>45.800000000000026</v>
      </c>
      <c r="EF41">
        <f t="shared" si="99"/>
        <v>37.800000000000018</v>
      </c>
      <c r="EG41">
        <f t="shared" si="99"/>
        <v>29.800000000000011</v>
      </c>
      <c r="EH41">
        <f t="shared" si="99"/>
        <v>21.800000000000004</v>
      </c>
      <c r="EI41">
        <f t="shared" si="99"/>
        <v>13.799999999999999</v>
      </c>
      <c r="EJ41">
        <f t="shared" si="99"/>
        <v>5.8000000000000007</v>
      </c>
      <c r="EK41">
        <f t="shared" si="99"/>
        <v>50.60000000000003</v>
      </c>
      <c r="EL41">
        <f t="shared" si="99"/>
        <v>42.600000000000023</v>
      </c>
      <c r="EM41">
        <f t="shared" si="99"/>
        <v>31.400000000000013</v>
      </c>
      <c r="EN41">
        <f t="shared" si="99"/>
        <v>20.200000000000003</v>
      </c>
      <c r="EO41">
        <f t="shared" si="99"/>
        <v>9</v>
      </c>
    </row>
    <row r="42" spans="1:145" x14ac:dyDescent="0.15">
      <c r="A42" t="e">
        <f t="shared" si="0"/>
        <v>#N/A</v>
      </c>
      <c r="B42" s="218">
        <v>34</v>
      </c>
      <c r="C42">
        <f t="shared" si="0"/>
        <v>33</v>
      </c>
      <c r="D42">
        <f t="shared" ref="D42:BO42" si="100">IF(OR(D41=-1,AND(IF(D$3&lt;$B42,D41+D$6,IF(D$3=$B42,1,""))&gt;$B$1,D$3&lt;$B42)),-1,IF(D$3&lt;$B42,D41+D$6,IF(D$3=$B42,1,"")))</f>
        <v>31</v>
      </c>
      <c r="E42">
        <f t="shared" si="100"/>
        <v>29</v>
      </c>
      <c r="F42">
        <f t="shared" si="100"/>
        <v>27</v>
      </c>
      <c r="G42">
        <f t="shared" si="100"/>
        <v>25</v>
      </c>
      <c r="H42">
        <f t="shared" si="100"/>
        <v>23</v>
      </c>
      <c r="I42">
        <f t="shared" si="100"/>
        <v>33.500000000000007</v>
      </c>
      <c r="J42">
        <f t="shared" si="100"/>
        <v>21.800000000000004</v>
      </c>
      <c r="K42">
        <f t="shared" si="100"/>
        <v>10.1</v>
      </c>
      <c r="L42">
        <f t="shared" si="100"/>
        <v>21.299999999999986</v>
      </c>
      <c r="M42">
        <f t="shared" si="100"/>
        <v>17.79999999999999</v>
      </c>
      <c r="N42">
        <f t="shared" si="100"/>
        <v>14.299999999999994</v>
      </c>
      <c r="O42">
        <f t="shared" si="100"/>
        <v>33</v>
      </c>
      <c r="P42">
        <f t="shared" si="100"/>
        <v>31</v>
      </c>
      <c r="Q42">
        <f t="shared" si="100"/>
        <v>29</v>
      </c>
      <c r="R42">
        <f t="shared" si="100"/>
        <v>27</v>
      </c>
      <c r="S42">
        <f t="shared" si="100"/>
        <v>25</v>
      </c>
      <c r="T42">
        <f t="shared" si="100"/>
        <v>61</v>
      </c>
      <c r="U42">
        <f t="shared" si="100"/>
        <v>53</v>
      </c>
      <c r="V42">
        <f t="shared" si="100"/>
        <v>45</v>
      </c>
      <c r="W42">
        <f t="shared" si="100"/>
        <v>58.599999999999966</v>
      </c>
      <c r="X42">
        <f t="shared" si="100"/>
        <v>54.999999999999972</v>
      </c>
      <c r="Y42">
        <f t="shared" si="100"/>
        <v>51.399999999999977</v>
      </c>
      <c r="Z42">
        <f t="shared" si="100"/>
        <v>32</v>
      </c>
      <c r="AA42">
        <f t="shared" si="100"/>
        <v>29</v>
      </c>
      <c r="AB42">
        <f t="shared" si="100"/>
        <v>26</v>
      </c>
      <c r="AC42">
        <f t="shared" si="100"/>
        <v>51.399999999999977</v>
      </c>
      <c r="AD42">
        <f t="shared" si="100"/>
        <v>40.599999999999994</v>
      </c>
      <c r="AE42">
        <f t="shared" si="100"/>
        <v>29.800000000000008</v>
      </c>
      <c r="AF42">
        <f t="shared" si="100"/>
        <v>19.000000000000004</v>
      </c>
      <c r="AG42">
        <f t="shared" si="100"/>
        <v>8.1999999999999993</v>
      </c>
      <c r="AH42" t="str">
        <f t="shared" si="100"/>
        <v/>
      </c>
      <c r="AI42">
        <f t="shared" si="100"/>
        <v>19</v>
      </c>
      <c r="AJ42">
        <f t="shared" si="100"/>
        <v>16.599999999999994</v>
      </c>
      <c r="AK42">
        <f t="shared" si="100"/>
        <v>14.199999999999994</v>
      </c>
      <c r="AL42">
        <f t="shared" si="100"/>
        <v>11.799999999999995</v>
      </c>
      <c r="AM42">
        <f t="shared" si="100"/>
        <v>29</v>
      </c>
      <c r="AN42">
        <f t="shared" si="100"/>
        <v>23</v>
      </c>
      <c r="AO42">
        <f t="shared" si="100"/>
        <v>17</v>
      </c>
      <c r="AP42">
        <f t="shared" si="100"/>
        <v>41.29999999999999</v>
      </c>
      <c r="AQ42">
        <f t="shared" si="100"/>
        <v>37.4</v>
      </c>
      <c r="AR42">
        <f t="shared" si="100"/>
        <v>33.500000000000007</v>
      </c>
      <c r="AS42">
        <f t="shared" si="100"/>
        <v>29.600000000000009</v>
      </c>
      <c r="AT42">
        <f t="shared" si="100"/>
        <v>25.700000000000006</v>
      </c>
      <c r="AU42">
        <f t="shared" si="100"/>
        <v>21.800000000000004</v>
      </c>
      <c r="AV42">
        <f t="shared" si="100"/>
        <v>17.900000000000002</v>
      </c>
      <c r="AW42">
        <f t="shared" si="100"/>
        <v>29</v>
      </c>
      <c r="AX42">
        <f t="shared" si="100"/>
        <v>23</v>
      </c>
      <c r="AY42">
        <f t="shared" si="100"/>
        <v>59</v>
      </c>
      <c r="AZ42">
        <f t="shared" si="100"/>
        <v>49</v>
      </c>
      <c r="BA42">
        <f t="shared" si="100"/>
        <v>63</v>
      </c>
      <c r="BB42">
        <f t="shared" si="100"/>
        <v>57</v>
      </c>
      <c r="BC42">
        <f t="shared" si="100"/>
        <v>51</v>
      </c>
      <c r="BD42">
        <f t="shared" si="100"/>
        <v>43.899999999999984</v>
      </c>
      <c r="BE42">
        <f t="shared" si="100"/>
        <v>61</v>
      </c>
      <c r="BF42">
        <f t="shared" si="100"/>
        <v>53</v>
      </c>
      <c r="BG42">
        <f t="shared" si="100"/>
        <v>45</v>
      </c>
      <c r="BH42">
        <f t="shared" si="100"/>
        <v>37</v>
      </c>
      <c r="BI42">
        <f t="shared" si="100"/>
        <v>30</v>
      </c>
      <c r="BJ42">
        <f t="shared" si="100"/>
        <v>25</v>
      </c>
      <c r="BK42">
        <f t="shared" si="100"/>
        <v>20</v>
      </c>
      <c r="BL42">
        <f t="shared" si="100"/>
        <v>15</v>
      </c>
      <c r="BM42">
        <f t="shared" si="100"/>
        <v>29</v>
      </c>
      <c r="BN42">
        <f t="shared" si="100"/>
        <v>42.599999999999987</v>
      </c>
      <c r="BO42">
        <f t="shared" si="100"/>
        <v>39.999999999999993</v>
      </c>
      <c r="BP42">
        <f t="shared" ref="BP42:EA42" si="101">IF(OR(BP41=-1,AND(IF(BP$3&lt;$B42,BP41+BP$6,IF(BP$3=$B42,1,""))&gt;$B$1,BP$3&lt;$B42)),-1,IF(BP$3&lt;$B42,BP41+BP$6,IF(BP$3=$B42,1,"")))</f>
        <v>63</v>
      </c>
      <c r="BQ42">
        <f t="shared" si="101"/>
        <v>57</v>
      </c>
      <c r="BR42">
        <f t="shared" si="101"/>
        <v>51</v>
      </c>
      <c r="BS42">
        <f t="shared" si="101"/>
        <v>33</v>
      </c>
      <c r="BT42">
        <f t="shared" si="101"/>
        <v>31</v>
      </c>
      <c r="BU42">
        <f t="shared" si="101"/>
        <v>17.799999999999997</v>
      </c>
      <c r="BV42">
        <f t="shared" si="101"/>
        <v>14.199999999999994</v>
      </c>
      <c r="BW42">
        <f t="shared" si="101"/>
        <v>10.599999999999996</v>
      </c>
      <c r="BX42">
        <f t="shared" si="101"/>
        <v>6.9999999999999982</v>
      </c>
      <c r="BY42">
        <f t="shared" si="101"/>
        <v>3.4000000000000004</v>
      </c>
      <c r="BZ42" t="str">
        <f t="shared" si="101"/>
        <v/>
      </c>
      <c r="CA42" t="str">
        <f t="shared" si="101"/>
        <v/>
      </c>
      <c r="CB42" t="str">
        <f t="shared" si="101"/>
        <v/>
      </c>
      <c r="CC42" t="str">
        <f t="shared" si="101"/>
        <v/>
      </c>
      <c r="CD42" t="str">
        <f t="shared" si="101"/>
        <v/>
      </c>
      <c r="CE42" t="str">
        <f t="shared" si="101"/>
        <v/>
      </c>
      <c r="CF42" t="str">
        <f t="shared" si="101"/>
        <v/>
      </c>
      <c r="CG42" t="str">
        <f t="shared" si="101"/>
        <v/>
      </c>
      <c r="CH42" t="str">
        <f t="shared" si="101"/>
        <v/>
      </c>
      <c r="CI42" t="str">
        <f t="shared" si="101"/>
        <v/>
      </c>
      <c r="CJ42" t="str">
        <f t="shared" si="101"/>
        <v/>
      </c>
      <c r="CK42" t="str">
        <f t="shared" si="101"/>
        <v/>
      </c>
      <c r="CL42" t="str">
        <f t="shared" si="101"/>
        <v/>
      </c>
      <c r="CM42" t="str">
        <f t="shared" si="101"/>
        <v/>
      </c>
      <c r="CN42" t="str">
        <f t="shared" si="101"/>
        <v/>
      </c>
      <c r="CO42">
        <f t="shared" si="101"/>
        <v>5</v>
      </c>
      <c r="CP42" t="str">
        <f t="shared" si="101"/>
        <v/>
      </c>
      <c r="CQ42">
        <f t="shared" si="101"/>
        <v>30</v>
      </c>
      <c r="CR42">
        <f t="shared" si="101"/>
        <v>25</v>
      </c>
      <c r="CS42">
        <f t="shared" si="101"/>
        <v>20</v>
      </c>
      <c r="CT42">
        <f t="shared" si="101"/>
        <v>42.599999999999987</v>
      </c>
      <c r="CU42">
        <f t="shared" si="101"/>
        <v>39.999999999999993</v>
      </c>
      <c r="CV42">
        <f t="shared" si="101"/>
        <v>47.400000000000027</v>
      </c>
      <c r="CW42">
        <f t="shared" si="101"/>
        <v>39.40000000000002</v>
      </c>
      <c r="CX42">
        <f t="shared" si="101"/>
        <v>31.400000000000013</v>
      </c>
      <c r="CY42">
        <f t="shared" si="101"/>
        <v>23.400000000000006</v>
      </c>
      <c r="CZ42">
        <f t="shared" si="101"/>
        <v>15.399999999999999</v>
      </c>
      <c r="DA42">
        <f t="shared" si="101"/>
        <v>31</v>
      </c>
      <c r="DB42">
        <f t="shared" si="101"/>
        <v>27</v>
      </c>
      <c r="DC42">
        <f t="shared" si="101"/>
        <v>23</v>
      </c>
      <c r="DD42">
        <f t="shared" si="101"/>
        <v>19</v>
      </c>
      <c r="DE42">
        <f t="shared" si="101"/>
        <v>33</v>
      </c>
      <c r="DF42">
        <f t="shared" si="101"/>
        <v>31</v>
      </c>
      <c r="DG42">
        <f t="shared" si="101"/>
        <v>43.899999999999984</v>
      </c>
      <c r="DH42">
        <f t="shared" si="101"/>
        <v>42.599999999999987</v>
      </c>
      <c r="DI42">
        <f t="shared" si="101"/>
        <v>41.29999999999999</v>
      </c>
      <c r="DJ42">
        <f t="shared" si="101"/>
        <v>39.999999999999993</v>
      </c>
      <c r="DK42">
        <f t="shared" si="101"/>
        <v>61</v>
      </c>
      <c r="DL42">
        <f t="shared" si="101"/>
        <v>53</v>
      </c>
      <c r="DM42">
        <f t="shared" si="101"/>
        <v>45</v>
      </c>
      <c r="DN42">
        <f t="shared" si="101"/>
        <v>37</v>
      </c>
      <c r="DO42">
        <f t="shared" si="101"/>
        <v>29</v>
      </c>
      <c r="DP42">
        <f t="shared" si="101"/>
        <v>21</v>
      </c>
      <c r="DQ42">
        <f t="shared" si="101"/>
        <v>42.599999999999987</v>
      </c>
      <c r="DR42">
        <f t="shared" si="101"/>
        <v>39.999999999999993</v>
      </c>
      <c r="DS42">
        <f t="shared" si="101"/>
        <v>29</v>
      </c>
      <c r="DT42">
        <f t="shared" si="101"/>
        <v>23</v>
      </c>
      <c r="DU42">
        <f t="shared" si="101"/>
        <v>17</v>
      </c>
      <c r="DV42">
        <f t="shared" si="101"/>
        <v>11</v>
      </c>
      <c r="DW42">
        <f t="shared" si="101"/>
        <v>5</v>
      </c>
      <c r="DX42" t="str">
        <f t="shared" si="101"/>
        <v/>
      </c>
      <c r="DY42">
        <f t="shared" si="101"/>
        <v>67</v>
      </c>
      <c r="DZ42">
        <f t="shared" si="101"/>
        <v>65</v>
      </c>
      <c r="EA42">
        <f t="shared" si="101"/>
        <v>63</v>
      </c>
      <c r="EB42">
        <f t="shared" ref="EB42:EO42" si="102">IF(OR(EB41=-1,AND(IF(EB$3&lt;$B42,EB41+EB$6,IF(EB$3=$B42,1,""))&gt;$B$1,EB$3&lt;$B42)),-1,IF(EB$3&lt;$B42,EB41+EB$6,IF(EB$3=$B42,1,"")))</f>
        <v>61</v>
      </c>
      <c r="EC42">
        <f t="shared" si="102"/>
        <v>59</v>
      </c>
      <c r="ED42">
        <f t="shared" si="102"/>
        <v>57</v>
      </c>
      <c r="EE42">
        <f t="shared" si="102"/>
        <v>47.400000000000027</v>
      </c>
      <c r="EF42">
        <f t="shared" si="102"/>
        <v>39.40000000000002</v>
      </c>
      <c r="EG42">
        <f t="shared" si="102"/>
        <v>31.400000000000013</v>
      </c>
      <c r="EH42">
        <f t="shared" si="102"/>
        <v>23.400000000000006</v>
      </c>
      <c r="EI42">
        <f t="shared" si="102"/>
        <v>15.399999999999999</v>
      </c>
      <c r="EJ42">
        <f t="shared" si="102"/>
        <v>7.4</v>
      </c>
      <c r="EK42">
        <f t="shared" si="102"/>
        <v>52.200000000000031</v>
      </c>
      <c r="EL42">
        <f t="shared" si="102"/>
        <v>44.200000000000024</v>
      </c>
      <c r="EM42">
        <f t="shared" si="102"/>
        <v>33.000000000000014</v>
      </c>
      <c r="EN42">
        <f t="shared" si="102"/>
        <v>21.800000000000004</v>
      </c>
      <c r="EO42">
        <f t="shared" si="102"/>
        <v>10.6</v>
      </c>
    </row>
    <row r="43" spans="1:145" x14ac:dyDescent="0.15">
      <c r="A43" t="e">
        <f t="shared" si="0"/>
        <v>#N/A</v>
      </c>
      <c r="B43" s="218">
        <v>35</v>
      </c>
      <c r="C43">
        <f t="shared" si="0"/>
        <v>34</v>
      </c>
      <c r="D43">
        <f t="shared" ref="D43:BO43" si="103">IF(OR(D42=-1,AND(IF(D$3&lt;$B43,D42+D$6,IF(D$3=$B43,1,""))&gt;$B$1,D$3&lt;$B43)),-1,IF(D$3&lt;$B43,D42+D$6,IF(D$3=$B43,1,"")))</f>
        <v>32</v>
      </c>
      <c r="E43">
        <f t="shared" si="103"/>
        <v>30</v>
      </c>
      <c r="F43">
        <f t="shared" si="103"/>
        <v>28</v>
      </c>
      <c r="G43">
        <f t="shared" si="103"/>
        <v>26</v>
      </c>
      <c r="H43">
        <f t="shared" si="103"/>
        <v>24</v>
      </c>
      <c r="I43">
        <f t="shared" si="103"/>
        <v>34.800000000000004</v>
      </c>
      <c r="J43">
        <f t="shared" si="103"/>
        <v>23.100000000000005</v>
      </c>
      <c r="K43">
        <f t="shared" si="103"/>
        <v>11.4</v>
      </c>
      <c r="L43">
        <f t="shared" si="103"/>
        <v>21.999999999999986</v>
      </c>
      <c r="M43">
        <f t="shared" si="103"/>
        <v>18.499999999999989</v>
      </c>
      <c r="N43">
        <f t="shared" si="103"/>
        <v>14.999999999999993</v>
      </c>
      <c r="O43">
        <f t="shared" si="103"/>
        <v>34</v>
      </c>
      <c r="P43">
        <f t="shared" si="103"/>
        <v>32</v>
      </c>
      <c r="Q43">
        <f t="shared" si="103"/>
        <v>30</v>
      </c>
      <c r="R43">
        <f t="shared" si="103"/>
        <v>28</v>
      </c>
      <c r="S43">
        <f t="shared" si="103"/>
        <v>26</v>
      </c>
      <c r="T43">
        <f t="shared" si="103"/>
        <v>63</v>
      </c>
      <c r="U43">
        <f t="shared" si="103"/>
        <v>55</v>
      </c>
      <c r="V43">
        <f t="shared" si="103"/>
        <v>47</v>
      </c>
      <c r="W43">
        <f t="shared" si="103"/>
        <v>60.399999999999963</v>
      </c>
      <c r="X43">
        <f t="shared" si="103"/>
        <v>56.799999999999969</v>
      </c>
      <c r="Y43">
        <f t="shared" si="103"/>
        <v>53.199999999999974</v>
      </c>
      <c r="Z43">
        <f t="shared" si="103"/>
        <v>33</v>
      </c>
      <c r="AA43">
        <f t="shared" si="103"/>
        <v>30</v>
      </c>
      <c r="AB43">
        <f t="shared" si="103"/>
        <v>27</v>
      </c>
      <c r="AC43">
        <f t="shared" si="103"/>
        <v>53.199999999999974</v>
      </c>
      <c r="AD43">
        <f t="shared" si="103"/>
        <v>42.399999999999991</v>
      </c>
      <c r="AE43">
        <f t="shared" si="103"/>
        <v>31.600000000000009</v>
      </c>
      <c r="AF43">
        <f t="shared" si="103"/>
        <v>20.800000000000004</v>
      </c>
      <c r="AG43">
        <f t="shared" si="103"/>
        <v>10</v>
      </c>
      <c r="AH43" t="str">
        <f t="shared" si="103"/>
        <v/>
      </c>
      <c r="AI43">
        <f t="shared" si="103"/>
        <v>19.600000000000001</v>
      </c>
      <c r="AJ43">
        <f t="shared" si="103"/>
        <v>17.199999999999996</v>
      </c>
      <c r="AK43">
        <f t="shared" si="103"/>
        <v>14.799999999999994</v>
      </c>
      <c r="AL43">
        <f t="shared" si="103"/>
        <v>12.399999999999995</v>
      </c>
      <c r="AM43">
        <f t="shared" si="103"/>
        <v>30</v>
      </c>
      <c r="AN43">
        <f t="shared" si="103"/>
        <v>24</v>
      </c>
      <c r="AO43">
        <f t="shared" si="103"/>
        <v>18</v>
      </c>
      <c r="AP43">
        <f t="shared" si="103"/>
        <v>42.599999999999987</v>
      </c>
      <c r="AQ43">
        <f t="shared" si="103"/>
        <v>38.699999999999996</v>
      </c>
      <c r="AR43">
        <f t="shared" si="103"/>
        <v>34.800000000000004</v>
      </c>
      <c r="AS43">
        <f t="shared" si="103"/>
        <v>30.900000000000009</v>
      </c>
      <c r="AT43">
        <f t="shared" si="103"/>
        <v>27.000000000000007</v>
      </c>
      <c r="AU43">
        <f t="shared" si="103"/>
        <v>23.100000000000005</v>
      </c>
      <c r="AV43">
        <f t="shared" si="103"/>
        <v>19.200000000000003</v>
      </c>
      <c r="AW43">
        <f t="shared" si="103"/>
        <v>30</v>
      </c>
      <c r="AX43">
        <f t="shared" si="103"/>
        <v>24</v>
      </c>
      <c r="AY43">
        <f t="shared" si="103"/>
        <v>61</v>
      </c>
      <c r="AZ43">
        <f t="shared" si="103"/>
        <v>51</v>
      </c>
      <c r="BA43">
        <f t="shared" si="103"/>
        <v>65</v>
      </c>
      <c r="BB43">
        <f t="shared" si="103"/>
        <v>59</v>
      </c>
      <c r="BC43">
        <f t="shared" si="103"/>
        <v>53</v>
      </c>
      <c r="BD43">
        <f t="shared" si="103"/>
        <v>45.199999999999982</v>
      </c>
      <c r="BE43">
        <f t="shared" si="103"/>
        <v>63</v>
      </c>
      <c r="BF43">
        <f t="shared" si="103"/>
        <v>55</v>
      </c>
      <c r="BG43">
        <f t="shared" si="103"/>
        <v>47</v>
      </c>
      <c r="BH43">
        <f t="shared" si="103"/>
        <v>39</v>
      </c>
      <c r="BI43">
        <f t="shared" si="103"/>
        <v>31</v>
      </c>
      <c r="BJ43">
        <f t="shared" si="103"/>
        <v>26</v>
      </c>
      <c r="BK43">
        <f t="shared" si="103"/>
        <v>21</v>
      </c>
      <c r="BL43">
        <f t="shared" si="103"/>
        <v>16</v>
      </c>
      <c r="BM43">
        <f t="shared" si="103"/>
        <v>30</v>
      </c>
      <c r="BN43">
        <f t="shared" si="103"/>
        <v>43.899999999999984</v>
      </c>
      <c r="BO43">
        <f t="shared" si="103"/>
        <v>41.29999999999999</v>
      </c>
      <c r="BP43">
        <f t="shared" ref="BP43:EA43" si="104">IF(OR(BP42=-1,AND(IF(BP$3&lt;$B43,BP42+BP$6,IF(BP$3=$B43,1,""))&gt;$B$1,BP$3&lt;$B43)),-1,IF(BP$3&lt;$B43,BP42+BP$6,IF(BP$3=$B43,1,"")))</f>
        <v>65</v>
      </c>
      <c r="BQ43">
        <f t="shared" si="104"/>
        <v>59</v>
      </c>
      <c r="BR43">
        <f t="shared" si="104"/>
        <v>53</v>
      </c>
      <c r="BS43">
        <f t="shared" si="104"/>
        <v>34</v>
      </c>
      <c r="BT43">
        <f t="shared" si="104"/>
        <v>32</v>
      </c>
      <c r="BU43">
        <f t="shared" si="104"/>
        <v>18.399999999999999</v>
      </c>
      <c r="BV43">
        <f t="shared" si="104"/>
        <v>14.799999999999994</v>
      </c>
      <c r="BW43">
        <f t="shared" si="104"/>
        <v>11.199999999999996</v>
      </c>
      <c r="BX43">
        <f t="shared" si="104"/>
        <v>7.5999999999999979</v>
      </c>
      <c r="BY43">
        <f t="shared" si="104"/>
        <v>4</v>
      </c>
      <c r="BZ43" t="str">
        <f t="shared" si="104"/>
        <v/>
      </c>
      <c r="CA43" t="str">
        <f t="shared" si="104"/>
        <v/>
      </c>
      <c r="CB43" t="str">
        <f t="shared" si="104"/>
        <v/>
      </c>
      <c r="CC43" t="str">
        <f t="shared" si="104"/>
        <v/>
      </c>
      <c r="CD43" t="str">
        <f t="shared" si="104"/>
        <v/>
      </c>
      <c r="CE43" t="str">
        <f t="shared" si="104"/>
        <v/>
      </c>
      <c r="CF43" t="str">
        <f t="shared" si="104"/>
        <v/>
      </c>
      <c r="CG43" t="str">
        <f t="shared" si="104"/>
        <v/>
      </c>
      <c r="CH43" t="str">
        <f t="shared" si="104"/>
        <v/>
      </c>
      <c r="CI43" t="str">
        <f t="shared" si="104"/>
        <v/>
      </c>
      <c r="CJ43" t="str">
        <f t="shared" si="104"/>
        <v/>
      </c>
      <c r="CK43" t="str">
        <f t="shared" si="104"/>
        <v/>
      </c>
      <c r="CL43" t="str">
        <f t="shared" si="104"/>
        <v/>
      </c>
      <c r="CM43" t="str">
        <f t="shared" si="104"/>
        <v/>
      </c>
      <c r="CN43" t="str">
        <f t="shared" si="104"/>
        <v/>
      </c>
      <c r="CO43">
        <f t="shared" si="104"/>
        <v>5.5</v>
      </c>
      <c r="CP43" t="str">
        <f t="shared" si="104"/>
        <v/>
      </c>
      <c r="CQ43">
        <f t="shared" si="104"/>
        <v>31</v>
      </c>
      <c r="CR43">
        <f t="shared" si="104"/>
        <v>26</v>
      </c>
      <c r="CS43">
        <f t="shared" si="104"/>
        <v>21</v>
      </c>
      <c r="CT43">
        <f t="shared" si="104"/>
        <v>43.899999999999984</v>
      </c>
      <c r="CU43">
        <f t="shared" si="104"/>
        <v>41.29999999999999</v>
      </c>
      <c r="CV43">
        <f t="shared" si="104"/>
        <v>49.000000000000028</v>
      </c>
      <c r="CW43">
        <f t="shared" si="104"/>
        <v>41.000000000000021</v>
      </c>
      <c r="CX43">
        <f t="shared" si="104"/>
        <v>33.000000000000014</v>
      </c>
      <c r="CY43">
        <f t="shared" si="104"/>
        <v>25.000000000000007</v>
      </c>
      <c r="CZ43">
        <f t="shared" si="104"/>
        <v>17</v>
      </c>
      <c r="DA43">
        <f t="shared" si="104"/>
        <v>32</v>
      </c>
      <c r="DB43">
        <f t="shared" si="104"/>
        <v>28</v>
      </c>
      <c r="DC43">
        <f t="shared" si="104"/>
        <v>24</v>
      </c>
      <c r="DD43">
        <f t="shared" si="104"/>
        <v>20</v>
      </c>
      <c r="DE43">
        <f t="shared" si="104"/>
        <v>34</v>
      </c>
      <c r="DF43">
        <f t="shared" si="104"/>
        <v>32</v>
      </c>
      <c r="DG43">
        <f t="shared" si="104"/>
        <v>45.199999999999982</v>
      </c>
      <c r="DH43">
        <f t="shared" si="104"/>
        <v>43.899999999999984</v>
      </c>
      <c r="DI43">
        <f t="shared" si="104"/>
        <v>42.599999999999987</v>
      </c>
      <c r="DJ43">
        <f t="shared" si="104"/>
        <v>41.29999999999999</v>
      </c>
      <c r="DK43">
        <f t="shared" si="104"/>
        <v>63</v>
      </c>
      <c r="DL43">
        <f t="shared" si="104"/>
        <v>55</v>
      </c>
      <c r="DM43">
        <f t="shared" si="104"/>
        <v>47</v>
      </c>
      <c r="DN43">
        <f t="shared" si="104"/>
        <v>39</v>
      </c>
      <c r="DO43">
        <f t="shared" si="104"/>
        <v>31</v>
      </c>
      <c r="DP43">
        <f t="shared" si="104"/>
        <v>23</v>
      </c>
      <c r="DQ43">
        <f t="shared" si="104"/>
        <v>43.899999999999984</v>
      </c>
      <c r="DR43">
        <f t="shared" si="104"/>
        <v>41.29999999999999</v>
      </c>
      <c r="DS43">
        <f t="shared" si="104"/>
        <v>30</v>
      </c>
      <c r="DT43">
        <f t="shared" si="104"/>
        <v>24</v>
      </c>
      <c r="DU43">
        <f t="shared" si="104"/>
        <v>18</v>
      </c>
      <c r="DV43">
        <f t="shared" si="104"/>
        <v>12</v>
      </c>
      <c r="DW43">
        <f t="shared" si="104"/>
        <v>6</v>
      </c>
      <c r="DX43" t="str">
        <f t="shared" si="104"/>
        <v/>
      </c>
      <c r="DY43">
        <f t="shared" si="104"/>
        <v>69</v>
      </c>
      <c r="DZ43">
        <f t="shared" si="104"/>
        <v>67</v>
      </c>
      <c r="EA43">
        <f t="shared" si="104"/>
        <v>65</v>
      </c>
      <c r="EB43">
        <f t="shared" ref="EB43:EO43" si="105">IF(OR(EB42=-1,AND(IF(EB$3&lt;$B43,EB42+EB$6,IF(EB$3=$B43,1,""))&gt;$B$1,EB$3&lt;$B43)),-1,IF(EB$3&lt;$B43,EB42+EB$6,IF(EB$3=$B43,1,"")))</f>
        <v>63</v>
      </c>
      <c r="EC43">
        <f t="shared" si="105"/>
        <v>61</v>
      </c>
      <c r="ED43">
        <f t="shared" si="105"/>
        <v>59</v>
      </c>
      <c r="EE43">
        <f t="shared" si="105"/>
        <v>49.000000000000028</v>
      </c>
      <c r="EF43">
        <f t="shared" si="105"/>
        <v>41.000000000000021</v>
      </c>
      <c r="EG43">
        <f t="shared" si="105"/>
        <v>33.000000000000014</v>
      </c>
      <c r="EH43">
        <f t="shared" si="105"/>
        <v>25.000000000000007</v>
      </c>
      <c r="EI43">
        <f t="shared" si="105"/>
        <v>17</v>
      </c>
      <c r="EJ43">
        <f t="shared" si="105"/>
        <v>9</v>
      </c>
      <c r="EK43">
        <f t="shared" si="105"/>
        <v>53.800000000000033</v>
      </c>
      <c r="EL43">
        <f t="shared" si="105"/>
        <v>45.800000000000026</v>
      </c>
      <c r="EM43">
        <f t="shared" si="105"/>
        <v>34.600000000000016</v>
      </c>
      <c r="EN43">
        <f t="shared" si="105"/>
        <v>23.400000000000006</v>
      </c>
      <c r="EO43">
        <f t="shared" si="105"/>
        <v>12.2</v>
      </c>
    </row>
    <row r="44" spans="1:145" x14ac:dyDescent="0.15">
      <c r="A44" t="e">
        <f t="shared" si="0"/>
        <v>#N/A</v>
      </c>
      <c r="B44" s="218">
        <v>36</v>
      </c>
      <c r="C44">
        <f t="shared" si="0"/>
        <v>35</v>
      </c>
      <c r="D44">
        <f t="shared" ref="D44:BO44" si="106">IF(OR(D43=-1,AND(IF(D$3&lt;$B44,D43+D$6,IF(D$3=$B44,1,""))&gt;$B$1,D$3&lt;$B44)),-1,IF(D$3&lt;$B44,D43+D$6,IF(D$3=$B44,1,"")))</f>
        <v>33</v>
      </c>
      <c r="E44">
        <f t="shared" si="106"/>
        <v>31</v>
      </c>
      <c r="F44">
        <f t="shared" si="106"/>
        <v>29</v>
      </c>
      <c r="G44">
        <f t="shared" si="106"/>
        <v>27</v>
      </c>
      <c r="H44">
        <f t="shared" si="106"/>
        <v>25</v>
      </c>
      <c r="I44">
        <f t="shared" si="106"/>
        <v>36.1</v>
      </c>
      <c r="J44">
        <f t="shared" si="106"/>
        <v>24.400000000000006</v>
      </c>
      <c r="K44">
        <f t="shared" si="106"/>
        <v>12.700000000000001</v>
      </c>
      <c r="L44">
        <f t="shared" si="106"/>
        <v>22.699999999999985</v>
      </c>
      <c r="M44">
        <f t="shared" si="106"/>
        <v>19.199999999999989</v>
      </c>
      <c r="N44">
        <f t="shared" si="106"/>
        <v>15.699999999999992</v>
      </c>
      <c r="O44">
        <f t="shared" si="106"/>
        <v>35</v>
      </c>
      <c r="P44">
        <f t="shared" si="106"/>
        <v>33</v>
      </c>
      <c r="Q44">
        <f t="shared" si="106"/>
        <v>31</v>
      </c>
      <c r="R44">
        <f t="shared" si="106"/>
        <v>29</v>
      </c>
      <c r="S44">
        <f t="shared" si="106"/>
        <v>27</v>
      </c>
      <c r="T44">
        <f t="shared" si="106"/>
        <v>65</v>
      </c>
      <c r="U44">
        <f t="shared" si="106"/>
        <v>57</v>
      </c>
      <c r="V44">
        <f t="shared" si="106"/>
        <v>49</v>
      </c>
      <c r="W44">
        <f t="shared" si="106"/>
        <v>62.19999999999996</v>
      </c>
      <c r="X44">
        <f t="shared" si="106"/>
        <v>58.599999999999966</v>
      </c>
      <c r="Y44">
        <f t="shared" si="106"/>
        <v>54.999999999999972</v>
      </c>
      <c r="Z44">
        <f t="shared" si="106"/>
        <v>34</v>
      </c>
      <c r="AA44">
        <f t="shared" si="106"/>
        <v>31</v>
      </c>
      <c r="AB44">
        <f t="shared" si="106"/>
        <v>28</v>
      </c>
      <c r="AC44">
        <f t="shared" si="106"/>
        <v>54.999999999999972</v>
      </c>
      <c r="AD44">
        <f t="shared" si="106"/>
        <v>44.199999999999989</v>
      </c>
      <c r="AE44">
        <f t="shared" si="106"/>
        <v>33.400000000000006</v>
      </c>
      <c r="AF44">
        <f t="shared" si="106"/>
        <v>22.600000000000005</v>
      </c>
      <c r="AG44">
        <f t="shared" si="106"/>
        <v>11.8</v>
      </c>
      <c r="AH44">
        <f t="shared" si="106"/>
        <v>1</v>
      </c>
      <c r="AI44">
        <f t="shared" si="106"/>
        <v>20.200000000000003</v>
      </c>
      <c r="AJ44">
        <f t="shared" si="106"/>
        <v>17.799999999999997</v>
      </c>
      <c r="AK44">
        <f t="shared" si="106"/>
        <v>15.399999999999993</v>
      </c>
      <c r="AL44">
        <f t="shared" si="106"/>
        <v>12.999999999999995</v>
      </c>
      <c r="AM44">
        <f t="shared" si="106"/>
        <v>31</v>
      </c>
      <c r="AN44">
        <f t="shared" si="106"/>
        <v>25</v>
      </c>
      <c r="AO44">
        <f t="shared" si="106"/>
        <v>19</v>
      </c>
      <c r="AP44">
        <f t="shared" si="106"/>
        <v>43.899999999999984</v>
      </c>
      <c r="AQ44">
        <f t="shared" si="106"/>
        <v>39.999999999999993</v>
      </c>
      <c r="AR44">
        <f t="shared" si="106"/>
        <v>36.1</v>
      </c>
      <c r="AS44">
        <f t="shared" si="106"/>
        <v>32.20000000000001</v>
      </c>
      <c r="AT44">
        <f t="shared" si="106"/>
        <v>28.300000000000008</v>
      </c>
      <c r="AU44">
        <f t="shared" si="106"/>
        <v>24.400000000000006</v>
      </c>
      <c r="AV44">
        <f t="shared" si="106"/>
        <v>20.500000000000004</v>
      </c>
      <c r="AW44">
        <f t="shared" si="106"/>
        <v>31</v>
      </c>
      <c r="AX44">
        <f t="shared" si="106"/>
        <v>25</v>
      </c>
      <c r="AY44">
        <f t="shared" si="106"/>
        <v>63</v>
      </c>
      <c r="AZ44">
        <f t="shared" si="106"/>
        <v>53</v>
      </c>
      <c r="BA44">
        <f t="shared" si="106"/>
        <v>67</v>
      </c>
      <c r="BB44">
        <f t="shared" si="106"/>
        <v>61</v>
      </c>
      <c r="BC44">
        <f t="shared" si="106"/>
        <v>55</v>
      </c>
      <c r="BD44">
        <f t="shared" si="106"/>
        <v>46.499999999999979</v>
      </c>
      <c r="BE44">
        <f t="shared" si="106"/>
        <v>65</v>
      </c>
      <c r="BF44">
        <f t="shared" si="106"/>
        <v>57</v>
      </c>
      <c r="BG44">
        <f t="shared" si="106"/>
        <v>49</v>
      </c>
      <c r="BH44">
        <f t="shared" si="106"/>
        <v>41</v>
      </c>
      <c r="BI44">
        <f t="shared" si="106"/>
        <v>32</v>
      </c>
      <c r="BJ44">
        <f t="shared" si="106"/>
        <v>27</v>
      </c>
      <c r="BK44">
        <f t="shared" si="106"/>
        <v>22</v>
      </c>
      <c r="BL44">
        <f t="shared" si="106"/>
        <v>17</v>
      </c>
      <c r="BM44">
        <f t="shared" si="106"/>
        <v>31</v>
      </c>
      <c r="BN44">
        <f t="shared" si="106"/>
        <v>45.199999999999982</v>
      </c>
      <c r="BO44">
        <f t="shared" si="106"/>
        <v>42.599999999999987</v>
      </c>
      <c r="BP44">
        <f t="shared" ref="BP44:EA44" si="107">IF(OR(BP43=-1,AND(IF(BP$3&lt;$B44,BP43+BP$6,IF(BP$3=$B44,1,""))&gt;$B$1,BP$3&lt;$B44)),-1,IF(BP$3&lt;$B44,BP43+BP$6,IF(BP$3=$B44,1,"")))</f>
        <v>67</v>
      </c>
      <c r="BQ44">
        <f t="shared" si="107"/>
        <v>61</v>
      </c>
      <c r="BR44">
        <f t="shared" si="107"/>
        <v>55</v>
      </c>
      <c r="BS44">
        <f t="shared" si="107"/>
        <v>35</v>
      </c>
      <c r="BT44">
        <f t="shared" si="107"/>
        <v>33</v>
      </c>
      <c r="BU44">
        <f t="shared" si="107"/>
        <v>19</v>
      </c>
      <c r="BV44">
        <f t="shared" si="107"/>
        <v>15.399999999999993</v>
      </c>
      <c r="BW44">
        <f t="shared" si="107"/>
        <v>11.799999999999995</v>
      </c>
      <c r="BX44">
        <f t="shared" si="107"/>
        <v>8.1999999999999975</v>
      </c>
      <c r="BY44">
        <f t="shared" si="107"/>
        <v>4.5999999999999996</v>
      </c>
      <c r="BZ44">
        <f t="shared" si="107"/>
        <v>1</v>
      </c>
      <c r="CA44" t="str">
        <f t="shared" si="107"/>
        <v/>
      </c>
      <c r="CB44" t="str">
        <f t="shared" si="107"/>
        <v/>
      </c>
      <c r="CC44" t="str">
        <f t="shared" si="107"/>
        <v/>
      </c>
      <c r="CD44" t="str">
        <f t="shared" si="107"/>
        <v/>
      </c>
      <c r="CE44" t="str">
        <f t="shared" si="107"/>
        <v/>
      </c>
      <c r="CF44" t="str">
        <f t="shared" si="107"/>
        <v/>
      </c>
      <c r="CG44" t="str">
        <f t="shared" si="107"/>
        <v/>
      </c>
      <c r="CH44" t="str">
        <f t="shared" si="107"/>
        <v/>
      </c>
      <c r="CI44" t="str">
        <f t="shared" si="107"/>
        <v/>
      </c>
      <c r="CJ44" t="str">
        <f t="shared" si="107"/>
        <v/>
      </c>
      <c r="CK44" t="str">
        <f t="shared" si="107"/>
        <v/>
      </c>
      <c r="CL44" t="str">
        <f t="shared" si="107"/>
        <v/>
      </c>
      <c r="CM44" t="str">
        <f t="shared" si="107"/>
        <v/>
      </c>
      <c r="CN44" t="str">
        <f t="shared" si="107"/>
        <v/>
      </c>
      <c r="CO44">
        <f t="shared" si="107"/>
        <v>6</v>
      </c>
      <c r="CP44" t="str">
        <f t="shared" si="107"/>
        <v/>
      </c>
      <c r="CQ44">
        <f t="shared" si="107"/>
        <v>32</v>
      </c>
      <c r="CR44">
        <f t="shared" si="107"/>
        <v>27</v>
      </c>
      <c r="CS44">
        <f t="shared" si="107"/>
        <v>22</v>
      </c>
      <c r="CT44">
        <f t="shared" si="107"/>
        <v>45.199999999999982</v>
      </c>
      <c r="CU44">
        <f t="shared" si="107"/>
        <v>42.599999999999987</v>
      </c>
      <c r="CV44">
        <f t="shared" si="107"/>
        <v>50.60000000000003</v>
      </c>
      <c r="CW44">
        <f t="shared" si="107"/>
        <v>42.600000000000023</v>
      </c>
      <c r="CX44">
        <f t="shared" si="107"/>
        <v>34.600000000000016</v>
      </c>
      <c r="CY44">
        <f t="shared" si="107"/>
        <v>26.600000000000009</v>
      </c>
      <c r="CZ44">
        <f t="shared" si="107"/>
        <v>18.600000000000001</v>
      </c>
      <c r="DA44">
        <f t="shared" si="107"/>
        <v>33</v>
      </c>
      <c r="DB44">
        <f t="shared" si="107"/>
        <v>29</v>
      </c>
      <c r="DC44">
        <f t="shared" si="107"/>
        <v>25</v>
      </c>
      <c r="DD44">
        <f t="shared" si="107"/>
        <v>21</v>
      </c>
      <c r="DE44">
        <f t="shared" si="107"/>
        <v>35</v>
      </c>
      <c r="DF44">
        <f t="shared" si="107"/>
        <v>33</v>
      </c>
      <c r="DG44">
        <f t="shared" si="107"/>
        <v>46.499999999999979</v>
      </c>
      <c r="DH44">
        <f t="shared" si="107"/>
        <v>45.199999999999982</v>
      </c>
      <c r="DI44">
        <f t="shared" si="107"/>
        <v>43.899999999999984</v>
      </c>
      <c r="DJ44">
        <f t="shared" si="107"/>
        <v>42.599999999999987</v>
      </c>
      <c r="DK44">
        <f t="shared" si="107"/>
        <v>65</v>
      </c>
      <c r="DL44">
        <f t="shared" si="107"/>
        <v>57</v>
      </c>
      <c r="DM44">
        <f t="shared" si="107"/>
        <v>49</v>
      </c>
      <c r="DN44">
        <f t="shared" si="107"/>
        <v>41</v>
      </c>
      <c r="DO44">
        <f t="shared" si="107"/>
        <v>33</v>
      </c>
      <c r="DP44">
        <f t="shared" si="107"/>
        <v>25</v>
      </c>
      <c r="DQ44">
        <f t="shared" si="107"/>
        <v>45.199999999999982</v>
      </c>
      <c r="DR44">
        <f t="shared" si="107"/>
        <v>42.599999999999987</v>
      </c>
      <c r="DS44">
        <f t="shared" si="107"/>
        <v>31</v>
      </c>
      <c r="DT44">
        <f t="shared" si="107"/>
        <v>25</v>
      </c>
      <c r="DU44">
        <f t="shared" si="107"/>
        <v>19</v>
      </c>
      <c r="DV44">
        <f t="shared" si="107"/>
        <v>13</v>
      </c>
      <c r="DW44">
        <f t="shared" si="107"/>
        <v>7</v>
      </c>
      <c r="DX44">
        <f t="shared" si="107"/>
        <v>1</v>
      </c>
      <c r="DY44">
        <f t="shared" si="107"/>
        <v>71</v>
      </c>
      <c r="DZ44">
        <f t="shared" si="107"/>
        <v>69</v>
      </c>
      <c r="EA44">
        <f t="shared" si="107"/>
        <v>67</v>
      </c>
      <c r="EB44">
        <f t="shared" ref="EB44:EO44" si="108">IF(OR(EB43=-1,AND(IF(EB$3&lt;$B44,EB43+EB$6,IF(EB$3=$B44,1,""))&gt;$B$1,EB$3&lt;$B44)),-1,IF(EB$3&lt;$B44,EB43+EB$6,IF(EB$3=$B44,1,"")))</f>
        <v>65</v>
      </c>
      <c r="EC44">
        <f t="shared" si="108"/>
        <v>63</v>
      </c>
      <c r="ED44">
        <f t="shared" si="108"/>
        <v>61</v>
      </c>
      <c r="EE44">
        <f t="shared" si="108"/>
        <v>50.60000000000003</v>
      </c>
      <c r="EF44">
        <f t="shared" si="108"/>
        <v>42.600000000000023</v>
      </c>
      <c r="EG44">
        <f t="shared" si="108"/>
        <v>34.600000000000016</v>
      </c>
      <c r="EH44">
        <f t="shared" si="108"/>
        <v>26.600000000000009</v>
      </c>
      <c r="EI44">
        <f t="shared" si="108"/>
        <v>18.600000000000001</v>
      </c>
      <c r="EJ44">
        <f t="shared" si="108"/>
        <v>10.6</v>
      </c>
      <c r="EK44">
        <f t="shared" si="108"/>
        <v>55.400000000000034</v>
      </c>
      <c r="EL44">
        <f t="shared" si="108"/>
        <v>47.400000000000027</v>
      </c>
      <c r="EM44">
        <f t="shared" si="108"/>
        <v>36.200000000000017</v>
      </c>
      <c r="EN44">
        <f t="shared" si="108"/>
        <v>25.000000000000007</v>
      </c>
      <c r="EO44">
        <f t="shared" si="108"/>
        <v>13.799999999999999</v>
      </c>
    </row>
    <row r="45" spans="1:145" x14ac:dyDescent="0.15">
      <c r="A45" t="e">
        <f t="shared" si="0"/>
        <v>#N/A</v>
      </c>
      <c r="B45" s="218">
        <v>37</v>
      </c>
      <c r="C45">
        <f t="shared" si="0"/>
        <v>36</v>
      </c>
      <c r="D45">
        <f t="shared" ref="D45:BO45" si="109">IF(OR(D44=-1,AND(IF(D$3&lt;$B45,D44+D$6,IF(D$3=$B45,1,""))&gt;$B$1,D$3&lt;$B45)),-1,IF(D$3&lt;$B45,D44+D$6,IF(D$3=$B45,1,"")))</f>
        <v>34</v>
      </c>
      <c r="E45">
        <f t="shared" si="109"/>
        <v>32</v>
      </c>
      <c r="F45">
        <f t="shared" si="109"/>
        <v>30</v>
      </c>
      <c r="G45">
        <f t="shared" si="109"/>
        <v>28</v>
      </c>
      <c r="H45">
        <f t="shared" si="109"/>
        <v>26</v>
      </c>
      <c r="I45">
        <f t="shared" si="109"/>
        <v>37.4</v>
      </c>
      <c r="J45">
        <f t="shared" si="109"/>
        <v>25.700000000000006</v>
      </c>
      <c r="K45">
        <f t="shared" si="109"/>
        <v>14.000000000000002</v>
      </c>
      <c r="L45">
        <f t="shared" si="109"/>
        <v>23.399999999999984</v>
      </c>
      <c r="M45">
        <f t="shared" si="109"/>
        <v>19.899999999999988</v>
      </c>
      <c r="N45">
        <f t="shared" si="109"/>
        <v>16.399999999999991</v>
      </c>
      <c r="O45">
        <f t="shared" si="109"/>
        <v>36</v>
      </c>
      <c r="P45">
        <f t="shared" si="109"/>
        <v>34</v>
      </c>
      <c r="Q45">
        <f t="shared" si="109"/>
        <v>32</v>
      </c>
      <c r="R45">
        <f t="shared" si="109"/>
        <v>30</v>
      </c>
      <c r="S45">
        <f t="shared" si="109"/>
        <v>28</v>
      </c>
      <c r="T45">
        <f t="shared" si="109"/>
        <v>67</v>
      </c>
      <c r="U45">
        <f t="shared" si="109"/>
        <v>59</v>
      </c>
      <c r="V45">
        <f t="shared" si="109"/>
        <v>51</v>
      </c>
      <c r="W45">
        <f t="shared" si="109"/>
        <v>63.999999999999957</v>
      </c>
      <c r="X45">
        <f t="shared" si="109"/>
        <v>60.399999999999963</v>
      </c>
      <c r="Y45">
        <f t="shared" si="109"/>
        <v>56.799999999999969</v>
      </c>
      <c r="Z45">
        <f t="shared" si="109"/>
        <v>35</v>
      </c>
      <c r="AA45">
        <f t="shared" si="109"/>
        <v>32</v>
      </c>
      <c r="AB45">
        <f t="shared" si="109"/>
        <v>29</v>
      </c>
      <c r="AC45">
        <f t="shared" si="109"/>
        <v>56.799999999999969</v>
      </c>
      <c r="AD45">
        <f t="shared" si="109"/>
        <v>45.999999999999986</v>
      </c>
      <c r="AE45">
        <f t="shared" si="109"/>
        <v>35.200000000000003</v>
      </c>
      <c r="AF45">
        <f t="shared" si="109"/>
        <v>24.400000000000006</v>
      </c>
      <c r="AG45">
        <f t="shared" si="109"/>
        <v>13.600000000000001</v>
      </c>
      <c r="AH45">
        <f t="shared" si="109"/>
        <v>2.8</v>
      </c>
      <c r="AI45">
        <f t="shared" si="109"/>
        <v>20.800000000000004</v>
      </c>
      <c r="AJ45">
        <f t="shared" si="109"/>
        <v>18.399999999999999</v>
      </c>
      <c r="AK45">
        <f t="shared" si="109"/>
        <v>15.999999999999993</v>
      </c>
      <c r="AL45">
        <f t="shared" si="109"/>
        <v>13.599999999999994</v>
      </c>
      <c r="AM45">
        <f t="shared" si="109"/>
        <v>32</v>
      </c>
      <c r="AN45">
        <f t="shared" si="109"/>
        <v>26</v>
      </c>
      <c r="AO45">
        <f t="shared" si="109"/>
        <v>20</v>
      </c>
      <c r="AP45">
        <f t="shared" si="109"/>
        <v>45.199999999999982</v>
      </c>
      <c r="AQ45">
        <f t="shared" si="109"/>
        <v>41.29999999999999</v>
      </c>
      <c r="AR45">
        <f t="shared" si="109"/>
        <v>37.4</v>
      </c>
      <c r="AS45">
        <f t="shared" si="109"/>
        <v>33.500000000000007</v>
      </c>
      <c r="AT45">
        <f t="shared" si="109"/>
        <v>29.600000000000009</v>
      </c>
      <c r="AU45">
        <f t="shared" si="109"/>
        <v>25.700000000000006</v>
      </c>
      <c r="AV45">
        <f t="shared" si="109"/>
        <v>21.800000000000004</v>
      </c>
      <c r="AW45">
        <f t="shared" si="109"/>
        <v>32</v>
      </c>
      <c r="AX45">
        <f t="shared" si="109"/>
        <v>26</v>
      </c>
      <c r="AY45">
        <f t="shared" si="109"/>
        <v>65</v>
      </c>
      <c r="AZ45">
        <f t="shared" si="109"/>
        <v>55</v>
      </c>
      <c r="BA45">
        <f t="shared" si="109"/>
        <v>69</v>
      </c>
      <c r="BB45">
        <f t="shared" si="109"/>
        <v>63</v>
      </c>
      <c r="BC45">
        <f t="shared" si="109"/>
        <v>57</v>
      </c>
      <c r="BD45">
        <f t="shared" si="109"/>
        <v>47.799999999999976</v>
      </c>
      <c r="BE45">
        <f t="shared" si="109"/>
        <v>67</v>
      </c>
      <c r="BF45">
        <f t="shared" si="109"/>
        <v>59</v>
      </c>
      <c r="BG45">
        <f t="shared" si="109"/>
        <v>51</v>
      </c>
      <c r="BH45">
        <f t="shared" si="109"/>
        <v>43</v>
      </c>
      <c r="BI45">
        <f t="shared" si="109"/>
        <v>33</v>
      </c>
      <c r="BJ45">
        <f t="shared" si="109"/>
        <v>28</v>
      </c>
      <c r="BK45">
        <f t="shared" si="109"/>
        <v>23</v>
      </c>
      <c r="BL45">
        <f t="shared" si="109"/>
        <v>18</v>
      </c>
      <c r="BM45">
        <f t="shared" si="109"/>
        <v>32</v>
      </c>
      <c r="BN45">
        <f t="shared" si="109"/>
        <v>46.499999999999979</v>
      </c>
      <c r="BO45">
        <f t="shared" si="109"/>
        <v>43.899999999999984</v>
      </c>
      <c r="BP45">
        <f t="shared" ref="BP45:EA45" si="110">IF(OR(BP44=-1,AND(IF(BP$3&lt;$B45,BP44+BP$6,IF(BP$3=$B45,1,""))&gt;$B$1,BP$3&lt;$B45)),-1,IF(BP$3&lt;$B45,BP44+BP$6,IF(BP$3=$B45,1,"")))</f>
        <v>69</v>
      </c>
      <c r="BQ45">
        <f t="shared" si="110"/>
        <v>63</v>
      </c>
      <c r="BR45">
        <f t="shared" si="110"/>
        <v>57</v>
      </c>
      <c r="BS45">
        <f t="shared" si="110"/>
        <v>36</v>
      </c>
      <c r="BT45">
        <f t="shared" si="110"/>
        <v>34</v>
      </c>
      <c r="BU45">
        <f t="shared" si="110"/>
        <v>19.600000000000001</v>
      </c>
      <c r="BV45">
        <f t="shared" si="110"/>
        <v>15.999999999999993</v>
      </c>
      <c r="BW45">
        <f t="shared" si="110"/>
        <v>12.399999999999995</v>
      </c>
      <c r="BX45">
        <f t="shared" si="110"/>
        <v>8.7999999999999972</v>
      </c>
      <c r="BY45">
        <f t="shared" si="110"/>
        <v>5.1999999999999993</v>
      </c>
      <c r="BZ45">
        <f t="shared" si="110"/>
        <v>1.6</v>
      </c>
      <c r="CA45" t="str">
        <f t="shared" si="110"/>
        <v/>
      </c>
      <c r="CB45" t="str">
        <f t="shared" si="110"/>
        <v/>
      </c>
      <c r="CC45" t="str">
        <f t="shared" si="110"/>
        <v/>
      </c>
      <c r="CD45" t="str">
        <f t="shared" si="110"/>
        <v/>
      </c>
      <c r="CE45" t="str">
        <f t="shared" si="110"/>
        <v/>
      </c>
      <c r="CF45" t="str">
        <f t="shared" si="110"/>
        <v/>
      </c>
      <c r="CG45" t="str">
        <f t="shared" si="110"/>
        <v/>
      </c>
      <c r="CH45" t="str">
        <f t="shared" si="110"/>
        <v/>
      </c>
      <c r="CI45" t="str">
        <f t="shared" si="110"/>
        <v/>
      </c>
      <c r="CJ45" t="str">
        <f t="shared" si="110"/>
        <v/>
      </c>
      <c r="CK45" t="str">
        <f t="shared" si="110"/>
        <v/>
      </c>
      <c r="CL45" t="str">
        <f t="shared" si="110"/>
        <v/>
      </c>
      <c r="CM45" t="str">
        <f t="shared" si="110"/>
        <v/>
      </c>
      <c r="CN45" t="str">
        <f t="shared" si="110"/>
        <v/>
      </c>
      <c r="CO45">
        <f t="shared" si="110"/>
        <v>6.5</v>
      </c>
      <c r="CP45" t="str">
        <f t="shared" si="110"/>
        <v/>
      </c>
      <c r="CQ45">
        <f t="shared" si="110"/>
        <v>33</v>
      </c>
      <c r="CR45">
        <f t="shared" si="110"/>
        <v>28</v>
      </c>
      <c r="CS45">
        <f t="shared" si="110"/>
        <v>23</v>
      </c>
      <c r="CT45">
        <f t="shared" si="110"/>
        <v>46.499999999999979</v>
      </c>
      <c r="CU45">
        <f t="shared" si="110"/>
        <v>43.899999999999984</v>
      </c>
      <c r="CV45">
        <f t="shared" si="110"/>
        <v>52.200000000000031</v>
      </c>
      <c r="CW45">
        <f t="shared" si="110"/>
        <v>44.200000000000024</v>
      </c>
      <c r="CX45">
        <f t="shared" si="110"/>
        <v>36.200000000000017</v>
      </c>
      <c r="CY45">
        <f t="shared" si="110"/>
        <v>28.20000000000001</v>
      </c>
      <c r="CZ45">
        <f t="shared" si="110"/>
        <v>20.200000000000003</v>
      </c>
      <c r="DA45">
        <f t="shared" si="110"/>
        <v>34</v>
      </c>
      <c r="DB45">
        <f t="shared" si="110"/>
        <v>30</v>
      </c>
      <c r="DC45">
        <f t="shared" si="110"/>
        <v>26</v>
      </c>
      <c r="DD45">
        <f t="shared" si="110"/>
        <v>22</v>
      </c>
      <c r="DE45">
        <f t="shared" si="110"/>
        <v>36</v>
      </c>
      <c r="DF45">
        <f t="shared" si="110"/>
        <v>34</v>
      </c>
      <c r="DG45">
        <f t="shared" si="110"/>
        <v>47.799999999999976</v>
      </c>
      <c r="DH45">
        <f t="shared" si="110"/>
        <v>46.499999999999979</v>
      </c>
      <c r="DI45">
        <f t="shared" si="110"/>
        <v>45.199999999999982</v>
      </c>
      <c r="DJ45">
        <f t="shared" si="110"/>
        <v>43.899999999999984</v>
      </c>
      <c r="DK45">
        <f t="shared" si="110"/>
        <v>67</v>
      </c>
      <c r="DL45">
        <f t="shared" si="110"/>
        <v>59</v>
      </c>
      <c r="DM45">
        <f t="shared" si="110"/>
        <v>51</v>
      </c>
      <c r="DN45">
        <f t="shared" si="110"/>
        <v>43</v>
      </c>
      <c r="DO45">
        <f t="shared" si="110"/>
        <v>35</v>
      </c>
      <c r="DP45">
        <f t="shared" si="110"/>
        <v>27</v>
      </c>
      <c r="DQ45">
        <f t="shared" si="110"/>
        <v>46.499999999999979</v>
      </c>
      <c r="DR45">
        <f t="shared" si="110"/>
        <v>43.899999999999984</v>
      </c>
      <c r="DS45">
        <f t="shared" si="110"/>
        <v>32</v>
      </c>
      <c r="DT45">
        <f t="shared" si="110"/>
        <v>26</v>
      </c>
      <c r="DU45">
        <f t="shared" si="110"/>
        <v>20</v>
      </c>
      <c r="DV45">
        <f t="shared" si="110"/>
        <v>14</v>
      </c>
      <c r="DW45">
        <f t="shared" si="110"/>
        <v>8</v>
      </c>
      <c r="DX45">
        <f t="shared" si="110"/>
        <v>2</v>
      </c>
      <c r="DY45">
        <f t="shared" si="110"/>
        <v>73</v>
      </c>
      <c r="DZ45">
        <f t="shared" si="110"/>
        <v>71</v>
      </c>
      <c r="EA45">
        <f t="shared" si="110"/>
        <v>69</v>
      </c>
      <c r="EB45">
        <f t="shared" ref="EB45:EO45" si="111">IF(OR(EB44=-1,AND(IF(EB$3&lt;$B45,EB44+EB$6,IF(EB$3=$B45,1,""))&gt;$B$1,EB$3&lt;$B45)),-1,IF(EB$3&lt;$B45,EB44+EB$6,IF(EB$3=$B45,1,"")))</f>
        <v>67</v>
      </c>
      <c r="EC45">
        <f t="shared" si="111"/>
        <v>65</v>
      </c>
      <c r="ED45">
        <f t="shared" si="111"/>
        <v>63</v>
      </c>
      <c r="EE45">
        <f t="shared" si="111"/>
        <v>52.200000000000031</v>
      </c>
      <c r="EF45">
        <f t="shared" si="111"/>
        <v>44.200000000000024</v>
      </c>
      <c r="EG45">
        <f t="shared" si="111"/>
        <v>36.200000000000017</v>
      </c>
      <c r="EH45">
        <f t="shared" si="111"/>
        <v>28.20000000000001</v>
      </c>
      <c r="EI45">
        <f t="shared" si="111"/>
        <v>20.200000000000003</v>
      </c>
      <c r="EJ45">
        <f t="shared" si="111"/>
        <v>12.2</v>
      </c>
      <c r="EK45">
        <f t="shared" si="111"/>
        <v>57.000000000000036</v>
      </c>
      <c r="EL45">
        <f t="shared" si="111"/>
        <v>49.000000000000028</v>
      </c>
      <c r="EM45">
        <f t="shared" si="111"/>
        <v>37.800000000000018</v>
      </c>
      <c r="EN45">
        <f t="shared" si="111"/>
        <v>26.600000000000009</v>
      </c>
      <c r="EO45">
        <f t="shared" si="111"/>
        <v>15.399999999999999</v>
      </c>
    </row>
    <row r="46" spans="1:145" x14ac:dyDescent="0.15">
      <c r="A46" t="e">
        <f t="shared" si="0"/>
        <v>#N/A</v>
      </c>
      <c r="B46" s="218">
        <v>38</v>
      </c>
      <c r="C46">
        <f t="shared" si="0"/>
        <v>37</v>
      </c>
      <c r="D46">
        <f t="shared" ref="D46:BO46" si="112">IF(OR(D45=-1,AND(IF(D$3&lt;$B46,D45+D$6,IF(D$3=$B46,1,""))&gt;$B$1,D$3&lt;$B46)),-1,IF(D$3&lt;$B46,D45+D$6,IF(D$3=$B46,1,"")))</f>
        <v>35</v>
      </c>
      <c r="E46">
        <f t="shared" si="112"/>
        <v>33</v>
      </c>
      <c r="F46">
        <f t="shared" si="112"/>
        <v>31</v>
      </c>
      <c r="G46">
        <f t="shared" si="112"/>
        <v>29</v>
      </c>
      <c r="H46">
        <f t="shared" si="112"/>
        <v>27</v>
      </c>
      <c r="I46">
        <f t="shared" si="112"/>
        <v>38.699999999999996</v>
      </c>
      <c r="J46">
        <f t="shared" si="112"/>
        <v>27.000000000000007</v>
      </c>
      <c r="K46">
        <f t="shared" si="112"/>
        <v>15.300000000000002</v>
      </c>
      <c r="L46">
        <f t="shared" si="112"/>
        <v>24.099999999999984</v>
      </c>
      <c r="M46">
        <f t="shared" si="112"/>
        <v>20.599999999999987</v>
      </c>
      <c r="N46">
        <f t="shared" si="112"/>
        <v>17.099999999999991</v>
      </c>
      <c r="O46">
        <f t="shared" si="112"/>
        <v>37</v>
      </c>
      <c r="P46">
        <f t="shared" si="112"/>
        <v>35</v>
      </c>
      <c r="Q46">
        <f t="shared" si="112"/>
        <v>33</v>
      </c>
      <c r="R46">
        <f t="shared" si="112"/>
        <v>31</v>
      </c>
      <c r="S46">
        <f t="shared" si="112"/>
        <v>29</v>
      </c>
      <c r="T46">
        <f t="shared" si="112"/>
        <v>69</v>
      </c>
      <c r="U46">
        <f t="shared" si="112"/>
        <v>61</v>
      </c>
      <c r="V46">
        <f t="shared" si="112"/>
        <v>53</v>
      </c>
      <c r="W46">
        <f t="shared" si="112"/>
        <v>65.799999999999955</v>
      </c>
      <c r="X46">
        <f t="shared" si="112"/>
        <v>62.19999999999996</v>
      </c>
      <c r="Y46">
        <f t="shared" si="112"/>
        <v>58.599999999999966</v>
      </c>
      <c r="Z46">
        <f t="shared" si="112"/>
        <v>36</v>
      </c>
      <c r="AA46">
        <f t="shared" si="112"/>
        <v>33</v>
      </c>
      <c r="AB46">
        <f t="shared" si="112"/>
        <v>30</v>
      </c>
      <c r="AC46">
        <f t="shared" si="112"/>
        <v>58.599999999999966</v>
      </c>
      <c r="AD46">
        <f t="shared" si="112"/>
        <v>47.799999999999983</v>
      </c>
      <c r="AE46">
        <f t="shared" si="112"/>
        <v>37</v>
      </c>
      <c r="AF46">
        <f t="shared" si="112"/>
        <v>26.200000000000006</v>
      </c>
      <c r="AG46">
        <f t="shared" si="112"/>
        <v>15.400000000000002</v>
      </c>
      <c r="AH46">
        <f t="shared" si="112"/>
        <v>4.5999999999999996</v>
      </c>
      <c r="AI46">
        <f t="shared" si="112"/>
        <v>21.400000000000006</v>
      </c>
      <c r="AJ46">
        <f t="shared" si="112"/>
        <v>19</v>
      </c>
      <c r="AK46">
        <f t="shared" si="112"/>
        <v>16.599999999999994</v>
      </c>
      <c r="AL46">
        <f t="shared" si="112"/>
        <v>14.199999999999994</v>
      </c>
      <c r="AM46">
        <f t="shared" si="112"/>
        <v>33</v>
      </c>
      <c r="AN46">
        <f t="shared" si="112"/>
        <v>27</v>
      </c>
      <c r="AO46">
        <f t="shared" si="112"/>
        <v>21</v>
      </c>
      <c r="AP46">
        <f t="shared" si="112"/>
        <v>46.499999999999979</v>
      </c>
      <c r="AQ46">
        <f t="shared" si="112"/>
        <v>42.599999999999987</v>
      </c>
      <c r="AR46">
        <f t="shared" si="112"/>
        <v>38.699999999999996</v>
      </c>
      <c r="AS46">
        <f t="shared" si="112"/>
        <v>34.800000000000004</v>
      </c>
      <c r="AT46">
        <f t="shared" si="112"/>
        <v>30.900000000000009</v>
      </c>
      <c r="AU46">
        <f t="shared" si="112"/>
        <v>27.000000000000007</v>
      </c>
      <c r="AV46">
        <f t="shared" si="112"/>
        <v>23.100000000000005</v>
      </c>
      <c r="AW46">
        <f t="shared" si="112"/>
        <v>33</v>
      </c>
      <c r="AX46">
        <f t="shared" si="112"/>
        <v>27</v>
      </c>
      <c r="AY46">
        <f t="shared" si="112"/>
        <v>67</v>
      </c>
      <c r="AZ46">
        <f t="shared" si="112"/>
        <v>57</v>
      </c>
      <c r="BA46">
        <f t="shared" si="112"/>
        <v>71</v>
      </c>
      <c r="BB46">
        <f t="shared" si="112"/>
        <v>65</v>
      </c>
      <c r="BC46">
        <f t="shared" si="112"/>
        <v>59</v>
      </c>
      <c r="BD46">
        <f t="shared" si="112"/>
        <v>49.099999999999973</v>
      </c>
      <c r="BE46">
        <f t="shared" si="112"/>
        <v>69</v>
      </c>
      <c r="BF46">
        <f t="shared" si="112"/>
        <v>61</v>
      </c>
      <c r="BG46">
        <f t="shared" si="112"/>
        <v>53</v>
      </c>
      <c r="BH46">
        <f t="shared" si="112"/>
        <v>45</v>
      </c>
      <c r="BI46">
        <f t="shared" si="112"/>
        <v>34</v>
      </c>
      <c r="BJ46">
        <f t="shared" si="112"/>
        <v>29</v>
      </c>
      <c r="BK46">
        <f t="shared" si="112"/>
        <v>24</v>
      </c>
      <c r="BL46">
        <f t="shared" si="112"/>
        <v>19</v>
      </c>
      <c r="BM46">
        <f t="shared" si="112"/>
        <v>33</v>
      </c>
      <c r="BN46">
        <f t="shared" si="112"/>
        <v>47.799999999999976</v>
      </c>
      <c r="BO46">
        <f t="shared" si="112"/>
        <v>45.199999999999982</v>
      </c>
      <c r="BP46">
        <f t="shared" ref="BP46:EA46" si="113">IF(OR(BP45=-1,AND(IF(BP$3&lt;$B46,BP45+BP$6,IF(BP$3=$B46,1,""))&gt;$B$1,BP$3&lt;$B46)),-1,IF(BP$3&lt;$B46,BP45+BP$6,IF(BP$3=$B46,1,"")))</f>
        <v>71</v>
      </c>
      <c r="BQ46">
        <f t="shared" si="113"/>
        <v>65</v>
      </c>
      <c r="BR46">
        <f t="shared" si="113"/>
        <v>59</v>
      </c>
      <c r="BS46">
        <f t="shared" si="113"/>
        <v>37</v>
      </c>
      <c r="BT46">
        <f t="shared" si="113"/>
        <v>35</v>
      </c>
      <c r="BU46">
        <f t="shared" si="113"/>
        <v>20.200000000000003</v>
      </c>
      <c r="BV46">
        <f t="shared" si="113"/>
        <v>16.599999999999994</v>
      </c>
      <c r="BW46">
        <f t="shared" si="113"/>
        <v>12.999999999999995</v>
      </c>
      <c r="BX46">
        <f t="shared" si="113"/>
        <v>9.3999999999999968</v>
      </c>
      <c r="BY46">
        <f t="shared" si="113"/>
        <v>5.7999999999999989</v>
      </c>
      <c r="BZ46">
        <f t="shared" si="113"/>
        <v>2.2000000000000002</v>
      </c>
      <c r="CA46" t="str">
        <f t="shared" si="113"/>
        <v/>
      </c>
      <c r="CB46" t="str">
        <f t="shared" si="113"/>
        <v/>
      </c>
      <c r="CC46" t="str">
        <f t="shared" si="113"/>
        <v/>
      </c>
      <c r="CD46" t="str">
        <f t="shared" si="113"/>
        <v/>
      </c>
      <c r="CE46" t="str">
        <f t="shared" si="113"/>
        <v/>
      </c>
      <c r="CF46" t="str">
        <f t="shared" si="113"/>
        <v/>
      </c>
      <c r="CG46" t="str">
        <f t="shared" si="113"/>
        <v/>
      </c>
      <c r="CH46" t="str">
        <f t="shared" si="113"/>
        <v/>
      </c>
      <c r="CI46" t="str">
        <f t="shared" si="113"/>
        <v/>
      </c>
      <c r="CJ46" t="str">
        <f t="shared" si="113"/>
        <v/>
      </c>
      <c r="CK46" t="str">
        <f t="shared" si="113"/>
        <v/>
      </c>
      <c r="CL46" t="str">
        <f t="shared" si="113"/>
        <v/>
      </c>
      <c r="CM46" t="str">
        <f t="shared" si="113"/>
        <v/>
      </c>
      <c r="CN46" t="str">
        <f t="shared" si="113"/>
        <v/>
      </c>
      <c r="CO46">
        <f t="shared" si="113"/>
        <v>7</v>
      </c>
      <c r="CP46" t="str">
        <f t="shared" si="113"/>
        <v/>
      </c>
      <c r="CQ46">
        <f t="shared" si="113"/>
        <v>34</v>
      </c>
      <c r="CR46">
        <f t="shared" si="113"/>
        <v>29</v>
      </c>
      <c r="CS46">
        <f t="shared" si="113"/>
        <v>24</v>
      </c>
      <c r="CT46">
        <f t="shared" si="113"/>
        <v>47.799999999999976</v>
      </c>
      <c r="CU46">
        <f t="shared" si="113"/>
        <v>45.199999999999982</v>
      </c>
      <c r="CV46">
        <f t="shared" si="113"/>
        <v>53.800000000000033</v>
      </c>
      <c r="CW46">
        <f t="shared" si="113"/>
        <v>45.800000000000026</v>
      </c>
      <c r="CX46">
        <f t="shared" si="113"/>
        <v>37.800000000000018</v>
      </c>
      <c r="CY46">
        <f t="shared" si="113"/>
        <v>29.800000000000011</v>
      </c>
      <c r="CZ46">
        <f t="shared" si="113"/>
        <v>21.800000000000004</v>
      </c>
      <c r="DA46">
        <f t="shared" si="113"/>
        <v>35</v>
      </c>
      <c r="DB46">
        <f t="shared" si="113"/>
        <v>31</v>
      </c>
      <c r="DC46">
        <f t="shared" si="113"/>
        <v>27</v>
      </c>
      <c r="DD46">
        <f t="shared" si="113"/>
        <v>23</v>
      </c>
      <c r="DE46">
        <f t="shared" si="113"/>
        <v>37</v>
      </c>
      <c r="DF46">
        <f t="shared" si="113"/>
        <v>35</v>
      </c>
      <c r="DG46">
        <f t="shared" si="113"/>
        <v>49.099999999999973</v>
      </c>
      <c r="DH46">
        <f t="shared" si="113"/>
        <v>47.799999999999976</v>
      </c>
      <c r="DI46">
        <f t="shared" si="113"/>
        <v>46.499999999999979</v>
      </c>
      <c r="DJ46">
        <f t="shared" si="113"/>
        <v>45.199999999999982</v>
      </c>
      <c r="DK46">
        <f t="shared" si="113"/>
        <v>69</v>
      </c>
      <c r="DL46">
        <f t="shared" si="113"/>
        <v>61</v>
      </c>
      <c r="DM46">
        <f t="shared" si="113"/>
        <v>53</v>
      </c>
      <c r="DN46">
        <f t="shared" si="113"/>
        <v>45</v>
      </c>
      <c r="DO46">
        <f t="shared" si="113"/>
        <v>37</v>
      </c>
      <c r="DP46">
        <f t="shared" si="113"/>
        <v>29</v>
      </c>
      <c r="DQ46">
        <f t="shared" si="113"/>
        <v>47.799999999999976</v>
      </c>
      <c r="DR46">
        <f t="shared" si="113"/>
        <v>45.199999999999982</v>
      </c>
      <c r="DS46">
        <f t="shared" si="113"/>
        <v>33</v>
      </c>
      <c r="DT46">
        <f t="shared" si="113"/>
        <v>27</v>
      </c>
      <c r="DU46">
        <f t="shared" si="113"/>
        <v>21</v>
      </c>
      <c r="DV46">
        <f t="shared" si="113"/>
        <v>15</v>
      </c>
      <c r="DW46">
        <f t="shared" si="113"/>
        <v>9</v>
      </c>
      <c r="DX46">
        <f t="shared" si="113"/>
        <v>3</v>
      </c>
      <c r="DY46">
        <f t="shared" si="113"/>
        <v>75</v>
      </c>
      <c r="DZ46">
        <f t="shared" si="113"/>
        <v>73</v>
      </c>
      <c r="EA46">
        <f t="shared" si="113"/>
        <v>71</v>
      </c>
      <c r="EB46">
        <f t="shared" ref="EB46:EO46" si="114">IF(OR(EB45=-1,AND(IF(EB$3&lt;$B46,EB45+EB$6,IF(EB$3=$B46,1,""))&gt;$B$1,EB$3&lt;$B46)),-1,IF(EB$3&lt;$B46,EB45+EB$6,IF(EB$3=$B46,1,"")))</f>
        <v>69</v>
      </c>
      <c r="EC46">
        <f t="shared" si="114"/>
        <v>67</v>
      </c>
      <c r="ED46">
        <f t="shared" si="114"/>
        <v>65</v>
      </c>
      <c r="EE46">
        <f t="shared" si="114"/>
        <v>53.800000000000033</v>
      </c>
      <c r="EF46">
        <f t="shared" si="114"/>
        <v>45.800000000000026</v>
      </c>
      <c r="EG46">
        <f t="shared" si="114"/>
        <v>37.800000000000018</v>
      </c>
      <c r="EH46">
        <f t="shared" si="114"/>
        <v>29.800000000000011</v>
      </c>
      <c r="EI46">
        <f t="shared" si="114"/>
        <v>21.800000000000004</v>
      </c>
      <c r="EJ46">
        <f t="shared" si="114"/>
        <v>13.799999999999999</v>
      </c>
      <c r="EK46">
        <f t="shared" si="114"/>
        <v>58.600000000000037</v>
      </c>
      <c r="EL46">
        <f t="shared" si="114"/>
        <v>50.60000000000003</v>
      </c>
      <c r="EM46">
        <f t="shared" si="114"/>
        <v>39.40000000000002</v>
      </c>
      <c r="EN46">
        <f t="shared" si="114"/>
        <v>28.20000000000001</v>
      </c>
      <c r="EO46">
        <f t="shared" si="114"/>
        <v>17</v>
      </c>
    </row>
    <row r="47" spans="1:145" x14ac:dyDescent="0.15">
      <c r="A47" t="e">
        <f t="shared" si="0"/>
        <v>#N/A</v>
      </c>
      <c r="B47" s="218">
        <v>39</v>
      </c>
      <c r="C47">
        <f t="shared" si="0"/>
        <v>38</v>
      </c>
      <c r="D47">
        <f t="shared" ref="D47:BO47" si="115">IF(OR(D46=-1,AND(IF(D$3&lt;$B47,D46+D$6,IF(D$3=$B47,1,""))&gt;$B$1,D$3&lt;$B47)),-1,IF(D$3&lt;$B47,D46+D$6,IF(D$3=$B47,1,"")))</f>
        <v>36</v>
      </c>
      <c r="E47">
        <f t="shared" si="115"/>
        <v>34</v>
      </c>
      <c r="F47">
        <f t="shared" si="115"/>
        <v>32</v>
      </c>
      <c r="G47">
        <f t="shared" si="115"/>
        <v>30</v>
      </c>
      <c r="H47">
        <f t="shared" si="115"/>
        <v>28</v>
      </c>
      <c r="I47">
        <f t="shared" si="115"/>
        <v>39.999999999999993</v>
      </c>
      <c r="J47">
        <f t="shared" si="115"/>
        <v>28.300000000000008</v>
      </c>
      <c r="K47">
        <f t="shared" si="115"/>
        <v>16.600000000000001</v>
      </c>
      <c r="L47">
        <f t="shared" si="115"/>
        <v>24.799999999999983</v>
      </c>
      <c r="M47">
        <f t="shared" si="115"/>
        <v>21.299999999999986</v>
      </c>
      <c r="N47">
        <f t="shared" si="115"/>
        <v>17.79999999999999</v>
      </c>
      <c r="O47">
        <f t="shared" si="115"/>
        <v>38</v>
      </c>
      <c r="P47">
        <f t="shared" si="115"/>
        <v>36</v>
      </c>
      <c r="Q47">
        <f t="shared" si="115"/>
        <v>34</v>
      </c>
      <c r="R47">
        <f t="shared" si="115"/>
        <v>32</v>
      </c>
      <c r="S47">
        <f t="shared" si="115"/>
        <v>30</v>
      </c>
      <c r="T47">
        <f t="shared" si="115"/>
        <v>71</v>
      </c>
      <c r="U47">
        <f t="shared" si="115"/>
        <v>63</v>
      </c>
      <c r="V47">
        <f t="shared" si="115"/>
        <v>55</v>
      </c>
      <c r="W47">
        <f t="shared" si="115"/>
        <v>67.599999999999952</v>
      </c>
      <c r="X47">
        <f t="shared" si="115"/>
        <v>63.999999999999957</v>
      </c>
      <c r="Y47">
        <f t="shared" si="115"/>
        <v>60.399999999999963</v>
      </c>
      <c r="Z47">
        <f t="shared" si="115"/>
        <v>37</v>
      </c>
      <c r="AA47">
        <f t="shared" si="115"/>
        <v>34</v>
      </c>
      <c r="AB47">
        <f t="shared" si="115"/>
        <v>31</v>
      </c>
      <c r="AC47">
        <f t="shared" si="115"/>
        <v>60.399999999999963</v>
      </c>
      <c r="AD47">
        <f t="shared" si="115"/>
        <v>49.59999999999998</v>
      </c>
      <c r="AE47">
        <f t="shared" si="115"/>
        <v>38.799999999999997</v>
      </c>
      <c r="AF47">
        <f t="shared" si="115"/>
        <v>28.000000000000007</v>
      </c>
      <c r="AG47">
        <f t="shared" si="115"/>
        <v>17.200000000000003</v>
      </c>
      <c r="AH47">
        <f t="shared" si="115"/>
        <v>6.3999999999999995</v>
      </c>
      <c r="AI47">
        <f t="shared" si="115"/>
        <v>22.000000000000007</v>
      </c>
      <c r="AJ47">
        <f t="shared" si="115"/>
        <v>19.600000000000001</v>
      </c>
      <c r="AK47">
        <f t="shared" si="115"/>
        <v>17.199999999999996</v>
      </c>
      <c r="AL47">
        <f t="shared" si="115"/>
        <v>14.799999999999994</v>
      </c>
      <c r="AM47">
        <f t="shared" si="115"/>
        <v>34</v>
      </c>
      <c r="AN47">
        <f t="shared" si="115"/>
        <v>28</v>
      </c>
      <c r="AO47">
        <f t="shared" si="115"/>
        <v>22</v>
      </c>
      <c r="AP47">
        <f t="shared" si="115"/>
        <v>47.799999999999976</v>
      </c>
      <c r="AQ47">
        <f t="shared" si="115"/>
        <v>43.899999999999984</v>
      </c>
      <c r="AR47">
        <f t="shared" si="115"/>
        <v>39.999999999999993</v>
      </c>
      <c r="AS47">
        <f t="shared" si="115"/>
        <v>36.1</v>
      </c>
      <c r="AT47">
        <f t="shared" si="115"/>
        <v>32.20000000000001</v>
      </c>
      <c r="AU47">
        <f t="shared" si="115"/>
        <v>28.300000000000008</v>
      </c>
      <c r="AV47">
        <f t="shared" si="115"/>
        <v>24.400000000000006</v>
      </c>
      <c r="AW47">
        <f t="shared" si="115"/>
        <v>34</v>
      </c>
      <c r="AX47">
        <f t="shared" si="115"/>
        <v>28</v>
      </c>
      <c r="AY47">
        <f t="shared" si="115"/>
        <v>69</v>
      </c>
      <c r="AZ47">
        <f t="shared" si="115"/>
        <v>59</v>
      </c>
      <c r="BA47">
        <f t="shared" si="115"/>
        <v>73</v>
      </c>
      <c r="BB47">
        <f t="shared" si="115"/>
        <v>67</v>
      </c>
      <c r="BC47">
        <f t="shared" si="115"/>
        <v>61</v>
      </c>
      <c r="BD47">
        <f t="shared" si="115"/>
        <v>50.39999999999997</v>
      </c>
      <c r="BE47">
        <f t="shared" si="115"/>
        <v>71</v>
      </c>
      <c r="BF47">
        <f t="shared" si="115"/>
        <v>63</v>
      </c>
      <c r="BG47">
        <f t="shared" si="115"/>
        <v>55</v>
      </c>
      <c r="BH47">
        <f t="shared" si="115"/>
        <v>47</v>
      </c>
      <c r="BI47">
        <f t="shared" si="115"/>
        <v>35</v>
      </c>
      <c r="BJ47">
        <f t="shared" si="115"/>
        <v>30</v>
      </c>
      <c r="BK47">
        <f t="shared" si="115"/>
        <v>25</v>
      </c>
      <c r="BL47">
        <f t="shared" si="115"/>
        <v>20</v>
      </c>
      <c r="BM47">
        <f t="shared" si="115"/>
        <v>34</v>
      </c>
      <c r="BN47">
        <f t="shared" si="115"/>
        <v>49.099999999999973</v>
      </c>
      <c r="BO47">
        <f t="shared" si="115"/>
        <v>46.499999999999979</v>
      </c>
      <c r="BP47">
        <f t="shared" ref="BP47:EA47" si="116">IF(OR(BP46=-1,AND(IF(BP$3&lt;$B47,BP46+BP$6,IF(BP$3=$B47,1,""))&gt;$B$1,BP$3&lt;$B47)),-1,IF(BP$3&lt;$B47,BP46+BP$6,IF(BP$3=$B47,1,"")))</f>
        <v>73</v>
      </c>
      <c r="BQ47">
        <f t="shared" si="116"/>
        <v>67</v>
      </c>
      <c r="BR47">
        <f t="shared" si="116"/>
        <v>61</v>
      </c>
      <c r="BS47">
        <f t="shared" si="116"/>
        <v>38</v>
      </c>
      <c r="BT47">
        <f t="shared" si="116"/>
        <v>36</v>
      </c>
      <c r="BU47">
        <f t="shared" si="116"/>
        <v>20.800000000000004</v>
      </c>
      <c r="BV47">
        <f t="shared" si="116"/>
        <v>17.199999999999996</v>
      </c>
      <c r="BW47">
        <f t="shared" si="116"/>
        <v>13.599999999999994</v>
      </c>
      <c r="BX47">
        <f t="shared" si="116"/>
        <v>9.9999999999999964</v>
      </c>
      <c r="BY47">
        <f t="shared" si="116"/>
        <v>6.3999999999999986</v>
      </c>
      <c r="BZ47">
        <f t="shared" si="116"/>
        <v>2.8000000000000003</v>
      </c>
      <c r="CA47" t="str">
        <f t="shared" si="116"/>
        <v/>
      </c>
      <c r="CB47" t="str">
        <f t="shared" si="116"/>
        <v/>
      </c>
      <c r="CC47" t="str">
        <f t="shared" si="116"/>
        <v/>
      </c>
      <c r="CD47" t="str">
        <f t="shared" si="116"/>
        <v/>
      </c>
      <c r="CE47" t="str">
        <f t="shared" si="116"/>
        <v/>
      </c>
      <c r="CF47" t="str">
        <f t="shared" si="116"/>
        <v/>
      </c>
      <c r="CG47" t="str">
        <f t="shared" si="116"/>
        <v/>
      </c>
      <c r="CH47" t="str">
        <f t="shared" si="116"/>
        <v/>
      </c>
      <c r="CI47" t="str">
        <f t="shared" si="116"/>
        <v/>
      </c>
      <c r="CJ47" t="str">
        <f t="shared" si="116"/>
        <v/>
      </c>
      <c r="CK47" t="str">
        <f t="shared" si="116"/>
        <v/>
      </c>
      <c r="CL47" t="str">
        <f t="shared" si="116"/>
        <v/>
      </c>
      <c r="CM47" t="str">
        <f t="shared" si="116"/>
        <v/>
      </c>
      <c r="CN47" t="str">
        <f t="shared" si="116"/>
        <v/>
      </c>
      <c r="CO47">
        <f t="shared" si="116"/>
        <v>7.5</v>
      </c>
      <c r="CP47" t="str">
        <f t="shared" si="116"/>
        <v/>
      </c>
      <c r="CQ47">
        <f t="shared" si="116"/>
        <v>35</v>
      </c>
      <c r="CR47">
        <f t="shared" si="116"/>
        <v>30</v>
      </c>
      <c r="CS47">
        <f t="shared" si="116"/>
        <v>25</v>
      </c>
      <c r="CT47">
        <f t="shared" si="116"/>
        <v>49.099999999999973</v>
      </c>
      <c r="CU47">
        <f t="shared" si="116"/>
        <v>46.499999999999979</v>
      </c>
      <c r="CV47">
        <f t="shared" si="116"/>
        <v>55.400000000000034</v>
      </c>
      <c r="CW47">
        <f t="shared" si="116"/>
        <v>47.400000000000027</v>
      </c>
      <c r="CX47">
        <f t="shared" si="116"/>
        <v>39.40000000000002</v>
      </c>
      <c r="CY47">
        <f t="shared" si="116"/>
        <v>31.400000000000013</v>
      </c>
      <c r="CZ47">
        <f t="shared" si="116"/>
        <v>23.400000000000006</v>
      </c>
      <c r="DA47">
        <f t="shared" si="116"/>
        <v>36</v>
      </c>
      <c r="DB47">
        <f t="shared" si="116"/>
        <v>32</v>
      </c>
      <c r="DC47">
        <f t="shared" si="116"/>
        <v>28</v>
      </c>
      <c r="DD47">
        <f t="shared" si="116"/>
        <v>24</v>
      </c>
      <c r="DE47">
        <f t="shared" si="116"/>
        <v>38</v>
      </c>
      <c r="DF47">
        <f t="shared" si="116"/>
        <v>36</v>
      </c>
      <c r="DG47">
        <f t="shared" si="116"/>
        <v>50.39999999999997</v>
      </c>
      <c r="DH47">
        <f t="shared" si="116"/>
        <v>49.099999999999973</v>
      </c>
      <c r="DI47">
        <f t="shared" si="116"/>
        <v>47.799999999999976</v>
      </c>
      <c r="DJ47">
        <f t="shared" si="116"/>
        <v>46.499999999999979</v>
      </c>
      <c r="DK47">
        <f t="shared" si="116"/>
        <v>71</v>
      </c>
      <c r="DL47">
        <f t="shared" si="116"/>
        <v>63</v>
      </c>
      <c r="DM47">
        <f t="shared" si="116"/>
        <v>55</v>
      </c>
      <c r="DN47">
        <f t="shared" si="116"/>
        <v>47</v>
      </c>
      <c r="DO47">
        <f t="shared" si="116"/>
        <v>39</v>
      </c>
      <c r="DP47">
        <f t="shared" si="116"/>
        <v>31</v>
      </c>
      <c r="DQ47">
        <f t="shared" si="116"/>
        <v>49.099999999999973</v>
      </c>
      <c r="DR47">
        <f t="shared" si="116"/>
        <v>46.499999999999979</v>
      </c>
      <c r="DS47">
        <f t="shared" si="116"/>
        <v>34</v>
      </c>
      <c r="DT47">
        <f t="shared" si="116"/>
        <v>28</v>
      </c>
      <c r="DU47">
        <f t="shared" si="116"/>
        <v>22</v>
      </c>
      <c r="DV47">
        <f t="shared" si="116"/>
        <v>16</v>
      </c>
      <c r="DW47">
        <f t="shared" si="116"/>
        <v>10</v>
      </c>
      <c r="DX47">
        <f t="shared" si="116"/>
        <v>4</v>
      </c>
      <c r="DY47">
        <f t="shared" si="116"/>
        <v>-1</v>
      </c>
      <c r="DZ47">
        <f t="shared" si="116"/>
        <v>75</v>
      </c>
      <c r="EA47">
        <f t="shared" si="116"/>
        <v>73</v>
      </c>
      <c r="EB47">
        <f t="shared" ref="EB47:EO47" si="117">IF(OR(EB46=-1,AND(IF(EB$3&lt;$B47,EB46+EB$6,IF(EB$3=$B47,1,""))&gt;$B$1,EB$3&lt;$B47)),-1,IF(EB$3&lt;$B47,EB46+EB$6,IF(EB$3=$B47,1,"")))</f>
        <v>71</v>
      </c>
      <c r="EC47">
        <f t="shared" si="117"/>
        <v>69</v>
      </c>
      <c r="ED47">
        <f t="shared" si="117"/>
        <v>67</v>
      </c>
      <c r="EE47">
        <f t="shared" si="117"/>
        <v>55.400000000000034</v>
      </c>
      <c r="EF47">
        <f t="shared" si="117"/>
        <v>47.400000000000027</v>
      </c>
      <c r="EG47">
        <f t="shared" si="117"/>
        <v>39.40000000000002</v>
      </c>
      <c r="EH47">
        <f t="shared" si="117"/>
        <v>31.400000000000013</v>
      </c>
      <c r="EI47">
        <f t="shared" si="117"/>
        <v>23.400000000000006</v>
      </c>
      <c r="EJ47">
        <f t="shared" si="117"/>
        <v>15.399999999999999</v>
      </c>
      <c r="EK47">
        <f t="shared" si="117"/>
        <v>60.200000000000038</v>
      </c>
      <c r="EL47">
        <f t="shared" si="117"/>
        <v>52.200000000000031</v>
      </c>
      <c r="EM47">
        <f t="shared" si="117"/>
        <v>41.000000000000021</v>
      </c>
      <c r="EN47">
        <f t="shared" si="117"/>
        <v>29.800000000000011</v>
      </c>
      <c r="EO47">
        <f t="shared" si="117"/>
        <v>18.600000000000001</v>
      </c>
    </row>
    <row r="48" spans="1:145" x14ac:dyDescent="0.15">
      <c r="A48" t="e">
        <f t="shared" si="0"/>
        <v>#N/A</v>
      </c>
      <c r="B48" s="218">
        <v>40</v>
      </c>
      <c r="C48">
        <f t="shared" si="0"/>
        <v>39</v>
      </c>
      <c r="D48">
        <f t="shared" ref="D48:BO48" si="118">IF(OR(D47=-1,AND(IF(D$3&lt;$B48,D47+D$6,IF(D$3=$B48,1,""))&gt;$B$1,D$3&lt;$B48)),-1,IF(D$3&lt;$B48,D47+D$6,IF(D$3=$B48,1,"")))</f>
        <v>37</v>
      </c>
      <c r="E48">
        <f t="shared" si="118"/>
        <v>35</v>
      </c>
      <c r="F48">
        <f t="shared" si="118"/>
        <v>33</v>
      </c>
      <c r="G48">
        <f t="shared" si="118"/>
        <v>31</v>
      </c>
      <c r="H48">
        <f t="shared" si="118"/>
        <v>29</v>
      </c>
      <c r="I48">
        <f t="shared" si="118"/>
        <v>41.29999999999999</v>
      </c>
      <c r="J48">
        <f t="shared" si="118"/>
        <v>29.600000000000009</v>
      </c>
      <c r="K48">
        <f t="shared" si="118"/>
        <v>17.900000000000002</v>
      </c>
      <c r="L48">
        <f t="shared" si="118"/>
        <v>25.499999999999982</v>
      </c>
      <c r="M48">
        <f t="shared" si="118"/>
        <v>21.999999999999986</v>
      </c>
      <c r="N48">
        <f t="shared" si="118"/>
        <v>18.499999999999989</v>
      </c>
      <c r="O48">
        <f t="shared" si="118"/>
        <v>39</v>
      </c>
      <c r="P48">
        <f t="shared" si="118"/>
        <v>37</v>
      </c>
      <c r="Q48">
        <f t="shared" si="118"/>
        <v>35</v>
      </c>
      <c r="R48">
        <f t="shared" si="118"/>
        <v>33</v>
      </c>
      <c r="S48">
        <f t="shared" si="118"/>
        <v>31</v>
      </c>
      <c r="T48">
        <f t="shared" si="118"/>
        <v>73</v>
      </c>
      <c r="U48">
        <f t="shared" si="118"/>
        <v>65</v>
      </c>
      <c r="V48">
        <f t="shared" si="118"/>
        <v>57</v>
      </c>
      <c r="W48">
        <f t="shared" si="118"/>
        <v>69.399999999999949</v>
      </c>
      <c r="X48">
        <f t="shared" si="118"/>
        <v>65.799999999999955</v>
      </c>
      <c r="Y48">
        <f t="shared" si="118"/>
        <v>62.19999999999996</v>
      </c>
      <c r="Z48">
        <f t="shared" si="118"/>
        <v>38</v>
      </c>
      <c r="AA48">
        <f t="shared" si="118"/>
        <v>35</v>
      </c>
      <c r="AB48">
        <f t="shared" si="118"/>
        <v>32</v>
      </c>
      <c r="AC48">
        <f t="shared" si="118"/>
        <v>62.19999999999996</v>
      </c>
      <c r="AD48">
        <f t="shared" si="118"/>
        <v>51.399999999999977</v>
      </c>
      <c r="AE48">
        <f t="shared" si="118"/>
        <v>40.599999999999994</v>
      </c>
      <c r="AF48">
        <f t="shared" si="118"/>
        <v>29.800000000000008</v>
      </c>
      <c r="AG48">
        <f t="shared" si="118"/>
        <v>19.000000000000004</v>
      </c>
      <c r="AH48">
        <f t="shared" si="118"/>
        <v>8.1999999999999993</v>
      </c>
      <c r="AI48">
        <f t="shared" si="118"/>
        <v>22.600000000000009</v>
      </c>
      <c r="AJ48">
        <f t="shared" si="118"/>
        <v>20.200000000000003</v>
      </c>
      <c r="AK48">
        <f t="shared" si="118"/>
        <v>17.799999999999997</v>
      </c>
      <c r="AL48">
        <f t="shared" si="118"/>
        <v>15.399999999999993</v>
      </c>
      <c r="AM48">
        <f t="shared" si="118"/>
        <v>35</v>
      </c>
      <c r="AN48">
        <f t="shared" si="118"/>
        <v>29</v>
      </c>
      <c r="AO48">
        <f t="shared" si="118"/>
        <v>23</v>
      </c>
      <c r="AP48">
        <f t="shared" si="118"/>
        <v>49.099999999999973</v>
      </c>
      <c r="AQ48">
        <f t="shared" si="118"/>
        <v>45.199999999999982</v>
      </c>
      <c r="AR48">
        <f t="shared" si="118"/>
        <v>41.29999999999999</v>
      </c>
      <c r="AS48">
        <f t="shared" si="118"/>
        <v>37.4</v>
      </c>
      <c r="AT48">
        <f t="shared" si="118"/>
        <v>33.500000000000007</v>
      </c>
      <c r="AU48">
        <f t="shared" si="118"/>
        <v>29.600000000000009</v>
      </c>
      <c r="AV48">
        <f t="shared" si="118"/>
        <v>25.700000000000006</v>
      </c>
      <c r="AW48">
        <f t="shared" si="118"/>
        <v>35</v>
      </c>
      <c r="AX48">
        <f t="shared" si="118"/>
        <v>29</v>
      </c>
      <c r="AY48">
        <f t="shared" si="118"/>
        <v>71</v>
      </c>
      <c r="AZ48">
        <f t="shared" si="118"/>
        <v>61</v>
      </c>
      <c r="BA48">
        <f t="shared" si="118"/>
        <v>75</v>
      </c>
      <c r="BB48">
        <f t="shared" si="118"/>
        <v>69</v>
      </c>
      <c r="BC48">
        <f t="shared" si="118"/>
        <v>63</v>
      </c>
      <c r="BD48">
        <f t="shared" si="118"/>
        <v>51.699999999999967</v>
      </c>
      <c r="BE48">
        <f t="shared" si="118"/>
        <v>73</v>
      </c>
      <c r="BF48">
        <f t="shared" si="118"/>
        <v>65</v>
      </c>
      <c r="BG48">
        <f t="shared" si="118"/>
        <v>57</v>
      </c>
      <c r="BH48">
        <f t="shared" si="118"/>
        <v>49</v>
      </c>
      <c r="BI48">
        <f t="shared" si="118"/>
        <v>36</v>
      </c>
      <c r="BJ48">
        <f t="shared" si="118"/>
        <v>31</v>
      </c>
      <c r="BK48">
        <f t="shared" si="118"/>
        <v>26</v>
      </c>
      <c r="BL48">
        <f t="shared" si="118"/>
        <v>21</v>
      </c>
      <c r="BM48">
        <f t="shared" si="118"/>
        <v>35</v>
      </c>
      <c r="BN48">
        <f t="shared" si="118"/>
        <v>50.39999999999997</v>
      </c>
      <c r="BO48">
        <f t="shared" si="118"/>
        <v>47.799999999999976</v>
      </c>
      <c r="BP48">
        <f t="shared" ref="BP48:EA48" si="119">IF(OR(BP47=-1,AND(IF(BP$3&lt;$B48,BP47+BP$6,IF(BP$3=$B48,1,""))&gt;$B$1,BP$3&lt;$B48)),-1,IF(BP$3&lt;$B48,BP47+BP$6,IF(BP$3=$B48,1,"")))</f>
        <v>75</v>
      </c>
      <c r="BQ48">
        <f t="shared" si="119"/>
        <v>69</v>
      </c>
      <c r="BR48">
        <f t="shared" si="119"/>
        <v>63</v>
      </c>
      <c r="BS48">
        <f t="shared" si="119"/>
        <v>39</v>
      </c>
      <c r="BT48">
        <f t="shared" si="119"/>
        <v>37</v>
      </c>
      <c r="BU48">
        <f t="shared" si="119"/>
        <v>21.400000000000006</v>
      </c>
      <c r="BV48">
        <f t="shared" si="119"/>
        <v>17.799999999999997</v>
      </c>
      <c r="BW48">
        <f t="shared" si="119"/>
        <v>14.199999999999994</v>
      </c>
      <c r="BX48">
        <f t="shared" si="119"/>
        <v>10.599999999999996</v>
      </c>
      <c r="BY48">
        <f t="shared" si="119"/>
        <v>6.9999999999999982</v>
      </c>
      <c r="BZ48">
        <f t="shared" si="119"/>
        <v>3.4000000000000004</v>
      </c>
      <c r="CA48" t="str">
        <f t="shared" si="119"/>
        <v/>
      </c>
      <c r="CB48" t="str">
        <f t="shared" si="119"/>
        <v/>
      </c>
      <c r="CC48" t="str">
        <f t="shared" si="119"/>
        <v/>
      </c>
      <c r="CD48" t="str">
        <f t="shared" si="119"/>
        <v/>
      </c>
      <c r="CE48" t="str">
        <f t="shared" si="119"/>
        <v/>
      </c>
      <c r="CF48" t="str">
        <f t="shared" si="119"/>
        <v/>
      </c>
      <c r="CG48" t="str">
        <f t="shared" si="119"/>
        <v/>
      </c>
      <c r="CH48" t="str">
        <f t="shared" si="119"/>
        <v/>
      </c>
      <c r="CI48" t="str">
        <f t="shared" si="119"/>
        <v/>
      </c>
      <c r="CJ48" t="str">
        <f t="shared" si="119"/>
        <v/>
      </c>
      <c r="CK48" t="str">
        <f t="shared" si="119"/>
        <v/>
      </c>
      <c r="CL48" t="str">
        <f t="shared" si="119"/>
        <v/>
      </c>
      <c r="CM48" t="str">
        <f t="shared" si="119"/>
        <v/>
      </c>
      <c r="CN48" t="str">
        <f t="shared" si="119"/>
        <v/>
      </c>
      <c r="CO48">
        <f t="shared" si="119"/>
        <v>8</v>
      </c>
      <c r="CP48" t="str">
        <f t="shared" si="119"/>
        <v/>
      </c>
      <c r="CQ48">
        <f t="shared" si="119"/>
        <v>36</v>
      </c>
      <c r="CR48">
        <f t="shared" si="119"/>
        <v>31</v>
      </c>
      <c r="CS48">
        <f t="shared" si="119"/>
        <v>26</v>
      </c>
      <c r="CT48">
        <f t="shared" si="119"/>
        <v>50.39999999999997</v>
      </c>
      <c r="CU48">
        <f t="shared" si="119"/>
        <v>47.799999999999976</v>
      </c>
      <c r="CV48">
        <f t="shared" si="119"/>
        <v>57.000000000000036</v>
      </c>
      <c r="CW48">
        <f t="shared" si="119"/>
        <v>49.000000000000028</v>
      </c>
      <c r="CX48">
        <f t="shared" si="119"/>
        <v>41.000000000000021</v>
      </c>
      <c r="CY48">
        <f t="shared" si="119"/>
        <v>33.000000000000014</v>
      </c>
      <c r="CZ48">
        <f t="shared" si="119"/>
        <v>25.000000000000007</v>
      </c>
      <c r="DA48">
        <f t="shared" si="119"/>
        <v>37</v>
      </c>
      <c r="DB48">
        <f t="shared" si="119"/>
        <v>33</v>
      </c>
      <c r="DC48">
        <f t="shared" si="119"/>
        <v>29</v>
      </c>
      <c r="DD48">
        <f t="shared" si="119"/>
        <v>25</v>
      </c>
      <c r="DE48">
        <f t="shared" si="119"/>
        <v>39</v>
      </c>
      <c r="DF48">
        <f t="shared" si="119"/>
        <v>37</v>
      </c>
      <c r="DG48">
        <f t="shared" si="119"/>
        <v>51.699999999999967</v>
      </c>
      <c r="DH48">
        <f t="shared" si="119"/>
        <v>50.39999999999997</v>
      </c>
      <c r="DI48">
        <f t="shared" si="119"/>
        <v>49.099999999999973</v>
      </c>
      <c r="DJ48">
        <f t="shared" si="119"/>
        <v>47.799999999999976</v>
      </c>
      <c r="DK48">
        <f t="shared" si="119"/>
        <v>73</v>
      </c>
      <c r="DL48">
        <f t="shared" si="119"/>
        <v>65</v>
      </c>
      <c r="DM48">
        <f t="shared" si="119"/>
        <v>57</v>
      </c>
      <c r="DN48">
        <f t="shared" si="119"/>
        <v>49</v>
      </c>
      <c r="DO48">
        <f t="shared" si="119"/>
        <v>41</v>
      </c>
      <c r="DP48">
        <f t="shared" si="119"/>
        <v>33</v>
      </c>
      <c r="DQ48">
        <f t="shared" si="119"/>
        <v>50.39999999999997</v>
      </c>
      <c r="DR48">
        <f t="shared" si="119"/>
        <v>47.799999999999976</v>
      </c>
      <c r="DS48">
        <f t="shared" si="119"/>
        <v>35</v>
      </c>
      <c r="DT48">
        <f t="shared" si="119"/>
        <v>29</v>
      </c>
      <c r="DU48">
        <f t="shared" si="119"/>
        <v>23</v>
      </c>
      <c r="DV48">
        <f t="shared" si="119"/>
        <v>17</v>
      </c>
      <c r="DW48">
        <f t="shared" si="119"/>
        <v>11</v>
      </c>
      <c r="DX48">
        <f t="shared" si="119"/>
        <v>5</v>
      </c>
      <c r="DY48">
        <f t="shared" si="119"/>
        <v>-1</v>
      </c>
      <c r="DZ48">
        <f t="shared" si="119"/>
        <v>-1</v>
      </c>
      <c r="EA48">
        <f t="shared" si="119"/>
        <v>75</v>
      </c>
      <c r="EB48">
        <f t="shared" ref="EB48:EO48" si="120">IF(OR(EB47=-1,AND(IF(EB$3&lt;$B48,EB47+EB$6,IF(EB$3=$B48,1,""))&gt;$B$1,EB$3&lt;$B48)),-1,IF(EB$3&lt;$B48,EB47+EB$6,IF(EB$3=$B48,1,"")))</f>
        <v>73</v>
      </c>
      <c r="EC48">
        <f t="shared" si="120"/>
        <v>71</v>
      </c>
      <c r="ED48">
        <f t="shared" si="120"/>
        <v>69</v>
      </c>
      <c r="EE48">
        <f t="shared" si="120"/>
        <v>57.000000000000036</v>
      </c>
      <c r="EF48">
        <f t="shared" si="120"/>
        <v>49.000000000000028</v>
      </c>
      <c r="EG48">
        <f t="shared" si="120"/>
        <v>41.000000000000021</v>
      </c>
      <c r="EH48">
        <f t="shared" si="120"/>
        <v>33.000000000000014</v>
      </c>
      <c r="EI48">
        <f t="shared" si="120"/>
        <v>25.000000000000007</v>
      </c>
      <c r="EJ48">
        <f t="shared" si="120"/>
        <v>17</v>
      </c>
      <c r="EK48">
        <f t="shared" si="120"/>
        <v>61.80000000000004</v>
      </c>
      <c r="EL48">
        <f t="shared" si="120"/>
        <v>53.800000000000033</v>
      </c>
      <c r="EM48">
        <f t="shared" si="120"/>
        <v>42.600000000000023</v>
      </c>
      <c r="EN48">
        <f t="shared" si="120"/>
        <v>31.400000000000013</v>
      </c>
      <c r="EO48">
        <f t="shared" si="120"/>
        <v>20.200000000000003</v>
      </c>
    </row>
    <row r="49" spans="1:145" x14ac:dyDescent="0.15">
      <c r="A49" t="e">
        <f t="shared" si="0"/>
        <v>#N/A</v>
      </c>
      <c r="B49" s="218">
        <v>41</v>
      </c>
      <c r="C49">
        <f t="shared" si="0"/>
        <v>40</v>
      </c>
      <c r="D49">
        <f t="shared" ref="D49:BO49" si="121">IF(OR(D48=-1,AND(IF(D$3&lt;$B49,D48+D$6,IF(D$3=$B49,1,""))&gt;$B$1,D$3&lt;$B49)),-1,IF(D$3&lt;$B49,D48+D$6,IF(D$3=$B49,1,"")))</f>
        <v>38</v>
      </c>
      <c r="E49">
        <f t="shared" si="121"/>
        <v>36</v>
      </c>
      <c r="F49">
        <f t="shared" si="121"/>
        <v>34</v>
      </c>
      <c r="G49">
        <f t="shared" si="121"/>
        <v>32</v>
      </c>
      <c r="H49">
        <f t="shared" si="121"/>
        <v>30</v>
      </c>
      <c r="I49">
        <f t="shared" si="121"/>
        <v>42.599999999999987</v>
      </c>
      <c r="J49">
        <f t="shared" si="121"/>
        <v>30.900000000000009</v>
      </c>
      <c r="K49">
        <f t="shared" si="121"/>
        <v>19.200000000000003</v>
      </c>
      <c r="L49">
        <f t="shared" si="121"/>
        <v>26.199999999999982</v>
      </c>
      <c r="M49">
        <f t="shared" si="121"/>
        <v>22.699999999999985</v>
      </c>
      <c r="N49">
        <f t="shared" si="121"/>
        <v>19.199999999999989</v>
      </c>
      <c r="O49">
        <f t="shared" si="121"/>
        <v>40</v>
      </c>
      <c r="P49">
        <f t="shared" si="121"/>
        <v>38</v>
      </c>
      <c r="Q49">
        <f t="shared" si="121"/>
        <v>36</v>
      </c>
      <c r="R49">
        <f t="shared" si="121"/>
        <v>34</v>
      </c>
      <c r="S49">
        <f t="shared" si="121"/>
        <v>32</v>
      </c>
      <c r="T49">
        <f t="shared" si="121"/>
        <v>75</v>
      </c>
      <c r="U49">
        <f t="shared" si="121"/>
        <v>67</v>
      </c>
      <c r="V49">
        <f t="shared" si="121"/>
        <v>59</v>
      </c>
      <c r="W49">
        <f t="shared" si="121"/>
        <v>71.199999999999946</v>
      </c>
      <c r="X49">
        <f t="shared" si="121"/>
        <v>67.599999999999952</v>
      </c>
      <c r="Y49">
        <f t="shared" si="121"/>
        <v>63.999999999999957</v>
      </c>
      <c r="Z49">
        <f t="shared" si="121"/>
        <v>39</v>
      </c>
      <c r="AA49">
        <f t="shared" si="121"/>
        <v>36</v>
      </c>
      <c r="AB49">
        <f t="shared" si="121"/>
        <v>33</v>
      </c>
      <c r="AC49">
        <f t="shared" si="121"/>
        <v>63.999999999999957</v>
      </c>
      <c r="AD49">
        <f t="shared" si="121"/>
        <v>53.199999999999974</v>
      </c>
      <c r="AE49">
        <f t="shared" si="121"/>
        <v>42.399999999999991</v>
      </c>
      <c r="AF49">
        <f t="shared" si="121"/>
        <v>31.600000000000009</v>
      </c>
      <c r="AG49">
        <f t="shared" si="121"/>
        <v>20.800000000000004</v>
      </c>
      <c r="AH49">
        <f t="shared" si="121"/>
        <v>10</v>
      </c>
      <c r="AI49">
        <f t="shared" si="121"/>
        <v>23.20000000000001</v>
      </c>
      <c r="AJ49">
        <f t="shared" si="121"/>
        <v>20.800000000000004</v>
      </c>
      <c r="AK49">
        <f t="shared" si="121"/>
        <v>18.399999999999999</v>
      </c>
      <c r="AL49">
        <f t="shared" si="121"/>
        <v>15.999999999999993</v>
      </c>
      <c r="AM49">
        <f t="shared" si="121"/>
        <v>36</v>
      </c>
      <c r="AN49">
        <f t="shared" si="121"/>
        <v>30</v>
      </c>
      <c r="AO49">
        <f t="shared" si="121"/>
        <v>24</v>
      </c>
      <c r="AP49">
        <f t="shared" si="121"/>
        <v>50.39999999999997</v>
      </c>
      <c r="AQ49">
        <f t="shared" si="121"/>
        <v>46.499999999999979</v>
      </c>
      <c r="AR49">
        <f t="shared" si="121"/>
        <v>42.599999999999987</v>
      </c>
      <c r="AS49">
        <f t="shared" si="121"/>
        <v>38.699999999999996</v>
      </c>
      <c r="AT49">
        <f t="shared" si="121"/>
        <v>34.800000000000004</v>
      </c>
      <c r="AU49">
        <f t="shared" si="121"/>
        <v>30.900000000000009</v>
      </c>
      <c r="AV49">
        <f t="shared" si="121"/>
        <v>27.000000000000007</v>
      </c>
      <c r="AW49">
        <f t="shared" si="121"/>
        <v>36</v>
      </c>
      <c r="AX49">
        <f t="shared" si="121"/>
        <v>30</v>
      </c>
      <c r="AY49">
        <f t="shared" si="121"/>
        <v>73</v>
      </c>
      <c r="AZ49">
        <f t="shared" si="121"/>
        <v>63</v>
      </c>
      <c r="BA49">
        <f t="shared" si="121"/>
        <v>-1</v>
      </c>
      <c r="BB49">
        <f t="shared" si="121"/>
        <v>71</v>
      </c>
      <c r="BC49">
        <f t="shared" si="121"/>
        <v>65</v>
      </c>
      <c r="BD49">
        <f t="shared" si="121"/>
        <v>52.999999999999964</v>
      </c>
      <c r="BE49">
        <f t="shared" si="121"/>
        <v>75</v>
      </c>
      <c r="BF49">
        <f t="shared" si="121"/>
        <v>67</v>
      </c>
      <c r="BG49">
        <f t="shared" si="121"/>
        <v>59</v>
      </c>
      <c r="BH49">
        <f t="shared" si="121"/>
        <v>51</v>
      </c>
      <c r="BI49">
        <f t="shared" si="121"/>
        <v>37</v>
      </c>
      <c r="BJ49">
        <f t="shared" si="121"/>
        <v>32</v>
      </c>
      <c r="BK49">
        <f t="shared" si="121"/>
        <v>27</v>
      </c>
      <c r="BL49">
        <f t="shared" si="121"/>
        <v>22</v>
      </c>
      <c r="BM49">
        <f t="shared" si="121"/>
        <v>36</v>
      </c>
      <c r="BN49">
        <f t="shared" si="121"/>
        <v>51.699999999999967</v>
      </c>
      <c r="BO49">
        <f t="shared" si="121"/>
        <v>49.099999999999973</v>
      </c>
      <c r="BP49">
        <f t="shared" ref="BP49:EA49" si="122">IF(OR(BP48=-1,AND(IF(BP$3&lt;$B49,BP48+BP$6,IF(BP$3=$B49,1,""))&gt;$B$1,BP$3&lt;$B49)),-1,IF(BP$3&lt;$B49,BP48+BP$6,IF(BP$3=$B49,1,"")))</f>
        <v>-1</v>
      </c>
      <c r="BQ49">
        <f t="shared" si="122"/>
        <v>71</v>
      </c>
      <c r="BR49">
        <f t="shared" si="122"/>
        <v>65</v>
      </c>
      <c r="BS49">
        <f t="shared" si="122"/>
        <v>40</v>
      </c>
      <c r="BT49">
        <f t="shared" si="122"/>
        <v>38</v>
      </c>
      <c r="BU49">
        <f t="shared" si="122"/>
        <v>22.000000000000007</v>
      </c>
      <c r="BV49">
        <f t="shared" si="122"/>
        <v>18.399999999999999</v>
      </c>
      <c r="BW49">
        <f t="shared" si="122"/>
        <v>14.799999999999994</v>
      </c>
      <c r="BX49">
        <f t="shared" si="122"/>
        <v>11.199999999999996</v>
      </c>
      <c r="BY49">
        <f t="shared" si="122"/>
        <v>7.5999999999999979</v>
      </c>
      <c r="BZ49">
        <f t="shared" si="122"/>
        <v>4</v>
      </c>
      <c r="CA49" t="str">
        <f t="shared" si="122"/>
        <v/>
      </c>
      <c r="CB49" t="str">
        <f t="shared" si="122"/>
        <v/>
      </c>
      <c r="CC49" t="str">
        <f t="shared" si="122"/>
        <v/>
      </c>
      <c r="CD49" t="str">
        <f t="shared" si="122"/>
        <v/>
      </c>
      <c r="CE49" t="str">
        <f t="shared" si="122"/>
        <v/>
      </c>
      <c r="CF49" t="str">
        <f t="shared" si="122"/>
        <v/>
      </c>
      <c r="CG49" t="str">
        <f t="shared" si="122"/>
        <v/>
      </c>
      <c r="CH49" t="str">
        <f t="shared" si="122"/>
        <v/>
      </c>
      <c r="CI49" t="str">
        <f t="shared" si="122"/>
        <v/>
      </c>
      <c r="CJ49" t="str">
        <f t="shared" si="122"/>
        <v/>
      </c>
      <c r="CK49" t="str">
        <f t="shared" si="122"/>
        <v/>
      </c>
      <c r="CL49" t="str">
        <f t="shared" si="122"/>
        <v/>
      </c>
      <c r="CM49" t="str">
        <f t="shared" si="122"/>
        <v/>
      </c>
      <c r="CN49" t="str">
        <f t="shared" si="122"/>
        <v/>
      </c>
      <c r="CO49">
        <f t="shared" si="122"/>
        <v>8.5</v>
      </c>
      <c r="CP49" t="str">
        <f t="shared" si="122"/>
        <v/>
      </c>
      <c r="CQ49">
        <f t="shared" si="122"/>
        <v>37</v>
      </c>
      <c r="CR49">
        <f t="shared" si="122"/>
        <v>32</v>
      </c>
      <c r="CS49">
        <f t="shared" si="122"/>
        <v>27</v>
      </c>
      <c r="CT49">
        <f t="shared" si="122"/>
        <v>51.699999999999967</v>
      </c>
      <c r="CU49">
        <f t="shared" si="122"/>
        <v>49.099999999999973</v>
      </c>
      <c r="CV49">
        <f t="shared" si="122"/>
        <v>58.600000000000037</v>
      </c>
      <c r="CW49">
        <f t="shared" si="122"/>
        <v>50.60000000000003</v>
      </c>
      <c r="CX49">
        <f t="shared" si="122"/>
        <v>42.600000000000023</v>
      </c>
      <c r="CY49">
        <f t="shared" si="122"/>
        <v>34.600000000000016</v>
      </c>
      <c r="CZ49">
        <f t="shared" si="122"/>
        <v>26.600000000000009</v>
      </c>
      <c r="DA49">
        <f t="shared" si="122"/>
        <v>38</v>
      </c>
      <c r="DB49">
        <f t="shared" si="122"/>
        <v>34</v>
      </c>
      <c r="DC49">
        <f t="shared" si="122"/>
        <v>30</v>
      </c>
      <c r="DD49">
        <f t="shared" si="122"/>
        <v>26</v>
      </c>
      <c r="DE49">
        <f t="shared" si="122"/>
        <v>40</v>
      </c>
      <c r="DF49">
        <f t="shared" si="122"/>
        <v>38</v>
      </c>
      <c r="DG49">
        <f t="shared" si="122"/>
        <v>52.999999999999964</v>
      </c>
      <c r="DH49">
        <f t="shared" si="122"/>
        <v>51.699999999999967</v>
      </c>
      <c r="DI49">
        <f t="shared" si="122"/>
        <v>50.39999999999997</v>
      </c>
      <c r="DJ49">
        <f t="shared" si="122"/>
        <v>49.099999999999973</v>
      </c>
      <c r="DK49">
        <f t="shared" si="122"/>
        <v>75</v>
      </c>
      <c r="DL49">
        <f t="shared" si="122"/>
        <v>67</v>
      </c>
      <c r="DM49">
        <f t="shared" si="122"/>
        <v>59</v>
      </c>
      <c r="DN49">
        <f t="shared" si="122"/>
        <v>51</v>
      </c>
      <c r="DO49">
        <f t="shared" si="122"/>
        <v>43</v>
      </c>
      <c r="DP49">
        <f t="shared" si="122"/>
        <v>35</v>
      </c>
      <c r="DQ49">
        <f t="shared" si="122"/>
        <v>51.699999999999967</v>
      </c>
      <c r="DR49">
        <f t="shared" si="122"/>
        <v>49.099999999999973</v>
      </c>
      <c r="DS49">
        <f t="shared" si="122"/>
        <v>36</v>
      </c>
      <c r="DT49">
        <f t="shared" si="122"/>
        <v>30</v>
      </c>
      <c r="DU49">
        <f t="shared" si="122"/>
        <v>24</v>
      </c>
      <c r="DV49">
        <f t="shared" si="122"/>
        <v>18</v>
      </c>
      <c r="DW49">
        <f t="shared" si="122"/>
        <v>12</v>
      </c>
      <c r="DX49">
        <f t="shared" si="122"/>
        <v>6</v>
      </c>
      <c r="DY49">
        <f t="shared" si="122"/>
        <v>-1</v>
      </c>
      <c r="DZ49">
        <f t="shared" si="122"/>
        <v>-1</v>
      </c>
      <c r="EA49">
        <f t="shared" si="122"/>
        <v>-1</v>
      </c>
      <c r="EB49">
        <f t="shared" ref="EB49:EO49" si="123">IF(OR(EB48=-1,AND(IF(EB$3&lt;$B49,EB48+EB$6,IF(EB$3=$B49,1,""))&gt;$B$1,EB$3&lt;$B49)),-1,IF(EB$3&lt;$B49,EB48+EB$6,IF(EB$3=$B49,1,"")))</f>
        <v>75</v>
      </c>
      <c r="EC49">
        <f t="shared" si="123"/>
        <v>73</v>
      </c>
      <c r="ED49">
        <f t="shared" si="123"/>
        <v>71</v>
      </c>
      <c r="EE49">
        <f t="shared" si="123"/>
        <v>58.600000000000037</v>
      </c>
      <c r="EF49">
        <f t="shared" si="123"/>
        <v>50.60000000000003</v>
      </c>
      <c r="EG49">
        <f t="shared" si="123"/>
        <v>42.600000000000023</v>
      </c>
      <c r="EH49">
        <f t="shared" si="123"/>
        <v>34.600000000000016</v>
      </c>
      <c r="EI49">
        <f t="shared" si="123"/>
        <v>26.600000000000009</v>
      </c>
      <c r="EJ49">
        <f t="shared" si="123"/>
        <v>18.600000000000001</v>
      </c>
      <c r="EK49">
        <f t="shared" si="123"/>
        <v>63.400000000000041</v>
      </c>
      <c r="EL49">
        <f t="shared" si="123"/>
        <v>55.400000000000034</v>
      </c>
      <c r="EM49">
        <f t="shared" si="123"/>
        <v>44.200000000000024</v>
      </c>
      <c r="EN49">
        <f t="shared" si="123"/>
        <v>33.000000000000014</v>
      </c>
      <c r="EO49">
        <f t="shared" si="123"/>
        <v>21.800000000000004</v>
      </c>
    </row>
    <row r="50" spans="1:145" x14ac:dyDescent="0.15">
      <c r="A50" t="e">
        <f t="shared" si="0"/>
        <v>#N/A</v>
      </c>
      <c r="B50" s="218">
        <v>42</v>
      </c>
      <c r="C50">
        <f t="shared" si="0"/>
        <v>41</v>
      </c>
      <c r="D50">
        <f t="shared" ref="D50:BO50" si="124">IF(OR(D49=-1,AND(IF(D$3&lt;$B50,D49+D$6,IF(D$3=$B50,1,""))&gt;$B$1,D$3&lt;$B50)),-1,IF(D$3&lt;$B50,D49+D$6,IF(D$3=$B50,1,"")))</f>
        <v>39</v>
      </c>
      <c r="E50">
        <f t="shared" si="124"/>
        <v>37</v>
      </c>
      <c r="F50">
        <f t="shared" si="124"/>
        <v>35</v>
      </c>
      <c r="G50">
        <f t="shared" si="124"/>
        <v>33</v>
      </c>
      <c r="H50">
        <f t="shared" si="124"/>
        <v>31</v>
      </c>
      <c r="I50">
        <f t="shared" si="124"/>
        <v>43.899999999999984</v>
      </c>
      <c r="J50">
        <f t="shared" si="124"/>
        <v>32.20000000000001</v>
      </c>
      <c r="K50">
        <f t="shared" si="124"/>
        <v>20.500000000000004</v>
      </c>
      <c r="L50">
        <f t="shared" si="124"/>
        <v>26.899999999999981</v>
      </c>
      <c r="M50">
        <f t="shared" si="124"/>
        <v>23.399999999999984</v>
      </c>
      <c r="N50">
        <f t="shared" si="124"/>
        <v>19.899999999999988</v>
      </c>
      <c r="O50">
        <f t="shared" si="124"/>
        <v>41</v>
      </c>
      <c r="P50">
        <f t="shared" si="124"/>
        <v>39</v>
      </c>
      <c r="Q50">
        <f t="shared" si="124"/>
        <v>37</v>
      </c>
      <c r="R50">
        <f t="shared" si="124"/>
        <v>35</v>
      </c>
      <c r="S50">
        <f t="shared" si="124"/>
        <v>33</v>
      </c>
      <c r="T50">
        <f t="shared" si="124"/>
        <v>-1</v>
      </c>
      <c r="U50">
        <f t="shared" si="124"/>
        <v>69</v>
      </c>
      <c r="V50">
        <f t="shared" si="124"/>
        <v>61</v>
      </c>
      <c r="W50">
        <f t="shared" si="124"/>
        <v>72.999999999999943</v>
      </c>
      <c r="X50">
        <f t="shared" si="124"/>
        <v>69.399999999999949</v>
      </c>
      <c r="Y50">
        <f t="shared" si="124"/>
        <v>65.799999999999955</v>
      </c>
      <c r="Z50">
        <f t="shared" si="124"/>
        <v>40</v>
      </c>
      <c r="AA50">
        <f t="shared" si="124"/>
        <v>37</v>
      </c>
      <c r="AB50">
        <f t="shared" si="124"/>
        <v>34</v>
      </c>
      <c r="AC50">
        <f t="shared" si="124"/>
        <v>65.799999999999955</v>
      </c>
      <c r="AD50">
        <f t="shared" si="124"/>
        <v>54.999999999999972</v>
      </c>
      <c r="AE50">
        <f t="shared" si="124"/>
        <v>44.199999999999989</v>
      </c>
      <c r="AF50">
        <f t="shared" si="124"/>
        <v>33.400000000000006</v>
      </c>
      <c r="AG50">
        <f t="shared" si="124"/>
        <v>22.600000000000005</v>
      </c>
      <c r="AH50">
        <f t="shared" si="124"/>
        <v>11.8</v>
      </c>
      <c r="AI50">
        <f t="shared" si="124"/>
        <v>23.800000000000011</v>
      </c>
      <c r="AJ50">
        <f t="shared" si="124"/>
        <v>21.400000000000006</v>
      </c>
      <c r="AK50">
        <f t="shared" si="124"/>
        <v>19</v>
      </c>
      <c r="AL50">
        <f t="shared" si="124"/>
        <v>16.599999999999994</v>
      </c>
      <c r="AM50">
        <f t="shared" si="124"/>
        <v>37</v>
      </c>
      <c r="AN50">
        <f t="shared" si="124"/>
        <v>31</v>
      </c>
      <c r="AO50">
        <f t="shared" si="124"/>
        <v>25</v>
      </c>
      <c r="AP50">
        <f t="shared" si="124"/>
        <v>51.699999999999967</v>
      </c>
      <c r="AQ50">
        <f t="shared" si="124"/>
        <v>47.799999999999976</v>
      </c>
      <c r="AR50">
        <f t="shared" si="124"/>
        <v>43.899999999999984</v>
      </c>
      <c r="AS50">
        <f t="shared" si="124"/>
        <v>39.999999999999993</v>
      </c>
      <c r="AT50">
        <f t="shared" si="124"/>
        <v>36.1</v>
      </c>
      <c r="AU50">
        <f t="shared" si="124"/>
        <v>32.20000000000001</v>
      </c>
      <c r="AV50">
        <f t="shared" si="124"/>
        <v>28.300000000000008</v>
      </c>
      <c r="AW50">
        <f t="shared" si="124"/>
        <v>37</v>
      </c>
      <c r="AX50">
        <f t="shared" si="124"/>
        <v>31</v>
      </c>
      <c r="AY50">
        <f t="shared" si="124"/>
        <v>75</v>
      </c>
      <c r="AZ50">
        <f t="shared" si="124"/>
        <v>65</v>
      </c>
      <c r="BA50">
        <f t="shared" si="124"/>
        <v>-1</v>
      </c>
      <c r="BB50">
        <f t="shared" si="124"/>
        <v>73</v>
      </c>
      <c r="BC50">
        <f t="shared" si="124"/>
        <v>67</v>
      </c>
      <c r="BD50">
        <f t="shared" si="124"/>
        <v>54.299999999999962</v>
      </c>
      <c r="BE50">
        <f t="shared" si="124"/>
        <v>-1</v>
      </c>
      <c r="BF50">
        <f t="shared" si="124"/>
        <v>69</v>
      </c>
      <c r="BG50">
        <f t="shared" si="124"/>
        <v>61</v>
      </c>
      <c r="BH50">
        <f t="shared" si="124"/>
        <v>53</v>
      </c>
      <c r="BI50">
        <f t="shared" si="124"/>
        <v>38</v>
      </c>
      <c r="BJ50">
        <f t="shared" si="124"/>
        <v>33</v>
      </c>
      <c r="BK50">
        <f t="shared" si="124"/>
        <v>28</v>
      </c>
      <c r="BL50">
        <f t="shared" si="124"/>
        <v>23</v>
      </c>
      <c r="BM50">
        <f t="shared" si="124"/>
        <v>37</v>
      </c>
      <c r="BN50">
        <f t="shared" si="124"/>
        <v>52.999999999999964</v>
      </c>
      <c r="BO50">
        <f t="shared" si="124"/>
        <v>50.39999999999997</v>
      </c>
      <c r="BP50">
        <f t="shared" ref="BP50:EA50" si="125">IF(OR(BP49=-1,AND(IF(BP$3&lt;$B50,BP49+BP$6,IF(BP$3=$B50,1,""))&gt;$B$1,BP$3&lt;$B50)),-1,IF(BP$3&lt;$B50,BP49+BP$6,IF(BP$3=$B50,1,"")))</f>
        <v>-1</v>
      </c>
      <c r="BQ50">
        <f t="shared" si="125"/>
        <v>73</v>
      </c>
      <c r="BR50">
        <f t="shared" si="125"/>
        <v>67</v>
      </c>
      <c r="BS50">
        <f t="shared" si="125"/>
        <v>41</v>
      </c>
      <c r="BT50">
        <f t="shared" si="125"/>
        <v>39</v>
      </c>
      <c r="BU50">
        <f t="shared" si="125"/>
        <v>22.600000000000009</v>
      </c>
      <c r="BV50">
        <f t="shared" si="125"/>
        <v>19</v>
      </c>
      <c r="BW50">
        <f t="shared" si="125"/>
        <v>15.399999999999993</v>
      </c>
      <c r="BX50">
        <f t="shared" si="125"/>
        <v>11.799999999999995</v>
      </c>
      <c r="BY50">
        <f t="shared" si="125"/>
        <v>8.1999999999999975</v>
      </c>
      <c r="BZ50">
        <f t="shared" si="125"/>
        <v>4.5999999999999996</v>
      </c>
      <c r="CA50">
        <f t="shared" si="125"/>
        <v>1</v>
      </c>
      <c r="CB50" t="str">
        <f t="shared" si="125"/>
        <v/>
      </c>
      <c r="CC50" t="str">
        <f t="shared" si="125"/>
        <v/>
      </c>
      <c r="CD50" t="str">
        <f t="shared" si="125"/>
        <v/>
      </c>
      <c r="CE50" t="str">
        <f t="shared" si="125"/>
        <v/>
      </c>
      <c r="CF50" t="str">
        <f t="shared" si="125"/>
        <v/>
      </c>
      <c r="CG50" t="str">
        <f t="shared" si="125"/>
        <v/>
      </c>
      <c r="CH50" t="str">
        <f t="shared" si="125"/>
        <v/>
      </c>
      <c r="CI50" t="str">
        <f t="shared" si="125"/>
        <v/>
      </c>
      <c r="CJ50" t="str">
        <f t="shared" si="125"/>
        <v/>
      </c>
      <c r="CK50" t="str">
        <f t="shared" si="125"/>
        <v/>
      </c>
      <c r="CL50" t="str">
        <f t="shared" si="125"/>
        <v/>
      </c>
      <c r="CM50" t="str">
        <f t="shared" si="125"/>
        <v/>
      </c>
      <c r="CN50" t="str">
        <f t="shared" si="125"/>
        <v/>
      </c>
      <c r="CO50">
        <f t="shared" si="125"/>
        <v>9</v>
      </c>
      <c r="CP50" t="str">
        <f t="shared" si="125"/>
        <v/>
      </c>
      <c r="CQ50">
        <f t="shared" si="125"/>
        <v>38</v>
      </c>
      <c r="CR50">
        <f t="shared" si="125"/>
        <v>33</v>
      </c>
      <c r="CS50">
        <f t="shared" si="125"/>
        <v>28</v>
      </c>
      <c r="CT50">
        <f t="shared" si="125"/>
        <v>52.999999999999964</v>
      </c>
      <c r="CU50">
        <f t="shared" si="125"/>
        <v>50.39999999999997</v>
      </c>
      <c r="CV50">
        <f t="shared" si="125"/>
        <v>60.200000000000038</v>
      </c>
      <c r="CW50">
        <f t="shared" si="125"/>
        <v>52.200000000000031</v>
      </c>
      <c r="CX50">
        <f t="shared" si="125"/>
        <v>44.200000000000024</v>
      </c>
      <c r="CY50">
        <f t="shared" si="125"/>
        <v>36.200000000000017</v>
      </c>
      <c r="CZ50">
        <f t="shared" si="125"/>
        <v>28.20000000000001</v>
      </c>
      <c r="DA50">
        <f t="shared" si="125"/>
        <v>39</v>
      </c>
      <c r="DB50">
        <f t="shared" si="125"/>
        <v>35</v>
      </c>
      <c r="DC50">
        <f t="shared" si="125"/>
        <v>31</v>
      </c>
      <c r="DD50">
        <f t="shared" si="125"/>
        <v>27</v>
      </c>
      <c r="DE50">
        <f t="shared" si="125"/>
        <v>41</v>
      </c>
      <c r="DF50">
        <f t="shared" si="125"/>
        <v>39</v>
      </c>
      <c r="DG50">
        <f t="shared" si="125"/>
        <v>54.299999999999962</v>
      </c>
      <c r="DH50">
        <f t="shared" si="125"/>
        <v>52.999999999999964</v>
      </c>
      <c r="DI50">
        <f t="shared" si="125"/>
        <v>51.699999999999967</v>
      </c>
      <c r="DJ50">
        <f t="shared" si="125"/>
        <v>50.39999999999997</v>
      </c>
      <c r="DK50">
        <f t="shared" si="125"/>
        <v>-1</v>
      </c>
      <c r="DL50">
        <f t="shared" si="125"/>
        <v>69</v>
      </c>
      <c r="DM50">
        <f t="shared" si="125"/>
        <v>61</v>
      </c>
      <c r="DN50">
        <f t="shared" si="125"/>
        <v>53</v>
      </c>
      <c r="DO50">
        <f t="shared" si="125"/>
        <v>45</v>
      </c>
      <c r="DP50">
        <f t="shared" si="125"/>
        <v>37</v>
      </c>
      <c r="DQ50">
        <f t="shared" si="125"/>
        <v>52.999999999999964</v>
      </c>
      <c r="DR50">
        <f t="shared" si="125"/>
        <v>50.39999999999997</v>
      </c>
      <c r="DS50">
        <f t="shared" si="125"/>
        <v>37</v>
      </c>
      <c r="DT50">
        <f t="shared" si="125"/>
        <v>31</v>
      </c>
      <c r="DU50">
        <f t="shared" si="125"/>
        <v>25</v>
      </c>
      <c r="DV50">
        <f t="shared" si="125"/>
        <v>19</v>
      </c>
      <c r="DW50">
        <f t="shared" si="125"/>
        <v>13</v>
      </c>
      <c r="DX50">
        <f t="shared" si="125"/>
        <v>7</v>
      </c>
      <c r="DY50">
        <f t="shared" si="125"/>
        <v>-1</v>
      </c>
      <c r="DZ50">
        <f t="shared" si="125"/>
        <v>-1</v>
      </c>
      <c r="EA50">
        <f t="shared" si="125"/>
        <v>-1</v>
      </c>
      <c r="EB50">
        <f t="shared" ref="EB50:EO50" si="126">IF(OR(EB49=-1,AND(IF(EB$3&lt;$B50,EB49+EB$6,IF(EB$3=$B50,1,""))&gt;$B$1,EB$3&lt;$B50)),-1,IF(EB$3&lt;$B50,EB49+EB$6,IF(EB$3=$B50,1,"")))</f>
        <v>-1</v>
      </c>
      <c r="EC50">
        <f t="shared" si="126"/>
        <v>75</v>
      </c>
      <c r="ED50">
        <f t="shared" si="126"/>
        <v>73</v>
      </c>
      <c r="EE50">
        <f t="shared" si="126"/>
        <v>60.200000000000038</v>
      </c>
      <c r="EF50">
        <f t="shared" si="126"/>
        <v>52.200000000000031</v>
      </c>
      <c r="EG50">
        <f t="shared" si="126"/>
        <v>44.200000000000024</v>
      </c>
      <c r="EH50">
        <f t="shared" si="126"/>
        <v>36.200000000000017</v>
      </c>
      <c r="EI50">
        <f t="shared" si="126"/>
        <v>28.20000000000001</v>
      </c>
      <c r="EJ50">
        <f t="shared" si="126"/>
        <v>20.200000000000003</v>
      </c>
      <c r="EK50">
        <f t="shared" si="126"/>
        <v>65.000000000000043</v>
      </c>
      <c r="EL50">
        <f t="shared" si="126"/>
        <v>57.000000000000036</v>
      </c>
      <c r="EM50">
        <f t="shared" si="126"/>
        <v>45.800000000000026</v>
      </c>
      <c r="EN50">
        <f t="shared" si="126"/>
        <v>34.600000000000016</v>
      </c>
      <c r="EO50">
        <f t="shared" si="126"/>
        <v>23.400000000000006</v>
      </c>
    </row>
    <row r="51" spans="1:145" x14ac:dyDescent="0.15">
      <c r="A51" t="e">
        <f t="shared" si="0"/>
        <v>#N/A</v>
      </c>
      <c r="B51" s="218">
        <v>43</v>
      </c>
      <c r="C51">
        <f t="shared" si="0"/>
        <v>42</v>
      </c>
      <c r="D51">
        <f t="shared" ref="D51:BO51" si="127">IF(OR(D50=-1,AND(IF(D$3&lt;$B51,D50+D$6,IF(D$3=$B51,1,""))&gt;$B$1,D$3&lt;$B51)),-1,IF(D$3&lt;$B51,D50+D$6,IF(D$3=$B51,1,"")))</f>
        <v>40</v>
      </c>
      <c r="E51">
        <f t="shared" si="127"/>
        <v>38</v>
      </c>
      <c r="F51">
        <f t="shared" si="127"/>
        <v>36</v>
      </c>
      <c r="G51">
        <f t="shared" si="127"/>
        <v>34</v>
      </c>
      <c r="H51">
        <f t="shared" si="127"/>
        <v>32</v>
      </c>
      <c r="I51">
        <f t="shared" si="127"/>
        <v>45.199999999999982</v>
      </c>
      <c r="J51">
        <f t="shared" si="127"/>
        <v>33.500000000000007</v>
      </c>
      <c r="K51">
        <f t="shared" si="127"/>
        <v>21.800000000000004</v>
      </c>
      <c r="L51">
        <f t="shared" si="127"/>
        <v>27.59999999999998</v>
      </c>
      <c r="M51">
        <f t="shared" si="127"/>
        <v>24.099999999999984</v>
      </c>
      <c r="N51">
        <f t="shared" si="127"/>
        <v>20.599999999999987</v>
      </c>
      <c r="O51">
        <f t="shared" si="127"/>
        <v>42</v>
      </c>
      <c r="P51">
        <f t="shared" si="127"/>
        <v>40</v>
      </c>
      <c r="Q51">
        <f t="shared" si="127"/>
        <v>38</v>
      </c>
      <c r="R51">
        <f t="shared" si="127"/>
        <v>36</v>
      </c>
      <c r="S51">
        <f t="shared" si="127"/>
        <v>34</v>
      </c>
      <c r="T51">
        <f t="shared" si="127"/>
        <v>-1</v>
      </c>
      <c r="U51">
        <f t="shared" si="127"/>
        <v>71</v>
      </c>
      <c r="V51">
        <f t="shared" si="127"/>
        <v>63</v>
      </c>
      <c r="W51">
        <f t="shared" si="127"/>
        <v>74.79999999999994</v>
      </c>
      <c r="X51">
        <f t="shared" si="127"/>
        <v>71.199999999999946</v>
      </c>
      <c r="Y51">
        <f t="shared" si="127"/>
        <v>67.599999999999952</v>
      </c>
      <c r="Z51">
        <f t="shared" si="127"/>
        <v>41</v>
      </c>
      <c r="AA51">
        <f t="shared" si="127"/>
        <v>38</v>
      </c>
      <c r="AB51">
        <f t="shared" si="127"/>
        <v>35</v>
      </c>
      <c r="AC51">
        <f t="shared" si="127"/>
        <v>67.599999999999952</v>
      </c>
      <c r="AD51">
        <f t="shared" si="127"/>
        <v>56.799999999999969</v>
      </c>
      <c r="AE51">
        <f t="shared" si="127"/>
        <v>45.999999999999986</v>
      </c>
      <c r="AF51">
        <f t="shared" si="127"/>
        <v>35.200000000000003</v>
      </c>
      <c r="AG51">
        <f t="shared" si="127"/>
        <v>24.400000000000006</v>
      </c>
      <c r="AH51">
        <f t="shared" si="127"/>
        <v>13.600000000000001</v>
      </c>
      <c r="AI51">
        <f t="shared" si="127"/>
        <v>24.400000000000013</v>
      </c>
      <c r="AJ51">
        <f t="shared" si="127"/>
        <v>22.000000000000007</v>
      </c>
      <c r="AK51">
        <f t="shared" si="127"/>
        <v>19.600000000000001</v>
      </c>
      <c r="AL51">
        <f t="shared" si="127"/>
        <v>17.199999999999996</v>
      </c>
      <c r="AM51">
        <f t="shared" si="127"/>
        <v>38</v>
      </c>
      <c r="AN51">
        <f t="shared" si="127"/>
        <v>32</v>
      </c>
      <c r="AO51">
        <f t="shared" si="127"/>
        <v>26</v>
      </c>
      <c r="AP51">
        <f t="shared" si="127"/>
        <v>52.999999999999964</v>
      </c>
      <c r="AQ51">
        <f t="shared" si="127"/>
        <v>49.099999999999973</v>
      </c>
      <c r="AR51">
        <f t="shared" si="127"/>
        <v>45.199999999999982</v>
      </c>
      <c r="AS51">
        <f t="shared" si="127"/>
        <v>41.29999999999999</v>
      </c>
      <c r="AT51">
        <f t="shared" si="127"/>
        <v>37.4</v>
      </c>
      <c r="AU51">
        <f t="shared" si="127"/>
        <v>33.500000000000007</v>
      </c>
      <c r="AV51">
        <f t="shared" si="127"/>
        <v>29.600000000000009</v>
      </c>
      <c r="AW51">
        <f t="shared" si="127"/>
        <v>38</v>
      </c>
      <c r="AX51">
        <f t="shared" si="127"/>
        <v>32</v>
      </c>
      <c r="AY51">
        <f t="shared" si="127"/>
        <v>-1</v>
      </c>
      <c r="AZ51">
        <f t="shared" si="127"/>
        <v>67</v>
      </c>
      <c r="BA51">
        <f t="shared" si="127"/>
        <v>-1</v>
      </c>
      <c r="BB51">
        <f t="shared" si="127"/>
        <v>75</v>
      </c>
      <c r="BC51">
        <f t="shared" si="127"/>
        <v>69</v>
      </c>
      <c r="BD51">
        <f t="shared" si="127"/>
        <v>55.599999999999959</v>
      </c>
      <c r="BE51">
        <f t="shared" si="127"/>
        <v>-1</v>
      </c>
      <c r="BF51">
        <f t="shared" si="127"/>
        <v>71</v>
      </c>
      <c r="BG51">
        <f t="shared" si="127"/>
        <v>63</v>
      </c>
      <c r="BH51">
        <f t="shared" si="127"/>
        <v>55</v>
      </c>
      <c r="BI51">
        <f t="shared" si="127"/>
        <v>39</v>
      </c>
      <c r="BJ51">
        <f t="shared" si="127"/>
        <v>34</v>
      </c>
      <c r="BK51">
        <f t="shared" si="127"/>
        <v>29</v>
      </c>
      <c r="BL51">
        <f t="shared" si="127"/>
        <v>24</v>
      </c>
      <c r="BM51">
        <f t="shared" si="127"/>
        <v>38</v>
      </c>
      <c r="BN51">
        <f t="shared" si="127"/>
        <v>54.299999999999962</v>
      </c>
      <c r="BO51">
        <f t="shared" si="127"/>
        <v>51.699999999999967</v>
      </c>
      <c r="BP51">
        <f t="shared" ref="BP51:EA51" si="128">IF(OR(BP50=-1,AND(IF(BP$3&lt;$B51,BP50+BP$6,IF(BP$3=$B51,1,""))&gt;$B$1,BP$3&lt;$B51)),-1,IF(BP$3&lt;$B51,BP50+BP$6,IF(BP$3=$B51,1,"")))</f>
        <v>-1</v>
      </c>
      <c r="BQ51">
        <f t="shared" si="128"/>
        <v>75</v>
      </c>
      <c r="BR51">
        <f t="shared" si="128"/>
        <v>69</v>
      </c>
      <c r="BS51">
        <f t="shared" si="128"/>
        <v>42</v>
      </c>
      <c r="BT51">
        <f t="shared" si="128"/>
        <v>40</v>
      </c>
      <c r="BU51">
        <f t="shared" si="128"/>
        <v>23.20000000000001</v>
      </c>
      <c r="BV51">
        <f t="shared" si="128"/>
        <v>19.600000000000001</v>
      </c>
      <c r="BW51">
        <f t="shared" si="128"/>
        <v>15.999999999999993</v>
      </c>
      <c r="BX51">
        <f t="shared" si="128"/>
        <v>12.399999999999995</v>
      </c>
      <c r="BY51">
        <f t="shared" si="128"/>
        <v>8.7999999999999972</v>
      </c>
      <c r="BZ51">
        <f t="shared" si="128"/>
        <v>5.1999999999999993</v>
      </c>
      <c r="CA51">
        <f t="shared" si="128"/>
        <v>1.6</v>
      </c>
      <c r="CB51" t="str">
        <f t="shared" si="128"/>
        <v/>
      </c>
      <c r="CC51" t="str">
        <f t="shared" si="128"/>
        <v/>
      </c>
      <c r="CD51" t="str">
        <f t="shared" si="128"/>
        <v/>
      </c>
      <c r="CE51" t="str">
        <f t="shared" si="128"/>
        <v/>
      </c>
      <c r="CF51" t="str">
        <f t="shared" si="128"/>
        <v/>
      </c>
      <c r="CG51" t="str">
        <f t="shared" si="128"/>
        <v/>
      </c>
      <c r="CH51" t="str">
        <f t="shared" si="128"/>
        <v/>
      </c>
      <c r="CI51" t="str">
        <f t="shared" si="128"/>
        <v/>
      </c>
      <c r="CJ51" t="str">
        <f t="shared" si="128"/>
        <v/>
      </c>
      <c r="CK51" t="str">
        <f t="shared" si="128"/>
        <v/>
      </c>
      <c r="CL51" t="str">
        <f t="shared" si="128"/>
        <v/>
      </c>
      <c r="CM51" t="str">
        <f t="shared" si="128"/>
        <v/>
      </c>
      <c r="CN51" t="str">
        <f t="shared" si="128"/>
        <v/>
      </c>
      <c r="CO51">
        <f t="shared" si="128"/>
        <v>9.5</v>
      </c>
      <c r="CP51" t="str">
        <f t="shared" si="128"/>
        <v/>
      </c>
      <c r="CQ51">
        <f t="shared" si="128"/>
        <v>39</v>
      </c>
      <c r="CR51">
        <f t="shared" si="128"/>
        <v>34</v>
      </c>
      <c r="CS51">
        <f t="shared" si="128"/>
        <v>29</v>
      </c>
      <c r="CT51">
        <f t="shared" si="128"/>
        <v>54.299999999999962</v>
      </c>
      <c r="CU51">
        <f t="shared" si="128"/>
        <v>51.699999999999967</v>
      </c>
      <c r="CV51">
        <f t="shared" si="128"/>
        <v>61.80000000000004</v>
      </c>
      <c r="CW51">
        <f t="shared" si="128"/>
        <v>53.800000000000033</v>
      </c>
      <c r="CX51">
        <f t="shared" si="128"/>
        <v>45.800000000000026</v>
      </c>
      <c r="CY51">
        <f t="shared" si="128"/>
        <v>37.800000000000018</v>
      </c>
      <c r="CZ51">
        <f t="shared" si="128"/>
        <v>29.800000000000011</v>
      </c>
      <c r="DA51">
        <f t="shared" si="128"/>
        <v>40</v>
      </c>
      <c r="DB51">
        <f t="shared" si="128"/>
        <v>36</v>
      </c>
      <c r="DC51">
        <f t="shared" si="128"/>
        <v>32</v>
      </c>
      <c r="DD51">
        <f t="shared" si="128"/>
        <v>28</v>
      </c>
      <c r="DE51">
        <f t="shared" si="128"/>
        <v>42</v>
      </c>
      <c r="DF51">
        <f t="shared" si="128"/>
        <v>40</v>
      </c>
      <c r="DG51">
        <f t="shared" si="128"/>
        <v>55.599999999999959</v>
      </c>
      <c r="DH51">
        <f t="shared" si="128"/>
        <v>54.299999999999962</v>
      </c>
      <c r="DI51">
        <f t="shared" si="128"/>
        <v>52.999999999999964</v>
      </c>
      <c r="DJ51">
        <f t="shared" si="128"/>
        <v>51.699999999999967</v>
      </c>
      <c r="DK51">
        <f t="shared" si="128"/>
        <v>-1</v>
      </c>
      <c r="DL51">
        <f t="shared" si="128"/>
        <v>71</v>
      </c>
      <c r="DM51">
        <f t="shared" si="128"/>
        <v>63</v>
      </c>
      <c r="DN51">
        <f t="shared" si="128"/>
        <v>55</v>
      </c>
      <c r="DO51">
        <f t="shared" si="128"/>
        <v>47</v>
      </c>
      <c r="DP51">
        <f t="shared" si="128"/>
        <v>39</v>
      </c>
      <c r="DQ51">
        <f t="shared" si="128"/>
        <v>54.299999999999962</v>
      </c>
      <c r="DR51">
        <f t="shared" si="128"/>
        <v>51.699999999999967</v>
      </c>
      <c r="DS51">
        <f t="shared" si="128"/>
        <v>38</v>
      </c>
      <c r="DT51">
        <f t="shared" si="128"/>
        <v>32</v>
      </c>
      <c r="DU51">
        <f t="shared" si="128"/>
        <v>26</v>
      </c>
      <c r="DV51">
        <f t="shared" si="128"/>
        <v>20</v>
      </c>
      <c r="DW51">
        <f t="shared" si="128"/>
        <v>14</v>
      </c>
      <c r="DX51">
        <f t="shared" si="128"/>
        <v>8</v>
      </c>
      <c r="DY51">
        <f t="shared" si="128"/>
        <v>-1</v>
      </c>
      <c r="DZ51">
        <f t="shared" si="128"/>
        <v>-1</v>
      </c>
      <c r="EA51">
        <f t="shared" si="128"/>
        <v>-1</v>
      </c>
      <c r="EB51">
        <f t="shared" ref="EB51:EO51" si="129">IF(OR(EB50=-1,AND(IF(EB$3&lt;$B51,EB50+EB$6,IF(EB$3=$B51,1,""))&gt;$B$1,EB$3&lt;$B51)),-1,IF(EB$3&lt;$B51,EB50+EB$6,IF(EB$3=$B51,1,"")))</f>
        <v>-1</v>
      </c>
      <c r="EC51">
        <f t="shared" si="129"/>
        <v>-1</v>
      </c>
      <c r="ED51">
        <f t="shared" si="129"/>
        <v>75</v>
      </c>
      <c r="EE51">
        <f t="shared" si="129"/>
        <v>61.80000000000004</v>
      </c>
      <c r="EF51">
        <f t="shared" si="129"/>
        <v>53.800000000000033</v>
      </c>
      <c r="EG51">
        <f t="shared" si="129"/>
        <v>45.800000000000026</v>
      </c>
      <c r="EH51">
        <f t="shared" si="129"/>
        <v>37.800000000000018</v>
      </c>
      <c r="EI51">
        <f t="shared" si="129"/>
        <v>29.800000000000011</v>
      </c>
      <c r="EJ51">
        <f t="shared" si="129"/>
        <v>21.800000000000004</v>
      </c>
      <c r="EK51">
        <f t="shared" si="129"/>
        <v>66.600000000000037</v>
      </c>
      <c r="EL51">
        <f t="shared" si="129"/>
        <v>58.600000000000037</v>
      </c>
      <c r="EM51">
        <f t="shared" si="129"/>
        <v>47.400000000000027</v>
      </c>
      <c r="EN51">
        <f t="shared" si="129"/>
        <v>36.200000000000017</v>
      </c>
      <c r="EO51">
        <f t="shared" si="129"/>
        <v>25.000000000000007</v>
      </c>
    </row>
    <row r="52" spans="1:145" x14ac:dyDescent="0.15">
      <c r="A52" t="e">
        <f t="shared" si="0"/>
        <v>#N/A</v>
      </c>
      <c r="B52" s="218">
        <v>44</v>
      </c>
      <c r="C52">
        <f t="shared" si="0"/>
        <v>43</v>
      </c>
      <c r="D52">
        <f t="shared" ref="D52:BO52" si="130">IF(OR(D51=-1,AND(IF(D$3&lt;$B52,D51+D$6,IF(D$3=$B52,1,""))&gt;$B$1,D$3&lt;$B52)),-1,IF(D$3&lt;$B52,D51+D$6,IF(D$3=$B52,1,"")))</f>
        <v>41</v>
      </c>
      <c r="E52">
        <f t="shared" si="130"/>
        <v>39</v>
      </c>
      <c r="F52">
        <f t="shared" si="130"/>
        <v>37</v>
      </c>
      <c r="G52">
        <f t="shared" si="130"/>
        <v>35</v>
      </c>
      <c r="H52">
        <f t="shared" si="130"/>
        <v>33</v>
      </c>
      <c r="I52">
        <f t="shared" si="130"/>
        <v>46.499999999999979</v>
      </c>
      <c r="J52">
        <f t="shared" si="130"/>
        <v>34.800000000000004</v>
      </c>
      <c r="K52">
        <f t="shared" si="130"/>
        <v>23.100000000000005</v>
      </c>
      <c r="L52">
        <f t="shared" si="130"/>
        <v>28.299999999999979</v>
      </c>
      <c r="M52">
        <f t="shared" si="130"/>
        <v>24.799999999999983</v>
      </c>
      <c r="N52">
        <f t="shared" si="130"/>
        <v>21.299999999999986</v>
      </c>
      <c r="O52">
        <f t="shared" si="130"/>
        <v>43</v>
      </c>
      <c r="P52">
        <f t="shared" si="130"/>
        <v>41</v>
      </c>
      <c r="Q52">
        <f t="shared" si="130"/>
        <v>39</v>
      </c>
      <c r="R52">
        <f t="shared" si="130"/>
        <v>37</v>
      </c>
      <c r="S52">
        <f t="shared" si="130"/>
        <v>35</v>
      </c>
      <c r="T52">
        <f t="shared" si="130"/>
        <v>-1</v>
      </c>
      <c r="U52">
        <f t="shared" si="130"/>
        <v>73</v>
      </c>
      <c r="V52">
        <f t="shared" si="130"/>
        <v>65</v>
      </c>
      <c r="W52">
        <f t="shared" si="130"/>
        <v>-1</v>
      </c>
      <c r="X52">
        <f t="shared" si="130"/>
        <v>72.999999999999943</v>
      </c>
      <c r="Y52">
        <f t="shared" si="130"/>
        <v>69.399999999999949</v>
      </c>
      <c r="Z52">
        <f t="shared" si="130"/>
        <v>42</v>
      </c>
      <c r="AA52">
        <f t="shared" si="130"/>
        <v>39</v>
      </c>
      <c r="AB52">
        <f t="shared" si="130"/>
        <v>36</v>
      </c>
      <c r="AC52">
        <f t="shared" si="130"/>
        <v>69.399999999999949</v>
      </c>
      <c r="AD52">
        <f t="shared" si="130"/>
        <v>58.599999999999966</v>
      </c>
      <c r="AE52">
        <f t="shared" si="130"/>
        <v>47.799999999999983</v>
      </c>
      <c r="AF52">
        <f t="shared" si="130"/>
        <v>37</v>
      </c>
      <c r="AG52">
        <f t="shared" si="130"/>
        <v>26.200000000000006</v>
      </c>
      <c r="AH52">
        <f t="shared" si="130"/>
        <v>15.400000000000002</v>
      </c>
      <c r="AI52">
        <f t="shared" si="130"/>
        <v>25.000000000000014</v>
      </c>
      <c r="AJ52">
        <f t="shared" si="130"/>
        <v>22.600000000000009</v>
      </c>
      <c r="AK52">
        <f t="shared" si="130"/>
        <v>20.200000000000003</v>
      </c>
      <c r="AL52">
        <f t="shared" si="130"/>
        <v>17.799999999999997</v>
      </c>
      <c r="AM52">
        <f t="shared" si="130"/>
        <v>39</v>
      </c>
      <c r="AN52">
        <f t="shared" si="130"/>
        <v>33</v>
      </c>
      <c r="AO52">
        <f t="shared" si="130"/>
        <v>27</v>
      </c>
      <c r="AP52">
        <f t="shared" si="130"/>
        <v>54.299999999999962</v>
      </c>
      <c r="AQ52">
        <f t="shared" si="130"/>
        <v>50.39999999999997</v>
      </c>
      <c r="AR52">
        <f t="shared" si="130"/>
        <v>46.499999999999979</v>
      </c>
      <c r="AS52">
        <f t="shared" si="130"/>
        <v>42.599999999999987</v>
      </c>
      <c r="AT52">
        <f t="shared" si="130"/>
        <v>38.699999999999996</v>
      </c>
      <c r="AU52">
        <f t="shared" si="130"/>
        <v>34.800000000000004</v>
      </c>
      <c r="AV52">
        <f t="shared" si="130"/>
        <v>30.900000000000009</v>
      </c>
      <c r="AW52">
        <f t="shared" si="130"/>
        <v>39</v>
      </c>
      <c r="AX52">
        <f t="shared" si="130"/>
        <v>33</v>
      </c>
      <c r="AY52">
        <f t="shared" si="130"/>
        <v>-1</v>
      </c>
      <c r="AZ52">
        <f t="shared" si="130"/>
        <v>69</v>
      </c>
      <c r="BA52">
        <f t="shared" si="130"/>
        <v>-1</v>
      </c>
      <c r="BB52">
        <f t="shared" si="130"/>
        <v>-1</v>
      </c>
      <c r="BC52">
        <f t="shared" si="130"/>
        <v>71</v>
      </c>
      <c r="BD52">
        <f t="shared" si="130"/>
        <v>56.899999999999956</v>
      </c>
      <c r="BE52">
        <f t="shared" si="130"/>
        <v>-1</v>
      </c>
      <c r="BF52">
        <f t="shared" si="130"/>
        <v>73</v>
      </c>
      <c r="BG52">
        <f t="shared" si="130"/>
        <v>65</v>
      </c>
      <c r="BH52">
        <f t="shared" si="130"/>
        <v>57</v>
      </c>
      <c r="BI52">
        <f t="shared" si="130"/>
        <v>40</v>
      </c>
      <c r="BJ52">
        <f t="shared" si="130"/>
        <v>35</v>
      </c>
      <c r="BK52">
        <f t="shared" si="130"/>
        <v>30</v>
      </c>
      <c r="BL52">
        <f t="shared" si="130"/>
        <v>25</v>
      </c>
      <c r="BM52">
        <f t="shared" si="130"/>
        <v>39</v>
      </c>
      <c r="BN52">
        <f t="shared" si="130"/>
        <v>55.599999999999959</v>
      </c>
      <c r="BO52">
        <f t="shared" si="130"/>
        <v>52.999999999999964</v>
      </c>
      <c r="BP52">
        <f t="shared" ref="BP52:EA52" si="131">IF(OR(BP51=-1,AND(IF(BP$3&lt;$B52,BP51+BP$6,IF(BP$3=$B52,1,""))&gt;$B$1,BP$3&lt;$B52)),-1,IF(BP$3&lt;$B52,BP51+BP$6,IF(BP$3=$B52,1,"")))</f>
        <v>-1</v>
      </c>
      <c r="BQ52">
        <f t="shared" si="131"/>
        <v>-1</v>
      </c>
      <c r="BR52">
        <f t="shared" si="131"/>
        <v>71</v>
      </c>
      <c r="BS52">
        <f t="shared" si="131"/>
        <v>43</v>
      </c>
      <c r="BT52">
        <f t="shared" si="131"/>
        <v>41</v>
      </c>
      <c r="BU52">
        <f t="shared" si="131"/>
        <v>23.800000000000011</v>
      </c>
      <c r="BV52">
        <f t="shared" si="131"/>
        <v>20.200000000000003</v>
      </c>
      <c r="BW52">
        <f t="shared" si="131"/>
        <v>16.599999999999994</v>
      </c>
      <c r="BX52">
        <f t="shared" si="131"/>
        <v>12.999999999999995</v>
      </c>
      <c r="BY52">
        <f t="shared" si="131"/>
        <v>9.3999999999999968</v>
      </c>
      <c r="BZ52">
        <f t="shared" si="131"/>
        <v>5.7999999999999989</v>
      </c>
      <c r="CA52">
        <f t="shared" si="131"/>
        <v>2.2000000000000002</v>
      </c>
      <c r="CB52" t="str">
        <f t="shared" si="131"/>
        <v/>
      </c>
      <c r="CC52" t="str">
        <f t="shared" si="131"/>
        <v/>
      </c>
      <c r="CD52" t="str">
        <f t="shared" si="131"/>
        <v/>
      </c>
      <c r="CE52" t="str">
        <f t="shared" si="131"/>
        <v/>
      </c>
      <c r="CF52" t="str">
        <f t="shared" si="131"/>
        <v/>
      </c>
      <c r="CG52" t="str">
        <f t="shared" si="131"/>
        <v/>
      </c>
      <c r="CH52" t="str">
        <f t="shared" si="131"/>
        <v/>
      </c>
      <c r="CI52" t="str">
        <f t="shared" si="131"/>
        <v/>
      </c>
      <c r="CJ52" t="str">
        <f t="shared" si="131"/>
        <v/>
      </c>
      <c r="CK52" t="str">
        <f t="shared" si="131"/>
        <v/>
      </c>
      <c r="CL52" t="str">
        <f t="shared" si="131"/>
        <v/>
      </c>
      <c r="CM52" t="str">
        <f t="shared" si="131"/>
        <v/>
      </c>
      <c r="CN52" t="str">
        <f t="shared" si="131"/>
        <v/>
      </c>
      <c r="CO52">
        <f t="shared" si="131"/>
        <v>10</v>
      </c>
      <c r="CP52" t="str">
        <f t="shared" si="131"/>
        <v/>
      </c>
      <c r="CQ52">
        <f t="shared" si="131"/>
        <v>40</v>
      </c>
      <c r="CR52">
        <f t="shared" si="131"/>
        <v>35</v>
      </c>
      <c r="CS52">
        <f t="shared" si="131"/>
        <v>30</v>
      </c>
      <c r="CT52">
        <f t="shared" si="131"/>
        <v>55.599999999999959</v>
      </c>
      <c r="CU52">
        <f t="shared" si="131"/>
        <v>52.999999999999964</v>
      </c>
      <c r="CV52">
        <f t="shared" si="131"/>
        <v>63.400000000000041</v>
      </c>
      <c r="CW52">
        <f t="shared" si="131"/>
        <v>55.400000000000034</v>
      </c>
      <c r="CX52">
        <f t="shared" si="131"/>
        <v>47.400000000000027</v>
      </c>
      <c r="CY52">
        <f t="shared" si="131"/>
        <v>39.40000000000002</v>
      </c>
      <c r="CZ52">
        <f t="shared" si="131"/>
        <v>31.400000000000013</v>
      </c>
      <c r="DA52">
        <f t="shared" si="131"/>
        <v>41</v>
      </c>
      <c r="DB52">
        <f t="shared" si="131"/>
        <v>37</v>
      </c>
      <c r="DC52">
        <f t="shared" si="131"/>
        <v>33</v>
      </c>
      <c r="DD52">
        <f t="shared" si="131"/>
        <v>29</v>
      </c>
      <c r="DE52">
        <f t="shared" si="131"/>
        <v>43</v>
      </c>
      <c r="DF52">
        <f t="shared" si="131"/>
        <v>41</v>
      </c>
      <c r="DG52">
        <f t="shared" si="131"/>
        <v>56.899999999999956</v>
      </c>
      <c r="DH52">
        <f t="shared" si="131"/>
        <v>55.599999999999959</v>
      </c>
      <c r="DI52">
        <f t="shared" si="131"/>
        <v>54.299999999999962</v>
      </c>
      <c r="DJ52">
        <f t="shared" si="131"/>
        <v>52.999999999999964</v>
      </c>
      <c r="DK52">
        <f t="shared" si="131"/>
        <v>-1</v>
      </c>
      <c r="DL52">
        <f t="shared" si="131"/>
        <v>73</v>
      </c>
      <c r="DM52">
        <f t="shared" si="131"/>
        <v>65</v>
      </c>
      <c r="DN52">
        <f t="shared" si="131"/>
        <v>57</v>
      </c>
      <c r="DO52">
        <f t="shared" si="131"/>
        <v>49</v>
      </c>
      <c r="DP52">
        <f t="shared" si="131"/>
        <v>41</v>
      </c>
      <c r="DQ52">
        <f t="shared" si="131"/>
        <v>55.599999999999959</v>
      </c>
      <c r="DR52">
        <f t="shared" si="131"/>
        <v>52.999999999999964</v>
      </c>
      <c r="DS52">
        <f t="shared" si="131"/>
        <v>39</v>
      </c>
      <c r="DT52">
        <f t="shared" si="131"/>
        <v>33</v>
      </c>
      <c r="DU52">
        <f t="shared" si="131"/>
        <v>27</v>
      </c>
      <c r="DV52">
        <f t="shared" si="131"/>
        <v>21</v>
      </c>
      <c r="DW52">
        <f t="shared" si="131"/>
        <v>15</v>
      </c>
      <c r="DX52">
        <f t="shared" si="131"/>
        <v>9</v>
      </c>
      <c r="DY52">
        <f t="shared" si="131"/>
        <v>-1</v>
      </c>
      <c r="DZ52">
        <f t="shared" si="131"/>
        <v>-1</v>
      </c>
      <c r="EA52">
        <f t="shared" si="131"/>
        <v>-1</v>
      </c>
      <c r="EB52">
        <f t="shared" ref="EB52:EO52" si="132">IF(OR(EB51=-1,AND(IF(EB$3&lt;$B52,EB51+EB$6,IF(EB$3=$B52,1,""))&gt;$B$1,EB$3&lt;$B52)),-1,IF(EB$3&lt;$B52,EB51+EB$6,IF(EB$3=$B52,1,"")))</f>
        <v>-1</v>
      </c>
      <c r="EC52">
        <f t="shared" si="132"/>
        <v>-1</v>
      </c>
      <c r="ED52">
        <f t="shared" si="132"/>
        <v>-1</v>
      </c>
      <c r="EE52">
        <f t="shared" si="132"/>
        <v>63.400000000000041</v>
      </c>
      <c r="EF52">
        <f t="shared" si="132"/>
        <v>55.400000000000034</v>
      </c>
      <c r="EG52">
        <f t="shared" si="132"/>
        <v>47.400000000000027</v>
      </c>
      <c r="EH52">
        <f t="shared" si="132"/>
        <v>39.40000000000002</v>
      </c>
      <c r="EI52">
        <f t="shared" si="132"/>
        <v>31.400000000000013</v>
      </c>
      <c r="EJ52">
        <f t="shared" si="132"/>
        <v>23.400000000000006</v>
      </c>
      <c r="EK52">
        <f t="shared" si="132"/>
        <v>68.200000000000031</v>
      </c>
      <c r="EL52">
        <f t="shared" si="132"/>
        <v>60.200000000000038</v>
      </c>
      <c r="EM52">
        <f t="shared" si="132"/>
        <v>49.000000000000028</v>
      </c>
      <c r="EN52">
        <f t="shared" si="132"/>
        <v>37.800000000000018</v>
      </c>
      <c r="EO52">
        <f t="shared" si="132"/>
        <v>26.600000000000009</v>
      </c>
    </row>
    <row r="53" spans="1:145" x14ac:dyDescent="0.15">
      <c r="A53" t="e">
        <f t="shared" si="0"/>
        <v>#N/A</v>
      </c>
      <c r="B53" s="218">
        <v>45</v>
      </c>
      <c r="C53">
        <f t="shared" si="0"/>
        <v>44</v>
      </c>
      <c r="D53">
        <f t="shared" ref="D53:BO53" si="133">IF(OR(D52=-1,AND(IF(D$3&lt;$B53,D52+D$6,IF(D$3=$B53,1,""))&gt;$B$1,D$3&lt;$B53)),-1,IF(D$3&lt;$B53,D52+D$6,IF(D$3=$B53,1,"")))</f>
        <v>42</v>
      </c>
      <c r="E53">
        <f t="shared" si="133"/>
        <v>40</v>
      </c>
      <c r="F53">
        <f t="shared" si="133"/>
        <v>38</v>
      </c>
      <c r="G53">
        <f t="shared" si="133"/>
        <v>36</v>
      </c>
      <c r="H53">
        <f t="shared" si="133"/>
        <v>34</v>
      </c>
      <c r="I53">
        <f t="shared" si="133"/>
        <v>47.799999999999976</v>
      </c>
      <c r="J53">
        <f t="shared" si="133"/>
        <v>36.1</v>
      </c>
      <c r="K53">
        <f t="shared" si="133"/>
        <v>24.400000000000006</v>
      </c>
      <c r="L53">
        <f t="shared" si="133"/>
        <v>28.999999999999979</v>
      </c>
      <c r="M53">
        <f t="shared" si="133"/>
        <v>25.499999999999982</v>
      </c>
      <c r="N53">
        <f t="shared" si="133"/>
        <v>21.999999999999986</v>
      </c>
      <c r="O53">
        <f t="shared" si="133"/>
        <v>44</v>
      </c>
      <c r="P53">
        <f t="shared" si="133"/>
        <v>42</v>
      </c>
      <c r="Q53">
        <f t="shared" si="133"/>
        <v>40</v>
      </c>
      <c r="R53">
        <f t="shared" si="133"/>
        <v>38</v>
      </c>
      <c r="S53">
        <f t="shared" si="133"/>
        <v>36</v>
      </c>
      <c r="T53">
        <f t="shared" si="133"/>
        <v>-1</v>
      </c>
      <c r="U53">
        <f t="shared" si="133"/>
        <v>75</v>
      </c>
      <c r="V53">
        <f t="shared" si="133"/>
        <v>67</v>
      </c>
      <c r="W53">
        <f t="shared" si="133"/>
        <v>-1</v>
      </c>
      <c r="X53">
        <f t="shared" si="133"/>
        <v>74.79999999999994</v>
      </c>
      <c r="Y53">
        <f t="shared" si="133"/>
        <v>71.199999999999946</v>
      </c>
      <c r="Z53">
        <f t="shared" si="133"/>
        <v>43</v>
      </c>
      <c r="AA53">
        <f t="shared" si="133"/>
        <v>40</v>
      </c>
      <c r="AB53">
        <f t="shared" si="133"/>
        <v>37</v>
      </c>
      <c r="AC53">
        <f t="shared" si="133"/>
        <v>71.199999999999946</v>
      </c>
      <c r="AD53">
        <f t="shared" si="133"/>
        <v>60.399999999999963</v>
      </c>
      <c r="AE53">
        <f t="shared" si="133"/>
        <v>49.59999999999998</v>
      </c>
      <c r="AF53">
        <f t="shared" si="133"/>
        <v>38.799999999999997</v>
      </c>
      <c r="AG53">
        <f t="shared" si="133"/>
        <v>28.000000000000007</v>
      </c>
      <c r="AH53">
        <f t="shared" si="133"/>
        <v>17.200000000000003</v>
      </c>
      <c r="AI53">
        <f t="shared" si="133"/>
        <v>25.600000000000016</v>
      </c>
      <c r="AJ53">
        <f t="shared" si="133"/>
        <v>23.20000000000001</v>
      </c>
      <c r="AK53">
        <f t="shared" si="133"/>
        <v>20.800000000000004</v>
      </c>
      <c r="AL53">
        <f t="shared" si="133"/>
        <v>18.399999999999999</v>
      </c>
      <c r="AM53">
        <f t="shared" si="133"/>
        <v>40</v>
      </c>
      <c r="AN53">
        <f t="shared" si="133"/>
        <v>34</v>
      </c>
      <c r="AO53">
        <f t="shared" si="133"/>
        <v>28</v>
      </c>
      <c r="AP53">
        <f t="shared" si="133"/>
        <v>55.599999999999959</v>
      </c>
      <c r="AQ53">
        <f t="shared" si="133"/>
        <v>51.699999999999967</v>
      </c>
      <c r="AR53">
        <f t="shared" si="133"/>
        <v>47.799999999999976</v>
      </c>
      <c r="AS53">
        <f t="shared" si="133"/>
        <v>43.899999999999984</v>
      </c>
      <c r="AT53">
        <f t="shared" si="133"/>
        <v>39.999999999999993</v>
      </c>
      <c r="AU53">
        <f t="shared" si="133"/>
        <v>36.1</v>
      </c>
      <c r="AV53">
        <f t="shared" si="133"/>
        <v>32.20000000000001</v>
      </c>
      <c r="AW53">
        <f t="shared" si="133"/>
        <v>40</v>
      </c>
      <c r="AX53">
        <f t="shared" si="133"/>
        <v>34</v>
      </c>
      <c r="AY53">
        <f t="shared" si="133"/>
        <v>-1</v>
      </c>
      <c r="AZ53">
        <f t="shared" si="133"/>
        <v>71</v>
      </c>
      <c r="BA53">
        <f t="shared" si="133"/>
        <v>-1</v>
      </c>
      <c r="BB53">
        <f t="shared" si="133"/>
        <v>-1</v>
      </c>
      <c r="BC53">
        <f t="shared" si="133"/>
        <v>73</v>
      </c>
      <c r="BD53">
        <f t="shared" si="133"/>
        <v>58.199999999999953</v>
      </c>
      <c r="BE53">
        <f t="shared" si="133"/>
        <v>-1</v>
      </c>
      <c r="BF53">
        <f t="shared" si="133"/>
        <v>75</v>
      </c>
      <c r="BG53">
        <f t="shared" si="133"/>
        <v>67</v>
      </c>
      <c r="BH53">
        <f t="shared" si="133"/>
        <v>59</v>
      </c>
      <c r="BI53">
        <f t="shared" si="133"/>
        <v>41</v>
      </c>
      <c r="BJ53">
        <f t="shared" si="133"/>
        <v>36</v>
      </c>
      <c r="BK53">
        <f t="shared" si="133"/>
        <v>31</v>
      </c>
      <c r="BL53">
        <f t="shared" si="133"/>
        <v>26</v>
      </c>
      <c r="BM53">
        <f t="shared" si="133"/>
        <v>40</v>
      </c>
      <c r="BN53">
        <f t="shared" si="133"/>
        <v>56.899999999999956</v>
      </c>
      <c r="BO53">
        <f t="shared" si="133"/>
        <v>54.299999999999962</v>
      </c>
      <c r="BP53">
        <f t="shared" ref="BP53:EA53" si="134">IF(OR(BP52=-1,AND(IF(BP$3&lt;$B53,BP52+BP$6,IF(BP$3=$B53,1,""))&gt;$B$1,BP$3&lt;$B53)),-1,IF(BP$3&lt;$B53,BP52+BP$6,IF(BP$3=$B53,1,"")))</f>
        <v>-1</v>
      </c>
      <c r="BQ53">
        <f t="shared" si="134"/>
        <v>-1</v>
      </c>
      <c r="BR53">
        <f t="shared" si="134"/>
        <v>73</v>
      </c>
      <c r="BS53">
        <f t="shared" si="134"/>
        <v>44</v>
      </c>
      <c r="BT53">
        <f t="shared" si="134"/>
        <v>42</v>
      </c>
      <c r="BU53">
        <f t="shared" si="134"/>
        <v>24.400000000000013</v>
      </c>
      <c r="BV53">
        <f t="shared" si="134"/>
        <v>20.800000000000004</v>
      </c>
      <c r="BW53">
        <f t="shared" si="134"/>
        <v>17.199999999999996</v>
      </c>
      <c r="BX53">
        <f t="shared" si="134"/>
        <v>13.599999999999994</v>
      </c>
      <c r="BY53">
        <f t="shared" si="134"/>
        <v>9.9999999999999964</v>
      </c>
      <c r="BZ53">
        <f t="shared" si="134"/>
        <v>6.3999999999999986</v>
      </c>
      <c r="CA53">
        <f t="shared" si="134"/>
        <v>2.8000000000000003</v>
      </c>
      <c r="CB53" t="str">
        <f t="shared" si="134"/>
        <v/>
      </c>
      <c r="CC53" t="str">
        <f t="shared" si="134"/>
        <v/>
      </c>
      <c r="CD53" t="str">
        <f t="shared" si="134"/>
        <v/>
      </c>
      <c r="CE53" t="str">
        <f t="shared" si="134"/>
        <v/>
      </c>
      <c r="CF53" t="str">
        <f t="shared" si="134"/>
        <v/>
      </c>
      <c r="CG53" t="str">
        <f t="shared" si="134"/>
        <v/>
      </c>
      <c r="CH53" t="str">
        <f t="shared" si="134"/>
        <v/>
      </c>
      <c r="CI53" t="str">
        <f t="shared" si="134"/>
        <v/>
      </c>
      <c r="CJ53" t="str">
        <f t="shared" si="134"/>
        <v/>
      </c>
      <c r="CK53" t="str">
        <f t="shared" si="134"/>
        <v/>
      </c>
      <c r="CL53" t="str">
        <f t="shared" si="134"/>
        <v/>
      </c>
      <c r="CM53" t="str">
        <f t="shared" si="134"/>
        <v/>
      </c>
      <c r="CN53" t="str">
        <f t="shared" si="134"/>
        <v/>
      </c>
      <c r="CO53">
        <f t="shared" si="134"/>
        <v>10.5</v>
      </c>
      <c r="CP53" t="str">
        <f t="shared" si="134"/>
        <v/>
      </c>
      <c r="CQ53">
        <f t="shared" si="134"/>
        <v>41</v>
      </c>
      <c r="CR53">
        <f t="shared" si="134"/>
        <v>36</v>
      </c>
      <c r="CS53">
        <f t="shared" si="134"/>
        <v>31</v>
      </c>
      <c r="CT53">
        <f t="shared" si="134"/>
        <v>56.899999999999956</v>
      </c>
      <c r="CU53">
        <f t="shared" si="134"/>
        <v>54.299999999999962</v>
      </c>
      <c r="CV53">
        <f t="shared" si="134"/>
        <v>65.000000000000043</v>
      </c>
      <c r="CW53">
        <f t="shared" si="134"/>
        <v>57.000000000000036</v>
      </c>
      <c r="CX53">
        <f t="shared" si="134"/>
        <v>49.000000000000028</v>
      </c>
      <c r="CY53">
        <f t="shared" si="134"/>
        <v>41.000000000000021</v>
      </c>
      <c r="CZ53">
        <f t="shared" si="134"/>
        <v>33.000000000000014</v>
      </c>
      <c r="DA53">
        <f t="shared" si="134"/>
        <v>42</v>
      </c>
      <c r="DB53">
        <f t="shared" si="134"/>
        <v>38</v>
      </c>
      <c r="DC53">
        <f t="shared" si="134"/>
        <v>34</v>
      </c>
      <c r="DD53">
        <f t="shared" si="134"/>
        <v>30</v>
      </c>
      <c r="DE53">
        <f t="shared" si="134"/>
        <v>44</v>
      </c>
      <c r="DF53">
        <f t="shared" si="134"/>
        <v>42</v>
      </c>
      <c r="DG53">
        <f t="shared" si="134"/>
        <v>58.199999999999953</v>
      </c>
      <c r="DH53">
        <f t="shared" si="134"/>
        <v>56.899999999999956</v>
      </c>
      <c r="DI53">
        <f t="shared" si="134"/>
        <v>55.599999999999959</v>
      </c>
      <c r="DJ53">
        <f t="shared" si="134"/>
        <v>54.299999999999962</v>
      </c>
      <c r="DK53">
        <f t="shared" si="134"/>
        <v>-1</v>
      </c>
      <c r="DL53">
        <f t="shared" si="134"/>
        <v>75</v>
      </c>
      <c r="DM53">
        <f t="shared" si="134"/>
        <v>67</v>
      </c>
      <c r="DN53">
        <f t="shared" si="134"/>
        <v>59</v>
      </c>
      <c r="DO53">
        <f t="shared" si="134"/>
        <v>51</v>
      </c>
      <c r="DP53">
        <f t="shared" si="134"/>
        <v>43</v>
      </c>
      <c r="DQ53">
        <f t="shared" si="134"/>
        <v>56.899999999999956</v>
      </c>
      <c r="DR53">
        <f t="shared" si="134"/>
        <v>54.299999999999962</v>
      </c>
      <c r="DS53">
        <f t="shared" si="134"/>
        <v>40</v>
      </c>
      <c r="DT53">
        <f t="shared" si="134"/>
        <v>34</v>
      </c>
      <c r="DU53">
        <f t="shared" si="134"/>
        <v>28</v>
      </c>
      <c r="DV53">
        <f t="shared" si="134"/>
        <v>22</v>
      </c>
      <c r="DW53">
        <f t="shared" si="134"/>
        <v>16</v>
      </c>
      <c r="DX53">
        <f t="shared" si="134"/>
        <v>10</v>
      </c>
      <c r="DY53">
        <f t="shared" si="134"/>
        <v>-1</v>
      </c>
      <c r="DZ53">
        <f t="shared" si="134"/>
        <v>-1</v>
      </c>
      <c r="EA53">
        <f t="shared" si="134"/>
        <v>-1</v>
      </c>
      <c r="EB53">
        <f t="shared" ref="EB53:EO53" si="135">IF(OR(EB52=-1,AND(IF(EB$3&lt;$B53,EB52+EB$6,IF(EB$3=$B53,1,""))&gt;$B$1,EB$3&lt;$B53)),-1,IF(EB$3&lt;$B53,EB52+EB$6,IF(EB$3=$B53,1,"")))</f>
        <v>-1</v>
      </c>
      <c r="EC53">
        <f t="shared" si="135"/>
        <v>-1</v>
      </c>
      <c r="ED53">
        <f t="shared" si="135"/>
        <v>-1</v>
      </c>
      <c r="EE53">
        <f t="shared" si="135"/>
        <v>65.000000000000043</v>
      </c>
      <c r="EF53">
        <f t="shared" si="135"/>
        <v>57.000000000000036</v>
      </c>
      <c r="EG53">
        <f t="shared" si="135"/>
        <v>49.000000000000028</v>
      </c>
      <c r="EH53">
        <f t="shared" si="135"/>
        <v>41.000000000000021</v>
      </c>
      <c r="EI53">
        <f t="shared" si="135"/>
        <v>33.000000000000014</v>
      </c>
      <c r="EJ53">
        <f t="shared" si="135"/>
        <v>25.000000000000007</v>
      </c>
      <c r="EK53">
        <f t="shared" si="135"/>
        <v>69.800000000000026</v>
      </c>
      <c r="EL53">
        <f t="shared" si="135"/>
        <v>61.80000000000004</v>
      </c>
      <c r="EM53">
        <f t="shared" si="135"/>
        <v>50.60000000000003</v>
      </c>
      <c r="EN53">
        <f t="shared" si="135"/>
        <v>39.40000000000002</v>
      </c>
      <c r="EO53">
        <f t="shared" si="135"/>
        <v>28.20000000000001</v>
      </c>
    </row>
    <row r="54" spans="1:145" x14ac:dyDescent="0.15">
      <c r="A54" t="e">
        <f t="shared" si="0"/>
        <v>#N/A</v>
      </c>
      <c r="B54" s="218">
        <v>46</v>
      </c>
      <c r="C54">
        <f t="shared" si="0"/>
        <v>45</v>
      </c>
      <c r="D54">
        <f t="shared" ref="D54:BO54" si="136">IF(OR(D53=-1,AND(IF(D$3&lt;$B54,D53+D$6,IF(D$3=$B54,1,""))&gt;$B$1,D$3&lt;$B54)),-1,IF(D$3&lt;$B54,D53+D$6,IF(D$3=$B54,1,"")))</f>
        <v>43</v>
      </c>
      <c r="E54">
        <f t="shared" si="136"/>
        <v>41</v>
      </c>
      <c r="F54">
        <f t="shared" si="136"/>
        <v>39</v>
      </c>
      <c r="G54">
        <f t="shared" si="136"/>
        <v>37</v>
      </c>
      <c r="H54">
        <f t="shared" si="136"/>
        <v>35</v>
      </c>
      <c r="I54">
        <f t="shared" si="136"/>
        <v>49.099999999999973</v>
      </c>
      <c r="J54">
        <f t="shared" si="136"/>
        <v>37.4</v>
      </c>
      <c r="K54">
        <f t="shared" si="136"/>
        <v>25.700000000000006</v>
      </c>
      <c r="L54">
        <f t="shared" si="136"/>
        <v>29.699999999999978</v>
      </c>
      <c r="M54">
        <f t="shared" si="136"/>
        <v>26.199999999999982</v>
      </c>
      <c r="N54">
        <f t="shared" si="136"/>
        <v>22.699999999999985</v>
      </c>
      <c r="O54">
        <f t="shared" si="136"/>
        <v>45</v>
      </c>
      <c r="P54">
        <f t="shared" si="136"/>
        <v>43</v>
      </c>
      <c r="Q54">
        <f t="shared" si="136"/>
        <v>41</v>
      </c>
      <c r="R54">
        <f t="shared" si="136"/>
        <v>39</v>
      </c>
      <c r="S54">
        <f t="shared" si="136"/>
        <v>37</v>
      </c>
      <c r="T54">
        <f t="shared" si="136"/>
        <v>-1</v>
      </c>
      <c r="U54">
        <f t="shared" si="136"/>
        <v>-1</v>
      </c>
      <c r="V54">
        <f t="shared" si="136"/>
        <v>69</v>
      </c>
      <c r="W54">
        <f t="shared" si="136"/>
        <v>-1</v>
      </c>
      <c r="X54">
        <f t="shared" si="136"/>
        <v>-1</v>
      </c>
      <c r="Y54">
        <f t="shared" si="136"/>
        <v>72.999999999999943</v>
      </c>
      <c r="Z54">
        <f t="shared" si="136"/>
        <v>44</v>
      </c>
      <c r="AA54">
        <f t="shared" si="136"/>
        <v>41</v>
      </c>
      <c r="AB54">
        <f t="shared" si="136"/>
        <v>38</v>
      </c>
      <c r="AC54">
        <f t="shared" si="136"/>
        <v>72.999999999999943</v>
      </c>
      <c r="AD54">
        <f t="shared" si="136"/>
        <v>62.19999999999996</v>
      </c>
      <c r="AE54">
        <f t="shared" si="136"/>
        <v>51.399999999999977</v>
      </c>
      <c r="AF54">
        <f t="shared" si="136"/>
        <v>40.599999999999994</v>
      </c>
      <c r="AG54">
        <f t="shared" si="136"/>
        <v>29.800000000000008</v>
      </c>
      <c r="AH54">
        <f t="shared" si="136"/>
        <v>19.000000000000004</v>
      </c>
      <c r="AI54">
        <f t="shared" si="136"/>
        <v>26.200000000000017</v>
      </c>
      <c r="AJ54">
        <f t="shared" si="136"/>
        <v>23.800000000000011</v>
      </c>
      <c r="AK54">
        <f t="shared" si="136"/>
        <v>21.400000000000006</v>
      </c>
      <c r="AL54">
        <f t="shared" si="136"/>
        <v>19</v>
      </c>
      <c r="AM54">
        <f t="shared" si="136"/>
        <v>41</v>
      </c>
      <c r="AN54">
        <f t="shared" si="136"/>
        <v>35</v>
      </c>
      <c r="AO54">
        <f t="shared" si="136"/>
        <v>29</v>
      </c>
      <c r="AP54">
        <f t="shared" si="136"/>
        <v>56.899999999999956</v>
      </c>
      <c r="AQ54">
        <f t="shared" si="136"/>
        <v>52.999999999999964</v>
      </c>
      <c r="AR54">
        <f t="shared" si="136"/>
        <v>49.099999999999973</v>
      </c>
      <c r="AS54">
        <f t="shared" si="136"/>
        <v>45.199999999999982</v>
      </c>
      <c r="AT54">
        <f t="shared" si="136"/>
        <v>41.29999999999999</v>
      </c>
      <c r="AU54">
        <f t="shared" si="136"/>
        <v>37.4</v>
      </c>
      <c r="AV54">
        <f t="shared" si="136"/>
        <v>33.500000000000007</v>
      </c>
      <c r="AW54">
        <f t="shared" si="136"/>
        <v>41</v>
      </c>
      <c r="AX54">
        <f t="shared" si="136"/>
        <v>35</v>
      </c>
      <c r="AY54">
        <f t="shared" si="136"/>
        <v>-1</v>
      </c>
      <c r="AZ54">
        <f t="shared" si="136"/>
        <v>73</v>
      </c>
      <c r="BA54">
        <f t="shared" si="136"/>
        <v>-1</v>
      </c>
      <c r="BB54">
        <f t="shared" si="136"/>
        <v>-1</v>
      </c>
      <c r="BC54">
        <f t="shared" si="136"/>
        <v>75</v>
      </c>
      <c r="BD54">
        <f t="shared" si="136"/>
        <v>59.49999999999995</v>
      </c>
      <c r="BE54">
        <f t="shared" si="136"/>
        <v>-1</v>
      </c>
      <c r="BF54">
        <f t="shared" si="136"/>
        <v>-1</v>
      </c>
      <c r="BG54">
        <f t="shared" si="136"/>
        <v>69</v>
      </c>
      <c r="BH54">
        <f t="shared" si="136"/>
        <v>61</v>
      </c>
      <c r="BI54">
        <f t="shared" si="136"/>
        <v>42</v>
      </c>
      <c r="BJ54">
        <f t="shared" si="136"/>
        <v>37</v>
      </c>
      <c r="BK54">
        <f t="shared" si="136"/>
        <v>32</v>
      </c>
      <c r="BL54">
        <f t="shared" si="136"/>
        <v>27</v>
      </c>
      <c r="BM54">
        <f t="shared" si="136"/>
        <v>41</v>
      </c>
      <c r="BN54">
        <f t="shared" si="136"/>
        <v>58.199999999999953</v>
      </c>
      <c r="BO54">
        <f t="shared" si="136"/>
        <v>55.599999999999959</v>
      </c>
      <c r="BP54">
        <f t="shared" ref="BP54:EA54" si="137">IF(OR(BP53=-1,AND(IF(BP$3&lt;$B54,BP53+BP$6,IF(BP$3=$B54,1,""))&gt;$B$1,BP$3&lt;$B54)),-1,IF(BP$3&lt;$B54,BP53+BP$6,IF(BP$3=$B54,1,"")))</f>
        <v>-1</v>
      </c>
      <c r="BQ54">
        <f t="shared" si="137"/>
        <v>-1</v>
      </c>
      <c r="BR54">
        <f t="shared" si="137"/>
        <v>75</v>
      </c>
      <c r="BS54">
        <f t="shared" si="137"/>
        <v>45</v>
      </c>
      <c r="BT54">
        <f t="shared" si="137"/>
        <v>43</v>
      </c>
      <c r="BU54">
        <f t="shared" si="137"/>
        <v>25.000000000000014</v>
      </c>
      <c r="BV54">
        <f t="shared" si="137"/>
        <v>21.400000000000006</v>
      </c>
      <c r="BW54">
        <f t="shared" si="137"/>
        <v>17.799999999999997</v>
      </c>
      <c r="BX54">
        <f t="shared" si="137"/>
        <v>14.199999999999994</v>
      </c>
      <c r="BY54">
        <f t="shared" si="137"/>
        <v>10.599999999999996</v>
      </c>
      <c r="BZ54">
        <f t="shared" si="137"/>
        <v>6.9999999999999982</v>
      </c>
      <c r="CA54">
        <f t="shared" si="137"/>
        <v>3.4000000000000004</v>
      </c>
      <c r="CB54" t="str">
        <f t="shared" si="137"/>
        <v/>
      </c>
      <c r="CC54" t="str">
        <f t="shared" si="137"/>
        <v/>
      </c>
      <c r="CD54" t="str">
        <f t="shared" si="137"/>
        <v/>
      </c>
      <c r="CE54" t="str">
        <f t="shared" si="137"/>
        <v/>
      </c>
      <c r="CF54" t="str">
        <f t="shared" si="137"/>
        <v/>
      </c>
      <c r="CG54" t="str">
        <f t="shared" si="137"/>
        <v/>
      </c>
      <c r="CH54" t="str">
        <f t="shared" si="137"/>
        <v/>
      </c>
      <c r="CI54" t="str">
        <f t="shared" si="137"/>
        <v/>
      </c>
      <c r="CJ54" t="str">
        <f t="shared" si="137"/>
        <v/>
      </c>
      <c r="CK54" t="str">
        <f t="shared" si="137"/>
        <v/>
      </c>
      <c r="CL54" t="str">
        <f t="shared" si="137"/>
        <v/>
      </c>
      <c r="CM54" t="str">
        <f t="shared" si="137"/>
        <v/>
      </c>
      <c r="CN54" t="str">
        <f t="shared" si="137"/>
        <v/>
      </c>
      <c r="CO54">
        <f t="shared" si="137"/>
        <v>11</v>
      </c>
      <c r="CP54" t="str">
        <f t="shared" si="137"/>
        <v/>
      </c>
      <c r="CQ54">
        <f t="shared" si="137"/>
        <v>42</v>
      </c>
      <c r="CR54">
        <f t="shared" si="137"/>
        <v>37</v>
      </c>
      <c r="CS54">
        <f t="shared" si="137"/>
        <v>32</v>
      </c>
      <c r="CT54">
        <f t="shared" si="137"/>
        <v>58.199999999999953</v>
      </c>
      <c r="CU54">
        <f t="shared" si="137"/>
        <v>55.599999999999959</v>
      </c>
      <c r="CV54">
        <f t="shared" si="137"/>
        <v>66.600000000000037</v>
      </c>
      <c r="CW54">
        <f t="shared" si="137"/>
        <v>58.600000000000037</v>
      </c>
      <c r="CX54">
        <f t="shared" si="137"/>
        <v>50.60000000000003</v>
      </c>
      <c r="CY54">
        <f t="shared" si="137"/>
        <v>42.600000000000023</v>
      </c>
      <c r="CZ54">
        <f t="shared" si="137"/>
        <v>34.600000000000016</v>
      </c>
      <c r="DA54">
        <f t="shared" si="137"/>
        <v>43</v>
      </c>
      <c r="DB54">
        <f t="shared" si="137"/>
        <v>39</v>
      </c>
      <c r="DC54">
        <f t="shared" si="137"/>
        <v>35</v>
      </c>
      <c r="DD54">
        <f t="shared" si="137"/>
        <v>31</v>
      </c>
      <c r="DE54">
        <f t="shared" si="137"/>
        <v>45</v>
      </c>
      <c r="DF54">
        <f t="shared" si="137"/>
        <v>43</v>
      </c>
      <c r="DG54">
        <f t="shared" si="137"/>
        <v>59.49999999999995</v>
      </c>
      <c r="DH54">
        <f t="shared" si="137"/>
        <v>58.199999999999953</v>
      </c>
      <c r="DI54">
        <f t="shared" si="137"/>
        <v>56.899999999999956</v>
      </c>
      <c r="DJ54">
        <f t="shared" si="137"/>
        <v>55.599999999999959</v>
      </c>
      <c r="DK54">
        <f t="shared" si="137"/>
        <v>-1</v>
      </c>
      <c r="DL54">
        <f t="shared" si="137"/>
        <v>-1</v>
      </c>
      <c r="DM54">
        <f t="shared" si="137"/>
        <v>69</v>
      </c>
      <c r="DN54">
        <f t="shared" si="137"/>
        <v>61</v>
      </c>
      <c r="DO54">
        <f t="shared" si="137"/>
        <v>53</v>
      </c>
      <c r="DP54">
        <f t="shared" si="137"/>
        <v>45</v>
      </c>
      <c r="DQ54">
        <f t="shared" si="137"/>
        <v>58.199999999999953</v>
      </c>
      <c r="DR54">
        <f t="shared" si="137"/>
        <v>55.599999999999959</v>
      </c>
      <c r="DS54">
        <f t="shared" si="137"/>
        <v>41</v>
      </c>
      <c r="DT54">
        <f t="shared" si="137"/>
        <v>35</v>
      </c>
      <c r="DU54">
        <f t="shared" si="137"/>
        <v>29</v>
      </c>
      <c r="DV54">
        <f t="shared" si="137"/>
        <v>23</v>
      </c>
      <c r="DW54">
        <f t="shared" si="137"/>
        <v>17</v>
      </c>
      <c r="DX54">
        <f t="shared" si="137"/>
        <v>11</v>
      </c>
      <c r="DY54">
        <f t="shared" si="137"/>
        <v>-1</v>
      </c>
      <c r="DZ54">
        <f t="shared" si="137"/>
        <v>-1</v>
      </c>
      <c r="EA54">
        <f t="shared" si="137"/>
        <v>-1</v>
      </c>
      <c r="EB54">
        <f t="shared" ref="EB54:EO54" si="138">IF(OR(EB53=-1,AND(IF(EB$3&lt;$B54,EB53+EB$6,IF(EB$3=$B54,1,""))&gt;$B$1,EB$3&lt;$B54)),-1,IF(EB$3&lt;$B54,EB53+EB$6,IF(EB$3=$B54,1,"")))</f>
        <v>-1</v>
      </c>
      <c r="EC54">
        <f t="shared" si="138"/>
        <v>-1</v>
      </c>
      <c r="ED54">
        <f t="shared" si="138"/>
        <v>-1</v>
      </c>
      <c r="EE54">
        <f t="shared" si="138"/>
        <v>66.600000000000037</v>
      </c>
      <c r="EF54">
        <f t="shared" si="138"/>
        <v>58.600000000000037</v>
      </c>
      <c r="EG54">
        <f t="shared" si="138"/>
        <v>50.60000000000003</v>
      </c>
      <c r="EH54">
        <f t="shared" si="138"/>
        <v>42.600000000000023</v>
      </c>
      <c r="EI54">
        <f t="shared" si="138"/>
        <v>34.600000000000016</v>
      </c>
      <c r="EJ54">
        <f t="shared" si="138"/>
        <v>26.600000000000009</v>
      </c>
      <c r="EK54">
        <f t="shared" si="138"/>
        <v>71.40000000000002</v>
      </c>
      <c r="EL54">
        <f t="shared" si="138"/>
        <v>63.400000000000041</v>
      </c>
      <c r="EM54">
        <f t="shared" si="138"/>
        <v>52.200000000000031</v>
      </c>
      <c r="EN54">
        <f t="shared" si="138"/>
        <v>41.000000000000021</v>
      </c>
      <c r="EO54">
        <f t="shared" si="138"/>
        <v>29.800000000000011</v>
      </c>
    </row>
    <row r="55" spans="1:145" x14ac:dyDescent="0.15">
      <c r="A55" t="e">
        <f t="shared" si="0"/>
        <v>#N/A</v>
      </c>
      <c r="B55" s="218">
        <v>47</v>
      </c>
      <c r="C55">
        <f t="shared" si="0"/>
        <v>46</v>
      </c>
      <c r="D55">
        <f t="shared" ref="D55:BO55" si="139">IF(OR(D54=-1,AND(IF(D$3&lt;$B55,D54+D$6,IF(D$3=$B55,1,""))&gt;$B$1,D$3&lt;$B55)),-1,IF(D$3&lt;$B55,D54+D$6,IF(D$3=$B55,1,"")))</f>
        <v>44</v>
      </c>
      <c r="E55">
        <f t="shared" si="139"/>
        <v>42</v>
      </c>
      <c r="F55">
        <f t="shared" si="139"/>
        <v>40</v>
      </c>
      <c r="G55">
        <f t="shared" si="139"/>
        <v>38</v>
      </c>
      <c r="H55">
        <f t="shared" si="139"/>
        <v>36</v>
      </c>
      <c r="I55">
        <f t="shared" si="139"/>
        <v>50.39999999999997</v>
      </c>
      <c r="J55">
        <f t="shared" si="139"/>
        <v>38.699999999999996</v>
      </c>
      <c r="K55">
        <f t="shared" si="139"/>
        <v>27.000000000000007</v>
      </c>
      <c r="L55">
        <f t="shared" si="139"/>
        <v>30.399999999999977</v>
      </c>
      <c r="M55">
        <f t="shared" si="139"/>
        <v>26.899999999999981</v>
      </c>
      <c r="N55">
        <f t="shared" si="139"/>
        <v>23.399999999999984</v>
      </c>
      <c r="O55">
        <f t="shared" si="139"/>
        <v>46</v>
      </c>
      <c r="P55">
        <f t="shared" si="139"/>
        <v>44</v>
      </c>
      <c r="Q55">
        <f t="shared" si="139"/>
        <v>42</v>
      </c>
      <c r="R55">
        <f t="shared" si="139"/>
        <v>40</v>
      </c>
      <c r="S55">
        <f t="shared" si="139"/>
        <v>38</v>
      </c>
      <c r="T55">
        <f t="shared" si="139"/>
        <v>-1</v>
      </c>
      <c r="U55">
        <f t="shared" si="139"/>
        <v>-1</v>
      </c>
      <c r="V55">
        <f t="shared" si="139"/>
        <v>71</v>
      </c>
      <c r="W55">
        <f t="shared" si="139"/>
        <v>-1</v>
      </c>
      <c r="X55">
        <f t="shared" si="139"/>
        <v>-1</v>
      </c>
      <c r="Y55">
        <f t="shared" si="139"/>
        <v>74.79999999999994</v>
      </c>
      <c r="Z55">
        <f t="shared" si="139"/>
        <v>45</v>
      </c>
      <c r="AA55">
        <f t="shared" si="139"/>
        <v>42</v>
      </c>
      <c r="AB55">
        <f t="shared" si="139"/>
        <v>39</v>
      </c>
      <c r="AC55">
        <f t="shared" si="139"/>
        <v>74.79999999999994</v>
      </c>
      <c r="AD55">
        <f t="shared" si="139"/>
        <v>63.999999999999957</v>
      </c>
      <c r="AE55">
        <f t="shared" si="139"/>
        <v>53.199999999999974</v>
      </c>
      <c r="AF55">
        <f t="shared" si="139"/>
        <v>42.399999999999991</v>
      </c>
      <c r="AG55">
        <f t="shared" si="139"/>
        <v>31.600000000000009</v>
      </c>
      <c r="AH55">
        <f t="shared" si="139"/>
        <v>20.800000000000004</v>
      </c>
      <c r="AI55">
        <f t="shared" si="139"/>
        <v>26.800000000000018</v>
      </c>
      <c r="AJ55">
        <f t="shared" si="139"/>
        <v>24.400000000000013</v>
      </c>
      <c r="AK55">
        <f t="shared" si="139"/>
        <v>22.000000000000007</v>
      </c>
      <c r="AL55">
        <f t="shared" si="139"/>
        <v>19.600000000000001</v>
      </c>
      <c r="AM55">
        <f t="shared" si="139"/>
        <v>42</v>
      </c>
      <c r="AN55">
        <f t="shared" si="139"/>
        <v>36</v>
      </c>
      <c r="AO55">
        <f t="shared" si="139"/>
        <v>30</v>
      </c>
      <c r="AP55">
        <f t="shared" si="139"/>
        <v>58.199999999999953</v>
      </c>
      <c r="AQ55">
        <f t="shared" si="139"/>
        <v>54.299999999999962</v>
      </c>
      <c r="AR55">
        <f t="shared" si="139"/>
        <v>50.39999999999997</v>
      </c>
      <c r="AS55">
        <f t="shared" si="139"/>
        <v>46.499999999999979</v>
      </c>
      <c r="AT55">
        <f t="shared" si="139"/>
        <v>42.599999999999987</v>
      </c>
      <c r="AU55">
        <f t="shared" si="139"/>
        <v>38.699999999999996</v>
      </c>
      <c r="AV55">
        <f t="shared" si="139"/>
        <v>34.800000000000004</v>
      </c>
      <c r="AW55">
        <f t="shared" si="139"/>
        <v>42</v>
      </c>
      <c r="AX55">
        <f t="shared" si="139"/>
        <v>36</v>
      </c>
      <c r="AY55">
        <f t="shared" si="139"/>
        <v>-1</v>
      </c>
      <c r="AZ55">
        <f t="shared" si="139"/>
        <v>75</v>
      </c>
      <c r="BA55">
        <f t="shared" si="139"/>
        <v>-1</v>
      </c>
      <c r="BB55">
        <f t="shared" si="139"/>
        <v>-1</v>
      </c>
      <c r="BC55">
        <f t="shared" si="139"/>
        <v>-1</v>
      </c>
      <c r="BD55">
        <f t="shared" si="139"/>
        <v>60.799999999999947</v>
      </c>
      <c r="BE55">
        <f t="shared" si="139"/>
        <v>-1</v>
      </c>
      <c r="BF55">
        <f t="shared" si="139"/>
        <v>-1</v>
      </c>
      <c r="BG55">
        <f t="shared" si="139"/>
        <v>71</v>
      </c>
      <c r="BH55">
        <f t="shared" si="139"/>
        <v>63</v>
      </c>
      <c r="BI55">
        <f t="shared" si="139"/>
        <v>43</v>
      </c>
      <c r="BJ55">
        <f t="shared" si="139"/>
        <v>38</v>
      </c>
      <c r="BK55">
        <f t="shared" si="139"/>
        <v>33</v>
      </c>
      <c r="BL55">
        <f t="shared" si="139"/>
        <v>28</v>
      </c>
      <c r="BM55">
        <f t="shared" si="139"/>
        <v>42</v>
      </c>
      <c r="BN55">
        <f t="shared" si="139"/>
        <v>59.49999999999995</v>
      </c>
      <c r="BO55">
        <f t="shared" si="139"/>
        <v>56.899999999999956</v>
      </c>
      <c r="BP55">
        <f t="shared" ref="BP55:EA55" si="140">IF(OR(BP54=-1,AND(IF(BP$3&lt;$B55,BP54+BP$6,IF(BP$3=$B55,1,""))&gt;$B$1,BP$3&lt;$B55)),-1,IF(BP$3&lt;$B55,BP54+BP$6,IF(BP$3=$B55,1,"")))</f>
        <v>-1</v>
      </c>
      <c r="BQ55">
        <f t="shared" si="140"/>
        <v>-1</v>
      </c>
      <c r="BR55">
        <f t="shared" si="140"/>
        <v>-1</v>
      </c>
      <c r="BS55">
        <f t="shared" si="140"/>
        <v>46</v>
      </c>
      <c r="BT55">
        <f t="shared" si="140"/>
        <v>44</v>
      </c>
      <c r="BU55">
        <f t="shared" si="140"/>
        <v>25.600000000000016</v>
      </c>
      <c r="BV55">
        <f t="shared" si="140"/>
        <v>22.000000000000007</v>
      </c>
      <c r="BW55">
        <f t="shared" si="140"/>
        <v>18.399999999999999</v>
      </c>
      <c r="BX55">
        <f t="shared" si="140"/>
        <v>14.799999999999994</v>
      </c>
      <c r="BY55">
        <f t="shared" si="140"/>
        <v>11.199999999999996</v>
      </c>
      <c r="BZ55">
        <f t="shared" si="140"/>
        <v>7.5999999999999979</v>
      </c>
      <c r="CA55">
        <f t="shared" si="140"/>
        <v>4</v>
      </c>
      <c r="CB55" t="str">
        <f t="shared" si="140"/>
        <v/>
      </c>
      <c r="CC55" t="str">
        <f t="shared" si="140"/>
        <v/>
      </c>
      <c r="CD55" t="str">
        <f t="shared" si="140"/>
        <v/>
      </c>
      <c r="CE55" t="str">
        <f t="shared" si="140"/>
        <v/>
      </c>
      <c r="CF55" t="str">
        <f t="shared" si="140"/>
        <v/>
      </c>
      <c r="CG55" t="str">
        <f t="shared" si="140"/>
        <v/>
      </c>
      <c r="CH55" t="str">
        <f t="shared" si="140"/>
        <v/>
      </c>
      <c r="CI55" t="str">
        <f t="shared" si="140"/>
        <v/>
      </c>
      <c r="CJ55" t="str">
        <f t="shared" si="140"/>
        <v/>
      </c>
      <c r="CK55" t="str">
        <f t="shared" si="140"/>
        <v/>
      </c>
      <c r="CL55" t="str">
        <f t="shared" si="140"/>
        <v/>
      </c>
      <c r="CM55" t="str">
        <f t="shared" si="140"/>
        <v/>
      </c>
      <c r="CN55" t="str">
        <f t="shared" si="140"/>
        <v/>
      </c>
      <c r="CO55">
        <f t="shared" si="140"/>
        <v>11.5</v>
      </c>
      <c r="CP55" t="str">
        <f t="shared" si="140"/>
        <v/>
      </c>
      <c r="CQ55">
        <f t="shared" si="140"/>
        <v>43</v>
      </c>
      <c r="CR55">
        <f t="shared" si="140"/>
        <v>38</v>
      </c>
      <c r="CS55">
        <f t="shared" si="140"/>
        <v>33</v>
      </c>
      <c r="CT55">
        <f t="shared" si="140"/>
        <v>59.49999999999995</v>
      </c>
      <c r="CU55">
        <f t="shared" si="140"/>
        <v>56.899999999999956</v>
      </c>
      <c r="CV55">
        <f t="shared" si="140"/>
        <v>68.200000000000031</v>
      </c>
      <c r="CW55">
        <f t="shared" si="140"/>
        <v>60.200000000000038</v>
      </c>
      <c r="CX55">
        <f t="shared" si="140"/>
        <v>52.200000000000031</v>
      </c>
      <c r="CY55">
        <f t="shared" si="140"/>
        <v>44.200000000000024</v>
      </c>
      <c r="CZ55">
        <f t="shared" si="140"/>
        <v>36.200000000000017</v>
      </c>
      <c r="DA55">
        <f t="shared" si="140"/>
        <v>44</v>
      </c>
      <c r="DB55">
        <f t="shared" si="140"/>
        <v>40</v>
      </c>
      <c r="DC55">
        <f t="shared" si="140"/>
        <v>36</v>
      </c>
      <c r="DD55">
        <f t="shared" si="140"/>
        <v>32</v>
      </c>
      <c r="DE55">
        <f t="shared" si="140"/>
        <v>46</v>
      </c>
      <c r="DF55">
        <f t="shared" si="140"/>
        <v>44</v>
      </c>
      <c r="DG55">
        <f t="shared" si="140"/>
        <v>60.799999999999947</v>
      </c>
      <c r="DH55">
        <f t="shared" si="140"/>
        <v>59.49999999999995</v>
      </c>
      <c r="DI55">
        <f t="shared" si="140"/>
        <v>58.199999999999953</v>
      </c>
      <c r="DJ55">
        <f t="shared" si="140"/>
        <v>56.899999999999956</v>
      </c>
      <c r="DK55">
        <f t="shared" si="140"/>
        <v>-1</v>
      </c>
      <c r="DL55">
        <f t="shared" si="140"/>
        <v>-1</v>
      </c>
      <c r="DM55">
        <f t="shared" si="140"/>
        <v>71</v>
      </c>
      <c r="DN55">
        <f t="shared" si="140"/>
        <v>63</v>
      </c>
      <c r="DO55">
        <f t="shared" si="140"/>
        <v>55</v>
      </c>
      <c r="DP55">
        <f t="shared" si="140"/>
        <v>47</v>
      </c>
      <c r="DQ55">
        <f t="shared" si="140"/>
        <v>59.49999999999995</v>
      </c>
      <c r="DR55">
        <f t="shared" si="140"/>
        <v>56.899999999999956</v>
      </c>
      <c r="DS55">
        <f t="shared" si="140"/>
        <v>42</v>
      </c>
      <c r="DT55">
        <f t="shared" si="140"/>
        <v>36</v>
      </c>
      <c r="DU55">
        <f t="shared" si="140"/>
        <v>30</v>
      </c>
      <c r="DV55">
        <f t="shared" si="140"/>
        <v>24</v>
      </c>
      <c r="DW55">
        <f t="shared" si="140"/>
        <v>18</v>
      </c>
      <c r="DX55">
        <f t="shared" si="140"/>
        <v>12</v>
      </c>
      <c r="DY55">
        <f t="shared" si="140"/>
        <v>-1</v>
      </c>
      <c r="DZ55">
        <f t="shared" si="140"/>
        <v>-1</v>
      </c>
      <c r="EA55">
        <f t="shared" si="140"/>
        <v>-1</v>
      </c>
      <c r="EB55">
        <f t="shared" ref="EB55:EO55" si="141">IF(OR(EB54=-1,AND(IF(EB$3&lt;$B55,EB54+EB$6,IF(EB$3=$B55,1,""))&gt;$B$1,EB$3&lt;$B55)),-1,IF(EB$3&lt;$B55,EB54+EB$6,IF(EB$3=$B55,1,"")))</f>
        <v>-1</v>
      </c>
      <c r="EC55">
        <f t="shared" si="141"/>
        <v>-1</v>
      </c>
      <c r="ED55">
        <f t="shared" si="141"/>
        <v>-1</v>
      </c>
      <c r="EE55">
        <f t="shared" si="141"/>
        <v>68.200000000000031</v>
      </c>
      <c r="EF55">
        <f t="shared" si="141"/>
        <v>60.200000000000038</v>
      </c>
      <c r="EG55">
        <f t="shared" si="141"/>
        <v>52.200000000000031</v>
      </c>
      <c r="EH55">
        <f t="shared" si="141"/>
        <v>44.200000000000024</v>
      </c>
      <c r="EI55">
        <f t="shared" si="141"/>
        <v>36.200000000000017</v>
      </c>
      <c r="EJ55">
        <f t="shared" si="141"/>
        <v>28.20000000000001</v>
      </c>
      <c r="EK55">
        <f t="shared" si="141"/>
        <v>73.000000000000014</v>
      </c>
      <c r="EL55">
        <f t="shared" si="141"/>
        <v>65.000000000000043</v>
      </c>
      <c r="EM55">
        <f t="shared" si="141"/>
        <v>53.800000000000033</v>
      </c>
      <c r="EN55">
        <f t="shared" si="141"/>
        <v>42.600000000000023</v>
      </c>
      <c r="EO55">
        <f t="shared" si="141"/>
        <v>31.400000000000013</v>
      </c>
    </row>
    <row r="56" spans="1:145" x14ac:dyDescent="0.15">
      <c r="A56" t="e">
        <f t="shared" si="0"/>
        <v>#N/A</v>
      </c>
      <c r="B56" s="218">
        <v>48</v>
      </c>
      <c r="C56">
        <f t="shared" si="0"/>
        <v>47</v>
      </c>
      <c r="D56">
        <f t="shared" ref="D56:BO56" si="142">IF(OR(D55=-1,AND(IF(D$3&lt;$B56,D55+D$6,IF(D$3=$B56,1,""))&gt;$B$1,D$3&lt;$B56)),-1,IF(D$3&lt;$B56,D55+D$6,IF(D$3=$B56,1,"")))</f>
        <v>45</v>
      </c>
      <c r="E56">
        <f t="shared" si="142"/>
        <v>43</v>
      </c>
      <c r="F56">
        <f t="shared" si="142"/>
        <v>41</v>
      </c>
      <c r="G56">
        <f t="shared" si="142"/>
        <v>39</v>
      </c>
      <c r="H56">
        <f t="shared" si="142"/>
        <v>37</v>
      </c>
      <c r="I56">
        <f t="shared" si="142"/>
        <v>51.699999999999967</v>
      </c>
      <c r="J56">
        <f t="shared" si="142"/>
        <v>39.999999999999993</v>
      </c>
      <c r="K56">
        <f t="shared" si="142"/>
        <v>28.300000000000008</v>
      </c>
      <c r="L56">
        <f t="shared" si="142"/>
        <v>31.099999999999977</v>
      </c>
      <c r="M56">
        <f t="shared" si="142"/>
        <v>27.59999999999998</v>
      </c>
      <c r="N56">
        <f t="shared" si="142"/>
        <v>24.099999999999984</v>
      </c>
      <c r="O56">
        <f t="shared" si="142"/>
        <v>47</v>
      </c>
      <c r="P56">
        <f t="shared" si="142"/>
        <v>45</v>
      </c>
      <c r="Q56">
        <f t="shared" si="142"/>
        <v>43</v>
      </c>
      <c r="R56">
        <f t="shared" si="142"/>
        <v>41</v>
      </c>
      <c r="S56">
        <f t="shared" si="142"/>
        <v>39</v>
      </c>
      <c r="T56">
        <f t="shared" si="142"/>
        <v>-1</v>
      </c>
      <c r="U56">
        <f t="shared" si="142"/>
        <v>-1</v>
      </c>
      <c r="V56">
        <f t="shared" si="142"/>
        <v>73</v>
      </c>
      <c r="W56">
        <f t="shared" si="142"/>
        <v>-1</v>
      </c>
      <c r="X56">
        <f t="shared" si="142"/>
        <v>-1</v>
      </c>
      <c r="Y56">
        <f t="shared" si="142"/>
        <v>-1</v>
      </c>
      <c r="Z56">
        <f t="shared" si="142"/>
        <v>46</v>
      </c>
      <c r="AA56">
        <f t="shared" si="142"/>
        <v>43</v>
      </c>
      <c r="AB56">
        <f t="shared" si="142"/>
        <v>40</v>
      </c>
      <c r="AC56">
        <f t="shared" si="142"/>
        <v>-1</v>
      </c>
      <c r="AD56">
        <f t="shared" si="142"/>
        <v>65.799999999999955</v>
      </c>
      <c r="AE56">
        <f t="shared" si="142"/>
        <v>54.999999999999972</v>
      </c>
      <c r="AF56">
        <f t="shared" si="142"/>
        <v>44.199999999999989</v>
      </c>
      <c r="AG56">
        <f t="shared" si="142"/>
        <v>33.400000000000006</v>
      </c>
      <c r="AH56">
        <f t="shared" si="142"/>
        <v>22.600000000000005</v>
      </c>
      <c r="AI56">
        <f t="shared" si="142"/>
        <v>27.40000000000002</v>
      </c>
      <c r="AJ56">
        <f t="shared" si="142"/>
        <v>25.000000000000014</v>
      </c>
      <c r="AK56">
        <f t="shared" si="142"/>
        <v>22.600000000000009</v>
      </c>
      <c r="AL56">
        <f t="shared" si="142"/>
        <v>20.200000000000003</v>
      </c>
      <c r="AM56">
        <f t="shared" si="142"/>
        <v>43</v>
      </c>
      <c r="AN56">
        <f t="shared" si="142"/>
        <v>37</v>
      </c>
      <c r="AO56">
        <f t="shared" si="142"/>
        <v>31</v>
      </c>
      <c r="AP56">
        <f t="shared" si="142"/>
        <v>59.49999999999995</v>
      </c>
      <c r="AQ56">
        <f t="shared" si="142"/>
        <v>55.599999999999959</v>
      </c>
      <c r="AR56">
        <f t="shared" si="142"/>
        <v>51.699999999999967</v>
      </c>
      <c r="AS56">
        <f t="shared" si="142"/>
        <v>47.799999999999976</v>
      </c>
      <c r="AT56">
        <f t="shared" si="142"/>
        <v>43.899999999999984</v>
      </c>
      <c r="AU56">
        <f t="shared" si="142"/>
        <v>39.999999999999993</v>
      </c>
      <c r="AV56">
        <f t="shared" si="142"/>
        <v>36.1</v>
      </c>
      <c r="AW56">
        <f t="shared" si="142"/>
        <v>43</v>
      </c>
      <c r="AX56">
        <f t="shared" si="142"/>
        <v>37</v>
      </c>
      <c r="AY56">
        <f t="shared" si="142"/>
        <v>-1</v>
      </c>
      <c r="AZ56">
        <f t="shared" si="142"/>
        <v>-1</v>
      </c>
      <c r="BA56">
        <f t="shared" si="142"/>
        <v>-1</v>
      </c>
      <c r="BB56">
        <f t="shared" si="142"/>
        <v>-1</v>
      </c>
      <c r="BC56">
        <f t="shared" si="142"/>
        <v>-1</v>
      </c>
      <c r="BD56">
        <f t="shared" si="142"/>
        <v>62.099999999999945</v>
      </c>
      <c r="BE56">
        <f t="shared" si="142"/>
        <v>-1</v>
      </c>
      <c r="BF56">
        <f t="shared" si="142"/>
        <v>-1</v>
      </c>
      <c r="BG56">
        <f t="shared" si="142"/>
        <v>73</v>
      </c>
      <c r="BH56">
        <f t="shared" si="142"/>
        <v>65</v>
      </c>
      <c r="BI56">
        <f t="shared" si="142"/>
        <v>44</v>
      </c>
      <c r="BJ56">
        <f t="shared" si="142"/>
        <v>39</v>
      </c>
      <c r="BK56">
        <f t="shared" si="142"/>
        <v>34</v>
      </c>
      <c r="BL56">
        <f t="shared" si="142"/>
        <v>29</v>
      </c>
      <c r="BM56">
        <f t="shared" si="142"/>
        <v>43</v>
      </c>
      <c r="BN56">
        <f t="shared" si="142"/>
        <v>60.799999999999947</v>
      </c>
      <c r="BO56">
        <f t="shared" si="142"/>
        <v>58.199999999999953</v>
      </c>
      <c r="BP56">
        <f t="shared" ref="BP56:EA56" si="143">IF(OR(BP55=-1,AND(IF(BP$3&lt;$B56,BP55+BP$6,IF(BP$3=$B56,1,""))&gt;$B$1,BP$3&lt;$B56)),-1,IF(BP$3&lt;$B56,BP55+BP$6,IF(BP$3=$B56,1,"")))</f>
        <v>-1</v>
      </c>
      <c r="BQ56">
        <f t="shared" si="143"/>
        <v>-1</v>
      </c>
      <c r="BR56">
        <f t="shared" si="143"/>
        <v>-1</v>
      </c>
      <c r="BS56">
        <f t="shared" si="143"/>
        <v>47</v>
      </c>
      <c r="BT56">
        <f t="shared" si="143"/>
        <v>45</v>
      </c>
      <c r="BU56">
        <f t="shared" si="143"/>
        <v>26.200000000000017</v>
      </c>
      <c r="BV56">
        <f t="shared" si="143"/>
        <v>22.600000000000009</v>
      </c>
      <c r="BW56">
        <f t="shared" si="143"/>
        <v>19</v>
      </c>
      <c r="BX56">
        <f t="shared" si="143"/>
        <v>15.399999999999993</v>
      </c>
      <c r="BY56">
        <f t="shared" si="143"/>
        <v>11.799999999999995</v>
      </c>
      <c r="BZ56">
        <f t="shared" si="143"/>
        <v>8.1999999999999975</v>
      </c>
      <c r="CA56">
        <f t="shared" si="143"/>
        <v>4.5999999999999996</v>
      </c>
      <c r="CB56">
        <f t="shared" si="143"/>
        <v>1</v>
      </c>
      <c r="CC56" t="str">
        <f t="shared" si="143"/>
        <v/>
      </c>
      <c r="CD56" t="str">
        <f t="shared" si="143"/>
        <v/>
      </c>
      <c r="CE56" t="str">
        <f t="shared" si="143"/>
        <v/>
      </c>
      <c r="CF56" t="str">
        <f t="shared" si="143"/>
        <v/>
      </c>
      <c r="CG56" t="str">
        <f t="shared" si="143"/>
        <v/>
      </c>
      <c r="CH56" t="str">
        <f t="shared" si="143"/>
        <v/>
      </c>
      <c r="CI56" t="str">
        <f t="shared" si="143"/>
        <v/>
      </c>
      <c r="CJ56" t="str">
        <f t="shared" si="143"/>
        <v/>
      </c>
      <c r="CK56" t="str">
        <f t="shared" si="143"/>
        <v/>
      </c>
      <c r="CL56" t="str">
        <f t="shared" si="143"/>
        <v/>
      </c>
      <c r="CM56" t="str">
        <f t="shared" si="143"/>
        <v/>
      </c>
      <c r="CN56" t="str">
        <f t="shared" si="143"/>
        <v/>
      </c>
      <c r="CO56">
        <f t="shared" si="143"/>
        <v>12</v>
      </c>
      <c r="CP56" t="str">
        <f t="shared" si="143"/>
        <v/>
      </c>
      <c r="CQ56">
        <f t="shared" si="143"/>
        <v>44</v>
      </c>
      <c r="CR56">
        <f t="shared" si="143"/>
        <v>39</v>
      </c>
      <c r="CS56">
        <f t="shared" si="143"/>
        <v>34</v>
      </c>
      <c r="CT56">
        <f t="shared" si="143"/>
        <v>60.799999999999947</v>
      </c>
      <c r="CU56">
        <f t="shared" si="143"/>
        <v>58.199999999999953</v>
      </c>
      <c r="CV56">
        <f t="shared" si="143"/>
        <v>69.800000000000026</v>
      </c>
      <c r="CW56">
        <f t="shared" si="143"/>
        <v>61.80000000000004</v>
      </c>
      <c r="CX56">
        <f t="shared" si="143"/>
        <v>53.800000000000033</v>
      </c>
      <c r="CY56">
        <f t="shared" si="143"/>
        <v>45.800000000000026</v>
      </c>
      <c r="CZ56">
        <f t="shared" si="143"/>
        <v>37.800000000000018</v>
      </c>
      <c r="DA56">
        <f t="shared" si="143"/>
        <v>45</v>
      </c>
      <c r="DB56">
        <f t="shared" si="143"/>
        <v>41</v>
      </c>
      <c r="DC56">
        <f t="shared" si="143"/>
        <v>37</v>
      </c>
      <c r="DD56">
        <f t="shared" si="143"/>
        <v>33</v>
      </c>
      <c r="DE56">
        <f t="shared" si="143"/>
        <v>47</v>
      </c>
      <c r="DF56">
        <f t="shared" si="143"/>
        <v>45</v>
      </c>
      <c r="DG56">
        <f t="shared" si="143"/>
        <v>62.099999999999945</v>
      </c>
      <c r="DH56">
        <f t="shared" si="143"/>
        <v>60.799999999999947</v>
      </c>
      <c r="DI56">
        <f t="shared" si="143"/>
        <v>59.49999999999995</v>
      </c>
      <c r="DJ56">
        <f t="shared" si="143"/>
        <v>58.199999999999953</v>
      </c>
      <c r="DK56">
        <f t="shared" si="143"/>
        <v>-1</v>
      </c>
      <c r="DL56">
        <f t="shared" si="143"/>
        <v>-1</v>
      </c>
      <c r="DM56">
        <f t="shared" si="143"/>
        <v>73</v>
      </c>
      <c r="DN56">
        <f t="shared" si="143"/>
        <v>65</v>
      </c>
      <c r="DO56">
        <f t="shared" si="143"/>
        <v>57</v>
      </c>
      <c r="DP56">
        <f t="shared" si="143"/>
        <v>49</v>
      </c>
      <c r="DQ56">
        <f t="shared" si="143"/>
        <v>60.799999999999947</v>
      </c>
      <c r="DR56">
        <f t="shared" si="143"/>
        <v>58.199999999999953</v>
      </c>
      <c r="DS56">
        <f t="shared" si="143"/>
        <v>43</v>
      </c>
      <c r="DT56">
        <f t="shared" si="143"/>
        <v>37</v>
      </c>
      <c r="DU56">
        <f t="shared" si="143"/>
        <v>31</v>
      </c>
      <c r="DV56">
        <f t="shared" si="143"/>
        <v>25</v>
      </c>
      <c r="DW56">
        <f t="shared" si="143"/>
        <v>19</v>
      </c>
      <c r="DX56">
        <f t="shared" si="143"/>
        <v>13</v>
      </c>
      <c r="DY56">
        <f t="shared" si="143"/>
        <v>-1</v>
      </c>
      <c r="DZ56">
        <f t="shared" si="143"/>
        <v>-1</v>
      </c>
      <c r="EA56">
        <f t="shared" si="143"/>
        <v>-1</v>
      </c>
      <c r="EB56">
        <f t="shared" ref="EB56:EO56" si="144">IF(OR(EB55=-1,AND(IF(EB$3&lt;$B56,EB55+EB$6,IF(EB$3=$B56,1,""))&gt;$B$1,EB$3&lt;$B56)),-1,IF(EB$3&lt;$B56,EB55+EB$6,IF(EB$3=$B56,1,"")))</f>
        <v>-1</v>
      </c>
      <c r="EC56">
        <f t="shared" si="144"/>
        <v>-1</v>
      </c>
      <c r="ED56">
        <f t="shared" si="144"/>
        <v>-1</v>
      </c>
      <c r="EE56">
        <f t="shared" si="144"/>
        <v>69.800000000000026</v>
      </c>
      <c r="EF56">
        <f t="shared" si="144"/>
        <v>61.80000000000004</v>
      </c>
      <c r="EG56">
        <f t="shared" si="144"/>
        <v>53.800000000000033</v>
      </c>
      <c r="EH56">
        <f t="shared" si="144"/>
        <v>45.800000000000026</v>
      </c>
      <c r="EI56">
        <f t="shared" si="144"/>
        <v>37.800000000000018</v>
      </c>
      <c r="EJ56">
        <f t="shared" si="144"/>
        <v>29.800000000000011</v>
      </c>
      <c r="EK56">
        <f t="shared" si="144"/>
        <v>74.600000000000009</v>
      </c>
      <c r="EL56">
        <f t="shared" si="144"/>
        <v>66.600000000000037</v>
      </c>
      <c r="EM56">
        <f t="shared" si="144"/>
        <v>55.400000000000034</v>
      </c>
      <c r="EN56">
        <f t="shared" si="144"/>
        <v>44.200000000000024</v>
      </c>
      <c r="EO56">
        <f t="shared" si="144"/>
        <v>33.000000000000014</v>
      </c>
    </row>
    <row r="57" spans="1:145" x14ac:dyDescent="0.15">
      <c r="A57" t="e">
        <f t="shared" si="0"/>
        <v>#N/A</v>
      </c>
      <c r="B57" s="218">
        <v>49</v>
      </c>
      <c r="C57">
        <f t="shared" si="0"/>
        <v>48</v>
      </c>
      <c r="D57">
        <f t="shared" ref="D57:BO57" si="145">IF(OR(D56=-1,AND(IF(D$3&lt;$B57,D56+D$6,IF(D$3=$B57,1,""))&gt;$B$1,D$3&lt;$B57)),-1,IF(D$3&lt;$B57,D56+D$6,IF(D$3=$B57,1,"")))</f>
        <v>46</v>
      </c>
      <c r="E57">
        <f t="shared" si="145"/>
        <v>44</v>
      </c>
      <c r="F57">
        <f t="shared" si="145"/>
        <v>42</v>
      </c>
      <c r="G57">
        <f t="shared" si="145"/>
        <v>40</v>
      </c>
      <c r="H57">
        <f t="shared" si="145"/>
        <v>38</v>
      </c>
      <c r="I57">
        <f t="shared" si="145"/>
        <v>52.999999999999964</v>
      </c>
      <c r="J57">
        <f t="shared" si="145"/>
        <v>41.29999999999999</v>
      </c>
      <c r="K57">
        <f t="shared" si="145"/>
        <v>29.600000000000009</v>
      </c>
      <c r="L57">
        <f t="shared" si="145"/>
        <v>31.799999999999976</v>
      </c>
      <c r="M57">
        <f t="shared" si="145"/>
        <v>28.299999999999979</v>
      </c>
      <c r="N57">
        <f t="shared" si="145"/>
        <v>24.799999999999983</v>
      </c>
      <c r="O57">
        <f t="shared" si="145"/>
        <v>48</v>
      </c>
      <c r="P57">
        <f t="shared" si="145"/>
        <v>46</v>
      </c>
      <c r="Q57">
        <f t="shared" si="145"/>
        <v>44</v>
      </c>
      <c r="R57">
        <f t="shared" si="145"/>
        <v>42</v>
      </c>
      <c r="S57">
        <f t="shared" si="145"/>
        <v>40</v>
      </c>
      <c r="T57">
        <f t="shared" si="145"/>
        <v>-1</v>
      </c>
      <c r="U57">
        <f t="shared" si="145"/>
        <v>-1</v>
      </c>
      <c r="V57">
        <f t="shared" si="145"/>
        <v>75</v>
      </c>
      <c r="W57">
        <f t="shared" si="145"/>
        <v>-1</v>
      </c>
      <c r="X57">
        <f t="shared" si="145"/>
        <v>-1</v>
      </c>
      <c r="Y57">
        <f t="shared" si="145"/>
        <v>-1</v>
      </c>
      <c r="Z57">
        <f t="shared" si="145"/>
        <v>47</v>
      </c>
      <c r="AA57">
        <f t="shared" si="145"/>
        <v>44</v>
      </c>
      <c r="AB57">
        <f t="shared" si="145"/>
        <v>41</v>
      </c>
      <c r="AC57">
        <f t="shared" si="145"/>
        <v>-1</v>
      </c>
      <c r="AD57">
        <f t="shared" si="145"/>
        <v>67.599999999999952</v>
      </c>
      <c r="AE57">
        <f t="shared" si="145"/>
        <v>56.799999999999969</v>
      </c>
      <c r="AF57">
        <f t="shared" si="145"/>
        <v>45.999999999999986</v>
      </c>
      <c r="AG57">
        <f t="shared" si="145"/>
        <v>35.200000000000003</v>
      </c>
      <c r="AH57">
        <f t="shared" si="145"/>
        <v>24.400000000000006</v>
      </c>
      <c r="AI57">
        <f t="shared" si="145"/>
        <v>28.000000000000021</v>
      </c>
      <c r="AJ57">
        <f t="shared" si="145"/>
        <v>25.600000000000016</v>
      </c>
      <c r="AK57">
        <f t="shared" si="145"/>
        <v>23.20000000000001</v>
      </c>
      <c r="AL57">
        <f t="shared" si="145"/>
        <v>20.800000000000004</v>
      </c>
      <c r="AM57">
        <f t="shared" si="145"/>
        <v>44</v>
      </c>
      <c r="AN57">
        <f t="shared" si="145"/>
        <v>38</v>
      </c>
      <c r="AO57">
        <f t="shared" si="145"/>
        <v>32</v>
      </c>
      <c r="AP57">
        <f t="shared" si="145"/>
        <v>60.799999999999947</v>
      </c>
      <c r="AQ57">
        <f t="shared" si="145"/>
        <v>56.899999999999956</v>
      </c>
      <c r="AR57">
        <f t="shared" si="145"/>
        <v>52.999999999999964</v>
      </c>
      <c r="AS57">
        <f t="shared" si="145"/>
        <v>49.099999999999973</v>
      </c>
      <c r="AT57">
        <f t="shared" si="145"/>
        <v>45.199999999999982</v>
      </c>
      <c r="AU57">
        <f t="shared" si="145"/>
        <v>41.29999999999999</v>
      </c>
      <c r="AV57">
        <f t="shared" si="145"/>
        <v>37.4</v>
      </c>
      <c r="AW57">
        <f t="shared" si="145"/>
        <v>44</v>
      </c>
      <c r="AX57">
        <f t="shared" si="145"/>
        <v>38</v>
      </c>
      <c r="AY57">
        <f t="shared" si="145"/>
        <v>-1</v>
      </c>
      <c r="AZ57">
        <f t="shared" si="145"/>
        <v>-1</v>
      </c>
      <c r="BA57">
        <f t="shared" si="145"/>
        <v>-1</v>
      </c>
      <c r="BB57">
        <f t="shared" si="145"/>
        <v>-1</v>
      </c>
      <c r="BC57">
        <f t="shared" si="145"/>
        <v>-1</v>
      </c>
      <c r="BD57">
        <f t="shared" si="145"/>
        <v>63.399999999999942</v>
      </c>
      <c r="BE57">
        <f t="shared" si="145"/>
        <v>-1</v>
      </c>
      <c r="BF57">
        <f t="shared" si="145"/>
        <v>-1</v>
      </c>
      <c r="BG57">
        <f t="shared" si="145"/>
        <v>75</v>
      </c>
      <c r="BH57">
        <f t="shared" si="145"/>
        <v>67</v>
      </c>
      <c r="BI57">
        <f t="shared" si="145"/>
        <v>45</v>
      </c>
      <c r="BJ57">
        <f t="shared" si="145"/>
        <v>40</v>
      </c>
      <c r="BK57">
        <f t="shared" si="145"/>
        <v>35</v>
      </c>
      <c r="BL57">
        <f t="shared" si="145"/>
        <v>30</v>
      </c>
      <c r="BM57">
        <f t="shared" si="145"/>
        <v>44</v>
      </c>
      <c r="BN57">
        <f t="shared" si="145"/>
        <v>62.099999999999945</v>
      </c>
      <c r="BO57">
        <f t="shared" si="145"/>
        <v>59.49999999999995</v>
      </c>
      <c r="BP57">
        <f t="shared" ref="BP57:EA57" si="146">IF(OR(BP56=-1,AND(IF(BP$3&lt;$B57,BP56+BP$6,IF(BP$3=$B57,1,""))&gt;$B$1,BP$3&lt;$B57)),-1,IF(BP$3&lt;$B57,BP56+BP$6,IF(BP$3=$B57,1,"")))</f>
        <v>-1</v>
      </c>
      <c r="BQ57">
        <f t="shared" si="146"/>
        <v>-1</v>
      </c>
      <c r="BR57">
        <f t="shared" si="146"/>
        <v>-1</v>
      </c>
      <c r="BS57">
        <f t="shared" si="146"/>
        <v>48</v>
      </c>
      <c r="BT57">
        <f t="shared" si="146"/>
        <v>46</v>
      </c>
      <c r="BU57">
        <f t="shared" si="146"/>
        <v>26.800000000000018</v>
      </c>
      <c r="BV57">
        <f t="shared" si="146"/>
        <v>23.20000000000001</v>
      </c>
      <c r="BW57">
        <f t="shared" si="146"/>
        <v>19.600000000000001</v>
      </c>
      <c r="BX57">
        <f t="shared" si="146"/>
        <v>15.999999999999993</v>
      </c>
      <c r="BY57">
        <f t="shared" si="146"/>
        <v>12.399999999999995</v>
      </c>
      <c r="BZ57">
        <f t="shared" si="146"/>
        <v>8.7999999999999972</v>
      </c>
      <c r="CA57">
        <f t="shared" si="146"/>
        <v>5.1999999999999993</v>
      </c>
      <c r="CB57">
        <f t="shared" si="146"/>
        <v>1.6</v>
      </c>
      <c r="CC57" t="str">
        <f t="shared" si="146"/>
        <v/>
      </c>
      <c r="CD57" t="str">
        <f t="shared" si="146"/>
        <v/>
      </c>
      <c r="CE57" t="str">
        <f t="shared" si="146"/>
        <v/>
      </c>
      <c r="CF57" t="str">
        <f t="shared" si="146"/>
        <v/>
      </c>
      <c r="CG57" t="str">
        <f t="shared" si="146"/>
        <v/>
      </c>
      <c r="CH57" t="str">
        <f t="shared" si="146"/>
        <v/>
      </c>
      <c r="CI57" t="str">
        <f t="shared" si="146"/>
        <v/>
      </c>
      <c r="CJ57" t="str">
        <f t="shared" si="146"/>
        <v/>
      </c>
      <c r="CK57" t="str">
        <f t="shared" si="146"/>
        <v/>
      </c>
      <c r="CL57" t="str">
        <f t="shared" si="146"/>
        <v/>
      </c>
      <c r="CM57" t="str">
        <f t="shared" si="146"/>
        <v/>
      </c>
      <c r="CN57" t="str">
        <f t="shared" si="146"/>
        <v/>
      </c>
      <c r="CO57">
        <f t="shared" si="146"/>
        <v>12.5</v>
      </c>
      <c r="CP57" t="str">
        <f t="shared" si="146"/>
        <v/>
      </c>
      <c r="CQ57">
        <f t="shared" si="146"/>
        <v>45</v>
      </c>
      <c r="CR57">
        <f t="shared" si="146"/>
        <v>40</v>
      </c>
      <c r="CS57">
        <f t="shared" si="146"/>
        <v>35</v>
      </c>
      <c r="CT57">
        <f t="shared" si="146"/>
        <v>62.099999999999945</v>
      </c>
      <c r="CU57">
        <f t="shared" si="146"/>
        <v>59.49999999999995</v>
      </c>
      <c r="CV57">
        <f t="shared" si="146"/>
        <v>71.40000000000002</v>
      </c>
      <c r="CW57">
        <f t="shared" si="146"/>
        <v>63.400000000000041</v>
      </c>
      <c r="CX57">
        <f t="shared" si="146"/>
        <v>55.400000000000034</v>
      </c>
      <c r="CY57">
        <f t="shared" si="146"/>
        <v>47.400000000000027</v>
      </c>
      <c r="CZ57">
        <f t="shared" si="146"/>
        <v>39.40000000000002</v>
      </c>
      <c r="DA57">
        <f t="shared" si="146"/>
        <v>46</v>
      </c>
      <c r="DB57">
        <f t="shared" si="146"/>
        <v>42</v>
      </c>
      <c r="DC57">
        <f t="shared" si="146"/>
        <v>38</v>
      </c>
      <c r="DD57">
        <f t="shared" si="146"/>
        <v>34</v>
      </c>
      <c r="DE57">
        <f t="shared" si="146"/>
        <v>48</v>
      </c>
      <c r="DF57">
        <f t="shared" si="146"/>
        <v>46</v>
      </c>
      <c r="DG57">
        <f t="shared" si="146"/>
        <v>63.399999999999942</v>
      </c>
      <c r="DH57">
        <f t="shared" si="146"/>
        <v>62.099999999999945</v>
      </c>
      <c r="DI57">
        <f t="shared" si="146"/>
        <v>60.799999999999947</v>
      </c>
      <c r="DJ57">
        <f t="shared" si="146"/>
        <v>59.49999999999995</v>
      </c>
      <c r="DK57">
        <f t="shared" si="146"/>
        <v>-1</v>
      </c>
      <c r="DL57">
        <f t="shared" si="146"/>
        <v>-1</v>
      </c>
      <c r="DM57">
        <f t="shared" si="146"/>
        <v>75</v>
      </c>
      <c r="DN57">
        <f t="shared" si="146"/>
        <v>67</v>
      </c>
      <c r="DO57">
        <f t="shared" si="146"/>
        <v>59</v>
      </c>
      <c r="DP57">
        <f t="shared" si="146"/>
        <v>51</v>
      </c>
      <c r="DQ57">
        <f t="shared" si="146"/>
        <v>62.099999999999945</v>
      </c>
      <c r="DR57">
        <f t="shared" si="146"/>
        <v>59.49999999999995</v>
      </c>
      <c r="DS57">
        <f t="shared" si="146"/>
        <v>44</v>
      </c>
      <c r="DT57">
        <f t="shared" si="146"/>
        <v>38</v>
      </c>
      <c r="DU57">
        <f t="shared" si="146"/>
        <v>32</v>
      </c>
      <c r="DV57">
        <f t="shared" si="146"/>
        <v>26</v>
      </c>
      <c r="DW57">
        <f t="shared" si="146"/>
        <v>20</v>
      </c>
      <c r="DX57">
        <f t="shared" si="146"/>
        <v>14</v>
      </c>
      <c r="DY57">
        <f t="shared" si="146"/>
        <v>-1</v>
      </c>
      <c r="DZ57">
        <f t="shared" si="146"/>
        <v>-1</v>
      </c>
      <c r="EA57">
        <f t="shared" si="146"/>
        <v>-1</v>
      </c>
      <c r="EB57">
        <f t="shared" ref="EB57:EO57" si="147">IF(OR(EB56=-1,AND(IF(EB$3&lt;$B57,EB56+EB$6,IF(EB$3=$B57,1,""))&gt;$B$1,EB$3&lt;$B57)),-1,IF(EB$3&lt;$B57,EB56+EB$6,IF(EB$3=$B57,1,"")))</f>
        <v>-1</v>
      </c>
      <c r="EC57">
        <f t="shared" si="147"/>
        <v>-1</v>
      </c>
      <c r="ED57">
        <f t="shared" si="147"/>
        <v>-1</v>
      </c>
      <c r="EE57">
        <f t="shared" si="147"/>
        <v>71.40000000000002</v>
      </c>
      <c r="EF57">
        <f t="shared" si="147"/>
        <v>63.400000000000041</v>
      </c>
      <c r="EG57">
        <f t="shared" si="147"/>
        <v>55.400000000000034</v>
      </c>
      <c r="EH57">
        <f t="shared" si="147"/>
        <v>47.400000000000027</v>
      </c>
      <c r="EI57">
        <f t="shared" si="147"/>
        <v>39.40000000000002</v>
      </c>
      <c r="EJ57">
        <f t="shared" si="147"/>
        <v>31.400000000000013</v>
      </c>
      <c r="EK57">
        <f t="shared" si="147"/>
        <v>-1</v>
      </c>
      <c r="EL57">
        <f t="shared" si="147"/>
        <v>68.200000000000031</v>
      </c>
      <c r="EM57">
        <f t="shared" si="147"/>
        <v>57.000000000000036</v>
      </c>
      <c r="EN57">
        <f t="shared" si="147"/>
        <v>45.800000000000026</v>
      </c>
      <c r="EO57">
        <f t="shared" si="147"/>
        <v>34.600000000000016</v>
      </c>
    </row>
    <row r="58" spans="1:145" x14ac:dyDescent="0.15">
      <c r="A58" t="e">
        <f t="shared" si="0"/>
        <v>#N/A</v>
      </c>
      <c r="B58" s="218">
        <v>50</v>
      </c>
      <c r="C58">
        <f t="shared" si="0"/>
        <v>49</v>
      </c>
      <c r="D58">
        <f t="shared" ref="D58:BO58" si="148">IF(OR(D57=-1,AND(IF(D$3&lt;$B58,D57+D$6,IF(D$3=$B58,1,""))&gt;$B$1,D$3&lt;$B58)),-1,IF(D$3&lt;$B58,D57+D$6,IF(D$3=$B58,1,"")))</f>
        <v>47</v>
      </c>
      <c r="E58">
        <f t="shared" si="148"/>
        <v>45</v>
      </c>
      <c r="F58">
        <f t="shared" si="148"/>
        <v>43</v>
      </c>
      <c r="G58">
        <f t="shared" si="148"/>
        <v>41</v>
      </c>
      <c r="H58">
        <f t="shared" si="148"/>
        <v>39</v>
      </c>
      <c r="I58">
        <f t="shared" si="148"/>
        <v>54.299999999999962</v>
      </c>
      <c r="J58">
        <f t="shared" si="148"/>
        <v>42.599999999999987</v>
      </c>
      <c r="K58">
        <f t="shared" si="148"/>
        <v>30.900000000000009</v>
      </c>
      <c r="L58">
        <f t="shared" si="148"/>
        <v>32.499999999999979</v>
      </c>
      <c r="M58">
        <f t="shared" si="148"/>
        <v>28.999999999999979</v>
      </c>
      <c r="N58">
        <f t="shared" si="148"/>
        <v>25.499999999999982</v>
      </c>
      <c r="O58">
        <f t="shared" si="148"/>
        <v>49</v>
      </c>
      <c r="P58">
        <f t="shared" si="148"/>
        <v>47</v>
      </c>
      <c r="Q58">
        <f t="shared" si="148"/>
        <v>45</v>
      </c>
      <c r="R58">
        <f t="shared" si="148"/>
        <v>43</v>
      </c>
      <c r="S58">
        <f t="shared" si="148"/>
        <v>41</v>
      </c>
      <c r="T58">
        <f t="shared" si="148"/>
        <v>-1</v>
      </c>
      <c r="U58">
        <f t="shared" si="148"/>
        <v>-1</v>
      </c>
      <c r="V58">
        <f t="shared" si="148"/>
        <v>-1</v>
      </c>
      <c r="W58">
        <f t="shared" si="148"/>
        <v>-1</v>
      </c>
      <c r="X58">
        <f t="shared" si="148"/>
        <v>-1</v>
      </c>
      <c r="Y58">
        <f t="shared" si="148"/>
        <v>-1</v>
      </c>
      <c r="Z58">
        <f t="shared" si="148"/>
        <v>48</v>
      </c>
      <c r="AA58">
        <f t="shared" si="148"/>
        <v>45</v>
      </c>
      <c r="AB58">
        <f t="shared" si="148"/>
        <v>42</v>
      </c>
      <c r="AC58">
        <f t="shared" si="148"/>
        <v>-1</v>
      </c>
      <c r="AD58">
        <f t="shared" si="148"/>
        <v>69.399999999999949</v>
      </c>
      <c r="AE58">
        <f t="shared" si="148"/>
        <v>58.599999999999966</v>
      </c>
      <c r="AF58">
        <f t="shared" si="148"/>
        <v>47.799999999999983</v>
      </c>
      <c r="AG58">
        <f t="shared" si="148"/>
        <v>37</v>
      </c>
      <c r="AH58">
        <f t="shared" si="148"/>
        <v>26.200000000000006</v>
      </c>
      <c r="AI58">
        <f t="shared" si="148"/>
        <v>28.600000000000023</v>
      </c>
      <c r="AJ58">
        <f t="shared" si="148"/>
        <v>26.200000000000017</v>
      </c>
      <c r="AK58">
        <f t="shared" si="148"/>
        <v>23.800000000000011</v>
      </c>
      <c r="AL58">
        <f t="shared" si="148"/>
        <v>21.400000000000006</v>
      </c>
      <c r="AM58">
        <f t="shared" si="148"/>
        <v>45</v>
      </c>
      <c r="AN58">
        <f t="shared" si="148"/>
        <v>39</v>
      </c>
      <c r="AO58">
        <f t="shared" si="148"/>
        <v>33</v>
      </c>
      <c r="AP58">
        <f t="shared" si="148"/>
        <v>62.099999999999945</v>
      </c>
      <c r="AQ58">
        <f t="shared" si="148"/>
        <v>58.199999999999953</v>
      </c>
      <c r="AR58">
        <f t="shared" si="148"/>
        <v>54.299999999999962</v>
      </c>
      <c r="AS58">
        <f t="shared" si="148"/>
        <v>50.39999999999997</v>
      </c>
      <c r="AT58">
        <f t="shared" si="148"/>
        <v>46.499999999999979</v>
      </c>
      <c r="AU58">
        <f t="shared" si="148"/>
        <v>42.599999999999987</v>
      </c>
      <c r="AV58">
        <f t="shared" si="148"/>
        <v>38.699999999999996</v>
      </c>
      <c r="AW58">
        <f t="shared" si="148"/>
        <v>45</v>
      </c>
      <c r="AX58">
        <f t="shared" si="148"/>
        <v>39</v>
      </c>
      <c r="AY58">
        <f t="shared" si="148"/>
        <v>-1</v>
      </c>
      <c r="AZ58">
        <f t="shared" si="148"/>
        <v>-1</v>
      </c>
      <c r="BA58">
        <f t="shared" si="148"/>
        <v>-1</v>
      </c>
      <c r="BB58">
        <f t="shared" si="148"/>
        <v>-1</v>
      </c>
      <c r="BC58">
        <f t="shared" si="148"/>
        <v>-1</v>
      </c>
      <c r="BD58">
        <f t="shared" si="148"/>
        <v>64.699999999999946</v>
      </c>
      <c r="BE58">
        <f t="shared" si="148"/>
        <v>-1</v>
      </c>
      <c r="BF58">
        <f t="shared" si="148"/>
        <v>-1</v>
      </c>
      <c r="BG58">
        <f t="shared" si="148"/>
        <v>-1</v>
      </c>
      <c r="BH58">
        <f t="shared" si="148"/>
        <v>69</v>
      </c>
      <c r="BI58">
        <f t="shared" si="148"/>
        <v>46</v>
      </c>
      <c r="BJ58">
        <f t="shared" si="148"/>
        <v>41</v>
      </c>
      <c r="BK58">
        <f t="shared" si="148"/>
        <v>36</v>
      </c>
      <c r="BL58">
        <f t="shared" si="148"/>
        <v>31</v>
      </c>
      <c r="BM58">
        <f t="shared" si="148"/>
        <v>45</v>
      </c>
      <c r="BN58">
        <f t="shared" si="148"/>
        <v>63.399999999999942</v>
      </c>
      <c r="BO58">
        <f t="shared" si="148"/>
        <v>60.799999999999947</v>
      </c>
      <c r="BP58">
        <f t="shared" ref="BP58:EA58" si="149">IF(OR(BP57=-1,AND(IF(BP$3&lt;$B58,BP57+BP$6,IF(BP$3=$B58,1,""))&gt;$B$1,BP$3&lt;$B58)),-1,IF(BP$3&lt;$B58,BP57+BP$6,IF(BP$3=$B58,1,"")))</f>
        <v>-1</v>
      </c>
      <c r="BQ58">
        <f t="shared" si="149"/>
        <v>-1</v>
      </c>
      <c r="BR58">
        <f t="shared" si="149"/>
        <v>-1</v>
      </c>
      <c r="BS58">
        <f t="shared" si="149"/>
        <v>49</v>
      </c>
      <c r="BT58">
        <f t="shared" si="149"/>
        <v>47</v>
      </c>
      <c r="BU58">
        <f t="shared" si="149"/>
        <v>27.40000000000002</v>
      </c>
      <c r="BV58">
        <f t="shared" si="149"/>
        <v>23.800000000000011</v>
      </c>
      <c r="BW58">
        <f t="shared" si="149"/>
        <v>20.200000000000003</v>
      </c>
      <c r="BX58">
        <f t="shared" si="149"/>
        <v>16.599999999999994</v>
      </c>
      <c r="BY58">
        <f t="shared" si="149"/>
        <v>12.999999999999995</v>
      </c>
      <c r="BZ58">
        <f t="shared" si="149"/>
        <v>9.3999999999999968</v>
      </c>
      <c r="CA58">
        <f t="shared" si="149"/>
        <v>5.7999999999999989</v>
      </c>
      <c r="CB58">
        <f t="shared" si="149"/>
        <v>2.2000000000000002</v>
      </c>
      <c r="CC58" t="str">
        <f t="shared" si="149"/>
        <v/>
      </c>
      <c r="CD58" t="str">
        <f t="shared" si="149"/>
        <v/>
      </c>
      <c r="CE58" t="str">
        <f t="shared" si="149"/>
        <v/>
      </c>
      <c r="CF58" t="str">
        <f t="shared" si="149"/>
        <v/>
      </c>
      <c r="CG58" t="str">
        <f t="shared" si="149"/>
        <v/>
      </c>
      <c r="CH58" t="str">
        <f t="shared" si="149"/>
        <v/>
      </c>
      <c r="CI58" t="str">
        <f t="shared" si="149"/>
        <v/>
      </c>
      <c r="CJ58" t="str">
        <f t="shared" si="149"/>
        <v/>
      </c>
      <c r="CK58" t="str">
        <f t="shared" si="149"/>
        <v/>
      </c>
      <c r="CL58" t="str">
        <f t="shared" si="149"/>
        <v/>
      </c>
      <c r="CM58" t="str">
        <f t="shared" si="149"/>
        <v/>
      </c>
      <c r="CN58" t="str">
        <f t="shared" si="149"/>
        <v/>
      </c>
      <c r="CO58">
        <f t="shared" si="149"/>
        <v>13</v>
      </c>
      <c r="CP58" t="str">
        <f t="shared" si="149"/>
        <v/>
      </c>
      <c r="CQ58">
        <f t="shared" si="149"/>
        <v>46</v>
      </c>
      <c r="CR58">
        <f t="shared" si="149"/>
        <v>41</v>
      </c>
      <c r="CS58">
        <f t="shared" si="149"/>
        <v>36</v>
      </c>
      <c r="CT58">
        <f t="shared" si="149"/>
        <v>63.399999999999942</v>
      </c>
      <c r="CU58">
        <f t="shared" si="149"/>
        <v>60.799999999999947</v>
      </c>
      <c r="CV58">
        <f t="shared" si="149"/>
        <v>73.000000000000014</v>
      </c>
      <c r="CW58">
        <f t="shared" si="149"/>
        <v>65.000000000000043</v>
      </c>
      <c r="CX58">
        <f t="shared" si="149"/>
        <v>57.000000000000036</v>
      </c>
      <c r="CY58">
        <f t="shared" si="149"/>
        <v>49.000000000000028</v>
      </c>
      <c r="CZ58">
        <f t="shared" si="149"/>
        <v>41.000000000000021</v>
      </c>
      <c r="DA58">
        <f t="shared" si="149"/>
        <v>47</v>
      </c>
      <c r="DB58">
        <f t="shared" si="149"/>
        <v>43</v>
      </c>
      <c r="DC58">
        <f t="shared" si="149"/>
        <v>39</v>
      </c>
      <c r="DD58">
        <f t="shared" si="149"/>
        <v>35</v>
      </c>
      <c r="DE58">
        <f t="shared" si="149"/>
        <v>49</v>
      </c>
      <c r="DF58">
        <f t="shared" si="149"/>
        <v>47</v>
      </c>
      <c r="DG58">
        <f t="shared" si="149"/>
        <v>64.699999999999946</v>
      </c>
      <c r="DH58">
        <f t="shared" si="149"/>
        <v>63.399999999999942</v>
      </c>
      <c r="DI58">
        <f t="shared" si="149"/>
        <v>62.099999999999945</v>
      </c>
      <c r="DJ58">
        <f t="shared" si="149"/>
        <v>60.799999999999947</v>
      </c>
      <c r="DK58">
        <f t="shared" si="149"/>
        <v>-1</v>
      </c>
      <c r="DL58">
        <f t="shared" si="149"/>
        <v>-1</v>
      </c>
      <c r="DM58">
        <f t="shared" si="149"/>
        <v>-1</v>
      </c>
      <c r="DN58">
        <f t="shared" si="149"/>
        <v>69</v>
      </c>
      <c r="DO58">
        <f t="shared" si="149"/>
        <v>61</v>
      </c>
      <c r="DP58">
        <f t="shared" si="149"/>
        <v>53</v>
      </c>
      <c r="DQ58">
        <f t="shared" si="149"/>
        <v>63.399999999999942</v>
      </c>
      <c r="DR58">
        <f t="shared" si="149"/>
        <v>60.799999999999947</v>
      </c>
      <c r="DS58">
        <f t="shared" si="149"/>
        <v>45</v>
      </c>
      <c r="DT58">
        <f t="shared" si="149"/>
        <v>39</v>
      </c>
      <c r="DU58">
        <f t="shared" si="149"/>
        <v>33</v>
      </c>
      <c r="DV58">
        <f t="shared" si="149"/>
        <v>27</v>
      </c>
      <c r="DW58">
        <f t="shared" si="149"/>
        <v>21</v>
      </c>
      <c r="DX58">
        <f t="shared" si="149"/>
        <v>15</v>
      </c>
      <c r="DY58">
        <f t="shared" si="149"/>
        <v>-1</v>
      </c>
      <c r="DZ58">
        <f t="shared" si="149"/>
        <v>-1</v>
      </c>
      <c r="EA58">
        <f t="shared" si="149"/>
        <v>-1</v>
      </c>
      <c r="EB58">
        <f t="shared" ref="EB58:EO58" si="150">IF(OR(EB57=-1,AND(IF(EB$3&lt;$B58,EB57+EB$6,IF(EB$3=$B58,1,""))&gt;$B$1,EB$3&lt;$B58)),-1,IF(EB$3&lt;$B58,EB57+EB$6,IF(EB$3=$B58,1,"")))</f>
        <v>-1</v>
      </c>
      <c r="EC58">
        <f t="shared" si="150"/>
        <v>-1</v>
      </c>
      <c r="ED58">
        <f t="shared" si="150"/>
        <v>-1</v>
      </c>
      <c r="EE58">
        <f t="shared" si="150"/>
        <v>73.000000000000014</v>
      </c>
      <c r="EF58">
        <f t="shared" si="150"/>
        <v>65.000000000000043</v>
      </c>
      <c r="EG58">
        <f t="shared" si="150"/>
        <v>57.000000000000036</v>
      </c>
      <c r="EH58">
        <f t="shared" si="150"/>
        <v>49.000000000000028</v>
      </c>
      <c r="EI58">
        <f t="shared" si="150"/>
        <v>41.000000000000021</v>
      </c>
      <c r="EJ58">
        <f t="shared" si="150"/>
        <v>33.000000000000014</v>
      </c>
      <c r="EK58">
        <f t="shared" si="150"/>
        <v>-1</v>
      </c>
      <c r="EL58">
        <f t="shared" si="150"/>
        <v>69.800000000000026</v>
      </c>
      <c r="EM58">
        <f t="shared" si="150"/>
        <v>58.600000000000037</v>
      </c>
      <c r="EN58">
        <f t="shared" si="150"/>
        <v>47.400000000000027</v>
      </c>
      <c r="EO58">
        <f t="shared" si="150"/>
        <v>36.200000000000017</v>
      </c>
    </row>
    <row r="59" spans="1:145" x14ac:dyDescent="0.15">
      <c r="A59" t="e">
        <f t="shared" si="0"/>
        <v>#N/A</v>
      </c>
      <c r="B59" s="218">
        <v>51</v>
      </c>
      <c r="C59">
        <f t="shared" si="0"/>
        <v>50</v>
      </c>
      <c r="D59">
        <f t="shared" ref="D59:BO59" si="151">IF(OR(D58=-1,AND(IF(D$3&lt;$B59,D58+D$6,IF(D$3=$B59,1,""))&gt;$B$1,D$3&lt;$B59)),-1,IF(D$3&lt;$B59,D58+D$6,IF(D$3=$B59,1,"")))</f>
        <v>48</v>
      </c>
      <c r="E59">
        <f t="shared" si="151"/>
        <v>46</v>
      </c>
      <c r="F59">
        <f t="shared" si="151"/>
        <v>44</v>
      </c>
      <c r="G59">
        <f t="shared" si="151"/>
        <v>42</v>
      </c>
      <c r="H59">
        <f t="shared" si="151"/>
        <v>40</v>
      </c>
      <c r="I59">
        <f t="shared" si="151"/>
        <v>55.599999999999959</v>
      </c>
      <c r="J59">
        <f t="shared" si="151"/>
        <v>43.899999999999984</v>
      </c>
      <c r="K59">
        <f t="shared" si="151"/>
        <v>32.20000000000001</v>
      </c>
      <c r="L59">
        <f t="shared" si="151"/>
        <v>33.199999999999982</v>
      </c>
      <c r="M59">
        <f t="shared" si="151"/>
        <v>29.699999999999978</v>
      </c>
      <c r="N59">
        <f t="shared" si="151"/>
        <v>26.199999999999982</v>
      </c>
      <c r="O59">
        <f t="shared" si="151"/>
        <v>50</v>
      </c>
      <c r="P59">
        <f t="shared" si="151"/>
        <v>48</v>
      </c>
      <c r="Q59">
        <f t="shared" si="151"/>
        <v>46</v>
      </c>
      <c r="R59">
        <f t="shared" si="151"/>
        <v>44</v>
      </c>
      <c r="S59">
        <f t="shared" si="151"/>
        <v>42</v>
      </c>
      <c r="T59">
        <f t="shared" si="151"/>
        <v>-1</v>
      </c>
      <c r="U59">
        <f t="shared" si="151"/>
        <v>-1</v>
      </c>
      <c r="V59">
        <f t="shared" si="151"/>
        <v>-1</v>
      </c>
      <c r="W59">
        <f t="shared" si="151"/>
        <v>-1</v>
      </c>
      <c r="X59">
        <f t="shared" si="151"/>
        <v>-1</v>
      </c>
      <c r="Y59">
        <f t="shared" si="151"/>
        <v>-1</v>
      </c>
      <c r="Z59">
        <f t="shared" si="151"/>
        <v>49</v>
      </c>
      <c r="AA59">
        <f t="shared" si="151"/>
        <v>46</v>
      </c>
      <c r="AB59">
        <f t="shared" si="151"/>
        <v>43</v>
      </c>
      <c r="AC59">
        <f t="shared" si="151"/>
        <v>-1</v>
      </c>
      <c r="AD59">
        <f t="shared" si="151"/>
        <v>71.199999999999946</v>
      </c>
      <c r="AE59">
        <f t="shared" si="151"/>
        <v>60.399999999999963</v>
      </c>
      <c r="AF59">
        <f t="shared" si="151"/>
        <v>49.59999999999998</v>
      </c>
      <c r="AG59">
        <f t="shared" si="151"/>
        <v>38.799999999999997</v>
      </c>
      <c r="AH59">
        <f t="shared" si="151"/>
        <v>28.000000000000007</v>
      </c>
      <c r="AI59">
        <f t="shared" si="151"/>
        <v>29.200000000000024</v>
      </c>
      <c r="AJ59">
        <f t="shared" si="151"/>
        <v>26.800000000000018</v>
      </c>
      <c r="AK59">
        <f t="shared" si="151"/>
        <v>24.400000000000013</v>
      </c>
      <c r="AL59">
        <f t="shared" si="151"/>
        <v>22.000000000000007</v>
      </c>
      <c r="AM59">
        <f t="shared" si="151"/>
        <v>46</v>
      </c>
      <c r="AN59">
        <f t="shared" si="151"/>
        <v>40</v>
      </c>
      <c r="AO59">
        <f t="shared" si="151"/>
        <v>34</v>
      </c>
      <c r="AP59">
        <f t="shared" si="151"/>
        <v>63.399999999999942</v>
      </c>
      <c r="AQ59">
        <f t="shared" si="151"/>
        <v>59.49999999999995</v>
      </c>
      <c r="AR59">
        <f t="shared" si="151"/>
        <v>55.599999999999959</v>
      </c>
      <c r="AS59">
        <f t="shared" si="151"/>
        <v>51.699999999999967</v>
      </c>
      <c r="AT59">
        <f t="shared" si="151"/>
        <v>47.799999999999976</v>
      </c>
      <c r="AU59">
        <f t="shared" si="151"/>
        <v>43.899999999999984</v>
      </c>
      <c r="AV59">
        <f t="shared" si="151"/>
        <v>39.999999999999993</v>
      </c>
      <c r="AW59">
        <f t="shared" si="151"/>
        <v>46</v>
      </c>
      <c r="AX59">
        <f t="shared" si="151"/>
        <v>40</v>
      </c>
      <c r="AY59">
        <f t="shared" si="151"/>
        <v>-1</v>
      </c>
      <c r="AZ59">
        <f t="shared" si="151"/>
        <v>-1</v>
      </c>
      <c r="BA59">
        <f t="shared" si="151"/>
        <v>-1</v>
      </c>
      <c r="BB59">
        <f t="shared" si="151"/>
        <v>-1</v>
      </c>
      <c r="BC59">
        <f t="shared" si="151"/>
        <v>-1</v>
      </c>
      <c r="BD59">
        <f t="shared" si="151"/>
        <v>65.999999999999943</v>
      </c>
      <c r="BE59">
        <f t="shared" si="151"/>
        <v>-1</v>
      </c>
      <c r="BF59">
        <f t="shared" si="151"/>
        <v>-1</v>
      </c>
      <c r="BG59">
        <f t="shared" si="151"/>
        <v>-1</v>
      </c>
      <c r="BH59">
        <f t="shared" si="151"/>
        <v>71</v>
      </c>
      <c r="BI59">
        <f t="shared" si="151"/>
        <v>47</v>
      </c>
      <c r="BJ59">
        <f t="shared" si="151"/>
        <v>42</v>
      </c>
      <c r="BK59">
        <f t="shared" si="151"/>
        <v>37</v>
      </c>
      <c r="BL59">
        <f t="shared" si="151"/>
        <v>32</v>
      </c>
      <c r="BM59">
        <f t="shared" si="151"/>
        <v>46</v>
      </c>
      <c r="BN59">
        <f t="shared" si="151"/>
        <v>64.699999999999946</v>
      </c>
      <c r="BO59">
        <f t="shared" si="151"/>
        <v>62.099999999999945</v>
      </c>
      <c r="BP59">
        <f t="shared" ref="BP59:EA59" si="152">IF(OR(BP58=-1,AND(IF(BP$3&lt;$B59,BP58+BP$6,IF(BP$3=$B59,1,""))&gt;$B$1,BP$3&lt;$B59)),-1,IF(BP$3&lt;$B59,BP58+BP$6,IF(BP$3=$B59,1,"")))</f>
        <v>-1</v>
      </c>
      <c r="BQ59">
        <f t="shared" si="152"/>
        <v>-1</v>
      </c>
      <c r="BR59">
        <f t="shared" si="152"/>
        <v>-1</v>
      </c>
      <c r="BS59">
        <f t="shared" si="152"/>
        <v>50</v>
      </c>
      <c r="BT59">
        <f t="shared" si="152"/>
        <v>48</v>
      </c>
      <c r="BU59">
        <f t="shared" si="152"/>
        <v>28.000000000000021</v>
      </c>
      <c r="BV59">
        <f t="shared" si="152"/>
        <v>24.400000000000013</v>
      </c>
      <c r="BW59">
        <f t="shared" si="152"/>
        <v>20.800000000000004</v>
      </c>
      <c r="BX59">
        <f t="shared" si="152"/>
        <v>17.199999999999996</v>
      </c>
      <c r="BY59">
        <f t="shared" si="152"/>
        <v>13.599999999999994</v>
      </c>
      <c r="BZ59">
        <f t="shared" si="152"/>
        <v>9.9999999999999964</v>
      </c>
      <c r="CA59">
        <f t="shared" si="152"/>
        <v>6.3999999999999986</v>
      </c>
      <c r="CB59">
        <f t="shared" si="152"/>
        <v>2.8000000000000003</v>
      </c>
      <c r="CC59" t="str">
        <f t="shared" si="152"/>
        <v/>
      </c>
      <c r="CD59" t="str">
        <f t="shared" si="152"/>
        <v/>
      </c>
      <c r="CE59" t="str">
        <f t="shared" si="152"/>
        <v/>
      </c>
      <c r="CF59" t="str">
        <f t="shared" si="152"/>
        <v/>
      </c>
      <c r="CG59" t="str">
        <f t="shared" si="152"/>
        <v/>
      </c>
      <c r="CH59" t="str">
        <f t="shared" si="152"/>
        <v/>
      </c>
      <c r="CI59" t="str">
        <f t="shared" si="152"/>
        <v/>
      </c>
      <c r="CJ59" t="str">
        <f t="shared" si="152"/>
        <v/>
      </c>
      <c r="CK59" t="str">
        <f t="shared" si="152"/>
        <v/>
      </c>
      <c r="CL59" t="str">
        <f t="shared" si="152"/>
        <v/>
      </c>
      <c r="CM59" t="str">
        <f t="shared" si="152"/>
        <v/>
      </c>
      <c r="CN59" t="str">
        <f t="shared" si="152"/>
        <v/>
      </c>
      <c r="CO59">
        <f t="shared" si="152"/>
        <v>13.5</v>
      </c>
      <c r="CP59" t="str">
        <f t="shared" si="152"/>
        <v/>
      </c>
      <c r="CQ59">
        <f t="shared" si="152"/>
        <v>47</v>
      </c>
      <c r="CR59">
        <f t="shared" si="152"/>
        <v>42</v>
      </c>
      <c r="CS59">
        <f t="shared" si="152"/>
        <v>37</v>
      </c>
      <c r="CT59">
        <f t="shared" si="152"/>
        <v>64.699999999999946</v>
      </c>
      <c r="CU59">
        <f t="shared" si="152"/>
        <v>62.099999999999945</v>
      </c>
      <c r="CV59">
        <f t="shared" si="152"/>
        <v>74.600000000000009</v>
      </c>
      <c r="CW59">
        <f t="shared" si="152"/>
        <v>66.600000000000037</v>
      </c>
      <c r="CX59">
        <f t="shared" si="152"/>
        <v>58.600000000000037</v>
      </c>
      <c r="CY59">
        <f t="shared" si="152"/>
        <v>50.60000000000003</v>
      </c>
      <c r="CZ59">
        <f t="shared" si="152"/>
        <v>42.600000000000023</v>
      </c>
      <c r="DA59">
        <f t="shared" si="152"/>
        <v>48</v>
      </c>
      <c r="DB59">
        <f t="shared" si="152"/>
        <v>44</v>
      </c>
      <c r="DC59">
        <f t="shared" si="152"/>
        <v>40</v>
      </c>
      <c r="DD59">
        <f t="shared" si="152"/>
        <v>36</v>
      </c>
      <c r="DE59">
        <f t="shared" si="152"/>
        <v>50</v>
      </c>
      <c r="DF59">
        <f t="shared" si="152"/>
        <v>48</v>
      </c>
      <c r="DG59">
        <f t="shared" si="152"/>
        <v>65.999999999999943</v>
      </c>
      <c r="DH59">
        <f t="shared" si="152"/>
        <v>64.699999999999946</v>
      </c>
      <c r="DI59">
        <f t="shared" si="152"/>
        <v>63.399999999999942</v>
      </c>
      <c r="DJ59">
        <f t="shared" si="152"/>
        <v>62.099999999999945</v>
      </c>
      <c r="DK59">
        <f t="shared" si="152"/>
        <v>-1</v>
      </c>
      <c r="DL59">
        <f t="shared" si="152"/>
        <v>-1</v>
      </c>
      <c r="DM59">
        <f t="shared" si="152"/>
        <v>-1</v>
      </c>
      <c r="DN59">
        <f t="shared" si="152"/>
        <v>71</v>
      </c>
      <c r="DO59">
        <f t="shared" si="152"/>
        <v>63</v>
      </c>
      <c r="DP59">
        <f t="shared" si="152"/>
        <v>55</v>
      </c>
      <c r="DQ59">
        <f t="shared" si="152"/>
        <v>64.699999999999946</v>
      </c>
      <c r="DR59">
        <f t="shared" si="152"/>
        <v>62.099999999999945</v>
      </c>
      <c r="DS59">
        <f t="shared" si="152"/>
        <v>46</v>
      </c>
      <c r="DT59">
        <f t="shared" si="152"/>
        <v>40</v>
      </c>
      <c r="DU59">
        <f t="shared" si="152"/>
        <v>34</v>
      </c>
      <c r="DV59">
        <f t="shared" si="152"/>
        <v>28</v>
      </c>
      <c r="DW59">
        <f t="shared" si="152"/>
        <v>22</v>
      </c>
      <c r="DX59">
        <f t="shared" si="152"/>
        <v>16</v>
      </c>
      <c r="DY59">
        <f t="shared" si="152"/>
        <v>-1</v>
      </c>
      <c r="DZ59">
        <f t="shared" si="152"/>
        <v>-1</v>
      </c>
      <c r="EA59">
        <f t="shared" si="152"/>
        <v>-1</v>
      </c>
      <c r="EB59">
        <f t="shared" ref="EB59:EO59" si="153">IF(OR(EB58=-1,AND(IF(EB$3&lt;$B59,EB58+EB$6,IF(EB$3=$B59,1,""))&gt;$B$1,EB$3&lt;$B59)),-1,IF(EB$3&lt;$B59,EB58+EB$6,IF(EB$3=$B59,1,"")))</f>
        <v>-1</v>
      </c>
      <c r="EC59">
        <f t="shared" si="153"/>
        <v>-1</v>
      </c>
      <c r="ED59">
        <f t="shared" si="153"/>
        <v>-1</v>
      </c>
      <c r="EE59">
        <f t="shared" si="153"/>
        <v>74.600000000000009</v>
      </c>
      <c r="EF59">
        <f t="shared" si="153"/>
        <v>66.600000000000037</v>
      </c>
      <c r="EG59">
        <f t="shared" si="153"/>
        <v>58.600000000000037</v>
      </c>
      <c r="EH59">
        <f t="shared" si="153"/>
        <v>50.60000000000003</v>
      </c>
      <c r="EI59">
        <f t="shared" si="153"/>
        <v>42.600000000000023</v>
      </c>
      <c r="EJ59">
        <f t="shared" si="153"/>
        <v>34.600000000000016</v>
      </c>
      <c r="EK59">
        <f t="shared" si="153"/>
        <v>-1</v>
      </c>
      <c r="EL59">
        <f t="shared" si="153"/>
        <v>71.40000000000002</v>
      </c>
      <c r="EM59">
        <f t="shared" si="153"/>
        <v>60.200000000000038</v>
      </c>
      <c r="EN59">
        <f t="shared" si="153"/>
        <v>49.000000000000028</v>
      </c>
      <c r="EO59">
        <f t="shared" si="153"/>
        <v>37.800000000000018</v>
      </c>
    </row>
    <row r="60" spans="1:145" x14ac:dyDescent="0.15">
      <c r="A60" t="e">
        <f t="shared" si="0"/>
        <v>#N/A</v>
      </c>
      <c r="B60" s="218">
        <v>52</v>
      </c>
      <c r="C60">
        <f t="shared" si="0"/>
        <v>51</v>
      </c>
      <c r="D60">
        <f t="shared" ref="D60:BO60" si="154">IF(OR(D59=-1,AND(IF(D$3&lt;$B60,D59+D$6,IF(D$3=$B60,1,""))&gt;$B$1,D$3&lt;$B60)),-1,IF(D$3&lt;$B60,D59+D$6,IF(D$3=$B60,1,"")))</f>
        <v>49</v>
      </c>
      <c r="E60">
        <f t="shared" si="154"/>
        <v>47</v>
      </c>
      <c r="F60">
        <f t="shared" si="154"/>
        <v>45</v>
      </c>
      <c r="G60">
        <f t="shared" si="154"/>
        <v>43</v>
      </c>
      <c r="H60">
        <f t="shared" si="154"/>
        <v>41</v>
      </c>
      <c r="I60">
        <f t="shared" si="154"/>
        <v>56.899999999999956</v>
      </c>
      <c r="J60">
        <f t="shared" si="154"/>
        <v>45.199999999999982</v>
      </c>
      <c r="K60">
        <f t="shared" si="154"/>
        <v>33.500000000000007</v>
      </c>
      <c r="L60">
        <f t="shared" si="154"/>
        <v>33.899999999999984</v>
      </c>
      <c r="M60">
        <f t="shared" si="154"/>
        <v>30.399999999999977</v>
      </c>
      <c r="N60">
        <f t="shared" si="154"/>
        <v>26.899999999999981</v>
      </c>
      <c r="O60">
        <f t="shared" si="154"/>
        <v>51</v>
      </c>
      <c r="P60">
        <f t="shared" si="154"/>
        <v>49</v>
      </c>
      <c r="Q60">
        <f t="shared" si="154"/>
        <v>47</v>
      </c>
      <c r="R60">
        <f t="shared" si="154"/>
        <v>45</v>
      </c>
      <c r="S60">
        <f t="shared" si="154"/>
        <v>43</v>
      </c>
      <c r="T60">
        <f t="shared" si="154"/>
        <v>-1</v>
      </c>
      <c r="U60">
        <f t="shared" si="154"/>
        <v>-1</v>
      </c>
      <c r="V60">
        <f t="shared" si="154"/>
        <v>-1</v>
      </c>
      <c r="W60">
        <f t="shared" si="154"/>
        <v>-1</v>
      </c>
      <c r="X60">
        <f t="shared" si="154"/>
        <v>-1</v>
      </c>
      <c r="Y60">
        <f t="shared" si="154"/>
        <v>-1</v>
      </c>
      <c r="Z60">
        <f t="shared" si="154"/>
        <v>50</v>
      </c>
      <c r="AA60">
        <f t="shared" si="154"/>
        <v>47</v>
      </c>
      <c r="AB60">
        <f t="shared" si="154"/>
        <v>44</v>
      </c>
      <c r="AC60">
        <f t="shared" si="154"/>
        <v>-1</v>
      </c>
      <c r="AD60">
        <f t="shared" si="154"/>
        <v>72.999999999999943</v>
      </c>
      <c r="AE60">
        <f t="shared" si="154"/>
        <v>62.19999999999996</v>
      </c>
      <c r="AF60">
        <f t="shared" si="154"/>
        <v>51.399999999999977</v>
      </c>
      <c r="AG60">
        <f t="shared" si="154"/>
        <v>40.599999999999994</v>
      </c>
      <c r="AH60">
        <f t="shared" si="154"/>
        <v>29.800000000000008</v>
      </c>
      <c r="AI60">
        <f t="shared" si="154"/>
        <v>29.800000000000026</v>
      </c>
      <c r="AJ60">
        <f t="shared" si="154"/>
        <v>27.40000000000002</v>
      </c>
      <c r="AK60">
        <f t="shared" si="154"/>
        <v>25.000000000000014</v>
      </c>
      <c r="AL60">
        <f t="shared" si="154"/>
        <v>22.600000000000009</v>
      </c>
      <c r="AM60">
        <f t="shared" si="154"/>
        <v>47</v>
      </c>
      <c r="AN60">
        <f t="shared" si="154"/>
        <v>41</v>
      </c>
      <c r="AO60">
        <f t="shared" si="154"/>
        <v>35</v>
      </c>
      <c r="AP60">
        <f t="shared" si="154"/>
        <v>64.699999999999946</v>
      </c>
      <c r="AQ60">
        <f t="shared" si="154"/>
        <v>60.799999999999947</v>
      </c>
      <c r="AR60">
        <f t="shared" si="154"/>
        <v>56.899999999999956</v>
      </c>
      <c r="AS60">
        <f t="shared" si="154"/>
        <v>52.999999999999964</v>
      </c>
      <c r="AT60">
        <f t="shared" si="154"/>
        <v>49.099999999999973</v>
      </c>
      <c r="AU60">
        <f t="shared" si="154"/>
        <v>45.199999999999982</v>
      </c>
      <c r="AV60">
        <f t="shared" si="154"/>
        <v>41.29999999999999</v>
      </c>
      <c r="AW60">
        <f t="shared" si="154"/>
        <v>47</v>
      </c>
      <c r="AX60">
        <f t="shared" si="154"/>
        <v>41</v>
      </c>
      <c r="AY60">
        <f t="shared" si="154"/>
        <v>-1</v>
      </c>
      <c r="AZ60">
        <f t="shared" si="154"/>
        <v>-1</v>
      </c>
      <c r="BA60">
        <f t="shared" si="154"/>
        <v>-1</v>
      </c>
      <c r="BB60">
        <f t="shared" si="154"/>
        <v>-1</v>
      </c>
      <c r="BC60">
        <f t="shared" si="154"/>
        <v>-1</v>
      </c>
      <c r="BD60">
        <f t="shared" si="154"/>
        <v>67.29999999999994</v>
      </c>
      <c r="BE60">
        <f t="shared" si="154"/>
        <v>-1</v>
      </c>
      <c r="BF60">
        <f t="shared" si="154"/>
        <v>-1</v>
      </c>
      <c r="BG60">
        <f t="shared" si="154"/>
        <v>-1</v>
      </c>
      <c r="BH60">
        <f t="shared" si="154"/>
        <v>73</v>
      </c>
      <c r="BI60">
        <f t="shared" si="154"/>
        <v>48</v>
      </c>
      <c r="BJ60">
        <f t="shared" si="154"/>
        <v>43</v>
      </c>
      <c r="BK60">
        <f t="shared" si="154"/>
        <v>38</v>
      </c>
      <c r="BL60">
        <f t="shared" si="154"/>
        <v>33</v>
      </c>
      <c r="BM60">
        <f t="shared" si="154"/>
        <v>47</v>
      </c>
      <c r="BN60">
        <f t="shared" si="154"/>
        <v>65.999999999999943</v>
      </c>
      <c r="BO60">
        <f t="shared" si="154"/>
        <v>63.399999999999942</v>
      </c>
      <c r="BP60">
        <f t="shared" ref="BP60:EA60" si="155">IF(OR(BP59=-1,AND(IF(BP$3&lt;$B60,BP59+BP$6,IF(BP$3=$B60,1,""))&gt;$B$1,BP$3&lt;$B60)),-1,IF(BP$3&lt;$B60,BP59+BP$6,IF(BP$3=$B60,1,"")))</f>
        <v>-1</v>
      </c>
      <c r="BQ60">
        <f t="shared" si="155"/>
        <v>-1</v>
      </c>
      <c r="BR60">
        <f t="shared" si="155"/>
        <v>-1</v>
      </c>
      <c r="BS60">
        <f t="shared" si="155"/>
        <v>51</v>
      </c>
      <c r="BT60">
        <f t="shared" si="155"/>
        <v>49</v>
      </c>
      <c r="BU60">
        <f t="shared" si="155"/>
        <v>28.600000000000023</v>
      </c>
      <c r="BV60">
        <f t="shared" si="155"/>
        <v>25.000000000000014</v>
      </c>
      <c r="BW60">
        <f t="shared" si="155"/>
        <v>21.400000000000006</v>
      </c>
      <c r="BX60">
        <f t="shared" si="155"/>
        <v>17.799999999999997</v>
      </c>
      <c r="BY60">
        <f t="shared" si="155"/>
        <v>14.199999999999994</v>
      </c>
      <c r="BZ60">
        <f t="shared" si="155"/>
        <v>10.599999999999996</v>
      </c>
      <c r="CA60">
        <f t="shared" si="155"/>
        <v>6.9999999999999982</v>
      </c>
      <c r="CB60">
        <f t="shared" si="155"/>
        <v>3.4000000000000004</v>
      </c>
      <c r="CC60" t="str">
        <f t="shared" si="155"/>
        <v/>
      </c>
      <c r="CD60" t="str">
        <f t="shared" si="155"/>
        <v/>
      </c>
      <c r="CE60" t="str">
        <f t="shared" si="155"/>
        <v/>
      </c>
      <c r="CF60" t="str">
        <f t="shared" si="155"/>
        <v/>
      </c>
      <c r="CG60" t="str">
        <f t="shared" si="155"/>
        <v/>
      </c>
      <c r="CH60" t="str">
        <f t="shared" si="155"/>
        <v/>
      </c>
      <c r="CI60" t="str">
        <f t="shared" si="155"/>
        <v/>
      </c>
      <c r="CJ60" t="str">
        <f t="shared" si="155"/>
        <v/>
      </c>
      <c r="CK60" t="str">
        <f t="shared" si="155"/>
        <v/>
      </c>
      <c r="CL60" t="str">
        <f t="shared" si="155"/>
        <v/>
      </c>
      <c r="CM60" t="str">
        <f t="shared" si="155"/>
        <v/>
      </c>
      <c r="CN60" t="str">
        <f t="shared" si="155"/>
        <v/>
      </c>
      <c r="CO60">
        <f t="shared" si="155"/>
        <v>14</v>
      </c>
      <c r="CP60">
        <f t="shared" si="155"/>
        <v>1</v>
      </c>
      <c r="CQ60">
        <f t="shared" si="155"/>
        <v>48</v>
      </c>
      <c r="CR60">
        <f t="shared" si="155"/>
        <v>43</v>
      </c>
      <c r="CS60">
        <f t="shared" si="155"/>
        <v>38</v>
      </c>
      <c r="CT60">
        <f t="shared" si="155"/>
        <v>65.999999999999943</v>
      </c>
      <c r="CU60">
        <f t="shared" si="155"/>
        <v>63.399999999999942</v>
      </c>
      <c r="CV60">
        <f t="shared" si="155"/>
        <v>-1</v>
      </c>
      <c r="CW60">
        <f t="shared" si="155"/>
        <v>68.200000000000031</v>
      </c>
      <c r="CX60">
        <f t="shared" si="155"/>
        <v>60.200000000000038</v>
      </c>
      <c r="CY60">
        <f t="shared" si="155"/>
        <v>52.200000000000031</v>
      </c>
      <c r="CZ60">
        <f t="shared" si="155"/>
        <v>44.200000000000024</v>
      </c>
      <c r="DA60">
        <f t="shared" si="155"/>
        <v>49</v>
      </c>
      <c r="DB60">
        <f t="shared" si="155"/>
        <v>45</v>
      </c>
      <c r="DC60">
        <f t="shared" si="155"/>
        <v>41</v>
      </c>
      <c r="DD60">
        <f t="shared" si="155"/>
        <v>37</v>
      </c>
      <c r="DE60">
        <f t="shared" si="155"/>
        <v>51</v>
      </c>
      <c r="DF60">
        <f t="shared" si="155"/>
        <v>49</v>
      </c>
      <c r="DG60">
        <f t="shared" si="155"/>
        <v>67.29999999999994</v>
      </c>
      <c r="DH60">
        <f t="shared" si="155"/>
        <v>65.999999999999943</v>
      </c>
      <c r="DI60">
        <f t="shared" si="155"/>
        <v>64.699999999999946</v>
      </c>
      <c r="DJ60">
        <f t="shared" si="155"/>
        <v>63.399999999999942</v>
      </c>
      <c r="DK60">
        <f t="shared" si="155"/>
        <v>-1</v>
      </c>
      <c r="DL60">
        <f t="shared" si="155"/>
        <v>-1</v>
      </c>
      <c r="DM60">
        <f t="shared" si="155"/>
        <v>-1</v>
      </c>
      <c r="DN60">
        <f t="shared" si="155"/>
        <v>73</v>
      </c>
      <c r="DO60">
        <f t="shared" si="155"/>
        <v>65</v>
      </c>
      <c r="DP60">
        <f t="shared" si="155"/>
        <v>57</v>
      </c>
      <c r="DQ60">
        <f t="shared" si="155"/>
        <v>65.999999999999943</v>
      </c>
      <c r="DR60">
        <f t="shared" si="155"/>
        <v>63.399999999999942</v>
      </c>
      <c r="DS60">
        <f t="shared" si="155"/>
        <v>47</v>
      </c>
      <c r="DT60">
        <f t="shared" si="155"/>
        <v>41</v>
      </c>
      <c r="DU60">
        <f t="shared" si="155"/>
        <v>35</v>
      </c>
      <c r="DV60">
        <f t="shared" si="155"/>
        <v>29</v>
      </c>
      <c r="DW60">
        <f t="shared" si="155"/>
        <v>23</v>
      </c>
      <c r="DX60">
        <f t="shared" si="155"/>
        <v>17</v>
      </c>
      <c r="DY60">
        <f t="shared" si="155"/>
        <v>-1</v>
      </c>
      <c r="DZ60">
        <f t="shared" si="155"/>
        <v>-1</v>
      </c>
      <c r="EA60">
        <f t="shared" si="155"/>
        <v>-1</v>
      </c>
      <c r="EB60">
        <f t="shared" ref="EB60:EO60" si="156">IF(OR(EB59=-1,AND(IF(EB$3&lt;$B60,EB59+EB$6,IF(EB$3=$B60,1,""))&gt;$B$1,EB$3&lt;$B60)),-1,IF(EB$3&lt;$B60,EB59+EB$6,IF(EB$3=$B60,1,"")))</f>
        <v>-1</v>
      </c>
      <c r="EC60">
        <f t="shared" si="156"/>
        <v>-1</v>
      </c>
      <c r="ED60">
        <f t="shared" si="156"/>
        <v>-1</v>
      </c>
      <c r="EE60">
        <f t="shared" si="156"/>
        <v>-1</v>
      </c>
      <c r="EF60">
        <f t="shared" si="156"/>
        <v>68.200000000000031</v>
      </c>
      <c r="EG60">
        <f t="shared" si="156"/>
        <v>60.200000000000038</v>
      </c>
      <c r="EH60">
        <f t="shared" si="156"/>
        <v>52.200000000000031</v>
      </c>
      <c r="EI60">
        <f t="shared" si="156"/>
        <v>44.200000000000024</v>
      </c>
      <c r="EJ60">
        <f t="shared" si="156"/>
        <v>36.200000000000017</v>
      </c>
      <c r="EK60">
        <f t="shared" si="156"/>
        <v>-1</v>
      </c>
      <c r="EL60">
        <f t="shared" si="156"/>
        <v>73.000000000000014</v>
      </c>
      <c r="EM60">
        <f t="shared" si="156"/>
        <v>61.80000000000004</v>
      </c>
      <c r="EN60">
        <f t="shared" si="156"/>
        <v>50.60000000000003</v>
      </c>
      <c r="EO60">
        <f t="shared" si="156"/>
        <v>39.40000000000002</v>
      </c>
    </row>
    <row r="61" spans="1:145" x14ac:dyDescent="0.15">
      <c r="A61" t="e">
        <f t="shared" si="0"/>
        <v>#N/A</v>
      </c>
      <c r="B61" s="218">
        <v>53</v>
      </c>
      <c r="C61">
        <f t="shared" si="0"/>
        <v>52</v>
      </c>
      <c r="D61">
        <f t="shared" ref="D61:BO61" si="157">IF(OR(D60=-1,AND(IF(D$3&lt;$B61,D60+D$6,IF(D$3=$B61,1,""))&gt;$B$1,D$3&lt;$B61)),-1,IF(D$3&lt;$B61,D60+D$6,IF(D$3=$B61,1,"")))</f>
        <v>50</v>
      </c>
      <c r="E61">
        <f t="shared" si="157"/>
        <v>48</v>
      </c>
      <c r="F61">
        <f t="shared" si="157"/>
        <v>46</v>
      </c>
      <c r="G61">
        <f t="shared" si="157"/>
        <v>44</v>
      </c>
      <c r="H61">
        <f t="shared" si="157"/>
        <v>42</v>
      </c>
      <c r="I61">
        <f t="shared" si="157"/>
        <v>58.199999999999953</v>
      </c>
      <c r="J61">
        <f t="shared" si="157"/>
        <v>46.499999999999979</v>
      </c>
      <c r="K61">
        <f t="shared" si="157"/>
        <v>34.800000000000004</v>
      </c>
      <c r="L61">
        <f t="shared" si="157"/>
        <v>34.599999999999987</v>
      </c>
      <c r="M61">
        <f t="shared" si="157"/>
        <v>31.099999999999977</v>
      </c>
      <c r="N61">
        <f t="shared" si="157"/>
        <v>27.59999999999998</v>
      </c>
      <c r="O61">
        <f t="shared" si="157"/>
        <v>52</v>
      </c>
      <c r="P61">
        <f t="shared" si="157"/>
        <v>50</v>
      </c>
      <c r="Q61">
        <f t="shared" si="157"/>
        <v>48</v>
      </c>
      <c r="R61">
        <f t="shared" si="157"/>
        <v>46</v>
      </c>
      <c r="S61">
        <f t="shared" si="157"/>
        <v>44</v>
      </c>
      <c r="T61">
        <f t="shared" si="157"/>
        <v>-1</v>
      </c>
      <c r="U61">
        <f t="shared" si="157"/>
        <v>-1</v>
      </c>
      <c r="V61">
        <f t="shared" si="157"/>
        <v>-1</v>
      </c>
      <c r="W61">
        <f t="shared" si="157"/>
        <v>-1</v>
      </c>
      <c r="X61">
        <f t="shared" si="157"/>
        <v>-1</v>
      </c>
      <c r="Y61">
        <f t="shared" si="157"/>
        <v>-1</v>
      </c>
      <c r="Z61">
        <f t="shared" si="157"/>
        <v>51</v>
      </c>
      <c r="AA61">
        <f t="shared" si="157"/>
        <v>48</v>
      </c>
      <c r="AB61">
        <f t="shared" si="157"/>
        <v>45</v>
      </c>
      <c r="AC61">
        <f t="shared" si="157"/>
        <v>-1</v>
      </c>
      <c r="AD61">
        <f t="shared" si="157"/>
        <v>74.79999999999994</v>
      </c>
      <c r="AE61">
        <f t="shared" si="157"/>
        <v>63.999999999999957</v>
      </c>
      <c r="AF61">
        <f t="shared" si="157"/>
        <v>53.199999999999974</v>
      </c>
      <c r="AG61">
        <f t="shared" si="157"/>
        <v>42.399999999999991</v>
      </c>
      <c r="AH61">
        <f t="shared" si="157"/>
        <v>31.600000000000009</v>
      </c>
      <c r="AI61">
        <f t="shared" si="157"/>
        <v>30.400000000000027</v>
      </c>
      <c r="AJ61">
        <f t="shared" si="157"/>
        <v>28.000000000000021</v>
      </c>
      <c r="AK61">
        <f t="shared" si="157"/>
        <v>25.600000000000016</v>
      </c>
      <c r="AL61">
        <f t="shared" si="157"/>
        <v>23.20000000000001</v>
      </c>
      <c r="AM61">
        <f t="shared" si="157"/>
        <v>48</v>
      </c>
      <c r="AN61">
        <f t="shared" si="157"/>
        <v>42</v>
      </c>
      <c r="AO61">
        <f t="shared" si="157"/>
        <v>36</v>
      </c>
      <c r="AP61">
        <f t="shared" si="157"/>
        <v>65.999999999999943</v>
      </c>
      <c r="AQ61">
        <f t="shared" si="157"/>
        <v>62.099999999999945</v>
      </c>
      <c r="AR61">
        <f t="shared" si="157"/>
        <v>58.199999999999953</v>
      </c>
      <c r="AS61">
        <f t="shared" si="157"/>
        <v>54.299999999999962</v>
      </c>
      <c r="AT61">
        <f t="shared" si="157"/>
        <v>50.39999999999997</v>
      </c>
      <c r="AU61">
        <f t="shared" si="157"/>
        <v>46.499999999999979</v>
      </c>
      <c r="AV61">
        <f t="shared" si="157"/>
        <v>42.599999999999987</v>
      </c>
      <c r="AW61">
        <f t="shared" si="157"/>
        <v>48</v>
      </c>
      <c r="AX61">
        <f t="shared" si="157"/>
        <v>42</v>
      </c>
      <c r="AY61">
        <f t="shared" si="157"/>
        <v>-1</v>
      </c>
      <c r="AZ61">
        <f t="shared" si="157"/>
        <v>-1</v>
      </c>
      <c r="BA61">
        <f t="shared" si="157"/>
        <v>-1</v>
      </c>
      <c r="BB61">
        <f t="shared" si="157"/>
        <v>-1</v>
      </c>
      <c r="BC61">
        <f t="shared" si="157"/>
        <v>-1</v>
      </c>
      <c r="BD61">
        <f t="shared" si="157"/>
        <v>68.599999999999937</v>
      </c>
      <c r="BE61">
        <f t="shared" si="157"/>
        <v>-1</v>
      </c>
      <c r="BF61">
        <f t="shared" si="157"/>
        <v>-1</v>
      </c>
      <c r="BG61">
        <f t="shared" si="157"/>
        <v>-1</v>
      </c>
      <c r="BH61">
        <f t="shared" si="157"/>
        <v>75</v>
      </c>
      <c r="BI61">
        <f t="shared" si="157"/>
        <v>49</v>
      </c>
      <c r="BJ61">
        <f t="shared" si="157"/>
        <v>44</v>
      </c>
      <c r="BK61">
        <f t="shared" si="157"/>
        <v>39</v>
      </c>
      <c r="BL61">
        <f t="shared" si="157"/>
        <v>34</v>
      </c>
      <c r="BM61">
        <f t="shared" si="157"/>
        <v>48</v>
      </c>
      <c r="BN61">
        <f t="shared" si="157"/>
        <v>67.29999999999994</v>
      </c>
      <c r="BO61">
        <f t="shared" si="157"/>
        <v>64.699999999999946</v>
      </c>
      <c r="BP61">
        <f t="shared" ref="BP61:EA61" si="158">IF(OR(BP60=-1,AND(IF(BP$3&lt;$B61,BP60+BP$6,IF(BP$3=$B61,1,""))&gt;$B$1,BP$3&lt;$B61)),-1,IF(BP$3&lt;$B61,BP60+BP$6,IF(BP$3=$B61,1,"")))</f>
        <v>-1</v>
      </c>
      <c r="BQ61">
        <f t="shared" si="158"/>
        <v>-1</v>
      </c>
      <c r="BR61">
        <f t="shared" si="158"/>
        <v>-1</v>
      </c>
      <c r="BS61">
        <f t="shared" si="158"/>
        <v>52</v>
      </c>
      <c r="BT61">
        <f t="shared" si="158"/>
        <v>50</v>
      </c>
      <c r="BU61">
        <f t="shared" si="158"/>
        <v>29.200000000000024</v>
      </c>
      <c r="BV61">
        <f t="shared" si="158"/>
        <v>25.600000000000016</v>
      </c>
      <c r="BW61">
        <f t="shared" si="158"/>
        <v>22.000000000000007</v>
      </c>
      <c r="BX61">
        <f t="shared" si="158"/>
        <v>18.399999999999999</v>
      </c>
      <c r="BY61">
        <f t="shared" si="158"/>
        <v>14.799999999999994</v>
      </c>
      <c r="BZ61">
        <f t="shared" si="158"/>
        <v>11.199999999999996</v>
      </c>
      <c r="CA61">
        <f t="shared" si="158"/>
        <v>7.5999999999999979</v>
      </c>
      <c r="CB61">
        <f t="shared" si="158"/>
        <v>4</v>
      </c>
      <c r="CC61" t="str">
        <f t="shared" si="158"/>
        <v/>
      </c>
      <c r="CD61" t="str">
        <f t="shared" si="158"/>
        <v/>
      </c>
      <c r="CE61" t="str">
        <f t="shared" si="158"/>
        <v/>
      </c>
      <c r="CF61" t="str">
        <f t="shared" si="158"/>
        <v/>
      </c>
      <c r="CG61" t="str">
        <f t="shared" si="158"/>
        <v/>
      </c>
      <c r="CH61" t="str">
        <f t="shared" si="158"/>
        <v/>
      </c>
      <c r="CI61" t="str">
        <f t="shared" si="158"/>
        <v/>
      </c>
      <c r="CJ61" t="str">
        <f t="shared" si="158"/>
        <v/>
      </c>
      <c r="CK61" t="str">
        <f t="shared" si="158"/>
        <v/>
      </c>
      <c r="CL61" t="str">
        <f t="shared" si="158"/>
        <v/>
      </c>
      <c r="CM61" t="str">
        <f t="shared" si="158"/>
        <v/>
      </c>
      <c r="CN61" t="str">
        <f t="shared" si="158"/>
        <v/>
      </c>
      <c r="CO61">
        <f t="shared" si="158"/>
        <v>14.5</v>
      </c>
      <c r="CP61">
        <f t="shared" si="158"/>
        <v>1.5</v>
      </c>
      <c r="CQ61">
        <f t="shared" si="158"/>
        <v>49</v>
      </c>
      <c r="CR61">
        <f t="shared" si="158"/>
        <v>44</v>
      </c>
      <c r="CS61">
        <f t="shared" si="158"/>
        <v>39</v>
      </c>
      <c r="CT61">
        <f t="shared" si="158"/>
        <v>67.29999999999994</v>
      </c>
      <c r="CU61">
        <f t="shared" si="158"/>
        <v>64.699999999999946</v>
      </c>
      <c r="CV61">
        <f t="shared" si="158"/>
        <v>-1</v>
      </c>
      <c r="CW61">
        <f t="shared" si="158"/>
        <v>69.800000000000026</v>
      </c>
      <c r="CX61">
        <f t="shared" si="158"/>
        <v>61.80000000000004</v>
      </c>
      <c r="CY61">
        <f t="shared" si="158"/>
        <v>53.800000000000033</v>
      </c>
      <c r="CZ61">
        <f t="shared" si="158"/>
        <v>45.800000000000026</v>
      </c>
      <c r="DA61">
        <f t="shared" si="158"/>
        <v>50</v>
      </c>
      <c r="DB61">
        <f t="shared" si="158"/>
        <v>46</v>
      </c>
      <c r="DC61">
        <f t="shared" si="158"/>
        <v>42</v>
      </c>
      <c r="DD61">
        <f t="shared" si="158"/>
        <v>38</v>
      </c>
      <c r="DE61">
        <f t="shared" si="158"/>
        <v>52</v>
      </c>
      <c r="DF61">
        <f t="shared" si="158"/>
        <v>50</v>
      </c>
      <c r="DG61">
        <f t="shared" si="158"/>
        <v>68.599999999999937</v>
      </c>
      <c r="DH61">
        <f t="shared" si="158"/>
        <v>67.29999999999994</v>
      </c>
      <c r="DI61">
        <f t="shared" si="158"/>
        <v>65.999999999999943</v>
      </c>
      <c r="DJ61">
        <f t="shared" si="158"/>
        <v>64.699999999999946</v>
      </c>
      <c r="DK61">
        <f t="shared" si="158"/>
        <v>-1</v>
      </c>
      <c r="DL61">
        <f t="shared" si="158"/>
        <v>-1</v>
      </c>
      <c r="DM61">
        <f t="shared" si="158"/>
        <v>-1</v>
      </c>
      <c r="DN61">
        <f t="shared" si="158"/>
        <v>75</v>
      </c>
      <c r="DO61">
        <f t="shared" si="158"/>
        <v>67</v>
      </c>
      <c r="DP61">
        <f t="shared" si="158"/>
        <v>59</v>
      </c>
      <c r="DQ61">
        <f t="shared" si="158"/>
        <v>67.29999999999994</v>
      </c>
      <c r="DR61">
        <f t="shared" si="158"/>
        <v>64.699999999999946</v>
      </c>
      <c r="DS61">
        <f t="shared" si="158"/>
        <v>48</v>
      </c>
      <c r="DT61">
        <f t="shared" si="158"/>
        <v>42</v>
      </c>
      <c r="DU61">
        <f t="shared" si="158"/>
        <v>36</v>
      </c>
      <c r="DV61">
        <f t="shared" si="158"/>
        <v>30</v>
      </c>
      <c r="DW61">
        <f t="shared" si="158"/>
        <v>24</v>
      </c>
      <c r="DX61">
        <f t="shared" si="158"/>
        <v>18</v>
      </c>
      <c r="DY61">
        <f t="shared" si="158"/>
        <v>-1</v>
      </c>
      <c r="DZ61">
        <f t="shared" si="158"/>
        <v>-1</v>
      </c>
      <c r="EA61">
        <f t="shared" si="158"/>
        <v>-1</v>
      </c>
      <c r="EB61">
        <f t="shared" ref="EB61:EO61" si="159">IF(OR(EB60=-1,AND(IF(EB$3&lt;$B61,EB60+EB$6,IF(EB$3=$B61,1,""))&gt;$B$1,EB$3&lt;$B61)),-1,IF(EB$3&lt;$B61,EB60+EB$6,IF(EB$3=$B61,1,"")))</f>
        <v>-1</v>
      </c>
      <c r="EC61">
        <f t="shared" si="159"/>
        <v>-1</v>
      </c>
      <c r="ED61">
        <f t="shared" si="159"/>
        <v>-1</v>
      </c>
      <c r="EE61">
        <f t="shared" si="159"/>
        <v>-1</v>
      </c>
      <c r="EF61">
        <f t="shared" si="159"/>
        <v>69.800000000000026</v>
      </c>
      <c r="EG61">
        <f t="shared" si="159"/>
        <v>61.80000000000004</v>
      </c>
      <c r="EH61">
        <f t="shared" si="159"/>
        <v>53.800000000000033</v>
      </c>
      <c r="EI61">
        <f t="shared" si="159"/>
        <v>45.800000000000026</v>
      </c>
      <c r="EJ61">
        <f t="shared" si="159"/>
        <v>37.800000000000018</v>
      </c>
      <c r="EK61">
        <f t="shared" si="159"/>
        <v>-1</v>
      </c>
      <c r="EL61">
        <f t="shared" si="159"/>
        <v>74.600000000000009</v>
      </c>
      <c r="EM61">
        <f t="shared" si="159"/>
        <v>63.400000000000041</v>
      </c>
      <c r="EN61">
        <f t="shared" si="159"/>
        <v>52.200000000000031</v>
      </c>
      <c r="EO61">
        <f t="shared" si="159"/>
        <v>41.000000000000021</v>
      </c>
    </row>
    <row r="62" spans="1:145" x14ac:dyDescent="0.15">
      <c r="A62" t="e">
        <f t="shared" si="0"/>
        <v>#N/A</v>
      </c>
      <c r="B62" s="218">
        <v>54</v>
      </c>
      <c r="C62">
        <f t="shared" si="0"/>
        <v>53</v>
      </c>
      <c r="D62">
        <f t="shared" ref="D62:BO62" si="160">IF(OR(D61=-1,AND(IF(D$3&lt;$B62,D61+D$6,IF(D$3=$B62,1,""))&gt;$B$1,D$3&lt;$B62)),-1,IF(D$3&lt;$B62,D61+D$6,IF(D$3=$B62,1,"")))</f>
        <v>51</v>
      </c>
      <c r="E62">
        <f t="shared" si="160"/>
        <v>49</v>
      </c>
      <c r="F62">
        <f t="shared" si="160"/>
        <v>47</v>
      </c>
      <c r="G62">
        <f t="shared" si="160"/>
        <v>45</v>
      </c>
      <c r="H62">
        <f t="shared" si="160"/>
        <v>43</v>
      </c>
      <c r="I62">
        <f t="shared" si="160"/>
        <v>59.49999999999995</v>
      </c>
      <c r="J62">
        <f t="shared" si="160"/>
        <v>47.799999999999976</v>
      </c>
      <c r="K62">
        <f t="shared" si="160"/>
        <v>36.1</v>
      </c>
      <c r="L62">
        <f t="shared" si="160"/>
        <v>35.29999999999999</v>
      </c>
      <c r="M62">
        <f t="shared" si="160"/>
        <v>31.799999999999976</v>
      </c>
      <c r="N62">
        <f t="shared" si="160"/>
        <v>28.299999999999979</v>
      </c>
      <c r="O62">
        <f t="shared" si="160"/>
        <v>53</v>
      </c>
      <c r="P62">
        <f t="shared" si="160"/>
        <v>51</v>
      </c>
      <c r="Q62">
        <f t="shared" si="160"/>
        <v>49</v>
      </c>
      <c r="R62">
        <f t="shared" si="160"/>
        <v>47</v>
      </c>
      <c r="S62">
        <f t="shared" si="160"/>
        <v>45</v>
      </c>
      <c r="T62">
        <f t="shared" si="160"/>
        <v>-1</v>
      </c>
      <c r="U62">
        <f t="shared" si="160"/>
        <v>-1</v>
      </c>
      <c r="V62">
        <f t="shared" si="160"/>
        <v>-1</v>
      </c>
      <c r="W62">
        <f t="shared" si="160"/>
        <v>-1</v>
      </c>
      <c r="X62">
        <f t="shared" si="160"/>
        <v>-1</v>
      </c>
      <c r="Y62">
        <f t="shared" si="160"/>
        <v>-1</v>
      </c>
      <c r="Z62">
        <f t="shared" si="160"/>
        <v>52</v>
      </c>
      <c r="AA62">
        <f t="shared" si="160"/>
        <v>49</v>
      </c>
      <c r="AB62">
        <f t="shared" si="160"/>
        <v>46</v>
      </c>
      <c r="AC62">
        <f t="shared" si="160"/>
        <v>-1</v>
      </c>
      <c r="AD62">
        <f t="shared" si="160"/>
        <v>-1</v>
      </c>
      <c r="AE62">
        <f t="shared" si="160"/>
        <v>65.799999999999955</v>
      </c>
      <c r="AF62">
        <f t="shared" si="160"/>
        <v>54.999999999999972</v>
      </c>
      <c r="AG62">
        <f t="shared" si="160"/>
        <v>44.199999999999989</v>
      </c>
      <c r="AH62">
        <f t="shared" si="160"/>
        <v>33.400000000000006</v>
      </c>
      <c r="AI62">
        <f t="shared" si="160"/>
        <v>31.000000000000028</v>
      </c>
      <c r="AJ62">
        <f t="shared" si="160"/>
        <v>28.600000000000023</v>
      </c>
      <c r="AK62">
        <f t="shared" si="160"/>
        <v>26.200000000000017</v>
      </c>
      <c r="AL62">
        <f t="shared" si="160"/>
        <v>23.800000000000011</v>
      </c>
      <c r="AM62">
        <f t="shared" si="160"/>
        <v>49</v>
      </c>
      <c r="AN62">
        <f t="shared" si="160"/>
        <v>43</v>
      </c>
      <c r="AO62">
        <f t="shared" si="160"/>
        <v>37</v>
      </c>
      <c r="AP62">
        <f t="shared" si="160"/>
        <v>67.29999999999994</v>
      </c>
      <c r="AQ62">
        <f t="shared" si="160"/>
        <v>63.399999999999942</v>
      </c>
      <c r="AR62">
        <f t="shared" si="160"/>
        <v>59.49999999999995</v>
      </c>
      <c r="AS62">
        <f t="shared" si="160"/>
        <v>55.599999999999959</v>
      </c>
      <c r="AT62">
        <f t="shared" si="160"/>
        <v>51.699999999999967</v>
      </c>
      <c r="AU62">
        <f t="shared" si="160"/>
        <v>47.799999999999976</v>
      </c>
      <c r="AV62">
        <f t="shared" si="160"/>
        <v>43.899999999999984</v>
      </c>
      <c r="AW62">
        <f t="shared" si="160"/>
        <v>49</v>
      </c>
      <c r="AX62">
        <f t="shared" si="160"/>
        <v>43</v>
      </c>
      <c r="AY62">
        <f t="shared" si="160"/>
        <v>-1</v>
      </c>
      <c r="AZ62">
        <f t="shared" si="160"/>
        <v>-1</v>
      </c>
      <c r="BA62">
        <f t="shared" si="160"/>
        <v>-1</v>
      </c>
      <c r="BB62">
        <f t="shared" si="160"/>
        <v>-1</v>
      </c>
      <c r="BC62">
        <f t="shared" si="160"/>
        <v>-1</v>
      </c>
      <c r="BD62">
        <f t="shared" si="160"/>
        <v>69.899999999999935</v>
      </c>
      <c r="BE62">
        <f t="shared" si="160"/>
        <v>-1</v>
      </c>
      <c r="BF62">
        <f t="shared" si="160"/>
        <v>-1</v>
      </c>
      <c r="BG62">
        <f t="shared" si="160"/>
        <v>-1</v>
      </c>
      <c r="BH62">
        <f t="shared" si="160"/>
        <v>-1</v>
      </c>
      <c r="BI62">
        <f t="shared" si="160"/>
        <v>50</v>
      </c>
      <c r="BJ62">
        <f t="shared" si="160"/>
        <v>45</v>
      </c>
      <c r="BK62">
        <f t="shared" si="160"/>
        <v>40</v>
      </c>
      <c r="BL62">
        <f t="shared" si="160"/>
        <v>35</v>
      </c>
      <c r="BM62">
        <f t="shared" si="160"/>
        <v>49</v>
      </c>
      <c r="BN62">
        <f t="shared" si="160"/>
        <v>68.599999999999937</v>
      </c>
      <c r="BO62">
        <f t="shared" si="160"/>
        <v>65.999999999999943</v>
      </c>
      <c r="BP62">
        <f t="shared" ref="BP62:EA62" si="161">IF(OR(BP61=-1,AND(IF(BP$3&lt;$B62,BP61+BP$6,IF(BP$3=$B62,1,""))&gt;$B$1,BP$3&lt;$B62)),-1,IF(BP$3&lt;$B62,BP61+BP$6,IF(BP$3=$B62,1,"")))</f>
        <v>-1</v>
      </c>
      <c r="BQ62">
        <f t="shared" si="161"/>
        <v>-1</v>
      </c>
      <c r="BR62">
        <f t="shared" si="161"/>
        <v>-1</v>
      </c>
      <c r="BS62">
        <f t="shared" si="161"/>
        <v>53</v>
      </c>
      <c r="BT62">
        <f t="shared" si="161"/>
        <v>51</v>
      </c>
      <c r="BU62">
        <f t="shared" si="161"/>
        <v>29.800000000000026</v>
      </c>
      <c r="BV62">
        <f t="shared" si="161"/>
        <v>26.200000000000017</v>
      </c>
      <c r="BW62">
        <f t="shared" si="161"/>
        <v>22.600000000000009</v>
      </c>
      <c r="BX62">
        <f t="shared" si="161"/>
        <v>19</v>
      </c>
      <c r="BY62">
        <f t="shared" si="161"/>
        <v>15.399999999999993</v>
      </c>
      <c r="BZ62">
        <f t="shared" si="161"/>
        <v>11.799999999999995</v>
      </c>
      <c r="CA62">
        <f t="shared" si="161"/>
        <v>8.1999999999999975</v>
      </c>
      <c r="CB62">
        <f t="shared" si="161"/>
        <v>4.5999999999999996</v>
      </c>
      <c r="CC62">
        <f t="shared" si="161"/>
        <v>1</v>
      </c>
      <c r="CD62" t="str">
        <f t="shared" si="161"/>
        <v/>
      </c>
      <c r="CE62" t="str">
        <f t="shared" si="161"/>
        <v/>
      </c>
      <c r="CF62" t="str">
        <f t="shared" si="161"/>
        <v/>
      </c>
      <c r="CG62" t="str">
        <f t="shared" si="161"/>
        <v/>
      </c>
      <c r="CH62" t="str">
        <f t="shared" si="161"/>
        <v/>
      </c>
      <c r="CI62" t="str">
        <f t="shared" si="161"/>
        <v/>
      </c>
      <c r="CJ62" t="str">
        <f t="shared" si="161"/>
        <v/>
      </c>
      <c r="CK62" t="str">
        <f t="shared" si="161"/>
        <v/>
      </c>
      <c r="CL62" t="str">
        <f t="shared" si="161"/>
        <v/>
      </c>
      <c r="CM62" t="str">
        <f t="shared" si="161"/>
        <v/>
      </c>
      <c r="CN62" t="str">
        <f t="shared" si="161"/>
        <v/>
      </c>
      <c r="CO62">
        <f t="shared" si="161"/>
        <v>15</v>
      </c>
      <c r="CP62">
        <f t="shared" si="161"/>
        <v>2</v>
      </c>
      <c r="CQ62">
        <f t="shared" si="161"/>
        <v>50</v>
      </c>
      <c r="CR62">
        <f t="shared" si="161"/>
        <v>45</v>
      </c>
      <c r="CS62">
        <f t="shared" si="161"/>
        <v>40</v>
      </c>
      <c r="CT62">
        <f t="shared" si="161"/>
        <v>68.599999999999937</v>
      </c>
      <c r="CU62">
        <f t="shared" si="161"/>
        <v>65.999999999999943</v>
      </c>
      <c r="CV62">
        <f t="shared" si="161"/>
        <v>-1</v>
      </c>
      <c r="CW62">
        <f t="shared" si="161"/>
        <v>71.40000000000002</v>
      </c>
      <c r="CX62">
        <f t="shared" si="161"/>
        <v>63.400000000000041</v>
      </c>
      <c r="CY62">
        <f t="shared" si="161"/>
        <v>55.400000000000034</v>
      </c>
      <c r="CZ62">
        <f t="shared" si="161"/>
        <v>47.400000000000027</v>
      </c>
      <c r="DA62">
        <f t="shared" si="161"/>
        <v>51</v>
      </c>
      <c r="DB62">
        <f t="shared" si="161"/>
        <v>47</v>
      </c>
      <c r="DC62">
        <f t="shared" si="161"/>
        <v>43</v>
      </c>
      <c r="DD62">
        <f t="shared" si="161"/>
        <v>39</v>
      </c>
      <c r="DE62">
        <f t="shared" si="161"/>
        <v>53</v>
      </c>
      <c r="DF62">
        <f t="shared" si="161"/>
        <v>51</v>
      </c>
      <c r="DG62">
        <f t="shared" si="161"/>
        <v>69.899999999999935</v>
      </c>
      <c r="DH62">
        <f t="shared" si="161"/>
        <v>68.599999999999937</v>
      </c>
      <c r="DI62">
        <f t="shared" si="161"/>
        <v>67.29999999999994</v>
      </c>
      <c r="DJ62">
        <f t="shared" si="161"/>
        <v>65.999999999999943</v>
      </c>
      <c r="DK62">
        <f t="shared" si="161"/>
        <v>-1</v>
      </c>
      <c r="DL62">
        <f t="shared" si="161"/>
        <v>-1</v>
      </c>
      <c r="DM62">
        <f t="shared" si="161"/>
        <v>-1</v>
      </c>
      <c r="DN62">
        <f t="shared" si="161"/>
        <v>-1</v>
      </c>
      <c r="DO62">
        <f t="shared" si="161"/>
        <v>69</v>
      </c>
      <c r="DP62">
        <f t="shared" si="161"/>
        <v>61</v>
      </c>
      <c r="DQ62">
        <f t="shared" si="161"/>
        <v>68.599999999999937</v>
      </c>
      <c r="DR62">
        <f t="shared" si="161"/>
        <v>65.999999999999943</v>
      </c>
      <c r="DS62">
        <f t="shared" si="161"/>
        <v>49</v>
      </c>
      <c r="DT62">
        <f t="shared" si="161"/>
        <v>43</v>
      </c>
      <c r="DU62">
        <f t="shared" si="161"/>
        <v>37</v>
      </c>
      <c r="DV62">
        <f t="shared" si="161"/>
        <v>31</v>
      </c>
      <c r="DW62">
        <f t="shared" si="161"/>
        <v>25</v>
      </c>
      <c r="DX62">
        <f t="shared" si="161"/>
        <v>19</v>
      </c>
      <c r="DY62">
        <f t="shared" si="161"/>
        <v>-1</v>
      </c>
      <c r="DZ62">
        <f t="shared" si="161"/>
        <v>-1</v>
      </c>
      <c r="EA62">
        <f t="shared" si="161"/>
        <v>-1</v>
      </c>
      <c r="EB62">
        <f t="shared" ref="EB62:EO62" si="162">IF(OR(EB61=-1,AND(IF(EB$3&lt;$B62,EB61+EB$6,IF(EB$3=$B62,1,""))&gt;$B$1,EB$3&lt;$B62)),-1,IF(EB$3&lt;$B62,EB61+EB$6,IF(EB$3=$B62,1,"")))</f>
        <v>-1</v>
      </c>
      <c r="EC62">
        <f t="shared" si="162"/>
        <v>-1</v>
      </c>
      <c r="ED62">
        <f t="shared" si="162"/>
        <v>-1</v>
      </c>
      <c r="EE62">
        <f t="shared" si="162"/>
        <v>-1</v>
      </c>
      <c r="EF62">
        <f t="shared" si="162"/>
        <v>71.40000000000002</v>
      </c>
      <c r="EG62">
        <f t="shared" si="162"/>
        <v>63.400000000000041</v>
      </c>
      <c r="EH62">
        <f t="shared" si="162"/>
        <v>55.400000000000034</v>
      </c>
      <c r="EI62">
        <f t="shared" si="162"/>
        <v>47.400000000000027</v>
      </c>
      <c r="EJ62">
        <f t="shared" si="162"/>
        <v>39.40000000000002</v>
      </c>
      <c r="EK62">
        <f t="shared" si="162"/>
        <v>-1</v>
      </c>
      <c r="EL62">
        <f t="shared" si="162"/>
        <v>-1</v>
      </c>
      <c r="EM62">
        <f t="shared" si="162"/>
        <v>65.000000000000043</v>
      </c>
      <c r="EN62">
        <f t="shared" si="162"/>
        <v>53.800000000000033</v>
      </c>
      <c r="EO62">
        <f t="shared" si="162"/>
        <v>42.600000000000023</v>
      </c>
    </row>
    <row r="63" spans="1:145" x14ac:dyDescent="0.15">
      <c r="A63" t="e">
        <f t="shared" si="0"/>
        <v>#N/A</v>
      </c>
      <c r="B63" s="218">
        <v>55</v>
      </c>
      <c r="C63">
        <f t="shared" si="0"/>
        <v>54</v>
      </c>
      <c r="D63">
        <f t="shared" ref="D63:BO63" si="163">IF(OR(D62=-1,AND(IF(D$3&lt;$B63,D62+D$6,IF(D$3=$B63,1,""))&gt;$B$1,D$3&lt;$B63)),-1,IF(D$3&lt;$B63,D62+D$6,IF(D$3=$B63,1,"")))</f>
        <v>52</v>
      </c>
      <c r="E63">
        <f t="shared" si="163"/>
        <v>50</v>
      </c>
      <c r="F63">
        <f t="shared" si="163"/>
        <v>48</v>
      </c>
      <c r="G63">
        <f t="shared" si="163"/>
        <v>46</v>
      </c>
      <c r="H63">
        <f t="shared" si="163"/>
        <v>44</v>
      </c>
      <c r="I63">
        <f t="shared" si="163"/>
        <v>60.799999999999947</v>
      </c>
      <c r="J63">
        <f t="shared" si="163"/>
        <v>49.099999999999973</v>
      </c>
      <c r="K63">
        <f t="shared" si="163"/>
        <v>37.4</v>
      </c>
      <c r="L63">
        <f t="shared" si="163"/>
        <v>35.999999999999993</v>
      </c>
      <c r="M63">
        <f t="shared" si="163"/>
        <v>32.499999999999979</v>
      </c>
      <c r="N63">
        <f t="shared" si="163"/>
        <v>28.999999999999979</v>
      </c>
      <c r="O63">
        <f t="shared" si="163"/>
        <v>54</v>
      </c>
      <c r="P63">
        <f t="shared" si="163"/>
        <v>52</v>
      </c>
      <c r="Q63">
        <f t="shared" si="163"/>
        <v>50</v>
      </c>
      <c r="R63">
        <f t="shared" si="163"/>
        <v>48</v>
      </c>
      <c r="S63">
        <f t="shared" si="163"/>
        <v>46</v>
      </c>
      <c r="T63">
        <f t="shared" si="163"/>
        <v>-1</v>
      </c>
      <c r="U63">
        <f t="shared" si="163"/>
        <v>-1</v>
      </c>
      <c r="V63">
        <f t="shared" si="163"/>
        <v>-1</v>
      </c>
      <c r="W63">
        <f t="shared" si="163"/>
        <v>-1</v>
      </c>
      <c r="X63">
        <f t="shared" si="163"/>
        <v>-1</v>
      </c>
      <c r="Y63">
        <f t="shared" si="163"/>
        <v>-1</v>
      </c>
      <c r="Z63">
        <f t="shared" si="163"/>
        <v>53</v>
      </c>
      <c r="AA63">
        <f t="shared" si="163"/>
        <v>50</v>
      </c>
      <c r="AB63">
        <f t="shared" si="163"/>
        <v>47</v>
      </c>
      <c r="AC63">
        <f t="shared" si="163"/>
        <v>-1</v>
      </c>
      <c r="AD63">
        <f t="shared" si="163"/>
        <v>-1</v>
      </c>
      <c r="AE63">
        <f t="shared" si="163"/>
        <v>67.599999999999952</v>
      </c>
      <c r="AF63">
        <f t="shared" si="163"/>
        <v>56.799999999999969</v>
      </c>
      <c r="AG63">
        <f t="shared" si="163"/>
        <v>45.999999999999986</v>
      </c>
      <c r="AH63">
        <f t="shared" si="163"/>
        <v>35.200000000000003</v>
      </c>
      <c r="AI63">
        <f t="shared" si="163"/>
        <v>31.60000000000003</v>
      </c>
      <c r="AJ63">
        <f t="shared" si="163"/>
        <v>29.200000000000024</v>
      </c>
      <c r="AK63">
        <f t="shared" si="163"/>
        <v>26.800000000000018</v>
      </c>
      <c r="AL63">
        <f t="shared" si="163"/>
        <v>24.400000000000013</v>
      </c>
      <c r="AM63">
        <f t="shared" si="163"/>
        <v>50</v>
      </c>
      <c r="AN63">
        <f t="shared" si="163"/>
        <v>44</v>
      </c>
      <c r="AO63">
        <f t="shared" si="163"/>
        <v>38</v>
      </c>
      <c r="AP63">
        <f t="shared" si="163"/>
        <v>68.599999999999937</v>
      </c>
      <c r="AQ63">
        <f t="shared" si="163"/>
        <v>64.699999999999946</v>
      </c>
      <c r="AR63">
        <f t="shared" si="163"/>
        <v>60.799999999999947</v>
      </c>
      <c r="AS63">
        <f t="shared" si="163"/>
        <v>56.899999999999956</v>
      </c>
      <c r="AT63">
        <f t="shared" si="163"/>
        <v>52.999999999999964</v>
      </c>
      <c r="AU63">
        <f t="shared" si="163"/>
        <v>49.099999999999973</v>
      </c>
      <c r="AV63">
        <f t="shared" si="163"/>
        <v>45.199999999999982</v>
      </c>
      <c r="AW63">
        <f t="shared" si="163"/>
        <v>50</v>
      </c>
      <c r="AX63">
        <f t="shared" si="163"/>
        <v>44</v>
      </c>
      <c r="AY63">
        <f t="shared" si="163"/>
        <v>-1</v>
      </c>
      <c r="AZ63">
        <f t="shared" si="163"/>
        <v>-1</v>
      </c>
      <c r="BA63">
        <f t="shared" si="163"/>
        <v>-1</v>
      </c>
      <c r="BB63">
        <f t="shared" si="163"/>
        <v>-1</v>
      </c>
      <c r="BC63">
        <f t="shared" si="163"/>
        <v>-1</v>
      </c>
      <c r="BD63">
        <f t="shared" si="163"/>
        <v>71.199999999999932</v>
      </c>
      <c r="BE63">
        <f t="shared" si="163"/>
        <v>-1</v>
      </c>
      <c r="BF63">
        <f t="shared" si="163"/>
        <v>-1</v>
      </c>
      <c r="BG63">
        <f t="shared" si="163"/>
        <v>-1</v>
      </c>
      <c r="BH63">
        <f t="shared" si="163"/>
        <v>-1</v>
      </c>
      <c r="BI63">
        <f t="shared" si="163"/>
        <v>51</v>
      </c>
      <c r="BJ63">
        <f t="shared" si="163"/>
        <v>46</v>
      </c>
      <c r="BK63">
        <f t="shared" si="163"/>
        <v>41</v>
      </c>
      <c r="BL63">
        <f t="shared" si="163"/>
        <v>36</v>
      </c>
      <c r="BM63">
        <f t="shared" si="163"/>
        <v>50</v>
      </c>
      <c r="BN63">
        <f t="shared" si="163"/>
        <v>69.899999999999935</v>
      </c>
      <c r="BO63">
        <f t="shared" si="163"/>
        <v>67.29999999999994</v>
      </c>
      <c r="BP63">
        <f t="shared" ref="BP63:EA63" si="164">IF(OR(BP62=-1,AND(IF(BP$3&lt;$B63,BP62+BP$6,IF(BP$3=$B63,1,""))&gt;$B$1,BP$3&lt;$B63)),-1,IF(BP$3&lt;$B63,BP62+BP$6,IF(BP$3=$B63,1,"")))</f>
        <v>-1</v>
      </c>
      <c r="BQ63">
        <f t="shared" si="164"/>
        <v>-1</v>
      </c>
      <c r="BR63">
        <f t="shared" si="164"/>
        <v>-1</v>
      </c>
      <c r="BS63">
        <f t="shared" si="164"/>
        <v>54</v>
      </c>
      <c r="BT63">
        <f t="shared" si="164"/>
        <v>52</v>
      </c>
      <c r="BU63">
        <f t="shared" si="164"/>
        <v>30.400000000000027</v>
      </c>
      <c r="BV63">
        <f t="shared" si="164"/>
        <v>26.800000000000018</v>
      </c>
      <c r="BW63">
        <f t="shared" si="164"/>
        <v>23.20000000000001</v>
      </c>
      <c r="BX63">
        <f t="shared" si="164"/>
        <v>19.600000000000001</v>
      </c>
      <c r="BY63">
        <f t="shared" si="164"/>
        <v>15.999999999999993</v>
      </c>
      <c r="BZ63">
        <f t="shared" si="164"/>
        <v>12.399999999999995</v>
      </c>
      <c r="CA63">
        <f t="shared" si="164"/>
        <v>8.7999999999999972</v>
      </c>
      <c r="CB63">
        <f t="shared" si="164"/>
        <v>5.1999999999999993</v>
      </c>
      <c r="CC63">
        <f t="shared" si="164"/>
        <v>1.6</v>
      </c>
      <c r="CD63" t="str">
        <f t="shared" si="164"/>
        <v/>
      </c>
      <c r="CE63" t="str">
        <f t="shared" si="164"/>
        <v/>
      </c>
      <c r="CF63" t="str">
        <f t="shared" si="164"/>
        <v/>
      </c>
      <c r="CG63" t="str">
        <f t="shared" si="164"/>
        <v/>
      </c>
      <c r="CH63" t="str">
        <f t="shared" si="164"/>
        <v/>
      </c>
      <c r="CI63" t="str">
        <f t="shared" si="164"/>
        <v/>
      </c>
      <c r="CJ63" t="str">
        <f t="shared" si="164"/>
        <v/>
      </c>
      <c r="CK63" t="str">
        <f t="shared" si="164"/>
        <v/>
      </c>
      <c r="CL63" t="str">
        <f t="shared" si="164"/>
        <v/>
      </c>
      <c r="CM63" t="str">
        <f t="shared" si="164"/>
        <v/>
      </c>
      <c r="CN63" t="str">
        <f t="shared" si="164"/>
        <v/>
      </c>
      <c r="CO63">
        <f t="shared" si="164"/>
        <v>15.5</v>
      </c>
      <c r="CP63">
        <f t="shared" si="164"/>
        <v>2.5</v>
      </c>
      <c r="CQ63">
        <f t="shared" si="164"/>
        <v>51</v>
      </c>
      <c r="CR63">
        <f t="shared" si="164"/>
        <v>46</v>
      </c>
      <c r="CS63">
        <f t="shared" si="164"/>
        <v>41</v>
      </c>
      <c r="CT63">
        <f t="shared" si="164"/>
        <v>69.899999999999935</v>
      </c>
      <c r="CU63">
        <f t="shared" si="164"/>
        <v>67.29999999999994</v>
      </c>
      <c r="CV63">
        <f t="shared" si="164"/>
        <v>-1</v>
      </c>
      <c r="CW63">
        <f t="shared" si="164"/>
        <v>73.000000000000014</v>
      </c>
      <c r="CX63">
        <f t="shared" si="164"/>
        <v>65.000000000000043</v>
      </c>
      <c r="CY63">
        <f t="shared" si="164"/>
        <v>57.000000000000036</v>
      </c>
      <c r="CZ63">
        <f t="shared" si="164"/>
        <v>49.000000000000028</v>
      </c>
      <c r="DA63">
        <f t="shared" si="164"/>
        <v>52</v>
      </c>
      <c r="DB63">
        <f t="shared" si="164"/>
        <v>48</v>
      </c>
      <c r="DC63">
        <f t="shared" si="164"/>
        <v>44</v>
      </c>
      <c r="DD63">
        <f t="shared" si="164"/>
        <v>40</v>
      </c>
      <c r="DE63">
        <f t="shared" si="164"/>
        <v>54</v>
      </c>
      <c r="DF63">
        <f t="shared" si="164"/>
        <v>52</v>
      </c>
      <c r="DG63">
        <f t="shared" si="164"/>
        <v>71.199999999999932</v>
      </c>
      <c r="DH63">
        <f t="shared" si="164"/>
        <v>69.899999999999935</v>
      </c>
      <c r="DI63">
        <f t="shared" si="164"/>
        <v>68.599999999999937</v>
      </c>
      <c r="DJ63">
        <f t="shared" si="164"/>
        <v>67.29999999999994</v>
      </c>
      <c r="DK63">
        <f t="shared" si="164"/>
        <v>-1</v>
      </c>
      <c r="DL63">
        <f t="shared" si="164"/>
        <v>-1</v>
      </c>
      <c r="DM63">
        <f t="shared" si="164"/>
        <v>-1</v>
      </c>
      <c r="DN63">
        <f t="shared" si="164"/>
        <v>-1</v>
      </c>
      <c r="DO63">
        <f t="shared" si="164"/>
        <v>71</v>
      </c>
      <c r="DP63">
        <f t="shared" si="164"/>
        <v>63</v>
      </c>
      <c r="DQ63">
        <f t="shared" si="164"/>
        <v>69.899999999999935</v>
      </c>
      <c r="DR63">
        <f t="shared" si="164"/>
        <v>67.29999999999994</v>
      </c>
      <c r="DS63">
        <f t="shared" si="164"/>
        <v>50</v>
      </c>
      <c r="DT63">
        <f t="shared" si="164"/>
        <v>44</v>
      </c>
      <c r="DU63">
        <f t="shared" si="164"/>
        <v>38</v>
      </c>
      <c r="DV63">
        <f t="shared" si="164"/>
        <v>32</v>
      </c>
      <c r="DW63">
        <f t="shared" si="164"/>
        <v>26</v>
      </c>
      <c r="DX63">
        <f t="shared" si="164"/>
        <v>20</v>
      </c>
      <c r="DY63">
        <f t="shared" si="164"/>
        <v>-1</v>
      </c>
      <c r="DZ63">
        <f t="shared" si="164"/>
        <v>-1</v>
      </c>
      <c r="EA63">
        <f t="shared" si="164"/>
        <v>-1</v>
      </c>
      <c r="EB63">
        <f t="shared" ref="EB63:EO63" si="165">IF(OR(EB62=-1,AND(IF(EB$3&lt;$B63,EB62+EB$6,IF(EB$3=$B63,1,""))&gt;$B$1,EB$3&lt;$B63)),-1,IF(EB$3&lt;$B63,EB62+EB$6,IF(EB$3=$B63,1,"")))</f>
        <v>-1</v>
      </c>
      <c r="EC63">
        <f t="shared" si="165"/>
        <v>-1</v>
      </c>
      <c r="ED63">
        <f t="shared" si="165"/>
        <v>-1</v>
      </c>
      <c r="EE63">
        <f t="shared" si="165"/>
        <v>-1</v>
      </c>
      <c r="EF63">
        <f t="shared" si="165"/>
        <v>73.000000000000014</v>
      </c>
      <c r="EG63">
        <f t="shared" si="165"/>
        <v>65.000000000000043</v>
      </c>
      <c r="EH63">
        <f t="shared" si="165"/>
        <v>57.000000000000036</v>
      </c>
      <c r="EI63">
        <f t="shared" si="165"/>
        <v>49.000000000000028</v>
      </c>
      <c r="EJ63">
        <f t="shared" si="165"/>
        <v>41.000000000000021</v>
      </c>
      <c r="EK63">
        <f t="shared" si="165"/>
        <v>-1</v>
      </c>
      <c r="EL63">
        <f t="shared" si="165"/>
        <v>-1</v>
      </c>
      <c r="EM63">
        <f t="shared" si="165"/>
        <v>66.600000000000037</v>
      </c>
      <c r="EN63">
        <f t="shared" si="165"/>
        <v>55.400000000000034</v>
      </c>
      <c r="EO63">
        <f t="shared" si="165"/>
        <v>44.200000000000024</v>
      </c>
    </row>
    <row r="64" spans="1:145" x14ac:dyDescent="0.15">
      <c r="A64" t="e">
        <f t="shared" si="0"/>
        <v>#N/A</v>
      </c>
      <c r="B64" s="218">
        <v>56</v>
      </c>
      <c r="C64">
        <f t="shared" si="0"/>
        <v>55</v>
      </c>
      <c r="D64">
        <f t="shared" ref="D64:BO64" si="166">IF(OR(D63=-1,AND(IF(D$3&lt;$B64,D63+D$6,IF(D$3=$B64,1,""))&gt;$B$1,D$3&lt;$B64)),-1,IF(D$3&lt;$B64,D63+D$6,IF(D$3=$B64,1,"")))</f>
        <v>53</v>
      </c>
      <c r="E64">
        <f t="shared" si="166"/>
        <v>51</v>
      </c>
      <c r="F64">
        <f t="shared" si="166"/>
        <v>49</v>
      </c>
      <c r="G64">
        <f t="shared" si="166"/>
        <v>47</v>
      </c>
      <c r="H64">
        <f t="shared" si="166"/>
        <v>45</v>
      </c>
      <c r="I64">
        <f t="shared" si="166"/>
        <v>62.099999999999945</v>
      </c>
      <c r="J64">
        <f t="shared" si="166"/>
        <v>50.39999999999997</v>
      </c>
      <c r="K64">
        <f t="shared" si="166"/>
        <v>38.699999999999996</v>
      </c>
      <c r="L64">
        <f t="shared" si="166"/>
        <v>36.699999999999996</v>
      </c>
      <c r="M64">
        <f t="shared" si="166"/>
        <v>33.199999999999982</v>
      </c>
      <c r="N64">
        <f t="shared" si="166"/>
        <v>29.699999999999978</v>
      </c>
      <c r="O64">
        <f t="shared" si="166"/>
        <v>55</v>
      </c>
      <c r="P64">
        <f t="shared" si="166"/>
        <v>53</v>
      </c>
      <c r="Q64">
        <f t="shared" si="166"/>
        <v>51</v>
      </c>
      <c r="R64">
        <f t="shared" si="166"/>
        <v>49</v>
      </c>
      <c r="S64">
        <f t="shared" si="166"/>
        <v>47</v>
      </c>
      <c r="T64">
        <f t="shared" si="166"/>
        <v>-1</v>
      </c>
      <c r="U64">
        <f t="shared" si="166"/>
        <v>-1</v>
      </c>
      <c r="V64">
        <f t="shared" si="166"/>
        <v>-1</v>
      </c>
      <c r="W64">
        <f t="shared" si="166"/>
        <v>-1</v>
      </c>
      <c r="X64">
        <f t="shared" si="166"/>
        <v>-1</v>
      </c>
      <c r="Y64">
        <f t="shared" si="166"/>
        <v>-1</v>
      </c>
      <c r="Z64">
        <f t="shared" si="166"/>
        <v>54</v>
      </c>
      <c r="AA64">
        <f t="shared" si="166"/>
        <v>51</v>
      </c>
      <c r="AB64">
        <f t="shared" si="166"/>
        <v>48</v>
      </c>
      <c r="AC64">
        <f t="shared" si="166"/>
        <v>-1</v>
      </c>
      <c r="AD64">
        <f t="shared" si="166"/>
        <v>-1</v>
      </c>
      <c r="AE64">
        <f t="shared" si="166"/>
        <v>69.399999999999949</v>
      </c>
      <c r="AF64">
        <f t="shared" si="166"/>
        <v>58.599999999999966</v>
      </c>
      <c r="AG64">
        <f t="shared" si="166"/>
        <v>47.799999999999983</v>
      </c>
      <c r="AH64">
        <f t="shared" si="166"/>
        <v>37</v>
      </c>
      <c r="AI64">
        <f t="shared" si="166"/>
        <v>32.200000000000031</v>
      </c>
      <c r="AJ64">
        <f t="shared" si="166"/>
        <v>29.800000000000026</v>
      </c>
      <c r="AK64">
        <f t="shared" si="166"/>
        <v>27.40000000000002</v>
      </c>
      <c r="AL64">
        <f t="shared" si="166"/>
        <v>25.000000000000014</v>
      </c>
      <c r="AM64">
        <f t="shared" si="166"/>
        <v>51</v>
      </c>
      <c r="AN64">
        <f t="shared" si="166"/>
        <v>45</v>
      </c>
      <c r="AO64">
        <f t="shared" si="166"/>
        <v>39</v>
      </c>
      <c r="AP64">
        <f t="shared" si="166"/>
        <v>69.899999999999935</v>
      </c>
      <c r="AQ64">
        <f t="shared" si="166"/>
        <v>65.999999999999943</v>
      </c>
      <c r="AR64">
        <f t="shared" si="166"/>
        <v>62.099999999999945</v>
      </c>
      <c r="AS64">
        <f t="shared" si="166"/>
        <v>58.199999999999953</v>
      </c>
      <c r="AT64">
        <f t="shared" si="166"/>
        <v>54.299999999999962</v>
      </c>
      <c r="AU64">
        <f t="shared" si="166"/>
        <v>50.39999999999997</v>
      </c>
      <c r="AV64">
        <f t="shared" si="166"/>
        <v>46.499999999999979</v>
      </c>
      <c r="AW64">
        <f t="shared" si="166"/>
        <v>51</v>
      </c>
      <c r="AX64">
        <f t="shared" si="166"/>
        <v>45</v>
      </c>
      <c r="AY64">
        <f t="shared" si="166"/>
        <v>-1</v>
      </c>
      <c r="AZ64">
        <f t="shared" si="166"/>
        <v>-1</v>
      </c>
      <c r="BA64">
        <f t="shared" si="166"/>
        <v>-1</v>
      </c>
      <c r="BB64">
        <f t="shared" si="166"/>
        <v>-1</v>
      </c>
      <c r="BC64">
        <f t="shared" si="166"/>
        <v>-1</v>
      </c>
      <c r="BD64">
        <f t="shared" si="166"/>
        <v>72.499999999999929</v>
      </c>
      <c r="BE64">
        <f t="shared" si="166"/>
        <v>-1</v>
      </c>
      <c r="BF64">
        <f t="shared" si="166"/>
        <v>-1</v>
      </c>
      <c r="BG64">
        <f t="shared" si="166"/>
        <v>-1</v>
      </c>
      <c r="BH64">
        <f t="shared" si="166"/>
        <v>-1</v>
      </c>
      <c r="BI64">
        <f t="shared" si="166"/>
        <v>52</v>
      </c>
      <c r="BJ64">
        <f t="shared" si="166"/>
        <v>47</v>
      </c>
      <c r="BK64">
        <f t="shared" si="166"/>
        <v>42</v>
      </c>
      <c r="BL64">
        <f t="shared" si="166"/>
        <v>37</v>
      </c>
      <c r="BM64">
        <f t="shared" si="166"/>
        <v>51</v>
      </c>
      <c r="BN64">
        <f t="shared" si="166"/>
        <v>71.199999999999932</v>
      </c>
      <c r="BO64">
        <f t="shared" si="166"/>
        <v>68.599999999999937</v>
      </c>
      <c r="BP64">
        <f t="shared" ref="BP64:EA64" si="167">IF(OR(BP63=-1,AND(IF(BP$3&lt;$B64,BP63+BP$6,IF(BP$3=$B64,1,""))&gt;$B$1,BP$3&lt;$B64)),-1,IF(BP$3&lt;$B64,BP63+BP$6,IF(BP$3=$B64,1,"")))</f>
        <v>-1</v>
      </c>
      <c r="BQ64">
        <f t="shared" si="167"/>
        <v>-1</v>
      </c>
      <c r="BR64">
        <f t="shared" si="167"/>
        <v>-1</v>
      </c>
      <c r="BS64">
        <f t="shared" si="167"/>
        <v>55</v>
      </c>
      <c r="BT64">
        <f t="shared" si="167"/>
        <v>53</v>
      </c>
      <c r="BU64">
        <f t="shared" si="167"/>
        <v>31.000000000000028</v>
      </c>
      <c r="BV64">
        <f t="shared" si="167"/>
        <v>27.40000000000002</v>
      </c>
      <c r="BW64">
        <f t="shared" si="167"/>
        <v>23.800000000000011</v>
      </c>
      <c r="BX64">
        <f t="shared" si="167"/>
        <v>20.200000000000003</v>
      </c>
      <c r="BY64">
        <f t="shared" si="167"/>
        <v>16.599999999999994</v>
      </c>
      <c r="BZ64">
        <f t="shared" si="167"/>
        <v>12.999999999999995</v>
      </c>
      <c r="CA64">
        <f t="shared" si="167"/>
        <v>9.3999999999999968</v>
      </c>
      <c r="CB64">
        <f t="shared" si="167"/>
        <v>5.7999999999999989</v>
      </c>
      <c r="CC64">
        <f t="shared" si="167"/>
        <v>2.2000000000000002</v>
      </c>
      <c r="CD64" t="str">
        <f t="shared" si="167"/>
        <v/>
      </c>
      <c r="CE64" t="str">
        <f t="shared" si="167"/>
        <v/>
      </c>
      <c r="CF64" t="str">
        <f t="shared" si="167"/>
        <v/>
      </c>
      <c r="CG64" t="str">
        <f t="shared" si="167"/>
        <v/>
      </c>
      <c r="CH64" t="str">
        <f t="shared" si="167"/>
        <v/>
      </c>
      <c r="CI64" t="str">
        <f t="shared" si="167"/>
        <v/>
      </c>
      <c r="CJ64" t="str">
        <f t="shared" si="167"/>
        <v/>
      </c>
      <c r="CK64" t="str">
        <f t="shared" si="167"/>
        <v/>
      </c>
      <c r="CL64" t="str">
        <f t="shared" si="167"/>
        <v/>
      </c>
      <c r="CM64" t="str">
        <f t="shared" si="167"/>
        <v/>
      </c>
      <c r="CN64" t="str">
        <f t="shared" si="167"/>
        <v/>
      </c>
      <c r="CO64">
        <f t="shared" si="167"/>
        <v>16</v>
      </c>
      <c r="CP64">
        <f t="shared" si="167"/>
        <v>3</v>
      </c>
      <c r="CQ64">
        <f t="shared" si="167"/>
        <v>52</v>
      </c>
      <c r="CR64">
        <f t="shared" si="167"/>
        <v>47</v>
      </c>
      <c r="CS64">
        <f t="shared" si="167"/>
        <v>42</v>
      </c>
      <c r="CT64">
        <f t="shared" si="167"/>
        <v>71.199999999999932</v>
      </c>
      <c r="CU64">
        <f t="shared" si="167"/>
        <v>68.599999999999937</v>
      </c>
      <c r="CV64">
        <f t="shared" si="167"/>
        <v>-1</v>
      </c>
      <c r="CW64">
        <f t="shared" si="167"/>
        <v>74.600000000000009</v>
      </c>
      <c r="CX64">
        <f t="shared" si="167"/>
        <v>66.600000000000037</v>
      </c>
      <c r="CY64">
        <f t="shared" si="167"/>
        <v>58.600000000000037</v>
      </c>
      <c r="CZ64">
        <f t="shared" si="167"/>
        <v>50.60000000000003</v>
      </c>
      <c r="DA64">
        <f t="shared" si="167"/>
        <v>53</v>
      </c>
      <c r="DB64">
        <f t="shared" si="167"/>
        <v>49</v>
      </c>
      <c r="DC64">
        <f t="shared" si="167"/>
        <v>45</v>
      </c>
      <c r="DD64">
        <f t="shared" si="167"/>
        <v>41</v>
      </c>
      <c r="DE64">
        <f t="shared" si="167"/>
        <v>55</v>
      </c>
      <c r="DF64">
        <f t="shared" si="167"/>
        <v>53</v>
      </c>
      <c r="DG64">
        <f t="shared" si="167"/>
        <v>72.499999999999929</v>
      </c>
      <c r="DH64">
        <f t="shared" si="167"/>
        <v>71.199999999999932</v>
      </c>
      <c r="DI64">
        <f t="shared" si="167"/>
        <v>69.899999999999935</v>
      </c>
      <c r="DJ64">
        <f t="shared" si="167"/>
        <v>68.599999999999937</v>
      </c>
      <c r="DK64">
        <f t="shared" si="167"/>
        <v>-1</v>
      </c>
      <c r="DL64">
        <f t="shared" si="167"/>
        <v>-1</v>
      </c>
      <c r="DM64">
        <f t="shared" si="167"/>
        <v>-1</v>
      </c>
      <c r="DN64">
        <f t="shared" si="167"/>
        <v>-1</v>
      </c>
      <c r="DO64">
        <f t="shared" si="167"/>
        <v>73</v>
      </c>
      <c r="DP64">
        <f t="shared" si="167"/>
        <v>65</v>
      </c>
      <c r="DQ64">
        <f t="shared" si="167"/>
        <v>71.199999999999932</v>
      </c>
      <c r="DR64">
        <f t="shared" si="167"/>
        <v>68.599999999999937</v>
      </c>
      <c r="DS64">
        <f t="shared" si="167"/>
        <v>51</v>
      </c>
      <c r="DT64">
        <f t="shared" si="167"/>
        <v>45</v>
      </c>
      <c r="DU64">
        <f t="shared" si="167"/>
        <v>39</v>
      </c>
      <c r="DV64">
        <f t="shared" si="167"/>
        <v>33</v>
      </c>
      <c r="DW64">
        <f t="shared" si="167"/>
        <v>27</v>
      </c>
      <c r="DX64">
        <f t="shared" si="167"/>
        <v>21</v>
      </c>
      <c r="DY64">
        <f t="shared" si="167"/>
        <v>-1</v>
      </c>
      <c r="DZ64">
        <f t="shared" si="167"/>
        <v>-1</v>
      </c>
      <c r="EA64">
        <f t="shared" si="167"/>
        <v>-1</v>
      </c>
      <c r="EB64">
        <f t="shared" ref="EB64:EO64" si="168">IF(OR(EB63=-1,AND(IF(EB$3&lt;$B64,EB63+EB$6,IF(EB$3=$B64,1,""))&gt;$B$1,EB$3&lt;$B64)),-1,IF(EB$3&lt;$B64,EB63+EB$6,IF(EB$3=$B64,1,"")))</f>
        <v>-1</v>
      </c>
      <c r="EC64">
        <f t="shared" si="168"/>
        <v>-1</v>
      </c>
      <c r="ED64">
        <f t="shared" si="168"/>
        <v>-1</v>
      </c>
      <c r="EE64">
        <f t="shared" si="168"/>
        <v>-1</v>
      </c>
      <c r="EF64">
        <f t="shared" si="168"/>
        <v>74.600000000000009</v>
      </c>
      <c r="EG64">
        <f t="shared" si="168"/>
        <v>66.600000000000037</v>
      </c>
      <c r="EH64">
        <f t="shared" si="168"/>
        <v>58.600000000000037</v>
      </c>
      <c r="EI64">
        <f t="shared" si="168"/>
        <v>50.60000000000003</v>
      </c>
      <c r="EJ64">
        <f t="shared" si="168"/>
        <v>42.600000000000023</v>
      </c>
      <c r="EK64">
        <f t="shared" si="168"/>
        <v>-1</v>
      </c>
      <c r="EL64">
        <f t="shared" si="168"/>
        <v>-1</v>
      </c>
      <c r="EM64">
        <f t="shared" si="168"/>
        <v>68.200000000000031</v>
      </c>
      <c r="EN64">
        <f t="shared" si="168"/>
        <v>57.000000000000036</v>
      </c>
      <c r="EO64">
        <f t="shared" si="168"/>
        <v>45.800000000000026</v>
      </c>
    </row>
    <row r="65" spans="1:145" x14ac:dyDescent="0.15">
      <c r="A65" t="e">
        <f t="shared" si="0"/>
        <v>#N/A</v>
      </c>
      <c r="B65" s="218">
        <v>57</v>
      </c>
      <c r="C65">
        <f t="shared" si="0"/>
        <v>56</v>
      </c>
      <c r="D65">
        <f t="shared" ref="D65:BO65" si="169">IF(OR(D64=-1,AND(IF(D$3&lt;$B65,D64+D$6,IF(D$3=$B65,1,""))&gt;$B$1,D$3&lt;$B65)),-1,IF(D$3&lt;$B65,D64+D$6,IF(D$3=$B65,1,"")))</f>
        <v>54</v>
      </c>
      <c r="E65">
        <f t="shared" si="169"/>
        <v>52</v>
      </c>
      <c r="F65">
        <f t="shared" si="169"/>
        <v>50</v>
      </c>
      <c r="G65">
        <f t="shared" si="169"/>
        <v>48</v>
      </c>
      <c r="H65">
        <f t="shared" si="169"/>
        <v>46</v>
      </c>
      <c r="I65">
        <f t="shared" si="169"/>
        <v>63.399999999999942</v>
      </c>
      <c r="J65">
        <f t="shared" si="169"/>
        <v>51.699999999999967</v>
      </c>
      <c r="K65">
        <f t="shared" si="169"/>
        <v>39.999999999999993</v>
      </c>
      <c r="L65">
        <f t="shared" si="169"/>
        <v>37.4</v>
      </c>
      <c r="M65">
        <f t="shared" si="169"/>
        <v>33.899999999999984</v>
      </c>
      <c r="N65">
        <f t="shared" si="169"/>
        <v>30.399999999999977</v>
      </c>
      <c r="O65">
        <f t="shared" si="169"/>
        <v>56</v>
      </c>
      <c r="P65">
        <f t="shared" si="169"/>
        <v>54</v>
      </c>
      <c r="Q65">
        <f t="shared" si="169"/>
        <v>52</v>
      </c>
      <c r="R65">
        <f t="shared" si="169"/>
        <v>50</v>
      </c>
      <c r="S65">
        <f t="shared" si="169"/>
        <v>48</v>
      </c>
      <c r="T65">
        <f t="shared" si="169"/>
        <v>-1</v>
      </c>
      <c r="U65">
        <f t="shared" si="169"/>
        <v>-1</v>
      </c>
      <c r="V65">
        <f t="shared" si="169"/>
        <v>-1</v>
      </c>
      <c r="W65">
        <f t="shared" si="169"/>
        <v>-1</v>
      </c>
      <c r="X65">
        <f t="shared" si="169"/>
        <v>-1</v>
      </c>
      <c r="Y65">
        <f t="shared" si="169"/>
        <v>-1</v>
      </c>
      <c r="Z65">
        <f t="shared" si="169"/>
        <v>55</v>
      </c>
      <c r="AA65">
        <f t="shared" si="169"/>
        <v>52</v>
      </c>
      <c r="AB65">
        <f t="shared" si="169"/>
        <v>49</v>
      </c>
      <c r="AC65">
        <f t="shared" si="169"/>
        <v>-1</v>
      </c>
      <c r="AD65">
        <f t="shared" si="169"/>
        <v>-1</v>
      </c>
      <c r="AE65">
        <f t="shared" si="169"/>
        <v>71.199999999999946</v>
      </c>
      <c r="AF65">
        <f t="shared" si="169"/>
        <v>60.399999999999963</v>
      </c>
      <c r="AG65">
        <f t="shared" si="169"/>
        <v>49.59999999999998</v>
      </c>
      <c r="AH65">
        <f t="shared" si="169"/>
        <v>38.799999999999997</v>
      </c>
      <c r="AI65">
        <f t="shared" si="169"/>
        <v>32.800000000000033</v>
      </c>
      <c r="AJ65">
        <f t="shared" si="169"/>
        <v>30.400000000000027</v>
      </c>
      <c r="AK65">
        <f t="shared" si="169"/>
        <v>28.000000000000021</v>
      </c>
      <c r="AL65">
        <f t="shared" si="169"/>
        <v>25.600000000000016</v>
      </c>
      <c r="AM65">
        <f t="shared" si="169"/>
        <v>52</v>
      </c>
      <c r="AN65">
        <f t="shared" si="169"/>
        <v>46</v>
      </c>
      <c r="AO65">
        <f t="shared" si="169"/>
        <v>40</v>
      </c>
      <c r="AP65">
        <f t="shared" si="169"/>
        <v>71.199999999999932</v>
      </c>
      <c r="AQ65">
        <f t="shared" si="169"/>
        <v>67.29999999999994</v>
      </c>
      <c r="AR65">
        <f t="shared" si="169"/>
        <v>63.399999999999942</v>
      </c>
      <c r="AS65">
        <f t="shared" si="169"/>
        <v>59.49999999999995</v>
      </c>
      <c r="AT65">
        <f t="shared" si="169"/>
        <v>55.599999999999959</v>
      </c>
      <c r="AU65">
        <f t="shared" si="169"/>
        <v>51.699999999999967</v>
      </c>
      <c r="AV65">
        <f t="shared" si="169"/>
        <v>47.799999999999976</v>
      </c>
      <c r="AW65">
        <f t="shared" si="169"/>
        <v>52</v>
      </c>
      <c r="AX65">
        <f t="shared" si="169"/>
        <v>46</v>
      </c>
      <c r="AY65">
        <f t="shared" si="169"/>
        <v>-1</v>
      </c>
      <c r="AZ65">
        <f t="shared" si="169"/>
        <v>-1</v>
      </c>
      <c r="BA65">
        <f t="shared" si="169"/>
        <v>-1</v>
      </c>
      <c r="BB65">
        <f t="shared" si="169"/>
        <v>-1</v>
      </c>
      <c r="BC65">
        <f t="shared" si="169"/>
        <v>-1</v>
      </c>
      <c r="BD65">
        <f t="shared" si="169"/>
        <v>73.799999999999926</v>
      </c>
      <c r="BE65">
        <f t="shared" si="169"/>
        <v>-1</v>
      </c>
      <c r="BF65">
        <f t="shared" si="169"/>
        <v>-1</v>
      </c>
      <c r="BG65">
        <f t="shared" si="169"/>
        <v>-1</v>
      </c>
      <c r="BH65">
        <f t="shared" si="169"/>
        <v>-1</v>
      </c>
      <c r="BI65">
        <f t="shared" si="169"/>
        <v>53</v>
      </c>
      <c r="BJ65">
        <f t="shared" si="169"/>
        <v>48</v>
      </c>
      <c r="BK65">
        <f t="shared" si="169"/>
        <v>43</v>
      </c>
      <c r="BL65">
        <f t="shared" si="169"/>
        <v>38</v>
      </c>
      <c r="BM65">
        <f t="shared" si="169"/>
        <v>52</v>
      </c>
      <c r="BN65">
        <f t="shared" si="169"/>
        <v>72.499999999999929</v>
      </c>
      <c r="BO65">
        <f t="shared" si="169"/>
        <v>69.899999999999935</v>
      </c>
      <c r="BP65">
        <f t="shared" ref="BP65:EA65" si="170">IF(OR(BP64=-1,AND(IF(BP$3&lt;$B65,BP64+BP$6,IF(BP$3=$B65,1,""))&gt;$B$1,BP$3&lt;$B65)),-1,IF(BP$3&lt;$B65,BP64+BP$6,IF(BP$3=$B65,1,"")))</f>
        <v>-1</v>
      </c>
      <c r="BQ65">
        <f t="shared" si="170"/>
        <v>-1</v>
      </c>
      <c r="BR65">
        <f t="shared" si="170"/>
        <v>-1</v>
      </c>
      <c r="BS65">
        <f t="shared" si="170"/>
        <v>56</v>
      </c>
      <c r="BT65">
        <f t="shared" si="170"/>
        <v>54</v>
      </c>
      <c r="BU65">
        <f t="shared" si="170"/>
        <v>31.60000000000003</v>
      </c>
      <c r="BV65">
        <f t="shared" si="170"/>
        <v>28.000000000000021</v>
      </c>
      <c r="BW65">
        <f t="shared" si="170"/>
        <v>24.400000000000013</v>
      </c>
      <c r="BX65">
        <f t="shared" si="170"/>
        <v>20.800000000000004</v>
      </c>
      <c r="BY65">
        <f t="shared" si="170"/>
        <v>17.199999999999996</v>
      </c>
      <c r="BZ65">
        <f t="shared" si="170"/>
        <v>13.599999999999994</v>
      </c>
      <c r="CA65">
        <f t="shared" si="170"/>
        <v>9.9999999999999964</v>
      </c>
      <c r="CB65">
        <f t="shared" si="170"/>
        <v>6.3999999999999986</v>
      </c>
      <c r="CC65">
        <f t="shared" si="170"/>
        <v>2.8000000000000003</v>
      </c>
      <c r="CD65" t="str">
        <f t="shared" si="170"/>
        <v/>
      </c>
      <c r="CE65" t="str">
        <f t="shared" si="170"/>
        <v/>
      </c>
      <c r="CF65" t="str">
        <f t="shared" si="170"/>
        <v/>
      </c>
      <c r="CG65" t="str">
        <f t="shared" si="170"/>
        <v/>
      </c>
      <c r="CH65" t="str">
        <f t="shared" si="170"/>
        <v/>
      </c>
      <c r="CI65" t="str">
        <f t="shared" si="170"/>
        <v/>
      </c>
      <c r="CJ65" t="str">
        <f t="shared" si="170"/>
        <v/>
      </c>
      <c r="CK65" t="str">
        <f t="shared" si="170"/>
        <v/>
      </c>
      <c r="CL65" t="str">
        <f t="shared" si="170"/>
        <v/>
      </c>
      <c r="CM65" t="str">
        <f t="shared" si="170"/>
        <v/>
      </c>
      <c r="CN65" t="str">
        <f t="shared" si="170"/>
        <v/>
      </c>
      <c r="CO65">
        <f t="shared" si="170"/>
        <v>16.5</v>
      </c>
      <c r="CP65">
        <f t="shared" si="170"/>
        <v>3.5</v>
      </c>
      <c r="CQ65">
        <f t="shared" si="170"/>
        <v>53</v>
      </c>
      <c r="CR65">
        <f t="shared" si="170"/>
        <v>48</v>
      </c>
      <c r="CS65">
        <f t="shared" si="170"/>
        <v>43</v>
      </c>
      <c r="CT65">
        <f t="shared" si="170"/>
        <v>72.499999999999929</v>
      </c>
      <c r="CU65">
        <f t="shared" si="170"/>
        <v>69.899999999999935</v>
      </c>
      <c r="CV65">
        <f t="shared" si="170"/>
        <v>-1</v>
      </c>
      <c r="CW65">
        <f t="shared" si="170"/>
        <v>-1</v>
      </c>
      <c r="CX65">
        <f t="shared" si="170"/>
        <v>68.200000000000031</v>
      </c>
      <c r="CY65">
        <f t="shared" si="170"/>
        <v>60.200000000000038</v>
      </c>
      <c r="CZ65">
        <f t="shared" si="170"/>
        <v>52.200000000000031</v>
      </c>
      <c r="DA65">
        <f t="shared" si="170"/>
        <v>54</v>
      </c>
      <c r="DB65">
        <f t="shared" si="170"/>
        <v>50</v>
      </c>
      <c r="DC65">
        <f t="shared" si="170"/>
        <v>46</v>
      </c>
      <c r="DD65">
        <f t="shared" si="170"/>
        <v>42</v>
      </c>
      <c r="DE65">
        <f t="shared" si="170"/>
        <v>56</v>
      </c>
      <c r="DF65">
        <f t="shared" si="170"/>
        <v>54</v>
      </c>
      <c r="DG65">
        <f t="shared" si="170"/>
        <v>73.799999999999926</v>
      </c>
      <c r="DH65">
        <f t="shared" si="170"/>
        <v>72.499999999999929</v>
      </c>
      <c r="DI65">
        <f t="shared" si="170"/>
        <v>71.199999999999932</v>
      </c>
      <c r="DJ65">
        <f t="shared" si="170"/>
        <v>69.899999999999935</v>
      </c>
      <c r="DK65">
        <f t="shared" si="170"/>
        <v>-1</v>
      </c>
      <c r="DL65">
        <f t="shared" si="170"/>
        <v>-1</v>
      </c>
      <c r="DM65">
        <f t="shared" si="170"/>
        <v>-1</v>
      </c>
      <c r="DN65">
        <f t="shared" si="170"/>
        <v>-1</v>
      </c>
      <c r="DO65">
        <f t="shared" si="170"/>
        <v>75</v>
      </c>
      <c r="DP65">
        <f t="shared" si="170"/>
        <v>67</v>
      </c>
      <c r="DQ65">
        <f t="shared" si="170"/>
        <v>72.499999999999929</v>
      </c>
      <c r="DR65">
        <f t="shared" si="170"/>
        <v>69.899999999999935</v>
      </c>
      <c r="DS65">
        <f t="shared" si="170"/>
        <v>52</v>
      </c>
      <c r="DT65">
        <f t="shared" si="170"/>
        <v>46</v>
      </c>
      <c r="DU65">
        <f t="shared" si="170"/>
        <v>40</v>
      </c>
      <c r="DV65">
        <f t="shared" si="170"/>
        <v>34</v>
      </c>
      <c r="DW65">
        <f t="shared" si="170"/>
        <v>28</v>
      </c>
      <c r="DX65">
        <f t="shared" si="170"/>
        <v>22</v>
      </c>
      <c r="DY65">
        <f t="shared" si="170"/>
        <v>-1</v>
      </c>
      <c r="DZ65">
        <f t="shared" si="170"/>
        <v>-1</v>
      </c>
      <c r="EA65">
        <f t="shared" si="170"/>
        <v>-1</v>
      </c>
      <c r="EB65">
        <f t="shared" ref="EB65:EO65" si="171">IF(OR(EB64=-1,AND(IF(EB$3&lt;$B65,EB64+EB$6,IF(EB$3=$B65,1,""))&gt;$B$1,EB$3&lt;$B65)),-1,IF(EB$3&lt;$B65,EB64+EB$6,IF(EB$3=$B65,1,"")))</f>
        <v>-1</v>
      </c>
      <c r="EC65">
        <f t="shared" si="171"/>
        <v>-1</v>
      </c>
      <c r="ED65">
        <f t="shared" si="171"/>
        <v>-1</v>
      </c>
      <c r="EE65">
        <f t="shared" si="171"/>
        <v>-1</v>
      </c>
      <c r="EF65">
        <f t="shared" si="171"/>
        <v>-1</v>
      </c>
      <c r="EG65">
        <f t="shared" si="171"/>
        <v>68.200000000000031</v>
      </c>
      <c r="EH65">
        <f t="shared" si="171"/>
        <v>60.200000000000038</v>
      </c>
      <c r="EI65">
        <f t="shared" si="171"/>
        <v>52.200000000000031</v>
      </c>
      <c r="EJ65">
        <f t="shared" si="171"/>
        <v>44.200000000000024</v>
      </c>
      <c r="EK65">
        <f t="shared" si="171"/>
        <v>-1</v>
      </c>
      <c r="EL65">
        <f t="shared" si="171"/>
        <v>-1</v>
      </c>
      <c r="EM65">
        <f t="shared" si="171"/>
        <v>69.800000000000026</v>
      </c>
      <c r="EN65">
        <f t="shared" si="171"/>
        <v>58.600000000000037</v>
      </c>
      <c r="EO65">
        <f t="shared" si="171"/>
        <v>47.400000000000027</v>
      </c>
    </row>
    <row r="66" spans="1:145" x14ac:dyDescent="0.15">
      <c r="A66" t="e">
        <f t="shared" si="0"/>
        <v>#N/A</v>
      </c>
      <c r="B66" s="218">
        <v>58</v>
      </c>
      <c r="C66">
        <f t="shared" si="0"/>
        <v>57</v>
      </c>
      <c r="D66">
        <f t="shared" ref="D66:BO66" si="172">IF(OR(D65=-1,AND(IF(D$3&lt;$B66,D65+D$6,IF(D$3=$B66,1,""))&gt;$B$1,D$3&lt;$B66)),-1,IF(D$3&lt;$B66,D65+D$6,IF(D$3=$B66,1,"")))</f>
        <v>55</v>
      </c>
      <c r="E66">
        <f t="shared" si="172"/>
        <v>53</v>
      </c>
      <c r="F66">
        <f t="shared" si="172"/>
        <v>51</v>
      </c>
      <c r="G66">
        <f t="shared" si="172"/>
        <v>49</v>
      </c>
      <c r="H66">
        <f t="shared" si="172"/>
        <v>47</v>
      </c>
      <c r="I66">
        <f t="shared" si="172"/>
        <v>64.699999999999946</v>
      </c>
      <c r="J66">
        <f t="shared" si="172"/>
        <v>52.999999999999964</v>
      </c>
      <c r="K66">
        <f t="shared" si="172"/>
        <v>41.29999999999999</v>
      </c>
      <c r="L66">
        <f t="shared" si="172"/>
        <v>38.1</v>
      </c>
      <c r="M66">
        <f t="shared" si="172"/>
        <v>34.599999999999987</v>
      </c>
      <c r="N66">
        <f t="shared" si="172"/>
        <v>31.099999999999977</v>
      </c>
      <c r="O66">
        <f t="shared" si="172"/>
        <v>57</v>
      </c>
      <c r="P66">
        <f t="shared" si="172"/>
        <v>55</v>
      </c>
      <c r="Q66">
        <f t="shared" si="172"/>
        <v>53</v>
      </c>
      <c r="R66">
        <f t="shared" si="172"/>
        <v>51</v>
      </c>
      <c r="S66">
        <f t="shared" si="172"/>
        <v>49</v>
      </c>
      <c r="T66">
        <f t="shared" si="172"/>
        <v>-1</v>
      </c>
      <c r="U66">
        <f t="shared" si="172"/>
        <v>-1</v>
      </c>
      <c r="V66">
        <f t="shared" si="172"/>
        <v>-1</v>
      </c>
      <c r="W66">
        <f t="shared" si="172"/>
        <v>-1</v>
      </c>
      <c r="X66">
        <f t="shared" si="172"/>
        <v>-1</v>
      </c>
      <c r="Y66">
        <f t="shared" si="172"/>
        <v>-1</v>
      </c>
      <c r="Z66">
        <f t="shared" si="172"/>
        <v>56</v>
      </c>
      <c r="AA66">
        <f t="shared" si="172"/>
        <v>53</v>
      </c>
      <c r="AB66">
        <f t="shared" si="172"/>
        <v>50</v>
      </c>
      <c r="AC66">
        <f t="shared" si="172"/>
        <v>-1</v>
      </c>
      <c r="AD66">
        <f t="shared" si="172"/>
        <v>-1</v>
      </c>
      <c r="AE66">
        <f t="shared" si="172"/>
        <v>72.999999999999943</v>
      </c>
      <c r="AF66">
        <f t="shared" si="172"/>
        <v>62.19999999999996</v>
      </c>
      <c r="AG66">
        <f t="shared" si="172"/>
        <v>51.399999999999977</v>
      </c>
      <c r="AH66">
        <f t="shared" si="172"/>
        <v>40.599999999999994</v>
      </c>
      <c r="AI66">
        <f t="shared" si="172"/>
        <v>33.400000000000034</v>
      </c>
      <c r="AJ66">
        <f t="shared" si="172"/>
        <v>31.000000000000028</v>
      </c>
      <c r="AK66">
        <f t="shared" si="172"/>
        <v>28.600000000000023</v>
      </c>
      <c r="AL66">
        <f t="shared" si="172"/>
        <v>26.200000000000017</v>
      </c>
      <c r="AM66">
        <f t="shared" si="172"/>
        <v>53</v>
      </c>
      <c r="AN66">
        <f t="shared" si="172"/>
        <v>47</v>
      </c>
      <c r="AO66">
        <f t="shared" si="172"/>
        <v>41</v>
      </c>
      <c r="AP66">
        <f t="shared" si="172"/>
        <v>72.499999999999929</v>
      </c>
      <c r="AQ66">
        <f t="shared" si="172"/>
        <v>68.599999999999937</v>
      </c>
      <c r="AR66">
        <f t="shared" si="172"/>
        <v>64.699999999999946</v>
      </c>
      <c r="AS66">
        <f t="shared" si="172"/>
        <v>60.799999999999947</v>
      </c>
      <c r="AT66">
        <f t="shared" si="172"/>
        <v>56.899999999999956</v>
      </c>
      <c r="AU66">
        <f t="shared" si="172"/>
        <v>52.999999999999964</v>
      </c>
      <c r="AV66">
        <f t="shared" si="172"/>
        <v>49.099999999999973</v>
      </c>
      <c r="AW66">
        <f t="shared" si="172"/>
        <v>53</v>
      </c>
      <c r="AX66">
        <f t="shared" si="172"/>
        <v>47</v>
      </c>
      <c r="AY66">
        <f t="shared" si="172"/>
        <v>-1</v>
      </c>
      <c r="AZ66">
        <f t="shared" si="172"/>
        <v>-1</v>
      </c>
      <c r="BA66">
        <f t="shared" si="172"/>
        <v>-1</v>
      </c>
      <c r="BB66">
        <f t="shared" si="172"/>
        <v>-1</v>
      </c>
      <c r="BC66">
        <f t="shared" si="172"/>
        <v>-1</v>
      </c>
      <c r="BD66">
        <f t="shared" si="172"/>
        <v>-1</v>
      </c>
      <c r="BE66">
        <f t="shared" si="172"/>
        <v>-1</v>
      </c>
      <c r="BF66">
        <f t="shared" si="172"/>
        <v>-1</v>
      </c>
      <c r="BG66">
        <f t="shared" si="172"/>
        <v>-1</v>
      </c>
      <c r="BH66">
        <f t="shared" si="172"/>
        <v>-1</v>
      </c>
      <c r="BI66">
        <f t="shared" si="172"/>
        <v>54</v>
      </c>
      <c r="BJ66">
        <f t="shared" si="172"/>
        <v>49</v>
      </c>
      <c r="BK66">
        <f t="shared" si="172"/>
        <v>44</v>
      </c>
      <c r="BL66">
        <f t="shared" si="172"/>
        <v>39</v>
      </c>
      <c r="BM66">
        <f t="shared" si="172"/>
        <v>53</v>
      </c>
      <c r="BN66">
        <f t="shared" si="172"/>
        <v>73.799999999999926</v>
      </c>
      <c r="BO66">
        <f t="shared" si="172"/>
        <v>71.199999999999932</v>
      </c>
      <c r="BP66">
        <f t="shared" ref="BP66:EA66" si="173">IF(OR(BP65=-1,AND(IF(BP$3&lt;$B66,BP65+BP$6,IF(BP$3=$B66,1,""))&gt;$B$1,BP$3&lt;$B66)),-1,IF(BP$3&lt;$B66,BP65+BP$6,IF(BP$3=$B66,1,"")))</f>
        <v>-1</v>
      </c>
      <c r="BQ66">
        <f t="shared" si="173"/>
        <v>-1</v>
      </c>
      <c r="BR66">
        <f t="shared" si="173"/>
        <v>-1</v>
      </c>
      <c r="BS66">
        <f t="shared" si="173"/>
        <v>57</v>
      </c>
      <c r="BT66">
        <f t="shared" si="173"/>
        <v>55</v>
      </c>
      <c r="BU66">
        <f t="shared" si="173"/>
        <v>32.200000000000031</v>
      </c>
      <c r="BV66">
        <f t="shared" si="173"/>
        <v>28.600000000000023</v>
      </c>
      <c r="BW66">
        <f t="shared" si="173"/>
        <v>25.000000000000014</v>
      </c>
      <c r="BX66">
        <f t="shared" si="173"/>
        <v>21.400000000000006</v>
      </c>
      <c r="BY66">
        <f t="shared" si="173"/>
        <v>17.799999999999997</v>
      </c>
      <c r="BZ66">
        <f t="shared" si="173"/>
        <v>14.199999999999994</v>
      </c>
      <c r="CA66">
        <f t="shared" si="173"/>
        <v>10.599999999999996</v>
      </c>
      <c r="CB66">
        <f t="shared" si="173"/>
        <v>6.9999999999999982</v>
      </c>
      <c r="CC66">
        <f t="shared" si="173"/>
        <v>3.4000000000000004</v>
      </c>
      <c r="CD66" t="str">
        <f t="shared" si="173"/>
        <v/>
      </c>
      <c r="CE66" t="str">
        <f t="shared" si="173"/>
        <v/>
      </c>
      <c r="CF66" t="str">
        <f t="shared" si="173"/>
        <v/>
      </c>
      <c r="CG66" t="str">
        <f t="shared" si="173"/>
        <v/>
      </c>
      <c r="CH66" t="str">
        <f t="shared" si="173"/>
        <v/>
      </c>
      <c r="CI66" t="str">
        <f t="shared" si="173"/>
        <v/>
      </c>
      <c r="CJ66" t="str">
        <f t="shared" si="173"/>
        <v/>
      </c>
      <c r="CK66" t="str">
        <f t="shared" si="173"/>
        <v/>
      </c>
      <c r="CL66" t="str">
        <f t="shared" si="173"/>
        <v/>
      </c>
      <c r="CM66" t="str">
        <f t="shared" si="173"/>
        <v/>
      </c>
      <c r="CN66" t="str">
        <f t="shared" si="173"/>
        <v/>
      </c>
      <c r="CO66">
        <f t="shared" si="173"/>
        <v>17</v>
      </c>
      <c r="CP66">
        <f t="shared" si="173"/>
        <v>4</v>
      </c>
      <c r="CQ66">
        <f t="shared" si="173"/>
        <v>54</v>
      </c>
      <c r="CR66">
        <f t="shared" si="173"/>
        <v>49</v>
      </c>
      <c r="CS66">
        <f t="shared" si="173"/>
        <v>44</v>
      </c>
      <c r="CT66">
        <f t="shared" si="173"/>
        <v>73.799999999999926</v>
      </c>
      <c r="CU66">
        <f t="shared" si="173"/>
        <v>71.199999999999932</v>
      </c>
      <c r="CV66">
        <f t="shared" si="173"/>
        <v>-1</v>
      </c>
      <c r="CW66">
        <f t="shared" si="173"/>
        <v>-1</v>
      </c>
      <c r="CX66">
        <f t="shared" si="173"/>
        <v>69.800000000000026</v>
      </c>
      <c r="CY66">
        <f t="shared" si="173"/>
        <v>61.80000000000004</v>
      </c>
      <c r="CZ66">
        <f t="shared" si="173"/>
        <v>53.800000000000033</v>
      </c>
      <c r="DA66">
        <f t="shared" si="173"/>
        <v>55</v>
      </c>
      <c r="DB66">
        <f t="shared" si="173"/>
        <v>51</v>
      </c>
      <c r="DC66">
        <f t="shared" si="173"/>
        <v>47</v>
      </c>
      <c r="DD66">
        <f t="shared" si="173"/>
        <v>43</v>
      </c>
      <c r="DE66">
        <f t="shared" si="173"/>
        <v>57</v>
      </c>
      <c r="DF66">
        <f t="shared" si="173"/>
        <v>55</v>
      </c>
      <c r="DG66">
        <f t="shared" si="173"/>
        <v>-1</v>
      </c>
      <c r="DH66">
        <f t="shared" si="173"/>
        <v>73.799999999999926</v>
      </c>
      <c r="DI66">
        <f t="shared" si="173"/>
        <v>72.499999999999929</v>
      </c>
      <c r="DJ66">
        <f t="shared" si="173"/>
        <v>71.199999999999932</v>
      </c>
      <c r="DK66">
        <f t="shared" si="173"/>
        <v>-1</v>
      </c>
      <c r="DL66">
        <f t="shared" si="173"/>
        <v>-1</v>
      </c>
      <c r="DM66">
        <f t="shared" si="173"/>
        <v>-1</v>
      </c>
      <c r="DN66">
        <f t="shared" si="173"/>
        <v>-1</v>
      </c>
      <c r="DO66">
        <f t="shared" si="173"/>
        <v>-1</v>
      </c>
      <c r="DP66">
        <f t="shared" si="173"/>
        <v>69</v>
      </c>
      <c r="DQ66">
        <f t="shared" si="173"/>
        <v>73.799999999999926</v>
      </c>
      <c r="DR66">
        <f t="shared" si="173"/>
        <v>71.199999999999932</v>
      </c>
      <c r="DS66">
        <f t="shared" si="173"/>
        <v>53</v>
      </c>
      <c r="DT66">
        <f t="shared" si="173"/>
        <v>47</v>
      </c>
      <c r="DU66">
        <f t="shared" si="173"/>
        <v>41</v>
      </c>
      <c r="DV66">
        <f t="shared" si="173"/>
        <v>35</v>
      </c>
      <c r="DW66">
        <f t="shared" si="173"/>
        <v>29</v>
      </c>
      <c r="DX66">
        <f t="shared" si="173"/>
        <v>23</v>
      </c>
      <c r="DY66">
        <f t="shared" si="173"/>
        <v>-1</v>
      </c>
      <c r="DZ66">
        <f t="shared" si="173"/>
        <v>-1</v>
      </c>
      <c r="EA66">
        <f t="shared" si="173"/>
        <v>-1</v>
      </c>
      <c r="EB66">
        <f t="shared" ref="EB66:EO66" si="174">IF(OR(EB65=-1,AND(IF(EB$3&lt;$B66,EB65+EB$6,IF(EB$3=$B66,1,""))&gt;$B$1,EB$3&lt;$B66)),-1,IF(EB$3&lt;$B66,EB65+EB$6,IF(EB$3=$B66,1,"")))</f>
        <v>-1</v>
      </c>
      <c r="EC66">
        <f t="shared" si="174"/>
        <v>-1</v>
      </c>
      <c r="ED66">
        <f t="shared" si="174"/>
        <v>-1</v>
      </c>
      <c r="EE66">
        <f t="shared" si="174"/>
        <v>-1</v>
      </c>
      <c r="EF66">
        <f t="shared" si="174"/>
        <v>-1</v>
      </c>
      <c r="EG66">
        <f t="shared" si="174"/>
        <v>69.800000000000026</v>
      </c>
      <c r="EH66">
        <f t="shared" si="174"/>
        <v>61.80000000000004</v>
      </c>
      <c r="EI66">
        <f t="shared" si="174"/>
        <v>53.800000000000033</v>
      </c>
      <c r="EJ66">
        <f t="shared" si="174"/>
        <v>45.800000000000026</v>
      </c>
      <c r="EK66">
        <f t="shared" si="174"/>
        <v>-1</v>
      </c>
      <c r="EL66">
        <f t="shared" si="174"/>
        <v>-1</v>
      </c>
      <c r="EM66">
        <f t="shared" si="174"/>
        <v>71.40000000000002</v>
      </c>
      <c r="EN66">
        <f t="shared" si="174"/>
        <v>60.200000000000038</v>
      </c>
      <c r="EO66">
        <f t="shared" si="174"/>
        <v>49.000000000000028</v>
      </c>
    </row>
    <row r="67" spans="1:145" x14ac:dyDescent="0.15">
      <c r="A67" t="e">
        <f t="shared" si="0"/>
        <v>#N/A</v>
      </c>
      <c r="B67" s="218">
        <v>59</v>
      </c>
      <c r="C67">
        <f t="shared" si="0"/>
        <v>58</v>
      </c>
      <c r="D67">
        <f t="shared" ref="D67:BO67" si="175">IF(OR(D66=-1,AND(IF(D$3&lt;$B67,D66+D$6,IF(D$3=$B67,1,""))&gt;$B$1,D$3&lt;$B67)),-1,IF(D$3&lt;$B67,D66+D$6,IF(D$3=$B67,1,"")))</f>
        <v>56</v>
      </c>
      <c r="E67">
        <f t="shared" si="175"/>
        <v>54</v>
      </c>
      <c r="F67">
        <f t="shared" si="175"/>
        <v>52</v>
      </c>
      <c r="G67">
        <f t="shared" si="175"/>
        <v>50</v>
      </c>
      <c r="H67">
        <f t="shared" si="175"/>
        <v>48</v>
      </c>
      <c r="I67">
        <f t="shared" si="175"/>
        <v>65.999999999999943</v>
      </c>
      <c r="J67">
        <f t="shared" si="175"/>
        <v>54.299999999999962</v>
      </c>
      <c r="K67">
        <f t="shared" si="175"/>
        <v>42.599999999999987</v>
      </c>
      <c r="L67">
        <f t="shared" si="175"/>
        <v>38.800000000000004</v>
      </c>
      <c r="M67">
        <f t="shared" si="175"/>
        <v>35.29999999999999</v>
      </c>
      <c r="N67">
        <f t="shared" si="175"/>
        <v>31.799999999999976</v>
      </c>
      <c r="O67">
        <f t="shared" si="175"/>
        <v>58</v>
      </c>
      <c r="P67">
        <f t="shared" si="175"/>
        <v>56</v>
      </c>
      <c r="Q67">
        <f t="shared" si="175"/>
        <v>54</v>
      </c>
      <c r="R67">
        <f t="shared" si="175"/>
        <v>52</v>
      </c>
      <c r="S67">
        <f t="shared" si="175"/>
        <v>50</v>
      </c>
      <c r="T67">
        <f t="shared" si="175"/>
        <v>-1</v>
      </c>
      <c r="U67">
        <f t="shared" si="175"/>
        <v>-1</v>
      </c>
      <c r="V67">
        <f t="shared" si="175"/>
        <v>-1</v>
      </c>
      <c r="W67">
        <f t="shared" si="175"/>
        <v>-1</v>
      </c>
      <c r="X67">
        <f t="shared" si="175"/>
        <v>-1</v>
      </c>
      <c r="Y67">
        <f t="shared" si="175"/>
        <v>-1</v>
      </c>
      <c r="Z67">
        <f t="shared" si="175"/>
        <v>57</v>
      </c>
      <c r="AA67">
        <f t="shared" si="175"/>
        <v>54</v>
      </c>
      <c r="AB67">
        <f t="shared" si="175"/>
        <v>51</v>
      </c>
      <c r="AC67">
        <f t="shared" si="175"/>
        <v>-1</v>
      </c>
      <c r="AD67">
        <f t="shared" si="175"/>
        <v>-1</v>
      </c>
      <c r="AE67">
        <f t="shared" si="175"/>
        <v>74.79999999999994</v>
      </c>
      <c r="AF67">
        <f t="shared" si="175"/>
        <v>63.999999999999957</v>
      </c>
      <c r="AG67">
        <f t="shared" si="175"/>
        <v>53.199999999999974</v>
      </c>
      <c r="AH67">
        <f t="shared" si="175"/>
        <v>42.399999999999991</v>
      </c>
      <c r="AI67">
        <f t="shared" si="175"/>
        <v>34.000000000000036</v>
      </c>
      <c r="AJ67">
        <f t="shared" si="175"/>
        <v>31.60000000000003</v>
      </c>
      <c r="AK67">
        <f t="shared" si="175"/>
        <v>29.200000000000024</v>
      </c>
      <c r="AL67">
        <f t="shared" si="175"/>
        <v>26.800000000000018</v>
      </c>
      <c r="AM67">
        <f t="shared" si="175"/>
        <v>54</v>
      </c>
      <c r="AN67">
        <f t="shared" si="175"/>
        <v>48</v>
      </c>
      <c r="AO67">
        <f t="shared" si="175"/>
        <v>42</v>
      </c>
      <c r="AP67">
        <f t="shared" si="175"/>
        <v>73.799999999999926</v>
      </c>
      <c r="AQ67">
        <f t="shared" si="175"/>
        <v>69.899999999999935</v>
      </c>
      <c r="AR67">
        <f t="shared" si="175"/>
        <v>65.999999999999943</v>
      </c>
      <c r="AS67">
        <f t="shared" si="175"/>
        <v>62.099999999999945</v>
      </c>
      <c r="AT67">
        <f t="shared" si="175"/>
        <v>58.199999999999953</v>
      </c>
      <c r="AU67">
        <f t="shared" si="175"/>
        <v>54.299999999999962</v>
      </c>
      <c r="AV67">
        <f t="shared" si="175"/>
        <v>50.39999999999997</v>
      </c>
      <c r="AW67">
        <f t="shared" si="175"/>
        <v>54</v>
      </c>
      <c r="AX67">
        <f t="shared" si="175"/>
        <v>48</v>
      </c>
      <c r="AY67">
        <f t="shared" si="175"/>
        <v>-1</v>
      </c>
      <c r="AZ67">
        <f t="shared" si="175"/>
        <v>-1</v>
      </c>
      <c r="BA67">
        <f t="shared" si="175"/>
        <v>-1</v>
      </c>
      <c r="BB67">
        <f t="shared" si="175"/>
        <v>-1</v>
      </c>
      <c r="BC67">
        <f t="shared" si="175"/>
        <v>-1</v>
      </c>
      <c r="BD67">
        <f t="shared" si="175"/>
        <v>-1</v>
      </c>
      <c r="BE67">
        <f t="shared" si="175"/>
        <v>-1</v>
      </c>
      <c r="BF67">
        <f t="shared" si="175"/>
        <v>-1</v>
      </c>
      <c r="BG67">
        <f t="shared" si="175"/>
        <v>-1</v>
      </c>
      <c r="BH67">
        <f t="shared" si="175"/>
        <v>-1</v>
      </c>
      <c r="BI67">
        <f t="shared" si="175"/>
        <v>55</v>
      </c>
      <c r="BJ67">
        <f t="shared" si="175"/>
        <v>50</v>
      </c>
      <c r="BK67">
        <f t="shared" si="175"/>
        <v>45</v>
      </c>
      <c r="BL67">
        <f t="shared" si="175"/>
        <v>40</v>
      </c>
      <c r="BM67">
        <f t="shared" si="175"/>
        <v>54</v>
      </c>
      <c r="BN67">
        <f t="shared" si="175"/>
        <v>-1</v>
      </c>
      <c r="BO67">
        <f t="shared" si="175"/>
        <v>72.499999999999929</v>
      </c>
      <c r="BP67">
        <f t="shared" ref="BP67:EA67" si="176">IF(OR(BP66=-1,AND(IF(BP$3&lt;$B67,BP66+BP$6,IF(BP$3=$B67,1,""))&gt;$B$1,BP$3&lt;$B67)),-1,IF(BP$3&lt;$B67,BP66+BP$6,IF(BP$3=$B67,1,"")))</f>
        <v>-1</v>
      </c>
      <c r="BQ67">
        <f t="shared" si="176"/>
        <v>-1</v>
      </c>
      <c r="BR67">
        <f t="shared" si="176"/>
        <v>-1</v>
      </c>
      <c r="BS67">
        <f t="shared" si="176"/>
        <v>58</v>
      </c>
      <c r="BT67">
        <f t="shared" si="176"/>
        <v>56</v>
      </c>
      <c r="BU67">
        <f t="shared" si="176"/>
        <v>32.800000000000033</v>
      </c>
      <c r="BV67">
        <f t="shared" si="176"/>
        <v>29.200000000000024</v>
      </c>
      <c r="BW67">
        <f t="shared" si="176"/>
        <v>25.600000000000016</v>
      </c>
      <c r="BX67">
        <f t="shared" si="176"/>
        <v>22.000000000000007</v>
      </c>
      <c r="BY67">
        <f t="shared" si="176"/>
        <v>18.399999999999999</v>
      </c>
      <c r="BZ67">
        <f t="shared" si="176"/>
        <v>14.799999999999994</v>
      </c>
      <c r="CA67">
        <f t="shared" si="176"/>
        <v>11.199999999999996</v>
      </c>
      <c r="CB67">
        <f t="shared" si="176"/>
        <v>7.5999999999999979</v>
      </c>
      <c r="CC67">
        <f t="shared" si="176"/>
        <v>4</v>
      </c>
      <c r="CD67" t="str">
        <f t="shared" si="176"/>
        <v/>
      </c>
      <c r="CE67" t="str">
        <f t="shared" si="176"/>
        <v/>
      </c>
      <c r="CF67" t="str">
        <f t="shared" si="176"/>
        <v/>
      </c>
      <c r="CG67" t="str">
        <f t="shared" si="176"/>
        <v/>
      </c>
      <c r="CH67" t="str">
        <f t="shared" si="176"/>
        <v/>
      </c>
      <c r="CI67" t="str">
        <f t="shared" si="176"/>
        <v/>
      </c>
      <c r="CJ67" t="str">
        <f t="shared" si="176"/>
        <v/>
      </c>
      <c r="CK67" t="str">
        <f t="shared" si="176"/>
        <v/>
      </c>
      <c r="CL67" t="str">
        <f t="shared" si="176"/>
        <v/>
      </c>
      <c r="CM67" t="str">
        <f t="shared" si="176"/>
        <v/>
      </c>
      <c r="CN67" t="str">
        <f t="shared" si="176"/>
        <v/>
      </c>
      <c r="CO67">
        <f t="shared" si="176"/>
        <v>17.5</v>
      </c>
      <c r="CP67">
        <f t="shared" si="176"/>
        <v>4.5</v>
      </c>
      <c r="CQ67">
        <f t="shared" si="176"/>
        <v>55</v>
      </c>
      <c r="CR67">
        <f t="shared" si="176"/>
        <v>50</v>
      </c>
      <c r="CS67">
        <f t="shared" si="176"/>
        <v>45</v>
      </c>
      <c r="CT67">
        <f t="shared" si="176"/>
        <v>-1</v>
      </c>
      <c r="CU67">
        <f t="shared" si="176"/>
        <v>72.499999999999929</v>
      </c>
      <c r="CV67">
        <f t="shared" si="176"/>
        <v>-1</v>
      </c>
      <c r="CW67">
        <f t="shared" si="176"/>
        <v>-1</v>
      </c>
      <c r="CX67">
        <f t="shared" si="176"/>
        <v>71.40000000000002</v>
      </c>
      <c r="CY67">
        <f t="shared" si="176"/>
        <v>63.400000000000041</v>
      </c>
      <c r="CZ67">
        <f t="shared" si="176"/>
        <v>55.400000000000034</v>
      </c>
      <c r="DA67">
        <f t="shared" si="176"/>
        <v>56</v>
      </c>
      <c r="DB67">
        <f t="shared" si="176"/>
        <v>52</v>
      </c>
      <c r="DC67">
        <f t="shared" si="176"/>
        <v>48</v>
      </c>
      <c r="DD67">
        <f t="shared" si="176"/>
        <v>44</v>
      </c>
      <c r="DE67">
        <f t="shared" si="176"/>
        <v>58</v>
      </c>
      <c r="DF67">
        <f t="shared" si="176"/>
        <v>56</v>
      </c>
      <c r="DG67">
        <f t="shared" si="176"/>
        <v>-1</v>
      </c>
      <c r="DH67">
        <f t="shared" si="176"/>
        <v>-1</v>
      </c>
      <c r="DI67">
        <f t="shared" si="176"/>
        <v>73.799999999999926</v>
      </c>
      <c r="DJ67">
        <f t="shared" si="176"/>
        <v>72.499999999999929</v>
      </c>
      <c r="DK67">
        <f t="shared" si="176"/>
        <v>-1</v>
      </c>
      <c r="DL67">
        <f t="shared" si="176"/>
        <v>-1</v>
      </c>
      <c r="DM67">
        <f t="shared" si="176"/>
        <v>-1</v>
      </c>
      <c r="DN67">
        <f t="shared" si="176"/>
        <v>-1</v>
      </c>
      <c r="DO67">
        <f t="shared" si="176"/>
        <v>-1</v>
      </c>
      <c r="DP67">
        <f t="shared" si="176"/>
        <v>71</v>
      </c>
      <c r="DQ67">
        <f t="shared" si="176"/>
        <v>-1</v>
      </c>
      <c r="DR67">
        <f t="shared" si="176"/>
        <v>72.499999999999929</v>
      </c>
      <c r="DS67">
        <f t="shared" si="176"/>
        <v>54</v>
      </c>
      <c r="DT67">
        <f t="shared" si="176"/>
        <v>48</v>
      </c>
      <c r="DU67">
        <f t="shared" si="176"/>
        <v>42</v>
      </c>
      <c r="DV67">
        <f t="shared" si="176"/>
        <v>36</v>
      </c>
      <c r="DW67">
        <f t="shared" si="176"/>
        <v>30</v>
      </c>
      <c r="DX67">
        <f t="shared" si="176"/>
        <v>24</v>
      </c>
      <c r="DY67">
        <f t="shared" si="176"/>
        <v>-1</v>
      </c>
      <c r="DZ67">
        <f t="shared" si="176"/>
        <v>-1</v>
      </c>
      <c r="EA67">
        <f t="shared" si="176"/>
        <v>-1</v>
      </c>
      <c r="EB67">
        <f t="shared" ref="EB67:EO67" si="177">IF(OR(EB66=-1,AND(IF(EB$3&lt;$B67,EB66+EB$6,IF(EB$3=$B67,1,""))&gt;$B$1,EB$3&lt;$B67)),-1,IF(EB$3&lt;$B67,EB66+EB$6,IF(EB$3=$B67,1,"")))</f>
        <v>-1</v>
      </c>
      <c r="EC67">
        <f t="shared" si="177"/>
        <v>-1</v>
      </c>
      <c r="ED67">
        <f t="shared" si="177"/>
        <v>-1</v>
      </c>
      <c r="EE67">
        <f t="shared" si="177"/>
        <v>-1</v>
      </c>
      <c r="EF67">
        <f t="shared" si="177"/>
        <v>-1</v>
      </c>
      <c r="EG67">
        <f t="shared" si="177"/>
        <v>71.40000000000002</v>
      </c>
      <c r="EH67">
        <f t="shared" si="177"/>
        <v>63.400000000000041</v>
      </c>
      <c r="EI67">
        <f t="shared" si="177"/>
        <v>55.400000000000034</v>
      </c>
      <c r="EJ67">
        <f t="shared" si="177"/>
        <v>47.400000000000027</v>
      </c>
      <c r="EK67">
        <f t="shared" si="177"/>
        <v>-1</v>
      </c>
      <c r="EL67">
        <f t="shared" si="177"/>
        <v>-1</v>
      </c>
      <c r="EM67">
        <f t="shared" si="177"/>
        <v>73.000000000000014</v>
      </c>
      <c r="EN67">
        <f t="shared" si="177"/>
        <v>61.80000000000004</v>
      </c>
      <c r="EO67">
        <f t="shared" si="177"/>
        <v>50.60000000000003</v>
      </c>
    </row>
    <row r="68" spans="1:145" x14ac:dyDescent="0.15">
      <c r="A68" t="e">
        <f t="shared" si="0"/>
        <v>#N/A</v>
      </c>
      <c r="B68" s="218">
        <v>60</v>
      </c>
      <c r="C68">
        <f t="shared" si="0"/>
        <v>59</v>
      </c>
      <c r="D68">
        <f t="shared" ref="D68:BO68" si="178">IF(OR(D67=-1,AND(IF(D$3&lt;$B68,D67+D$6,IF(D$3=$B68,1,""))&gt;$B$1,D$3&lt;$B68)),-1,IF(D$3&lt;$B68,D67+D$6,IF(D$3=$B68,1,"")))</f>
        <v>57</v>
      </c>
      <c r="E68">
        <f t="shared" si="178"/>
        <v>55</v>
      </c>
      <c r="F68">
        <f t="shared" si="178"/>
        <v>53</v>
      </c>
      <c r="G68">
        <f t="shared" si="178"/>
        <v>51</v>
      </c>
      <c r="H68">
        <f t="shared" si="178"/>
        <v>49</v>
      </c>
      <c r="I68">
        <f t="shared" si="178"/>
        <v>67.29999999999994</v>
      </c>
      <c r="J68">
        <f t="shared" si="178"/>
        <v>55.599999999999959</v>
      </c>
      <c r="K68">
        <f t="shared" si="178"/>
        <v>43.899999999999984</v>
      </c>
      <c r="L68">
        <f t="shared" si="178"/>
        <v>39.500000000000007</v>
      </c>
      <c r="M68">
        <f t="shared" si="178"/>
        <v>35.999999999999993</v>
      </c>
      <c r="N68">
        <f t="shared" si="178"/>
        <v>32.499999999999979</v>
      </c>
      <c r="O68">
        <f t="shared" si="178"/>
        <v>59</v>
      </c>
      <c r="P68">
        <f t="shared" si="178"/>
        <v>57</v>
      </c>
      <c r="Q68">
        <f t="shared" si="178"/>
        <v>55</v>
      </c>
      <c r="R68">
        <f t="shared" si="178"/>
        <v>53</v>
      </c>
      <c r="S68">
        <f t="shared" si="178"/>
        <v>51</v>
      </c>
      <c r="T68">
        <f t="shared" si="178"/>
        <v>-1</v>
      </c>
      <c r="U68">
        <f t="shared" si="178"/>
        <v>-1</v>
      </c>
      <c r="V68">
        <f t="shared" si="178"/>
        <v>-1</v>
      </c>
      <c r="W68">
        <f t="shared" si="178"/>
        <v>-1</v>
      </c>
      <c r="X68">
        <f t="shared" si="178"/>
        <v>-1</v>
      </c>
      <c r="Y68">
        <f t="shared" si="178"/>
        <v>-1</v>
      </c>
      <c r="Z68">
        <f t="shared" si="178"/>
        <v>58</v>
      </c>
      <c r="AA68">
        <f t="shared" si="178"/>
        <v>55</v>
      </c>
      <c r="AB68">
        <f t="shared" si="178"/>
        <v>52</v>
      </c>
      <c r="AC68">
        <f t="shared" si="178"/>
        <v>-1</v>
      </c>
      <c r="AD68">
        <f t="shared" si="178"/>
        <v>-1</v>
      </c>
      <c r="AE68">
        <f t="shared" si="178"/>
        <v>-1</v>
      </c>
      <c r="AF68">
        <f t="shared" si="178"/>
        <v>65.799999999999955</v>
      </c>
      <c r="AG68">
        <f t="shared" si="178"/>
        <v>54.999999999999972</v>
      </c>
      <c r="AH68">
        <f t="shared" si="178"/>
        <v>44.199999999999989</v>
      </c>
      <c r="AI68">
        <f t="shared" si="178"/>
        <v>34.600000000000037</v>
      </c>
      <c r="AJ68">
        <f t="shared" si="178"/>
        <v>32.200000000000031</v>
      </c>
      <c r="AK68">
        <f t="shared" si="178"/>
        <v>29.800000000000026</v>
      </c>
      <c r="AL68">
        <f t="shared" si="178"/>
        <v>27.40000000000002</v>
      </c>
      <c r="AM68">
        <f t="shared" si="178"/>
        <v>55</v>
      </c>
      <c r="AN68">
        <f t="shared" si="178"/>
        <v>49</v>
      </c>
      <c r="AO68">
        <f t="shared" si="178"/>
        <v>43</v>
      </c>
      <c r="AP68">
        <f t="shared" si="178"/>
        <v>-1</v>
      </c>
      <c r="AQ68">
        <f t="shared" si="178"/>
        <v>71.199999999999932</v>
      </c>
      <c r="AR68">
        <f t="shared" si="178"/>
        <v>67.29999999999994</v>
      </c>
      <c r="AS68">
        <f t="shared" si="178"/>
        <v>63.399999999999942</v>
      </c>
      <c r="AT68">
        <f t="shared" si="178"/>
        <v>59.49999999999995</v>
      </c>
      <c r="AU68">
        <f t="shared" si="178"/>
        <v>55.599999999999959</v>
      </c>
      <c r="AV68">
        <f t="shared" si="178"/>
        <v>51.699999999999967</v>
      </c>
      <c r="AW68">
        <f t="shared" si="178"/>
        <v>55</v>
      </c>
      <c r="AX68">
        <f t="shared" si="178"/>
        <v>49</v>
      </c>
      <c r="AY68">
        <f t="shared" si="178"/>
        <v>-1</v>
      </c>
      <c r="AZ68">
        <f t="shared" si="178"/>
        <v>-1</v>
      </c>
      <c r="BA68">
        <f t="shared" si="178"/>
        <v>-1</v>
      </c>
      <c r="BB68">
        <f t="shared" si="178"/>
        <v>-1</v>
      </c>
      <c r="BC68">
        <f t="shared" si="178"/>
        <v>-1</v>
      </c>
      <c r="BD68">
        <f t="shared" si="178"/>
        <v>-1</v>
      </c>
      <c r="BE68">
        <f t="shared" si="178"/>
        <v>-1</v>
      </c>
      <c r="BF68">
        <f t="shared" si="178"/>
        <v>-1</v>
      </c>
      <c r="BG68">
        <f t="shared" si="178"/>
        <v>-1</v>
      </c>
      <c r="BH68">
        <f t="shared" si="178"/>
        <v>-1</v>
      </c>
      <c r="BI68">
        <f t="shared" si="178"/>
        <v>56</v>
      </c>
      <c r="BJ68">
        <f t="shared" si="178"/>
        <v>51</v>
      </c>
      <c r="BK68">
        <f t="shared" si="178"/>
        <v>46</v>
      </c>
      <c r="BL68">
        <f t="shared" si="178"/>
        <v>41</v>
      </c>
      <c r="BM68">
        <f t="shared" si="178"/>
        <v>55</v>
      </c>
      <c r="BN68">
        <f t="shared" si="178"/>
        <v>-1</v>
      </c>
      <c r="BO68">
        <f t="shared" si="178"/>
        <v>73.799999999999926</v>
      </c>
      <c r="BP68">
        <f t="shared" ref="BP68:EA68" si="179">IF(OR(BP67=-1,AND(IF(BP$3&lt;$B68,BP67+BP$6,IF(BP$3=$B68,1,""))&gt;$B$1,BP$3&lt;$B68)),-1,IF(BP$3&lt;$B68,BP67+BP$6,IF(BP$3=$B68,1,"")))</f>
        <v>-1</v>
      </c>
      <c r="BQ68">
        <f t="shared" si="179"/>
        <v>-1</v>
      </c>
      <c r="BR68">
        <f t="shared" si="179"/>
        <v>-1</v>
      </c>
      <c r="BS68">
        <f t="shared" si="179"/>
        <v>59</v>
      </c>
      <c r="BT68">
        <f t="shared" si="179"/>
        <v>57</v>
      </c>
      <c r="BU68">
        <f t="shared" si="179"/>
        <v>33.400000000000034</v>
      </c>
      <c r="BV68">
        <f t="shared" si="179"/>
        <v>29.800000000000026</v>
      </c>
      <c r="BW68">
        <f t="shared" si="179"/>
        <v>26.200000000000017</v>
      </c>
      <c r="BX68">
        <f t="shared" si="179"/>
        <v>22.600000000000009</v>
      </c>
      <c r="BY68">
        <f t="shared" si="179"/>
        <v>19</v>
      </c>
      <c r="BZ68">
        <f t="shared" si="179"/>
        <v>15.399999999999993</v>
      </c>
      <c r="CA68">
        <f t="shared" si="179"/>
        <v>11.799999999999995</v>
      </c>
      <c r="CB68">
        <f t="shared" si="179"/>
        <v>8.1999999999999975</v>
      </c>
      <c r="CC68">
        <f t="shared" si="179"/>
        <v>4.5999999999999996</v>
      </c>
      <c r="CD68">
        <f t="shared" si="179"/>
        <v>1</v>
      </c>
      <c r="CE68" t="str">
        <f t="shared" si="179"/>
        <v/>
      </c>
      <c r="CF68" t="str">
        <f t="shared" si="179"/>
        <v/>
      </c>
      <c r="CG68" t="str">
        <f t="shared" si="179"/>
        <v/>
      </c>
      <c r="CH68" t="str">
        <f t="shared" si="179"/>
        <v/>
      </c>
      <c r="CI68" t="str">
        <f t="shared" si="179"/>
        <v/>
      </c>
      <c r="CJ68" t="str">
        <f t="shared" si="179"/>
        <v/>
      </c>
      <c r="CK68" t="str">
        <f t="shared" si="179"/>
        <v/>
      </c>
      <c r="CL68" t="str">
        <f t="shared" si="179"/>
        <v/>
      </c>
      <c r="CM68" t="str">
        <f t="shared" si="179"/>
        <v/>
      </c>
      <c r="CN68" t="str">
        <f t="shared" si="179"/>
        <v/>
      </c>
      <c r="CO68">
        <f t="shared" si="179"/>
        <v>18</v>
      </c>
      <c r="CP68">
        <f t="shared" si="179"/>
        <v>5</v>
      </c>
      <c r="CQ68">
        <f t="shared" si="179"/>
        <v>56</v>
      </c>
      <c r="CR68">
        <f t="shared" si="179"/>
        <v>51</v>
      </c>
      <c r="CS68">
        <f t="shared" si="179"/>
        <v>46</v>
      </c>
      <c r="CT68">
        <f t="shared" si="179"/>
        <v>-1</v>
      </c>
      <c r="CU68">
        <f t="shared" si="179"/>
        <v>73.799999999999926</v>
      </c>
      <c r="CV68">
        <f t="shared" si="179"/>
        <v>-1</v>
      </c>
      <c r="CW68">
        <f t="shared" si="179"/>
        <v>-1</v>
      </c>
      <c r="CX68">
        <f t="shared" si="179"/>
        <v>73.000000000000014</v>
      </c>
      <c r="CY68">
        <f t="shared" si="179"/>
        <v>65.000000000000043</v>
      </c>
      <c r="CZ68">
        <f t="shared" si="179"/>
        <v>57.000000000000036</v>
      </c>
      <c r="DA68">
        <f t="shared" si="179"/>
        <v>57</v>
      </c>
      <c r="DB68">
        <f t="shared" si="179"/>
        <v>53</v>
      </c>
      <c r="DC68">
        <f t="shared" si="179"/>
        <v>49</v>
      </c>
      <c r="DD68">
        <f t="shared" si="179"/>
        <v>45</v>
      </c>
      <c r="DE68">
        <f t="shared" si="179"/>
        <v>59</v>
      </c>
      <c r="DF68">
        <f t="shared" si="179"/>
        <v>57</v>
      </c>
      <c r="DG68">
        <f t="shared" si="179"/>
        <v>-1</v>
      </c>
      <c r="DH68">
        <f t="shared" si="179"/>
        <v>-1</v>
      </c>
      <c r="DI68">
        <f t="shared" si="179"/>
        <v>-1</v>
      </c>
      <c r="DJ68">
        <f t="shared" si="179"/>
        <v>73.799999999999926</v>
      </c>
      <c r="DK68">
        <f t="shared" si="179"/>
        <v>-1</v>
      </c>
      <c r="DL68">
        <f t="shared" si="179"/>
        <v>-1</v>
      </c>
      <c r="DM68">
        <f t="shared" si="179"/>
        <v>-1</v>
      </c>
      <c r="DN68">
        <f t="shared" si="179"/>
        <v>-1</v>
      </c>
      <c r="DO68">
        <f t="shared" si="179"/>
        <v>-1</v>
      </c>
      <c r="DP68">
        <f t="shared" si="179"/>
        <v>73</v>
      </c>
      <c r="DQ68">
        <f t="shared" si="179"/>
        <v>-1</v>
      </c>
      <c r="DR68">
        <f t="shared" si="179"/>
        <v>73.799999999999926</v>
      </c>
      <c r="DS68">
        <f t="shared" si="179"/>
        <v>55</v>
      </c>
      <c r="DT68">
        <f t="shared" si="179"/>
        <v>49</v>
      </c>
      <c r="DU68">
        <f t="shared" si="179"/>
        <v>43</v>
      </c>
      <c r="DV68">
        <f t="shared" si="179"/>
        <v>37</v>
      </c>
      <c r="DW68">
        <f t="shared" si="179"/>
        <v>31</v>
      </c>
      <c r="DX68">
        <f t="shared" si="179"/>
        <v>25</v>
      </c>
      <c r="DY68">
        <f t="shared" si="179"/>
        <v>-1</v>
      </c>
      <c r="DZ68">
        <f t="shared" si="179"/>
        <v>-1</v>
      </c>
      <c r="EA68">
        <f t="shared" si="179"/>
        <v>-1</v>
      </c>
      <c r="EB68">
        <f t="shared" ref="EB68:EO68" si="180">IF(OR(EB67=-1,AND(IF(EB$3&lt;$B68,EB67+EB$6,IF(EB$3=$B68,1,""))&gt;$B$1,EB$3&lt;$B68)),-1,IF(EB$3&lt;$B68,EB67+EB$6,IF(EB$3=$B68,1,"")))</f>
        <v>-1</v>
      </c>
      <c r="EC68">
        <f t="shared" si="180"/>
        <v>-1</v>
      </c>
      <c r="ED68">
        <f t="shared" si="180"/>
        <v>-1</v>
      </c>
      <c r="EE68">
        <f t="shared" si="180"/>
        <v>-1</v>
      </c>
      <c r="EF68">
        <f t="shared" si="180"/>
        <v>-1</v>
      </c>
      <c r="EG68">
        <f t="shared" si="180"/>
        <v>73.000000000000014</v>
      </c>
      <c r="EH68">
        <f t="shared" si="180"/>
        <v>65.000000000000043</v>
      </c>
      <c r="EI68">
        <f t="shared" si="180"/>
        <v>57.000000000000036</v>
      </c>
      <c r="EJ68">
        <f t="shared" si="180"/>
        <v>49.000000000000028</v>
      </c>
      <c r="EK68">
        <f t="shared" si="180"/>
        <v>-1</v>
      </c>
      <c r="EL68">
        <f t="shared" si="180"/>
        <v>-1</v>
      </c>
      <c r="EM68">
        <f t="shared" si="180"/>
        <v>74.600000000000009</v>
      </c>
      <c r="EN68">
        <f t="shared" si="180"/>
        <v>63.400000000000041</v>
      </c>
      <c r="EO68">
        <f t="shared" si="180"/>
        <v>52.200000000000031</v>
      </c>
    </row>
    <row r="69" spans="1:145" x14ac:dyDescent="0.15">
      <c r="A69" t="e">
        <f t="shared" si="0"/>
        <v>#N/A</v>
      </c>
      <c r="B69" s="218">
        <v>61</v>
      </c>
      <c r="C69">
        <f t="shared" si="0"/>
        <v>60</v>
      </c>
      <c r="D69">
        <f t="shared" ref="D69:BO69" si="181">IF(OR(D68=-1,AND(IF(D$3&lt;$B69,D68+D$6,IF(D$3=$B69,1,""))&gt;$B$1,D$3&lt;$B69)),-1,IF(D$3&lt;$B69,D68+D$6,IF(D$3=$B69,1,"")))</f>
        <v>58</v>
      </c>
      <c r="E69">
        <f t="shared" si="181"/>
        <v>56</v>
      </c>
      <c r="F69">
        <f t="shared" si="181"/>
        <v>54</v>
      </c>
      <c r="G69">
        <f t="shared" si="181"/>
        <v>52</v>
      </c>
      <c r="H69">
        <f t="shared" si="181"/>
        <v>50</v>
      </c>
      <c r="I69">
        <f t="shared" si="181"/>
        <v>68.599999999999937</v>
      </c>
      <c r="J69">
        <f t="shared" si="181"/>
        <v>56.899999999999956</v>
      </c>
      <c r="K69">
        <f t="shared" si="181"/>
        <v>45.199999999999982</v>
      </c>
      <c r="L69">
        <f t="shared" si="181"/>
        <v>40.20000000000001</v>
      </c>
      <c r="M69">
        <f t="shared" si="181"/>
        <v>36.699999999999996</v>
      </c>
      <c r="N69">
        <f t="shared" si="181"/>
        <v>33.199999999999982</v>
      </c>
      <c r="O69">
        <f t="shared" si="181"/>
        <v>60</v>
      </c>
      <c r="P69">
        <f t="shared" si="181"/>
        <v>58</v>
      </c>
      <c r="Q69">
        <f t="shared" si="181"/>
        <v>56</v>
      </c>
      <c r="R69">
        <f t="shared" si="181"/>
        <v>54</v>
      </c>
      <c r="S69">
        <f t="shared" si="181"/>
        <v>52</v>
      </c>
      <c r="T69">
        <f t="shared" si="181"/>
        <v>-1</v>
      </c>
      <c r="U69">
        <f t="shared" si="181"/>
        <v>-1</v>
      </c>
      <c r="V69">
        <f t="shared" si="181"/>
        <v>-1</v>
      </c>
      <c r="W69">
        <f t="shared" si="181"/>
        <v>-1</v>
      </c>
      <c r="X69">
        <f t="shared" si="181"/>
        <v>-1</v>
      </c>
      <c r="Y69">
        <f t="shared" si="181"/>
        <v>-1</v>
      </c>
      <c r="Z69">
        <f t="shared" si="181"/>
        <v>59</v>
      </c>
      <c r="AA69">
        <f t="shared" si="181"/>
        <v>56</v>
      </c>
      <c r="AB69">
        <f t="shared" si="181"/>
        <v>53</v>
      </c>
      <c r="AC69">
        <f t="shared" si="181"/>
        <v>-1</v>
      </c>
      <c r="AD69">
        <f t="shared" si="181"/>
        <v>-1</v>
      </c>
      <c r="AE69">
        <f t="shared" si="181"/>
        <v>-1</v>
      </c>
      <c r="AF69">
        <f t="shared" si="181"/>
        <v>67.599999999999952</v>
      </c>
      <c r="AG69">
        <f t="shared" si="181"/>
        <v>56.799999999999969</v>
      </c>
      <c r="AH69">
        <f t="shared" si="181"/>
        <v>45.999999999999986</v>
      </c>
      <c r="AI69">
        <f t="shared" si="181"/>
        <v>35.200000000000038</v>
      </c>
      <c r="AJ69">
        <f t="shared" si="181"/>
        <v>32.800000000000033</v>
      </c>
      <c r="AK69">
        <f t="shared" si="181"/>
        <v>30.400000000000027</v>
      </c>
      <c r="AL69">
        <f t="shared" si="181"/>
        <v>28.000000000000021</v>
      </c>
      <c r="AM69">
        <f t="shared" si="181"/>
        <v>56</v>
      </c>
      <c r="AN69">
        <f t="shared" si="181"/>
        <v>50</v>
      </c>
      <c r="AO69">
        <f t="shared" si="181"/>
        <v>44</v>
      </c>
      <c r="AP69">
        <f t="shared" si="181"/>
        <v>-1</v>
      </c>
      <c r="AQ69">
        <f t="shared" si="181"/>
        <v>72.499999999999929</v>
      </c>
      <c r="AR69">
        <f t="shared" si="181"/>
        <v>68.599999999999937</v>
      </c>
      <c r="AS69">
        <f t="shared" si="181"/>
        <v>64.699999999999946</v>
      </c>
      <c r="AT69">
        <f t="shared" si="181"/>
        <v>60.799999999999947</v>
      </c>
      <c r="AU69">
        <f t="shared" si="181"/>
        <v>56.899999999999956</v>
      </c>
      <c r="AV69">
        <f t="shared" si="181"/>
        <v>52.999999999999964</v>
      </c>
      <c r="AW69">
        <f t="shared" si="181"/>
        <v>56</v>
      </c>
      <c r="AX69">
        <f t="shared" si="181"/>
        <v>50</v>
      </c>
      <c r="AY69">
        <f t="shared" si="181"/>
        <v>-1</v>
      </c>
      <c r="AZ69">
        <f t="shared" si="181"/>
        <v>-1</v>
      </c>
      <c r="BA69">
        <f t="shared" si="181"/>
        <v>-1</v>
      </c>
      <c r="BB69">
        <f t="shared" si="181"/>
        <v>-1</v>
      </c>
      <c r="BC69">
        <f t="shared" si="181"/>
        <v>-1</v>
      </c>
      <c r="BD69">
        <f t="shared" si="181"/>
        <v>-1</v>
      </c>
      <c r="BE69">
        <f t="shared" si="181"/>
        <v>-1</v>
      </c>
      <c r="BF69">
        <f t="shared" si="181"/>
        <v>-1</v>
      </c>
      <c r="BG69">
        <f t="shared" si="181"/>
        <v>-1</v>
      </c>
      <c r="BH69">
        <f t="shared" si="181"/>
        <v>-1</v>
      </c>
      <c r="BI69">
        <f t="shared" si="181"/>
        <v>57</v>
      </c>
      <c r="BJ69">
        <f t="shared" si="181"/>
        <v>52</v>
      </c>
      <c r="BK69">
        <f t="shared" si="181"/>
        <v>47</v>
      </c>
      <c r="BL69">
        <f t="shared" si="181"/>
        <v>42</v>
      </c>
      <c r="BM69">
        <f t="shared" si="181"/>
        <v>56</v>
      </c>
      <c r="BN69">
        <f t="shared" si="181"/>
        <v>-1</v>
      </c>
      <c r="BO69">
        <f t="shared" si="181"/>
        <v>-1</v>
      </c>
      <c r="BP69">
        <f t="shared" ref="BP69:EA69" si="182">IF(OR(BP68=-1,AND(IF(BP$3&lt;$B69,BP68+BP$6,IF(BP$3=$B69,1,""))&gt;$B$1,BP$3&lt;$B69)),-1,IF(BP$3&lt;$B69,BP68+BP$6,IF(BP$3=$B69,1,"")))</f>
        <v>-1</v>
      </c>
      <c r="BQ69">
        <f t="shared" si="182"/>
        <v>-1</v>
      </c>
      <c r="BR69">
        <f t="shared" si="182"/>
        <v>-1</v>
      </c>
      <c r="BS69">
        <f t="shared" si="182"/>
        <v>60</v>
      </c>
      <c r="BT69">
        <f t="shared" si="182"/>
        <v>58</v>
      </c>
      <c r="BU69">
        <f t="shared" si="182"/>
        <v>34.000000000000036</v>
      </c>
      <c r="BV69">
        <f t="shared" si="182"/>
        <v>30.400000000000027</v>
      </c>
      <c r="BW69">
        <f t="shared" si="182"/>
        <v>26.800000000000018</v>
      </c>
      <c r="BX69">
        <f t="shared" si="182"/>
        <v>23.20000000000001</v>
      </c>
      <c r="BY69">
        <f t="shared" si="182"/>
        <v>19.600000000000001</v>
      </c>
      <c r="BZ69">
        <f t="shared" si="182"/>
        <v>15.999999999999993</v>
      </c>
      <c r="CA69">
        <f t="shared" si="182"/>
        <v>12.399999999999995</v>
      </c>
      <c r="CB69">
        <f t="shared" si="182"/>
        <v>8.7999999999999972</v>
      </c>
      <c r="CC69">
        <f t="shared" si="182"/>
        <v>5.1999999999999993</v>
      </c>
      <c r="CD69">
        <f t="shared" si="182"/>
        <v>1.6</v>
      </c>
      <c r="CE69" t="str">
        <f t="shared" si="182"/>
        <v/>
      </c>
      <c r="CF69" t="str">
        <f t="shared" si="182"/>
        <v/>
      </c>
      <c r="CG69" t="str">
        <f t="shared" si="182"/>
        <v/>
      </c>
      <c r="CH69" t="str">
        <f t="shared" si="182"/>
        <v/>
      </c>
      <c r="CI69" t="str">
        <f t="shared" si="182"/>
        <v/>
      </c>
      <c r="CJ69" t="str">
        <f t="shared" si="182"/>
        <v/>
      </c>
      <c r="CK69" t="str">
        <f t="shared" si="182"/>
        <v/>
      </c>
      <c r="CL69" t="str">
        <f t="shared" si="182"/>
        <v/>
      </c>
      <c r="CM69" t="str">
        <f t="shared" si="182"/>
        <v/>
      </c>
      <c r="CN69" t="str">
        <f t="shared" si="182"/>
        <v/>
      </c>
      <c r="CO69">
        <f t="shared" si="182"/>
        <v>18.5</v>
      </c>
      <c r="CP69">
        <f t="shared" si="182"/>
        <v>5.5</v>
      </c>
      <c r="CQ69">
        <f t="shared" si="182"/>
        <v>57</v>
      </c>
      <c r="CR69">
        <f t="shared" si="182"/>
        <v>52</v>
      </c>
      <c r="CS69">
        <f t="shared" si="182"/>
        <v>47</v>
      </c>
      <c r="CT69">
        <f t="shared" si="182"/>
        <v>-1</v>
      </c>
      <c r="CU69">
        <f t="shared" si="182"/>
        <v>-1</v>
      </c>
      <c r="CV69">
        <f t="shared" si="182"/>
        <v>-1</v>
      </c>
      <c r="CW69">
        <f t="shared" si="182"/>
        <v>-1</v>
      </c>
      <c r="CX69">
        <f t="shared" si="182"/>
        <v>74.600000000000009</v>
      </c>
      <c r="CY69">
        <f t="shared" si="182"/>
        <v>66.600000000000037</v>
      </c>
      <c r="CZ69">
        <f t="shared" si="182"/>
        <v>58.600000000000037</v>
      </c>
      <c r="DA69">
        <f t="shared" si="182"/>
        <v>58</v>
      </c>
      <c r="DB69">
        <f t="shared" si="182"/>
        <v>54</v>
      </c>
      <c r="DC69">
        <f t="shared" si="182"/>
        <v>50</v>
      </c>
      <c r="DD69">
        <f t="shared" si="182"/>
        <v>46</v>
      </c>
      <c r="DE69">
        <f t="shared" si="182"/>
        <v>60</v>
      </c>
      <c r="DF69">
        <f t="shared" si="182"/>
        <v>58</v>
      </c>
      <c r="DG69">
        <f t="shared" si="182"/>
        <v>-1</v>
      </c>
      <c r="DH69">
        <f t="shared" si="182"/>
        <v>-1</v>
      </c>
      <c r="DI69">
        <f t="shared" si="182"/>
        <v>-1</v>
      </c>
      <c r="DJ69">
        <f t="shared" si="182"/>
        <v>-1</v>
      </c>
      <c r="DK69">
        <f t="shared" si="182"/>
        <v>-1</v>
      </c>
      <c r="DL69">
        <f t="shared" si="182"/>
        <v>-1</v>
      </c>
      <c r="DM69">
        <f t="shared" si="182"/>
        <v>-1</v>
      </c>
      <c r="DN69">
        <f t="shared" si="182"/>
        <v>-1</v>
      </c>
      <c r="DO69">
        <f t="shared" si="182"/>
        <v>-1</v>
      </c>
      <c r="DP69">
        <f t="shared" si="182"/>
        <v>75</v>
      </c>
      <c r="DQ69">
        <f t="shared" si="182"/>
        <v>-1</v>
      </c>
      <c r="DR69">
        <f t="shared" si="182"/>
        <v>-1</v>
      </c>
      <c r="DS69">
        <f t="shared" si="182"/>
        <v>56</v>
      </c>
      <c r="DT69">
        <f t="shared" si="182"/>
        <v>50</v>
      </c>
      <c r="DU69">
        <f t="shared" si="182"/>
        <v>44</v>
      </c>
      <c r="DV69">
        <f t="shared" si="182"/>
        <v>38</v>
      </c>
      <c r="DW69">
        <f t="shared" si="182"/>
        <v>32</v>
      </c>
      <c r="DX69">
        <f t="shared" si="182"/>
        <v>26</v>
      </c>
      <c r="DY69">
        <f t="shared" si="182"/>
        <v>-1</v>
      </c>
      <c r="DZ69">
        <f t="shared" si="182"/>
        <v>-1</v>
      </c>
      <c r="EA69">
        <f t="shared" si="182"/>
        <v>-1</v>
      </c>
      <c r="EB69">
        <f t="shared" ref="EB69:EO69" si="183">IF(OR(EB68=-1,AND(IF(EB$3&lt;$B69,EB68+EB$6,IF(EB$3=$B69,1,""))&gt;$B$1,EB$3&lt;$B69)),-1,IF(EB$3&lt;$B69,EB68+EB$6,IF(EB$3=$B69,1,"")))</f>
        <v>-1</v>
      </c>
      <c r="EC69">
        <f t="shared" si="183"/>
        <v>-1</v>
      </c>
      <c r="ED69">
        <f t="shared" si="183"/>
        <v>-1</v>
      </c>
      <c r="EE69">
        <f t="shared" si="183"/>
        <v>-1</v>
      </c>
      <c r="EF69">
        <f t="shared" si="183"/>
        <v>-1</v>
      </c>
      <c r="EG69">
        <f t="shared" si="183"/>
        <v>74.600000000000009</v>
      </c>
      <c r="EH69">
        <f t="shared" si="183"/>
        <v>66.600000000000037</v>
      </c>
      <c r="EI69">
        <f t="shared" si="183"/>
        <v>58.600000000000037</v>
      </c>
      <c r="EJ69">
        <f t="shared" si="183"/>
        <v>50.60000000000003</v>
      </c>
      <c r="EK69">
        <f t="shared" si="183"/>
        <v>-1</v>
      </c>
      <c r="EL69">
        <f t="shared" si="183"/>
        <v>-1</v>
      </c>
      <c r="EM69">
        <f t="shared" si="183"/>
        <v>-1</v>
      </c>
      <c r="EN69">
        <f t="shared" si="183"/>
        <v>65.000000000000043</v>
      </c>
      <c r="EO69">
        <f t="shared" si="183"/>
        <v>53.800000000000033</v>
      </c>
    </row>
    <row r="70" spans="1:145" x14ac:dyDescent="0.15">
      <c r="A70" t="e">
        <f t="shared" si="0"/>
        <v>#N/A</v>
      </c>
      <c r="B70" s="218">
        <v>62</v>
      </c>
      <c r="C70">
        <f t="shared" si="0"/>
        <v>61</v>
      </c>
      <c r="D70">
        <f t="shared" ref="D70:BO70" si="184">IF(OR(D69=-1,AND(IF(D$3&lt;$B70,D69+D$6,IF(D$3=$B70,1,""))&gt;$B$1,D$3&lt;$B70)),-1,IF(D$3&lt;$B70,D69+D$6,IF(D$3=$B70,1,"")))</f>
        <v>59</v>
      </c>
      <c r="E70">
        <f t="shared" si="184"/>
        <v>57</v>
      </c>
      <c r="F70">
        <f t="shared" si="184"/>
        <v>55</v>
      </c>
      <c r="G70">
        <f t="shared" si="184"/>
        <v>53</v>
      </c>
      <c r="H70">
        <f t="shared" si="184"/>
        <v>51</v>
      </c>
      <c r="I70">
        <f t="shared" si="184"/>
        <v>69.899999999999935</v>
      </c>
      <c r="J70">
        <f t="shared" si="184"/>
        <v>58.199999999999953</v>
      </c>
      <c r="K70">
        <f t="shared" si="184"/>
        <v>46.499999999999979</v>
      </c>
      <c r="L70">
        <f t="shared" si="184"/>
        <v>40.900000000000013</v>
      </c>
      <c r="M70">
        <f t="shared" si="184"/>
        <v>37.4</v>
      </c>
      <c r="N70">
        <f t="shared" si="184"/>
        <v>33.899999999999984</v>
      </c>
      <c r="O70">
        <f t="shared" si="184"/>
        <v>61</v>
      </c>
      <c r="P70">
        <f t="shared" si="184"/>
        <v>59</v>
      </c>
      <c r="Q70">
        <f t="shared" si="184"/>
        <v>57</v>
      </c>
      <c r="R70">
        <f t="shared" si="184"/>
        <v>55</v>
      </c>
      <c r="S70">
        <f t="shared" si="184"/>
        <v>53</v>
      </c>
      <c r="T70">
        <f t="shared" si="184"/>
        <v>-1</v>
      </c>
      <c r="U70">
        <f t="shared" si="184"/>
        <v>-1</v>
      </c>
      <c r="V70">
        <f t="shared" si="184"/>
        <v>-1</v>
      </c>
      <c r="W70">
        <f t="shared" si="184"/>
        <v>-1</v>
      </c>
      <c r="X70">
        <f t="shared" si="184"/>
        <v>-1</v>
      </c>
      <c r="Y70">
        <f t="shared" si="184"/>
        <v>-1</v>
      </c>
      <c r="Z70">
        <f t="shared" si="184"/>
        <v>60</v>
      </c>
      <c r="AA70">
        <f t="shared" si="184"/>
        <v>57</v>
      </c>
      <c r="AB70">
        <f t="shared" si="184"/>
        <v>54</v>
      </c>
      <c r="AC70">
        <f t="shared" si="184"/>
        <v>-1</v>
      </c>
      <c r="AD70">
        <f t="shared" si="184"/>
        <v>-1</v>
      </c>
      <c r="AE70">
        <f t="shared" si="184"/>
        <v>-1</v>
      </c>
      <c r="AF70">
        <f t="shared" si="184"/>
        <v>69.399999999999949</v>
      </c>
      <c r="AG70">
        <f t="shared" si="184"/>
        <v>58.599999999999966</v>
      </c>
      <c r="AH70">
        <f t="shared" si="184"/>
        <v>47.799999999999983</v>
      </c>
      <c r="AI70">
        <f t="shared" si="184"/>
        <v>35.80000000000004</v>
      </c>
      <c r="AJ70">
        <f t="shared" si="184"/>
        <v>33.400000000000034</v>
      </c>
      <c r="AK70">
        <f t="shared" si="184"/>
        <v>31.000000000000028</v>
      </c>
      <c r="AL70">
        <f t="shared" si="184"/>
        <v>28.600000000000023</v>
      </c>
      <c r="AM70">
        <f t="shared" si="184"/>
        <v>57</v>
      </c>
      <c r="AN70">
        <f t="shared" si="184"/>
        <v>51</v>
      </c>
      <c r="AO70">
        <f t="shared" si="184"/>
        <v>45</v>
      </c>
      <c r="AP70">
        <f t="shared" si="184"/>
        <v>-1</v>
      </c>
      <c r="AQ70">
        <f t="shared" si="184"/>
        <v>73.799999999999926</v>
      </c>
      <c r="AR70">
        <f t="shared" si="184"/>
        <v>69.899999999999935</v>
      </c>
      <c r="AS70">
        <f t="shared" si="184"/>
        <v>65.999999999999943</v>
      </c>
      <c r="AT70">
        <f t="shared" si="184"/>
        <v>62.099999999999945</v>
      </c>
      <c r="AU70">
        <f t="shared" si="184"/>
        <v>58.199999999999953</v>
      </c>
      <c r="AV70">
        <f t="shared" si="184"/>
        <v>54.299999999999962</v>
      </c>
      <c r="AW70">
        <f t="shared" si="184"/>
        <v>57</v>
      </c>
      <c r="AX70">
        <f t="shared" si="184"/>
        <v>51</v>
      </c>
      <c r="AY70">
        <f t="shared" si="184"/>
        <v>-1</v>
      </c>
      <c r="AZ70">
        <f t="shared" si="184"/>
        <v>-1</v>
      </c>
      <c r="BA70">
        <f t="shared" si="184"/>
        <v>-1</v>
      </c>
      <c r="BB70">
        <f t="shared" si="184"/>
        <v>-1</v>
      </c>
      <c r="BC70">
        <f t="shared" si="184"/>
        <v>-1</v>
      </c>
      <c r="BD70">
        <f t="shared" si="184"/>
        <v>-1</v>
      </c>
      <c r="BE70">
        <f t="shared" si="184"/>
        <v>-1</v>
      </c>
      <c r="BF70">
        <f t="shared" si="184"/>
        <v>-1</v>
      </c>
      <c r="BG70">
        <f t="shared" si="184"/>
        <v>-1</v>
      </c>
      <c r="BH70">
        <f t="shared" si="184"/>
        <v>-1</v>
      </c>
      <c r="BI70">
        <f t="shared" si="184"/>
        <v>58</v>
      </c>
      <c r="BJ70">
        <f t="shared" si="184"/>
        <v>53</v>
      </c>
      <c r="BK70">
        <f t="shared" si="184"/>
        <v>48</v>
      </c>
      <c r="BL70">
        <f t="shared" si="184"/>
        <v>43</v>
      </c>
      <c r="BM70">
        <f t="shared" si="184"/>
        <v>57</v>
      </c>
      <c r="BN70">
        <f t="shared" si="184"/>
        <v>-1</v>
      </c>
      <c r="BO70">
        <f t="shared" si="184"/>
        <v>-1</v>
      </c>
      <c r="BP70">
        <f t="shared" ref="BP70:EA70" si="185">IF(OR(BP69=-1,AND(IF(BP$3&lt;$B70,BP69+BP$6,IF(BP$3=$B70,1,""))&gt;$B$1,BP$3&lt;$B70)),-1,IF(BP$3&lt;$B70,BP69+BP$6,IF(BP$3=$B70,1,"")))</f>
        <v>-1</v>
      </c>
      <c r="BQ70">
        <f t="shared" si="185"/>
        <v>-1</v>
      </c>
      <c r="BR70">
        <f t="shared" si="185"/>
        <v>-1</v>
      </c>
      <c r="BS70">
        <f t="shared" si="185"/>
        <v>61</v>
      </c>
      <c r="BT70">
        <f t="shared" si="185"/>
        <v>59</v>
      </c>
      <c r="BU70">
        <f t="shared" si="185"/>
        <v>34.600000000000037</v>
      </c>
      <c r="BV70">
        <f t="shared" si="185"/>
        <v>31.000000000000028</v>
      </c>
      <c r="BW70">
        <f t="shared" si="185"/>
        <v>27.40000000000002</v>
      </c>
      <c r="BX70">
        <f t="shared" si="185"/>
        <v>23.800000000000011</v>
      </c>
      <c r="BY70">
        <f t="shared" si="185"/>
        <v>20.200000000000003</v>
      </c>
      <c r="BZ70">
        <f t="shared" si="185"/>
        <v>16.599999999999994</v>
      </c>
      <c r="CA70">
        <f t="shared" si="185"/>
        <v>12.999999999999995</v>
      </c>
      <c r="CB70">
        <f t="shared" si="185"/>
        <v>9.3999999999999968</v>
      </c>
      <c r="CC70">
        <f t="shared" si="185"/>
        <v>5.7999999999999989</v>
      </c>
      <c r="CD70">
        <f t="shared" si="185"/>
        <v>2.2000000000000002</v>
      </c>
      <c r="CE70" t="str">
        <f t="shared" si="185"/>
        <v/>
      </c>
      <c r="CF70" t="str">
        <f t="shared" si="185"/>
        <v/>
      </c>
      <c r="CG70" t="str">
        <f t="shared" si="185"/>
        <v/>
      </c>
      <c r="CH70" t="str">
        <f t="shared" si="185"/>
        <v/>
      </c>
      <c r="CI70" t="str">
        <f t="shared" si="185"/>
        <v/>
      </c>
      <c r="CJ70" t="str">
        <f t="shared" si="185"/>
        <v/>
      </c>
      <c r="CK70" t="str">
        <f t="shared" si="185"/>
        <v/>
      </c>
      <c r="CL70" t="str">
        <f t="shared" si="185"/>
        <v/>
      </c>
      <c r="CM70" t="str">
        <f t="shared" si="185"/>
        <v/>
      </c>
      <c r="CN70" t="str">
        <f t="shared" si="185"/>
        <v/>
      </c>
      <c r="CO70">
        <f t="shared" si="185"/>
        <v>19</v>
      </c>
      <c r="CP70">
        <f t="shared" si="185"/>
        <v>6</v>
      </c>
      <c r="CQ70">
        <f t="shared" si="185"/>
        <v>58</v>
      </c>
      <c r="CR70">
        <f t="shared" si="185"/>
        <v>53</v>
      </c>
      <c r="CS70">
        <f t="shared" si="185"/>
        <v>48</v>
      </c>
      <c r="CT70">
        <f t="shared" si="185"/>
        <v>-1</v>
      </c>
      <c r="CU70">
        <f t="shared" si="185"/>
        <v>-1</v>
      </c>
      <c r="CV70">
        <f t="shared" si="185"/>
        <v>-1</v>
      </c>
      <c r="CW70">
        <f t="shared" si="185"/>
        <v>-1</v>
      </c>
      <c r="CX70">
        <f t="shared" si="185"/>
        <v>-1</v>
      </c>
      <c r="CY70">
        <f t="shared" si="185"/>
        <v>68.200000000000031</v>
      </c>
      <c r="CZ70">
        <f t="shared" si="185"/>
        <v>60.200000000000038</v>
      </c>
      <c r="DA70">
        <f t="shared" si="185"/>
        <v>59</v>
      </c>
      <c r="DB70">
        <f t="shared" si="185"/>
        <v>55</v>
      </c>
      <c r="DC70">
        <f t="shared" si="185"/>
        <v>51</v>
      </c>
      <c r="DD70">
        <f t="shared" si="185"/>
        <v>47</v>
      </c>
      <c r="DE70">
        <f t="shared" si="185"/>
        <v>61</v>
      </c>
      <c r="DF70">
        <f t="shared" si="185"/>
        <v>59</v>
      </c>
      <c r="DG70">
        <f t="shared" si="185"/>
        <v>-1</v>
      </c>
      <c r="DH70">
        <f t="shared" si="185"/>
        <v>-1</v>
      </c>
      <c r="DI70">
        <f t="shared" si="185"/>
        <v>-1</v>
      </c>
      <c r="DJ70">
        <f t="shared" si="185"/>
        <v>-1</v>
      </c>
      <c r="DK70">
        <f t="shared" si="185"/>
        <v>-1</v>
      </c>
      <c r="DL70">
        <f t="shared" si="185"/>
        <v>-1</v>
      </c>
      <c r="DM70">
        <f t="shared" si="185"/>
        <v>-1</v>
      </c>
      <c r="DN70">
        <f t="shared" si="185"/>
        <v>-1</v>
      </c>
      <c r="DO70">
        <f t="shared" si="185"/>
        <v>-1</v>
      </c>
      <c r="DP70">
        <f t="shared" si="185"/>
        <v>-1</v>
      </c>
      <c r="DQ70">
        <f t="shared" si="185"/>
        <v>-1</v>
      </c>
      <c r="DR70">
        <f t="shared" si="185"/>
        <v>-1</v>
      </c>
      <c r="DS70">
        <f t="shared" si="185"/>
        <v>57</v>
      </c>
      <c r="DT70">
        <f t="shared" si="185"/>
        <v>51</v>
      </c>
      <c r="DU70">
        <f t="shared" si="185"/>
        <v>45</v>
      </c>
      <c r="DV70">
        <f t="shared" si="185"/>
        <v>39</v>
      </c>
      <c r="DW70">
        <f t="shared" si="185"/>
        <v>33</v>
      </c>
      <c r="DX70">
        <f t="shared" si="185"/>
        <v>27</v>
      </c>
      <c r="DY70">
        <f t="shared" si="185"/>
        <v>-1</v>
      </c>
      <c r="DZ70">
        <f t="shared" si="185"/>
        <v>-1</v>
      </c>
      <c r="EA70">
        <f t="shared" si="185"/>
        <v>-1</v>
      </c>
      <c r="EB70">
        <f t="shared" ref="EB70:EO70" si="186">IF(OR(EB69=-1,AND(IF(EB$3&lt;$B70,EB69+EB$6,IF(EB$3=$B70,1,""))&gt;$B$1,EB$3&lt;$B70)),-1,IF(EB$3&lt;$B70,EB69+EB$6,IF(EB$3=$B70,1,"")))</f>
        <v>-1</v>
      </c>
      <c r="EC70">
        <f t="shared" si="186"/>
        <v>-1</v>
      </c>
      <c r="ED70">
        <f t="shared" si="186"/>
        <v>-1</v>
      </c>
      <c r="EE70">
        <f t="shared" si="186"/>
        <v>-1</v>
      </c>
      <c r="EF70">
        <f t="shared" si="186"/>
        <v>-1</v>
      </c>
      <c r="EG70">
        <f t="shared" si="186"/>
        <v>-1</v>
      </c>
      <c r="EH70">
        <f t="shared" si="186"/>
        <v>68.200000000000031</v>
      </c>
      <c r="EI70">
        <f t="shared" si="186"/>
        <v>60.200000000000038</v>
      </c>
      <c r="EJ70">
        <f t="shared" si="186"/>
        <v>52.200000000000031</v>
      </c>
      <c r="EK70">
        <f t="shared" si="186"/>
        <v>-1</v>
      </c>
      <c r="EL70">
        <f t="shared" si="186"/>
        <v>-1</v>
      </c>
      <c r="EM70">
        <f t="shared" si="186"/>
        <v>-1</v>
      </c>
      <c r="EN70">
        <f t="shared" si="186"/>
        <v>66.600000000000037</v>
      </c>
      <c r="EO70">
        <f t="shared" si="186"/>
        <v>55.400000000000034</v>
      </c>
    </row>
    <row r="71" spans="1:145" x14ac:dyDescent="0.15">
      <c r="A71" t="e">
        <f t="shared" si="0"/>
        <v>#N/A</v>
      </c>
      <c r="B71" s="218">
        <v>63</v>
      </c>
      <c r="C71">
        <f t="shared" si="0"/>
        <v>62</v>
      </c>
      <c r="D71">
        <f t="shared" ref="D71:BO71" si="187">IF(OR(D70=-1,AND(IF(D$3&lt;$B71,D70+D$6,IF(D$3=$B71,1,""))&gt;$B$1,D$3&lt;$B71)),-1,IF(D$3&lt;$B71,D70+D$6,IF(D$3=$B71,1,"")))</f>
        <v>60</v>
      </c>
      <c r="E71">
        <f t="shared" si="187"/>
        <v>58</v>
      </c>
      <c r="F71">
        <f t="shared" si="187"/>
        <v>56</v>
      </c>
      <c r="G71">
        <f t="shared" si="187"/>
        <v>54</v>
      </c>
      <c r="H71">
        <f t="shared" si="187"/>
        <v>52</v>
      </c>
      <c r="I71">
        <f t="shared" si="187"/>
        <v>71.199999999999932</v>
      </c>
      <c r="J71">
        <f t="shared" si="187"/>
        <v>59.49999999999995</v>
      </c>
      <c r="K71">
        <f t="shared" si="187"/>
        <v>47.799999999999976</v>
      </c>
      <c r="L71">
        <f t="shared" si="187"/>
        <v>41.600000000000016</v>
      </c>
      <c r="M71">
        <f t="shared" si="187"/>
        <v>38.1</v>
      </c>
      <c r="N71">
        <f t="shared" si="187"/>
        <v>34.599999999999987</v>
      </c>
      <c r="O71">
        <f t="shared" si="187"/>
        <v>62</v>
      </c>
      <c r="P71">
        <f t="shared" si="187"/>
        <v>60</v>
      </c>
      <c r="Q71">
        <f t="shared" si="187"/>
        <v>58</v>
      </c>
      <c r="R71">
        <f t="shared" si="187"/>
        <v>56</v>
      </c>
      <c r="S71">
        <f t="shared" si="187"/>
        <v>54</v>
      </c>
      <c r="T71">
        <f t="shared" si="187"/>
        <v>-1</v>
      </c>
      <c r="U71">
        <f t="shared" si="187"/>
        <v>-1</v>
      </c>
      <c r="V71">
        <f t="shared" si="187"/>
        <v>-1</v>
      </c>
      <c r="W71">
        <f t="shared" si="187"/>
        <v>-1</v>
      </c>
      <c r="X71">
        <f t="shared" si="187"/>
        <v>-1</v>
      </c>
      <c r="Y71">
        <f t="shared" si="187"/>
        <v>-1</v>
      </c>
      <c r="Z71">
        <f t="shared" si="187"/>
        <v>61</v>
      </c>
      <c r="AA71">
        <f t="shared" si="187"/>
        <v>58</v>
      </c>
      <c r="AB71">
        <f t="shared" si="187"/>
        <v>55</v>
      </c>
      <c r="AC71">
        <f t="shared" si="187"/>
        <v>-1</v>
      </c>
      <c r="AD71">
        <f t="shared" si="187"/>
        <v>-1</v>
      </c>
      <c r="AE71">
        <f t="shared" si="187"/>
        <v>-1</v>
      </c>
      <c r="AF71">
        <f t="shared" si="187"/>
        <v>71.199999999999946</v>
      </c>
      <c r="AG71">
        <f t="shared" si="187"/>
        <v>60.399999999999963</v>
      </c>
      <c r="AH71">
        <f t="shared" si="187"/>
        <v>49.59999999999998</v>
      </c>
      <c r="AI71">
        <f t="shared" si="187"/>
        <v>36.400000000000041</v>
      </c>
      <c r="AJ71">
        <f t="shared" si="187"/>
        <v>34.000000000000036</v>
      </c>
      <c r="AK71">
        <f t="shared" si="187"/>
        <v>31.60000000000003</v>
      </c>
      <c r="AL71">
        <f t="shared" si="187"/>
        <v>29.200000000000024</v>
      </c>
      <c r="AM71">
        <f t="shared" si="187"/>
        <v>58</v>
      </c>
      <c r="AN71">
        <f t="shared" si="187"/>
        <v>52</v>
      </c>
      <c r="AO71">
        <f t="shared" si="187"/>
        <v>46</v>
      </c>
      <c r="AP71">
        <f t="shared" si="187"/>
        <v>-1</v>
      </c>
      <c r="AQ71">
        <f t="shared" si="187"/>
        <v>-1</v>
      </c>
      <c r="AR71">
        <f t="shared" si="187"/>
        <v>71.199999999999932</v>
      </c>
      <c r="AS71">
        <f t="shared" si="187"/>
        <v>67.29999999999994</v>
      </c>
      <c r="AT71">
        <f t="shared" si="187"/>
        <v>63.399999999999942</v>
      </c>
      <c r="AU71">
        <f t="shared" si="187"/>
        <v>59.49999999999995</v>
      </c>
      <c r="AV71">
        <f t="shared" si="187"/>
        <v>55.599999999999959</v>
      </c>
      <c r="AW71">
        <f t="shared" si="187"/>
        <v>58</v>
      </c>
      <c r="AX71">
        <f t="shared" si="187"/>
        <v>52</v>
      </c>
      <c r="AY71">
        <f t="shared" si="187"/>
        <v>-1</v>
      </c>
      <c r="AZ71">
        <f t="shared" si="187"/>
        <v>-1</v>
      </c>
      <c r="BA71">
        <f t="shared" si="187"/>
        <v>-1</v>
      </c>
      <c r="BB71">
        <f t="shared" si="187"/>
        <v>-1</v>
      </c>
      <c r="BC71">
        <f t="shared" si="187"/>
        <v>-1</v>
      </c>
      <c r="BD71">
        <f t="shared" si="187"/>
        <v>-1</v>
      </c>
      <c r="BE71">
        <f t="shared" si="187"/>
        <v>-1</v>
      </c>
      <c r="BF71">
        <f t="shared" si="187"/>
        <v>-1</v>
      </c>
      <c r="BG71">
        <f t="shared" si="187"/>
        <v>-1</v>
      </c>
      <c r="BH71">
        <f t="shared" si="187"/>
        <v>-1</v>
      </c>
      <c r="BI71">
        <f t="shared" si="187"/>
        <v>59</v>
      </c>
      <c r="BJ71">
        <f t="shared" si="187"/>
        <v>54</v>
      </c>
      <c r="BK71">
        <f t="shared" si="187"/>
        <v>49</v>
      </c>
      <c r="BL71">
        <f t="shared" si="187"/>
        <v>44</v>
      </c>
      <c r="BM71">
        <f t="shared" si="187"/>
        <v>58</v>
      </c>
      <c r="BN71">
        <f t="shared" si="187"/>
        <v>-1</v>
      </c>
      <c r="BO71">
        <f t="shared" si="187"/>
        <v>-1</v>
      </c>
      <c r="BP71">
        <f t="shared" ref="BP71:EA71" si="188">IF(OR(BP70=-1,AND(IF(BP$3&lt;$B71,BP70+BP$6,IF(BP$3=$B71,1,""))&gt;$B$1,BP$3&lt;$B71)),-1,IF(BP$3&lt;$B71,BP70+BP$6,IF(BP$3=$B71,1,"")))</f>
        <v>-1</v>
      </c>
      <c r="BQ71">
        <f t="shared" si="188"/>
        <v>-1</v>
      </c>
      <c r="BR71">
        <f t="shared" si="188"/>
        <v>-1</v>
      </c>
      <c r="BS71">
        <f t="shared" si="188"/>
        <v>62</v>
      </c>
      <c r="BT71">
        <f t="shared" si="188"/>
        <v>60</v>
      </c>
      <c r="BU71">
        <f t="shared" si="188"/>
        <v>35.200000000000038</v>
      </c>
      <c r="BV71">
        <f t="shared" si="188"/>
        <v>31.60000000000003</v>
      </c>
      <c r="BW71">
        <f t="shared" si="188"/>
        <v>28.000000000000021</v>
      </c>
      <c r="BX71">
        <f t="shared" si="188"/>
        <v>24.400000000000013</v>
      </c>
      <c r="BY71">
        <f t="shared" si="188"/>
        <v>20.800000000000004</v>
      </c>
      <c r="BZ71">
        <f t="shared" si="188"/>
        <v>17.199999999999996</v>
      </c>
      <c r="CA71">
        <f t="shared" si="188"/>
        <v>13.599999999999994</v>
      </c>
      <c r="CB71">
        <f t="shared" si="188"/>
        <v>9.9999999999999964</v>
      </c>
      <c r="CC71">
        <f t="shared" si="188"/>
        <v>6.3999999999999986</v>
      </c>
      <c r="CD71">
        <f t="shared" si="188"/>
        <v>2.8000000000000003</v>
      </c>
      <c r="CE71" t="str">
        <f t="shared" si="188"/>
        <v/>
      </c>
      <c r="CF71" t="str">
        <f t="shared" si="188"/>
        <v/>
      </c>
      <c r="CG71" t="str">
        <f t="shared" si="188"/>
        <v/>
      </c>
      <c r="CH71" t="str">
        <f t="shared" si="188"/>
        <v/>
      </c>
      <c r="CI71" t="str">
        <f t="shared" si="188"/>
        <v/>
      </c>
      <c r="CJ71" t="str">
        <f t="shared" si="188"/>
        <v/>
      </c>
      <c r="CK71" t="str">
        <f t="shared" si="188"/>
        <v/>
      </c>
      <c r="CL71" t="str">
        <f t="shared" si="188"/>
        <v/>
      </c>
      <c r="CM71" t="str">
        <f t="shared" si="188"/>
        <v/>
      </c>
      <c r="CN71" t="str">
        <f t="shared" si="188"/>
        <v/>
      </c>
      <c r="CO71">
        <f t="shared" si="188"/>
        <v>19.5</v>
      </c>
      <c r="CP71">
        <f t="shared" si="188"/>
        <v>6.5</v>
      </c>
      <c r="CQ71">
        <f t="shared" si="188"/>
        <v>59</v>
      </c>
      <c r="CR71">
        <f t="shared" si="188"/>
        <v>54</v>
      </c>
      <c r="CS71">
        <f t="shared" si="188"/>
        <v>49</v>
      </c>
      <c r="CT71">
        <f t="shared" si="188"/>
        <v>-1</v>
      </c>
      <c r="CU71">
        <f t="shared" si="188"/>
        <v>-1</v>
      </c>
      <c r="CV71">
        <f t="shared" si="188"/>
        <v>-1</v>
      </c>
      <c r="CW71">
        <f t="shared" si="188"/>
        <v>-1</v>
      </c>
      <c r="CX71">
        <f t="shared" si="188"/>
        <v>-1</v>
      </c>
      <c r="CY71">
        <f t="shared" si="188"/>
        <v>69.800000000000026</v>
      </c>
      <c r="CZ71">
        <f t="shared" si="188"/>
        <v>61.80000000000004</v>
      </c>
      <c r="DA71">
        <f t="shared" si="188"/>
        <v>60</v>
      </c>
      <c r="DB71">
        <f t="shared" si="188"/>
        <v>56</v>
      </c>
      <c r="DC71">
        <f t="shared" si="188"/>
        <v>52</v>
      </c>
      <c r="DD71">
        <f t="shared" si="188"/>
        <v>48</v>
      </c>
      <c r="DE71">
        <f t="shared" si="188"/>
        <v>62</v>
      </c>
      <c r="DF71">
        <f t="shared" si="188"/>
        <v>60</v>
      </c>
      <c r="DG71">
        <f t="shared" si="188"/>
        <v>-1</v>
      </c>
      <c r="DH71">
        <f t="shared" si="188"/>
        <v>-1</v>
      </c>
      <c r="DI71">
        <f t="shared" si="188"/>
        <v>-1</v>
      </c>
      <c r="DJ71">
        <f t="shared" si="188"/>
        <v>-1</v>
      </c>
      <c r="DK71">
        <f t="shared" si="188"/>
        <v>-1</v>
      </c>
      <c r="DL71">
        <f t="shared" si="188"/>
        <v>-1</v>
      </c>
      <c r="DM71">
        <f t="shared" si="188"/>
        <v>-1</v>
      </c>
      <c r="DN71">
        <f t="shared" si="188"/>
        <v>-1</v>
      </c>
      <c r="DO71">
        <f t="shared" si="188"/>
        <v>-1</v>
      </c>
      <c r="DP71">
        <f t="shared" si="188"/>
        <v>-1</v>
      </c>
      <c r="DQ71">
        <f t="shared" si="188"/>
        <v>-1</v>
      </c>
      <c r="DR71">
        <f t="shared" si="188"/>
        <v>-1</v>
      </c>
      <c r="DS71">
        <f t="shared" si="188"/>
        <v>58</v>
      </c>
      <c r="DT71">
        <f t="shared" si="188"/>
        <v>52</v>
      </c>
      <c r="DU71">
        <f t="shared" si="188"/>
        <v>46</v>
      </c>
      <c r="DV71">
        <f t="shared" si="188"/>
        <v>40</v>
      </c>
      <c r="DW71">
        <f t="shared" si="188"/>
        <v>34</v>
      </c>
      <c r="DX71">
        <f t="shared" si="188"/>
        <v>28</v>
      </c>
      <c r="DY71">
        <f t="shared" si="188"/>
        <v>-1</v>
      </c>
      <c r="DZ71">
        <f t="shared" si="188"/>
        <v>-1</v>
      </c>
      <c r="EA71">
        <f t="shared" si="188"/>
        <v>-1</v>
      </c>
      <c r="EB71">
        <f t="shared" ref="EB71:EO71" si="189">IF(OR(EB70=-1,AND(IF(EB$3&lt;$B71,EB70+EB$6,IF(EB$3=$B71,1,""))&gt;$B$1,EB$3&lt;$B71)),-1,IF(EB$3&lt;$B71,EB70+EB$6,IF(EB$3=$B71,1,"")))</f>
        <v>-1</v>
      </c>
      <c r="EC71">
        <f t="shared" si="189"/>
        <v>-1</v>
      </c>
      <c r="ED71">
        <f t="shared" si="189"/>
        <v>-1</v>
      </c>
      <c r="EE71">
        <f t="shared" si="189"/>
        <v>-1</v>
      </c>
      <c r="EF71">
        <f t="shared" si="189"/>
        <v>-1</v>
      </c>
      <c r="EG71">
        <f t="shared" si="189"/>
        <v>-1</v>
      </c>
      <c r="EH71">
        <f t="shared" si="189"/>
        <v>69.800000000000026</v>
      </c>
      <c r="EI71">
        <f t="shared" si="189"/>
        <v>61.80000000000004</v>
      </c>
      <c r="EJ71">
        <f t="shared" si="189"/>
        <v>53.800000000000033</v>
      </c>
      <c r="EK71">
        <f t="shared" si="189"/>
        <v>-1</v>
      </c>
      <c r="EL71">
        <f t="shared" si="189"/>
        <v>-1</v>
      </c>
      <c r="EM71">
        <f t="shared" si="189"/>
        <v>-1</v>
      </c>
      <c r="EN71">
        <f t="shared" si="189"/>
        <v>68.200000000000031</v>
      </c>
      <c r="EO71">
        <f t="shared" si="189"/>
        <v>57.000000000000036</v>
      </c>
    </row>
    <row r="72" spans="1:145" x14ac:dyDescent="0.15">
      <c r="A72" t="e">
        <f t="shared" si="0"/>
        <v>#N/A</v>
      </c>
      <c r="B72" s="218">
        <v>64</v>
      </c>
      <c r="C72">
        <f t="shared" si="0"/>
        <v>63</v>
      </c>
      <c r="D72">
        <f t="shared" ref="D72:BO72" si="190">IF(OR(D71=-1,AND(IF(D$3&lt;$B72,D71+D$6,IF(D$3=$B72,1,""))&gt;$B$1,D$3&lt;$B72)),-1,IF(D$3&lt;$B72,D71+D$6,IF(D$3=$B72,1,"")))</f>
        <v>61</v>
      </c>
      <c r="E72">
        <f t="shared" si="190"/>
        <v>59</v>
      </c>
      <c r="F72">
        <f t="shared" si="190"/>
        <v>57</v>
      </c>
      <c r="G72">
        <f t="shared" si="190"/>
        <v>55</v>
      </c>
      <c r="H72">
        <f t="shared" si="190"/>
        <v>53</v>
      </c>
      <c r="I72">
        <f t="shared" si="190"/>
        <v>72.499999999999929</v>
      </c>
      <c r="J72">
        <f t="shared" si="190"/>
        <v>60.799999999999947</v>
      </c>
      <c r="K72">
        <f t="shared" si="190"/>
        <v>49.099999999999973</v>
      </c>
      <c r="L72">
        <f t="shared" si="190"/>
        <v>42.300000000000018</v>
      </c>
      <c r="M72">
        <f t="shared" si="190"/>
        <v>38.800000000000004</v>
      </c>
      <c r="N72">
        <f t="shared" si="190"/>
        <v>35.29999999999999</v>
      </c>
      <c r="O72">
        <f t="shared" si="190"/>
        <v>63</v>
      </c>
      <c r="P72">
        <f t="shared" si="190"/>
        <v>61</v>
      </c>
      <c r="Q72">
        <f t="shared" si="190"/>
        <v>59</v>
      </c>
      <c r="R72">
        <f t="shared" si="190"/>
        <v>57</v>
      </c>
      <c r="S72">
        <f t="shared" si="190"/>
        <v>55</v>
      </c>
      <c r="T72">
        <f t="shared" si="190"/>
        <v>-1</v>
      </c>
      <c r="U72">
        <f t="shared" si="190"/>
        <v>-1</v>
      </c>
      <c r="V72">
        <f t="shared" si="190"/>
        <v>-1</v>
      </c>
      <c r="W72">
        <f t="shared" si="190"/>
        <v>-1</v>
      </c>
      <c r="X72">
        <f t="shared" si="190"/>
        <v>-1</v>
      </c>
      <c r="Y72">
        <f t="shared" si="190"/>
        <v>-1</v>
      </c>
      <c r="Z72">
        <f t="shared" si="190"/>
        <v>62</v>
      </c>
      <c r="AA72">
        <f t="shared" si="190"/>
        <v>59</v>
      </c>
      <c r="AB72">
        <f t="shared" si="190"/>
        <v>56</v>
      </c>
      <c r="AC72">
        <f t="shared" si="190"/>
        <v>-1</v>
      </c>
      <c r="AD72">
        <f t="shared" si="190"/>
        <v>-1</v>
      </c>
      <c r="AE72">
        <f t="shared" si="190"/>
        <v>-1</v>
      </c>
      <c r="AF72">
        <f t="shared" si="190"/>
        <v>72.999999999999943</v>
      </c>
      <c r="AG72">
        <f t="shared" si="190"/>
        <v>62.19999999999996</v>
      </c>
      <c r="AH72">
        <f t="shared" si="190"/>
        <v>51.399999999999977</v>
      </c>
      <c r="AI72">
        <f t="shared" si="190"/>
        <v>37.000000000000043</v>
      </c>
      <c r="AJ72">
        <f t="shared" si="190"/>
        <v>34.600000000000037</v>
      </c>
      <c r="AK72">
        <f t="shared" si="190"/>
        <v>32.200000000000031</v>
      </c>
      <c r="AL72">
        <f t="shared" si="190"/>
        <v>29.800000000000026</v>
      </c>
      <c r="AM72">
        <f t="shared" si="190"/>
        <v>59</v>
      </c>
      <c r="AN72">
        <f t="shared" si="190"/>
        <v>53</v>
      </c>
      <c r="AO72">
        <f t="shared" si="190"/>
        <v>47</v>
      </c>
      <c r="AP72">
        <f t="shared" si="190"/>
        <v>-1</v>
      </c>
      <c r="AQ72">
        <f t="shared" si="190"/>
        <v>-1</v>
      </c>
      <c r="AR72">
        <f t="shared" si="190"/>
        <v>72.499999999999929</v>
      </c>
      <c r="AS72">
        <f t="shared" si="190"/>
        <v>68.599999999999937</v>
      </c>
      <c r="AT72">
        <f t="shared" si="190"/>
        <v>64.699999999999946</v>
      </c>
      <c r="AU72">
        <f t="shared" si="190"/>
        <v>60.799999999999947</v>
      </c>
      <c r="AV72">
        <f t="shared" si="190"/>
        <v>56.899999999999956</v>
      </c>
      <c r="AW72">
        <f t="shared" si="190"/>
        <v>59</v>
      </c>
      <c r="AX72">
        <f t="shared" si="190"/>
        <v>53</v>
      </c>
      <c r="AY72">
        <f t="shared" si="190"/>
        <v>-1</v>
      </c>
      <c r="AZ72">
        <f t="shared" si="190"/>
        <v>-1</v>
      </c>
      <c r="BA72">
        <f t="shared" si="190"/>
        <v>-1</v>
      </c>
      <c r="BB72">
        <f t="shared" si="190"/>
        <v>-1</v>
      </c>
      <c r="BC72">
        <f t="shared" si="190"/>
        <v>-1</v>
      </c>
      <c r="BD72">
        <f t="shared" si="190"/>
        <v>-1</v>
      </c>
      <c r="BE72">
        <f t="shared" si="190"/>
        <v>-1</v>
      </c>
      <c r="BF72">
        <f t="shared" si="190"/>
        <v>-1</v>
      </c>
      <c r="BG72">
        <f t="shared" si="190"/>
        <v>-1</v>
      </c>
      <c r="BH72">
        <f t="shared" si="190"/>
        <v>-1</v>
      </c>
      <c r="BI72">
        <f t="shared" si="190"/>
        <v>60</v>
      </c>
      <c r="BJ72">
        <f t="shared" si="190"/>
        <v>55</v>
      </c>
      <c r="BK72">
        <f t="shared" si="190"/>
        <v>50</v>
      </c>
      <c r="BL72">
        <f t="shared" si="190"/>
        <v>45</v>
      </c>
      <c r="BM72">
        <f t="shared" si="190"/>
        <v>59</v>
      </c>
      <c r="BN72">
        <f t="shared" si="190"/>
        <v>-1</v>
      </c>
      <c r="BO72">
        <f t="shared" si="190"/>
        <v>-1</v>
      </c>
      <c r="BP72">
        <f t="shared" ref="BP72:EA72" si="191">IF(OR(BP71=-1,AND(IF(BP$3&lt;$B72,BP71+BP$6,IF(BP$3=$B72,1,""))&gt;$B$1,BP$3&lt;$B72)),-1,IF(BP$3&lt;$B72,BP71+BP$6,IF(BP$3=$B72,1,"")))</f>
        <v>-1</v>
      </c>
      <c r="BQ72">
        <f t="shared" si="191"/>
        <v>-1</v>
      </c>
      <c r="BR72">
        <f t="shared" si="191"/>
        <v>-1</v>
      </c>
      <c r="BS72">
        <f t="shared" si="191"/>
        <v>63</v>
      </c>
      <c r="BT72">
        <f t="shared" si="191"/>
        <v>61</v>
      </c>
      <c r="BU72">
        <f t="shared" si="191"/>
        <v>35.80000000000004</v>
      </c>
      <c r="BV72">
        <f t="shared" si="191"/>
        <v>32.200000000000031</v>
      </c>
      <c r="BW72">
        <f t="shared" si="191"/>
        <v>28.600000000000023</v>
      </c>
      <c r="BX72">
        <f t="shared" si="191"/>
        <v>25.000000000000014</v>
      </c>
      <c r="BY72">
        <f t="shared" si="191"/>
        <v>21.400000000000006</v>
      </c>
      <c r="BZ72">
        <f t="shared" si="191"/>
        <v>17.799999999999997</v>
      </c>
      <c r="CA72">
        <f t="shared" si="191"/>
        <v>14.199999999999994</v>
      </c>
      <c r="CB72">
        <f t="shared" si="191"/>
        <v>10.599999999999996</v>
      </c>
      <c r="CC72">
        <f t="shared" si="191"/>
        <v>6.9999999999999982</v>
      </c>
      <c r="CD72">
        <f t="shared" si="191"/>
        <v>3.4000000000000004</v>
      </c>
      <c r="CE72" t="str">
        <f t="shared" si="191"/>
        <v/>
      </c>
      <c r="CF72" t="str">
        <f t="shared" si="191"/>
        <v/>
      </c>
      <c r="CG72" t="str">
        <f t="shared" si="191"/>
        <v/>
      </c>
      <c r="CH72" t="str">
        <f t="shared" si="191"/>
        <v/>
      </c>
      <c r="CI72" t="str">
        <f t="shared" si="191"/>
        <v/>
      </c>
      <c r="CJ72" t="str">
        <f t="shared" si="191"/>
        <v/>
      </c>
      <c r="CK72" t="str">
        <f t="shared" si="191"/>
        <v/>
      </c>
      <c r="CL72" t="str">
        <f t="shared" si="191"/>
        <v/>
      </c>
      <c r="CM72" t="str">
        <f t="shared" si="191"/>
        <v/>
      </c>
      <c r="CN72" t="str">
        <f t="shared" si="191"/>
        <v/>
      </c>
      <c r="CO72">
        <f t="shared" si="191"/>
        <v>20</v>
      </c>
      <c r="CP72">
        <f t="shared" si="191"/>
        <v>7</v>
      </c>
      <c r="CQ72">
        <f t="shared" si="191"/>
        <v>60</v>
      </c>
      <c r="CR72">
        <f t="shared" si="191"/>
        <v>55</v>
      </c>
      <c r="CS72">
        <f t="shared" si="191"/>
        <v>50</v>
      </c>
      <c r="CT72">
        <f t="shared" si="191"/>
        <v>-1</v>
      </c>
      <c r="CU72">
        <f t="shared" si="191"/>
        <v>-1</v>
      </c>
      <c r="CV72">
        <f t="shared" si="191"/>
        <v>-1</v>
      </c>
      <c r="CW72">
        <f t="shared" si="191"/>
        <v>-1</v>
      </c>
      <c r="CX72">
        <f t="shared" si="191"/>
        <v>-1</v>
      </c>
      <c r="CY72">
        <f t="shared" si="191"/>
        <v>71.40000000000002</v>
      </c>
      <c r="CZ72">
        <f t="shared" si="191"/>
        <v>63.400000000000041</v>
      </c>
      <c r="DA72">
        <f t="shared" si="191"/>
        <v>61</v>
      </c>
      <c r="DB72">
        <f t="shared" si="191"/>
        <v>57</v>
      </c>
      <c r="DC72">
        <f t="shared" si="191"/>
        <v>53</v>
      </c>
      <c r="DD72">
        <f t="shared" si="191"/>
        <v>49</v>
      </c>
      <c r="DE72">
        <f t="shared" si="191"/>
        <v>63</v>
      </c>
      <c r="DF72">
        <f t="shared" si="191"/>
        <v>61</v>
      </c>
      <c r="DG72">
        <f t="shared" si="191"/>
        <v>-1</v>
      </c>
      <c r="DH72">
        <f t="shared" si="191"/>
        <v>-1</v>
      </c>
      <c r="DI72">
        <f t="shared" si="191"/>
        <v>-1</v>
      </c>
      <c r="DJ72">
        <f t="shared" si="191"/>
        <v>-1</v>
      </c>
      <c r="DK72">
        <f t="shared" si="191"/>
        <v>-1</v>
      </c>
      <c r="DL72">
        <f t="shared" si="191"/>
        <v>-1</v>
      </c>
      <c r="DM72">
        <f t="shared" si="191"/>
        <v>-1</v>
      </c>
      <c r="DN72">
        <f t="shared" si="191"/>
        <v>-1</v>
      </c>
      <c r="DO72">
        <f t="shared" si="191"/>
        <v>-1</v>
      </c>
      <c r="DP72">
        <f t="shared" si="191"/>
        <v>-1</v>
      </c>
      <c r="DQ72">
        <f t="shared" si="191"/>
        <v>-1</v>
      </c>
      <c r="DR72">
        <f t="shared" si="191"/>
        <v>-1</v>
      </c>
      <c r="DS72">
        <f t="shared" si="191"/>
        <v>59</v>
      </c>
      <c r="DT72">
        <f t="shared" si="191"/>
        <v>53</v>
      </c>
      <c r="DU72">
        <f t="shared" si="191"/>
        <v>47</v>
      </c>
      <c r="DV72">
        <f t="shared" si="191"/>
        <v>41</v>
      </c>
      <c r="DW72">
        <f t="shared" si="191"/>
        <v>35</v>
      </c>
      <c r="DX72">
        <f t="shared" si="191"/>
        <v>29</v>
      </c>
      <c r="DY72">
        <f t="shared" si="191"/>
        <v>-1</v>
      </c>
      <c r="DZ72">
        <f t="shared" si="191"/>
        <v>-1</v>
      </c>
      <c r="EA72">
        <f t="shared" si="191"/>
        <v>-1</v>
      </c>
      <c r="EB72">
        <f t="shared" ref="EB72:EO72" si="192">IF(OR(EB71=-1,AND(IF(EB$3&lt;$B72,EB71+EB$6,IF(EB$3=$B72,1,""))&gt;$B$1,EB$3&lt;$B72)),-1,IF(EB$3&lt;$B72,EB71+EB$6,IF(EB$3=$B72,1,"")))</f>
        <v>-1</v>
      </c>
      <c r="EC72">
        <f t="shared" si="192"/>
        <v>-1</v>
      </c>
      <c r="ED72">
        <f t="shared" si="192"/>
        <v>-1</v>
      </c>
      <c r="EE72">
        <f t="shared" si="192"/>
        <v>-1</v>
      </c>
      <c r="EF72">
        <f t="shared" si="192"/>
        <v>-1</v>
      </c>
      <c r="EG72">
        <f t="shared" si="192"/>
        <v>-1</v>
      </c>
      <c r="EH72">
        <f t="shared" si="192"/>
        <v>71.40000000000002</v>
      </c>
      <c r="EI72">
        <f t="shared" si="192"/>
        <v>63.400000000000041</v>
      </c>
      <c r="EJ72">
        <f t="shared" si="192"/>
        <v>55.400000000000034</v>
      </c>
      <c r="EK72">
        <f t="shared" si="192"/>
        <v>-1</v>
      </c>
      <c r="EL72">
        <f t="shared" si="192"/>
        <v>-1</v>
      </c>
      <c r="EM72">
        <f t="shared" si="192"/>
        <v>-1</v>
      </c>
      <c r="EN72">
        <f t="shared" si="192"/>
        <v>69.800000000000026</v>
      </c>
      <c r="EO72">
        <f t="shared" si="192"/>
        <v>58.600000000000037</v>
      </c>
    </row>
    <row r="73" spans="1:145" x14ac:dyDescent="0.15">
      <c r="A73" t="e">
        <f t="shared" ref="A73:C136" si="193">IF(OR(A72=-1,AND(IF(A$3&lt;$B73,A72+A$6,IF(A$3=$B73,1,""))&gt;$B$1,A$3&lt;$B73)),-1,IF(A$3&lt;$B73,A72+A$6,IF(A$3=$B73,1,"")))</f>
        <v>#N/A</v>
      </c>
      <c r="B73" s="218">
        <v>65</v>
      </c>
      <c r="C73">
        <f t="shared" si="193"/>
        <v>64</v>
      </c>
      <c r="D73">
        <f t="shared" ref="D73:BO73" si="194">IF(OR(D72=-1,AND(IF(D$3&lt;$B73,D72+D$6,IF(D$3=$B73,1,""))&gt;$B$1,D$3&lt;$B73)),-1,IF(D$3&lt;$B73,D72+D$6,IF(D$3=$B73,1,"")))</f>
        <v>62</v>
      </c>
      <c r="E73">
        <f t="shared" si="194"/>
        <v>60</v>
      </c>
      <c r="F73">
        <f t="shared" si="194"/>
        <v>58</v>
      </c>
      <c r="G73">
        <f t="shared" si="194"/>
        <v>56</v>
      </c>
      <c r="H73">
        <f t="shared" si="194"/>
        <v>54</v>
      </c>
      <c r="I73">
        <f t="shared" si="194"/>
        <v>73.799999999999926</v>
      </c>
      <c r="J73">
        <f t="shared" si="194"/>
        <v>62.099999999999945</v>
      </c>
      <c r="K73">
        <f t="shared" si="194"/>
        <v>50.39999999999997</v>
      </c>
      <c r="L73">
        <f t="shared" si="194"/>
        <v>43.000000000000021</v>
      </c>
      <c r="M73">
        <f t="shared" si="194"/>
        <v>39.500000000000007</v>
      </c>
      <c r="N73">
        <f t="shared" si="194"/>
        <v>35.999999999999993</v>
      </c>
      <c r="O73">
        <f t="shared" si="194"/>
        <v>64</v>
      </c>
      <c r="P73">
        <f t="shared" si="194"/>
        <v>62</v>
      </c>
      <c r="Q73">
        <f t="shared" si="194"/>
        <v>60</v>
      </c>
      <c r="R73">
        <f t="shared" si="194"/>
        <v>58</v>
      </c>
      <c r="S73">
        <f t="shared" si="194"/>
        <v>56</v>
      </c>
      <c r="T73">
        <f t="shared" si="194"/>
        <v>-1</v>
      </c>
      <c r="U73">
        <f t="shared" si="194"/>
        <v>-1</v>
      </c>
      <c r="V73">
        <f t="shared" si="194"/>
        <v>-1</v>
      </c>
      <c r="W73">
        <f t="shared" si="194"/>
        <v>-1</v>
      </c>
      <c r="X73">
        <f t="shared" si="194"/>
        <v>-1</v>
      </c>
      <c r="Y73">
        <f t="shared" si="194"/>
        <v>-1</v>
      </c>
      <c r="Z73">
        <f t="shared" si="194"/>
        <v>63</v>
      </c>
      <c r="AA73">
        <f t="shared" si="194"/>
        <v>60</v>
      </c>
      <c r="AB73">
        <f t="shared" si="194"/>
        <v>57</v>
      </c>
      <c r="AC73">
        <f t="shared" si="194"/>
        <v>-1</v>
      </c>
      <c r="AD73">
        <f t="shared" si="194"/>
        <v>-1</v>
      </c>
      <c r="AE73">
        <f t="shared" si="194"/>
        <v>-1</v>
      </c>
      <c r="AF73">
        <f t="shared" si="194"/>
        <v>74.79999999999994</v>
      </c>
      <c r="AG73">
        <f t="shared" si="194"/>
        <v>63.999999999999957</v>
      </c>
      <c r="AH73">
        <f t="shared" si="194"/>
        <v>53.199999999999974</v>
      </c>
      <c r="AI73">
        <f t="shared" si="194"/>
        <v>37.600000000000044</v>
      </c>
      <c r="AJ73">
        <f t="shared" si="194"/>
        <v>35.200000000000038</v>
      </c>
      <c r="AK73">
        <f t="shared" si="194"/>
        <v>32.800000000000033</v>
      </c>
      <c r="AL73">
        <f t="shared" si="194"/>
        <v>30.400000000000027</v>
      </c>
      <c r="AM73">
        <f t="shared" si="194"/>
        <v>60</v>
      </c>
      <c r="AN73">
        <f t="shared" si="194"/>
        <v>54</v>
      </c>
      <c r="AO73">
        <f t="shared" si="194"/>
        <v>48</v>
      </c>
      <c r="AP73">
        <f t="shared" si="194"/>
        <v>-1</v>
      </c>
      <c r="AQ73">
        <f t="shared" si="194"/>
        <v>-1</v>
      </c>
      <c r="AR73">
        <f t="shared" si="194"/>
        <v>73.799999999999926</v>
      </c>
      <c r="AS73">
        <f t="shared" si="194"/>
        <v>69.899999999999935</v>
      </c>
      <c r="AT73">
        <f t="shared" si="194"/>
        <v>65.999999999999943</v>
      </c>
      <c r="AU73">
        <f t="shared" si="194"/>
        <v>62.099999999999945</v>
      </c>
      <c r="AV73">
        <f t="shared" si="194"/>
        <v>58.199999999999953</v>
      </c>
      <c r="AW73">
        <f t="shared" si="194"/>
        <v>60</v>
      </c>
      <c r="AX73">
        <f t="shared" si="194"/>
        <v>54</v>
      </c>
      <c r="AY73">
        <f t="shared" si="194"/>
        <v>-1</v>
      </c>
      <c r="AZ73">
        <f t="shared" si="194"/>
        <v>-1</v>
      </c>
      <c r="BA73">
        <f t="shared" si="194"/>
        <v>-1</v>
      </c>
      <c r="BB73">
        <f t="shared" si="194"/>
        <v>-1</v>
      </c>
      <c r="BC73">
        <f t="shared" si="194"/>
        <v>-1</v>
      </c>
      <c r="BD73">
        <f t="shared" si="194"/>
        <v>-1</v>
      </c>
      <c r="BE73">
        <f t="shared" si="194"/>
        <v>-1</v>
      </c>
      <c r="BF73">
        <f t="shared" si="194"/>
        <v>-1</v>
      </c>
      <c r="BG73">
        <f t="shared" si="194"/>
        <v>-1</v>
      </c>
      <c r="BH73">
        <f t="shared" si="194"/>
        <v>-1</v>
      </c>
      <c r="BI73">
        <f t="shared" si="194"/>
        <v>61</v>
      </c>
      <c r="BJ73">
        <f t="shared" si="194"/>
        <v>56</v>
      </c>
      <c r="BK73">
        <f t="shared" si="194"/>
        <v>51</v>
      </c>
      <c r="BL73">
        <f t="shared" si="194"/>
        <v>46</v>
      </c>
      <c r="BM73">
        <f t="shared" si="194"/>
        <v>60</v>
      </c>
      <c r="BN73">
        <f t="shared" si="194"/>
        <v>-1</v>
      </c>
      <c r="BO73">
        <f t="shared" si="194"/>
        <v>-1</v>
      </c>
      <c r="BP73">
        <f t="shared" ref="BP73:EA73" si="195">IF(OR(BP72=-1,AND(IF(BP$3&lt;$B73,BP72+BP$6,IF(BP$3=$B73,1,""))&gt;$B$1,BP$3&lt;$B73)),-1,IF(BP$3&lt;$B73,BP72+BP$6,IF(BP$3=$B73,1,"")))</f>
        <v>-1</v>
      </c>
      <c r="BQ73">
        <f t="shared" si="195"/>
        <v>-1</v>
      </c>
      <c r="BR73">
        <f t="shared" si="195"/>
        <v>-1</v>
      </c>
      <c r="BS73">
        <f t="shared" si="195"/>
        <v>64</v>
      </c>
      <c r="BT73">
        <f t="shared" si="195"/>
        <v>62</v>
      </c>
      <c r="BU73">
        <f t="shared" si="195"/>
        <v>36.400000000000041</v>
      </c>
      <c r="BV73">
        <f t="shared" si="195"/>
        <v>32.800000000000033</v>
      </c>
      <c r="BW73">
        <f t="shared" si="195"/>
        <v>29.200000000000024</v>
      </c>
      <c r="BX73">
        <f t="shared" si="195"/>
        <v>25.600000000000016</v>
      </c>
      <c r="BY73">
        <f t="shared" si="195"/>
        <v>22.000000000000007</v>
      </c>
      <c r="BZ73">
        <f t="shared" si="195"/>
        <v>18.399999999999999</v>
      </c>
      <c r="CA73">
        <f t="shared" si="195"/>
        <v>14.799999999999994</v>
      </c>
      <c r="CB73">
        <f t="shared" si="195"/>
        <v>11.199999999999996</v>
      </c>
      <c r="CC73">
        <f t="shared" si="195"/>
        <v>7.5999999999999979</v>
      </c>
      <c r="CD73">
        <f t="shared" si="195"/>
        <v>4</v>
      </c>
      <c r="CE73" t="str">
        <f t="shared" si="195"/>
        <v/>
      </c>
      <c r="CF73" t="str">
        <f t="shared" si="195"/>
        <v/>
      </c>
      <c r="CG73" t="str">
        <f t="shared" si="195"/>
        <v/>
      </c>
      <c r="CH73" t="str">
        <f t="shared" si="195"/>
        <v/>
      </c>
      <c r="CI73" t="str">
        <f t="shared" si="195"/>
        <v/>
      </c>
      <c r="CJ73" t="str">
        <f t="shared" si="195"/>
        <v/>
      </c>
      <c r="CK73" t="str">
        <f t="shared" si="195"/>
        <v/>
      </c>
      <c r="CL73" t="str">
        <f t="shared" si="195"/>
        <v/>
      </c>
      <c r="CM73" t="str">
        <f t="shared" si="195"/>
        <v/>
      </c>
      <c r="CN73" t="str">
        <f t="shared" si="195"/>
        <v/>
      </c>
      <c r="CO73">
        <f t="shared" si="195"/>
        <v>20.5</v>
      </c>
      <c r="CP73">
        <f t="shared" si="195"/>
        <v>7.5</v>
      </c>
      <c r="CQ73">
        <f t="shared" si="195"/>
        <v>61</v>
      </c>
      <c r="CR73">
        <f t="shared" si="195"/>
        <v>56</v>
      </c>
      <c r="CS73">
        <f t="shared" si="195"/>
        <v>51</v>
      </c>
      <c r="CT73">
        <f t="shared" si="195"/>
        <v>-1</v>
      </c>
      <c r="CU73">
        <f t="shared" si="195"/>
        <v>-1</v>
      </c>
      <c r="CV73">
        <f t="shared" si="195"/>
        <v>-1</v>
      </c>
      <c r="CW73">
        <f t="shared" si="195"/>
        <v>-1</v>
      </c>
      <c r="CX73">
        <f t="shared" si="195"/>
        <v>-1</v>
      </c>
      <c r="CY73">
        <f t="shared" si="195"/>
        <v>73.000000000000014</v>
      </c>
      <c r="CZ73">
        <f t="shared" si="195"/>
        <v>65.000000000000043</v>
      </c>
      <c r="DA73">
        <f t="shared" si="195"/>
        <v>62</v>
      </c>
      <c r="DB73">
        <f t="shared" si="195"/>
        <v>58</v>
      </c>
      <c r="DC73">
        <f t="shared" si="195"/>
        <v>54</v>
      </c>
      <c r="DD73">
        <f t="shared" si="195"/>
        <v>50</v>
      </c>
      <c r="DE73">
        <f t="shared" si="195"/>
        <v>64</v>
      </c>
      <c r="DF73">
        <f t="shared" si="195"/>
        <v>62</v>
      </c>
      <c r="DG73">
        <f t="shared" si="195"/>
        <v>-1</v>
      </c>
      <c r="DH73">
        <f t="shared" si="195"/>
        <v>-1</v>
      </c>
      <c r="DI73">
        <f t="shared" si="195"/>
        <v>-1</v>
      </c>
      <c r="DJ73">
        <f t="shared" si="195"/>
        <v>-1</v>
      </c>
      <c r="DK73">
        <f t="shared" si="195"/>
        <v>-1</v>
      </c>
      <c r="DL73">
        <f t="shared" si="195"/>
        <v>-1</v>
      </c>
      <c r="DM73">
        <f t="shared" si="195"/>
        <v>-1</v>
      </c>
      <c r="DN73">
        <f t="shared" si="195"/>
        <v>-1</v>
      </c>
      <c r="DO73">
        <f t="shared" si="195"/>
        <v>-1</v>
      </c>
      <c r="DP73">
        <f t="shared" si="195"/>
        <v>-1</v>
      </c>
      <c r="DQ73">
        <f t="shared" si="195"/>
        <v>-1</v>
      </c>
      <c r="DR73">
        <f t="shared" si="195"/>
        <v>-1</v>
      </c>
      <c r="DS73">
        <f t="shared" si="195"/>
        <v>60</v>
      </c>
      <c r="DT73">
        <f t="shared" si="195"/>
        <v>54</v>
      </c>
      <c r="DU73">
        <f t="shared" si="195"/>
        <v>48</v>
      </c>
      <c r="DV73">
        <f t="shared" si="195"/>
        <v>42</v>
      </c>
      <c r="DW73">
        <f t="shared" si="195"/>
        <v>36</v>
      </c>
      <c r="DX73">
        <f t="shared" si="195"/>
        <v>30</v>
      </c>
      <c r="DY73">
        <f t="shared" si="195"/>
        <v>-1</v>
      </c>
      <c r="DZ73">
        <f t="shared" si="195"/>
        <v>-1</v>
      </c>
      <c r="EA73">
        <f t="shared" si="195"/>
        <v>-1</v>
      </c>
      <c r="EB73">
        <f t="shared" ref="EB73:EO73" si="196">IF(OR(EB72=-1,AND(IF(EB$3&lt;$B73,EB72+EB$6,IF(EB$3=$B73,1,""))&gt;$B$1,EB$3&lt;$B73)),-1,IF(EB$3&lt;$B73,EB72+EB$6,IF(EB$3=$B73,1,"")))</f>
        <v>-1</v>
      </c>
      <c r="EC73">
        <f t="shared" si="196"/>
        <v>-1</v>
      </c>
      <c r="ED73">
        <f t="shared" si="196"/>
        <v>-1</v>
      </c>
      <c r="EE73">
        <f t="shared" si="196"/>
        <v>-1</v>
      </c>
      <c r="EF73">
        <f t="shared" si="196"/>
        <v>-1</v>
      </c>
      <c r="EG73">
        <f t="shared" si="196"/>
        <v>-1</v>
      </c>
      <c r="EH73">
        <f t="shared" si="196"/>
        <v>73.000000000000014</v>
      </c>
      <c r="EI73">
        <f t="shared" si="196"/>
        <v>65.000000000000043</v>
      </c>
      <c r="EJ73">
        <f t="shared" si="196"/>
        <v>57.000000000000036</v>
      </c>
      <c r="EK73">
        <f t="shared" si="196"/>
        <v>-1</v>
      </c>
      <c r="EL73">
        <f t="shared" si="196"/>
        <v>-1</v>
      </c>
      <c r="EM73">
        <f t="shared" si="196"/>
        <v>-1</v>
      </c>
      <c r="EN73">
        <f t="shared" si="196"/>
        <v>71.40000000000002</v>
      </c>
      <c r="EO73">
        <f t="shared" si="196"/>
        <v>60.200000000000038</v>
      </c>
    </row>
    <row r="74" spans="1:145" x14ac:dyDescent="0.15">
      <c r="A74" t="e">
        <f t="shared" si="193"/>
        <v>#N/A</v>
      </c>
      <c r="B74" s="218">
        <v>66</v>
      </c>
      <c r="C74">
        <f t="shared" si="193"/>
        <v>65</v>
      </c>
      <c r="D74">
        <f t="shared" ref="D74:BO74" si="197">IF(OR(D73=-1,AND(IF(D$3&lt;$B74,D73+D$6,IF(D$3=$B74,1,""))&gt;$B$1,D$3&lt;$B74)),-1,IF(D$3&lt;$B74,D73+D$6,IF(D$3=$B74,1,"")))</f>
        <v>63</v>
      </c>
      <c r="E74">
        <f t="shared" si="197"/>
        <v>61</v>
      </c>
      <c r="F74">
        <f t="shared" si="197"/>
        <v>59</v>
      </c>
      <c r="G74">
        <f t="shared" si="197"/>
        <v>57</v>
      </c>
      <c r="H74">
        <f t="shared" si="197"/>
        <v>55</v>
      </c>
      <c r="I74">
        <f t="shared" si="197"/>
        <v>-1</v>
      </c>
      <c r="J74">
        <f t="shared" si="197"/>
        <v>63.399999999999942</v>
      </c>
      <c r="K74">
        <f t="shared" si="197"/>
        <v>51.699999999999967</v>
      </c>
      <c r="L74">
        <f t="shared" si="197"/>
        <v>43.700000000000024</v>
      </c>
      <c r="M74">
        <f t="shared" si="197"/>
        <v>40.20000000000001</v>
      </c>
      <c r="N74">
        <f t="shared" si="197"/>
        <v>36.699999999999996</v>
      </c>
      <c r="O74">
        <f t="shared" si="197"/>
        <v>65</v>
      </c>
      <c r="P74">
        <f t="shared" si="197"/>
        <v>63</v>
      </c>
      <c r="Q74">
        <f t="shared" si="197"/>
        <v>61</v>
      </c>
      <c r="R74">
        <f t="shared" si="197"/>
        <v>59</v>
      </c>
      <c r="S74">
        <f t="shared" si="197"/>
        <v>57</v>
      </c>
      <c r="T74">
        <f t="shared" si="197"/>
        <v>-1</v>
      </c>
      <c r="U74">
        <f t="shared" si="197"/>
        <v>-1</v>
      </c>
      <c r="V74">
        <f t="shared" si="197"/>
        <v>-1</v>
      </c>
      <c r="W74">
        <f t="shared" si="197"/>
        <v>-1</v>
      </c>
      <c r="X74">
        <f t="shared" si="197"/>
        <v>-1</v>
      </c>
      <c r="Y74">
        <f t="shared" si="197"/>
        <v>-1</v>
      </c>
      <c r="Z74">
        <f t="shared" si="197"/>
        <v>64</v>
      </c>
      <c r="AA74">
        <f t="shared" si="197"/>
        <v>61</v>
      </c>
      <c r="AB74">
        <f t="shared" si="197"/>
        <v>58</v>
      </c>
      <c r="AC74">
        <f t="shared" si="197"/>
        <v>-1</v>
      </c>
      <c r="AD74">
        <f t="shared" si="197"/>
        <v>-1</v>
      </c>
      <c r="AE74">
        <f t="shared" si="197"/>
        <v>-1</v>
      </c>
      <c r="AF74">
        <f t="shared" si="197"/>
        <v>-1</v>
      </c>
      <c r="AG74">
        <f t="shared" si="197"/>
        <v>65.799999999999955</v>
      </c>
      <c r="AH74">
        <f t="shared" si="197"/>
        <v>54.999999999999972</v>
      </c>
      <c r="AI74">
        <f t="shared" si="197"/>
        <v>38.200000000000045</v>
      </c>
      <c r="AJ74">
        <f t="shared" si="197"/>
        <v>35.80000000000004</v>
      </c>
      <c r="AK74">
        <f t="shared" si="197"/>
        <v>33.400000000000034</v>
      </c>
      <c r="AL74">
        <f t="shared" si="197"/>
        <v>31.000000000000028</v>
      </c>
      <c r="AM74">
        <f t="shared" si="197"/>
        <v>61</v>
      </c>
      <c r="AN74">
        <f t="shared" si="197"/>
        <v>55</v>
      </c>
      <c r="AO74">
        <f t="shared" si="197"/>
        <v>49</v>
      </c>
      <c r="AP74">
        <f t="shared" si="197"/>
        <v>-1</v>
      </c>
      <c r="AQ74">
        <f t="shared" si="197"/>
        <v>-1</v>
      </c>
      <c r="AR74">
        <f t="shared" si="197"/>
        <v>-1</v>
      </c>
      <c r="AS74">
        <f t="shared" si="197"/>
        <v>71.199999999999932</v>
      </c>
      <c r="AT74">
        <f t="shared" si="197"/>
        <v>67.29999999999994</v>
      </c>
      <c r="AU74">
        <f t="shared" si="197"/>
        <v>63.399999999999942</v>
      </c>
      <c r="AV74">
        <f t="shared" si="197"/>
        <v>59.49999999999995</v>
      </c>
      <c r="AW74">
        <f t="shared" si="197"/>
        <v>61</v>
      </c>
      <c r="AX74">
        <f t="shared" si="197"/>
        <v>55</v>
      </c>
      <c r="AY74">
        <f t="shared" si="197"/>
        <v>-1</v>
      </c>
      <c r="AZ74">
        <f t="shared" si="197"/>
        <v>-1</v>
      </c>
      <c r="BA74">
        <f t="shared" si="197"/>
        <v>-1</v>
      </c>
      <c r="BB74">
        <f t="shared" si="197"/>
        <v>-1</v>
      </c>
      <c r="BC74">
        <f t="shared" si="197"/>
        <v>-1</v>
      </c>
      <c r="BD74">
        <f t="shared" si="197"/>
        <v>-1</v>
      </c>
      <c r="BE74">
        <f t="shared" si="197"/>
        <v>-1</v>
      </c>
      <c r="BF74">
        <f t="shared" si="197"/>
        <v>-1</v>
      </c>
      <c r="BG74">
        <f t="shared" si="197"/>
        <v>-1</v>
      </c>
      <c r="BH74">
        <f t="shared" si="197"/>
        <v>-1</v>
      </c>
      <c r="BI74">
        <f t="shared" si="197"/>
        <v>62</v>
      </c>
      <c r="BJ74">
        <f t="shared" si="197"/>
        <v>57</v>
      </c>
      <c r="BK74">
        <f t="shared" si="197"/>
        <v>52</v>
      </c>
      <c r="BL74">
        <f t="shared" si="197"/>
        <v>47</v>
      </c>
      <c r="BM74">
        <f t="shared" si="197"/>
        <v>61</v>
      </c>
      <c r="BN74">
        <f t="shared" si="197"/>
        <v>-1</v>
      </c>
      <c r="BO74">
        <f t="shared" si="197"/>
        <v>-1</v>
      </c>
      <c r="BP74">
        <f t="shared" ref="BP74:EA74" si="198">IF(OR(BP73=-1,AND(IF(BP$3&lt;$B74,BP73+BP$6,IF(BP$3=$B74,1,""))&gt;$B$1,BP$3&lt;$B74)),-1,IF(BP$3&lt;$B74,BP73+BP$6,IF(BP$3=$B74,1,"")))</f>
        <v>-1</v>
      </c>
      <c r="BQ74">
        <f t="shared" si="198"/>
        <v>-1</v>
      </c>
      <c r="BR74">
        <f t="shared" si="198"/>
        <v>-1</v>
      </c>
      <c r="BS74">
        <f t="shared" si="198"/>
        <v>65</v>
      </c>
      <c r="BT74">
        <f t="shared" si="198"/>
        <v>63</v>
      </c>
      <c r="BU74">
        <f t="shared" si="198"/>
        <v>37.000000000000043</v>
      </c>
      <c r="BV74">
        <f t="shared" si="198"/>
        <v>33.400000000000034</v>
      </c>
      <c r="BW74">
        <f t="shared" si="198"/>
        <v>29.800000000000026</v>
      </c>
      <c r="BX74">
        <f t="shared" si="198"/>
        <v>26.200000000000017</v>
      </c>
      <c r="BY74">
        <f t="shared" si="198"/>
        <v>22.600000000000009</v>
      </c>
      <c r="BZ74">
        <f t="shared" si="198"/>
        <v>19</v>
      </c>
      <c r="CA74">
        <f t="shared" si="198"/>
        <v>15.399999999999993</v>
      </c>
      <c r="CB74">
        <f t="shared" si="198"/>
        <v>11.799999999999995</v>
      </c>
      <c r="CC74">
        <f t="shared" si="198"/>
        <v>8.1999999999999975</v>
      </c>
      <c r="CD74">
        <f t="shared" si="198"/>
        <v>4.5999999999999996</v>
      </c>
      <c r="CE74">
        <f t="shared" si="198"/>
        <v>1</v>
      </c>
      <c r="CF74" t="str">
        <f t="shared" si="198"/>
        <v/>
      </c>
      <c r="CG74" t="str">
        <f t="shared" si="198"/>
        <v/>
      </c>
      <c r="CH74" t="str">
        <f t="shared" si="198"/>
        <v/>
      </c>
      <c r="CI74" t="str">
        <f t="shared" si="198"/>
        <v/>
      </c>
      <c r="CJ74" t="str">
        <f t="shared" si="198"/>
        <v/>
      </c>
      <c r="CK74" t="str">
        <f t="shared" si="198"/>
        <v/>
      </c>
      <c r="CL74" t="str">
        <f t="shared" si="198"/>
        <v/>
      </c>
      <c r="CM74" t="str">
        <f t="shared" si="198"/>
        <v/>
      </c>
      <c r="CN74" t="str">
        <f t="shared" si="198"/>
        <v/>
      </c>
      <c r="CO74">
        <f t="shared" si="198"/>
        <v>21</v>
      </c>
      <c r="CP74">
        <f t="shared" si="198"/>
        <v>8</v>
      </c>
      <c r="CQ74">
        <f t="shared" si="198"/>
        <v>62</v>
      </c>
      <c r="CR74">
        <f t="shared" si="198"/>
        <v>57</v>
      </c>
      <c r="CS74">
        <f t="shared" si="198"/>
        <v>52</v>
      </c>
      <c r="CT74">
        <f t="shared" si="198"/>
        <v>-1</v>
      </c>
      <c r="CU74">
        <f t="shared" si="198"/>
        <v>-1</v>
      </c>
      <c r="CV74">
        <f t="shared" si="198"/>
        <v>-1</v>
      </c>
      <c r="CW74">
        <f t="shared" si="198"/>
        <v>-1</v>
      </c>
      <c r="CX74">
        <f t="shared" si="198"/>
        <v>-1</v>
      </c>
      <c r="CY74">
        <f t="shared" si="198"/>
        <v>74.600000000000009</v>
      </c>
      <c r="CZ74">
        <f t="shared" si="198"/>
        <v>66.600000000000037</v>
      </c>
      <c r="DA74">
        <f t="shared" si="198"/>
        <v>63</v>
      </c>
      <c r="DB74">
        <f t="shared" si="198"/>
        <v>59</v>
      </c>
      <c r="DC74">
        <f t="shared" si="198"/>
        <v>55</v>
      </c>
      <c r="DD74">
        <f t="shared" si="198"/>
        <v>51</v>
      </c>
      <c r="DE74">
        <f t="shared" si="198"/>
        <v>65</v>
      </c>
      <c r="DF74">
        <f t="shared" si="198"/>
        <v>63</v>
      </c>
      <c r="DG74">
        <f t="shared" si="198"/>
        <v>-1</v>
      </c>
      <c r="DH74">
        <f t="shared" si="198"/>
        <v>-1</v>
      </c>
      <c r="DI74">
        <f t="shared" si="198"/>
        <v>-1</v>
      </c>
      <c r="DJ74">
        <f t="shared" si="198"/>
        <v>-1</v>
      </c>
      <c r="DK74">
        <f t="shared" si="198"/>
        <v>-1</v>
      </c>
      <c r="DL74">
        <f t="shared" si="198"/>
        <v>-1</v>
      </c>
      <c r="DM74">
        <f t="shared" si="198"/>
        <v>-1</v>
      </c>
      <c r="DN74">
        <f t="shared" si="198"/>
        <v>-1</v>
      </c>
      <c r="DO74">
        <f t="shared" si="198"/>
        <v>-1</v>
      </c>
      <c r="DP74">
        <f t="shared" si="198"/>
        <v>-1</v>
      </c>
      <c r="DQ74">
        <f t="shared" si="198"/>
        <v>-1</v>
      </c>
      <c r="DR74">
        <f t="shared" si="198"/>
        <v>-1</v>
      </c>
      <c r="DS74">
        <f t="shared" si="198"/>
        <v>61</v>
      </c>
      <c r="DT74">
        <f t="shared" si="198"/>
        <v>55</v>
      </c>
      <c r="DU74">
        <f t="shared" si="198"/>
        <v>49</v>
      </c>
      <c r="DV74">
        <f t="shared" si="198"/>
        <v>43</v>
      </c>
      <c r="DW74">
        <f t="shared" si="198"/>
        <v>37</v>
      </c>
      <c r="DX74">
        <f t="shared" si="198"/>
        <v>31</v>
      </c>
      <c r="DY74">
        <f t="shared" si="198"/>
        <v>-1</v>
      </c>
      <c r="DZ74">
        <f t="shared" si="198"/>
        <v>-1</v>
      </c>
      <c r="EA74">
        <f t="shared" si="198"/>
        <v>-1</v>
      </c>
      <c r="EB74">
        <f t="shared" ref="EB74:EO74" si="199">IF(OR(EB73=-1,AND(IF(EB$3&lt;$B74,EB73+EB$6,IF(EB$3=$B74,1,""))&gt;$B$1,EB$3&lt;$B74)),-1,IF(EB$3&lt;$B74,EB73+EB$6,IF(EB$3=$B74,1,"")))</f>
        <v>-1</v>
      </c>
      <c r="EC74">
        <f t="shared" si="199"/>
        <v>-1</v>
      </c>
      <c r="ED74">
        <f t="shared" si="199"/>
        <v>-1</v>
      </c>
      <c r="EE74">
        <f t="shared" si="199"/>
        <v>-1</v>
      </c>
      <c r="EF74">
        <f t="shared" si="199"/>
        <v>-1</v>
      </c>
      <c r="EG74">
        <f t="shared" si="199"/>
        <v>-1</v>
      </c>
      <c r="EH74">
        <f t="shared" si="199"/>
        <v>74.600000000000009</v>
      </c>
      <c r="EI74">
        <f t="shared" si="199"/>
        <v>66.600000000000037</v>
      </c>
      <c r="EJ74">
        <f t="shared" si="199"/>
        <v>58.600000000000037</v>
      </c>
      <c r="EK74">
        <f t="shared" si="199"/>
        <v>-1</v>
      </c>
      <c r="EL74">
        <f t="shared" si="199"/>
        <v>-1</v>
      </c>
      <c r="EM74">
        <f t="shared" si="199"/>
        <v>-1</v>
      </c>
      <c r="EN74">
        <f t="shared" si="199"/>
        <v>73.000000000000014</v>
      </c>
      <c r="EO74">
        <f t="shared" si="199"/>
        <v>61.80000000000004</v>
      </c>
    </row>
    <row r="75" spans="1:145" x14ac:dyDescent="0.15">
      <c r="A75" t="e">
        <f t="shared" si="193"/>
        <v>#N/A</v>
      </c>
      <c r="B75" s="218">
        <v>67</v>
      </c>
      <c r="C75">
        <f t="shared" si="193"/>
        <v>66</v>
      </c>
      <c r="D75">
        <f t="shared" ref="D75:BO75" si="200">IF(OR(D74=-1,AND(IF(D$3&lt;$B75,D74+D$6,IF(D$3=$B75,1,""))&gt;$B$1,D$3&lt;$B75)),-1,IF(D$3&lt;$B75,D74+D$6,IF(D$3=$B75,1,"")))</f>
        <v>64</v>
      </c>
      <c r="E75">
        <f t="shared" si="200"/>
        <v>62</v>
      </c>
      <c r="F75">
        <f t="shared" si="200"/>
        <v>60</v>
      </c>
      <c r="G75">
        <f t="shared" si="200"/>
        <v>58</v>
      </c>
      <c r="H75">
        <f t="shared" si="200"/>
        <v>56</v>
      </c>
      <c r="I75">
        <f t="shared" si="200"/>
        <v>-1</v>
      </c>
      <c r="J75">
        <f t="shared" si="200"/>
        <v>64.699999999999946</v>
      </c>
      <c r="K75">
        <f t="shared" si="200"/>
        <v>52.999999999999964</v>
      </c>
      <c r="L75">
        <f t="shared" si="200"/>
        <v>44.400000000000027</v>
      </c>
      <c r="M75">
        <f t="shared" si="200"/>
        <v>40.900000000000013</v>
      </c>
      <c r="N75">
        <f t="shared" si="200"/>
        <v>37.4</v>
      </c>
      <c r="O75">
        <f t="shared" si="200"/>
        <v>66</v>
      </c>
      <c r="P75">
        <f t="shared" si="200"/>
        <v>64</v>
      </c>
      <c r="Q75">
        <f t="shared" si="200"/>
        <v>62</v>
      </c>
      <c r="R75">
        <f t="shared" si="200"/>
        <v>60</v>
      </c>
      <c r="S75">
        <f t="shared" si="200"/>
        <v>58</v>
      </c>
      <c r="T75">
        <f t="shared" si="200"/>
        <v>-1</v>
      </c>
      <c r="U75">
        <f t="shared" si="200"/>
        <v>-1</v>
      </c>
      <c r="V75">
        <f t="shared" si="200"/>
        <v>-1</v>
      </c>
      <c r="W75">
        <f t="shared" si="200"/>
        <v>-1</v>
      </c>
      <c r="X75">
        <f t="shared" si="200"/>
        <v>-1</v>
      </c>
      <c r="Y75">
        <f t="shared" si="200"/>
        <v>-1</v>
      </c>
      <c r="Z75">
        <f t="shared" si="200"/>
        <v>65</v>
      </c>
      <c r="AA75">
        <f t="shared" si="200"/>
        <v>62</v>
      </c>
      <c r="AB75">
        <f t="shared" si="200"/>
        <v>59</v>
      </c>
      <c r="AC75">
        <f t="shared" si="200"/>
        <v>-1</v>
      </c>
      <c r="AD75">
        <f t="shared" si="200"/>
        <v>-1</v>
      </c>
      <c r="AE75">
        <f t="shared" si="200"/>
        <v>-1</v>
      </c>
      <c r="AF75">
        <f t="shared" si="200"/>
        <v>-1</v>
      </c>
      <c r="AG75">
        <f t="shared" si="200"/>
        <v>67.599999999999952</v>
      </c>
      <c r="AH75">
        <f t="shared" si="200"/>
        <v>56.799999999999969</v>
      </c>
      <c r="AI75">
        <f t="shared" si="200"/>
        <v>38.800000000000047</v>
      </c>
      <c r="AJ75">
        <f t="shared" si="200"/>
        <v>36.400000000000041</v>
      </c>
      <c r="AK75">
        <f t="shared" si="200"/>
        <v>34.000000000000036</v>
      </c>
      <c r="AL75">
        <f t="shared" si="200"/>
        <v>31.60000000000003</v>
      </c>
      <c r="AM75">
        <f t="shared" si="200"/>
        <v>62</v>
      </c>
      <c r="AN75">
        <f t="shared" si="200"/>
        <v>56</v>
      </c>
      <c r="AO75">
        <f t="shared" si="200"/>
        <v>50</v>
      </c>
      <c r="AP75">
        <f t="shared" si="200"/>
        <v>-1</v>
      </c>
      <c r="AQ75">
        <f t="shared" si="200"/>
        <v>-1</v>
      </c>
      <c r="AR75">
        <f t="shared" si="200"/>
        <v>-1</v>
      </c>
      <c r="AS75">
        <f t="shared" si="200"/>
        <v>72.499999999999929</v>
      </c>
      <c r="AT75">
        <f t="shared" si="200"/>
        <v>68.599999999999937</v>
      </c>
      <c r="AU75">
        <f t="shared" si="200"/>
        <v>64.699999999999946</v>
      </c>
      <c r="AV75">
        <f t="shared" si="200"/>
        <v>60.799999999999947</v>
      </c>
      <c r="AW75">
        <f t="shared" si="200"/>
        <v>62</v>
      </c>
      <c r="AX75">
        <f t="shared" si="200"/>
        <v>56</v>
      </c>
      <c r="AY75">
        <f t="shared" si="200"/>
        <v>-1</v>
      </c>
      <c r="AZ75">
        <f t="shared" si="200"/>
        <v>-1</v>
      </c>
      <c r="BA75">
        <f t="shared" si="200"/>
        <v>-1</v>
      </c>
      <c r="BB75">
        <f t="shared" si="200"/>
        <v>-1</v>
      </c>
      <c r="BC75">
        <f t="shared" si="200"/>
        <v>-1</v>
      </c>
      <c r="BD75">
        <f t="shared" si="200"/>
        <v>-1</v>
      </c>
      <c r="BE75">
        <f t="shared" si="200"/>
        <v>-1</v>
      </c>
      <c r="BF75">
        <f t="shared" si="200"/>
        <v>-1</v>
      </c>
      <c r="BG75">
        <f t="shared" si="200"/>
        <v>-1</v>
      </c>
      <c r="BH75">
        <f t="shared" si="200"/>
        <v>-1</v>
      </c>
      <c r="BI75">
        <f t="shared" si="200"/>
        <v>63</v>
      </c>
      <c r="BJ75">
        <f t="shared" si="200"/>
        <v>58</v>
      </c>
      <c r="BK75">
        <f t="shared" si="200"/>
        <v>53</v>
      </c>
      <c r="BL75">
        <f t="shared" si="200"/>
        <v>48</v>
      </c>
      <c r="BM75">
        <f t="shared" si="200"/>
        <v>62</v>
      </c>
      <c r="BN75">
        <f t="shared" si="200"/>
        <v>-1</v>
      </c>
      <c r="BO75">
        <f t="shared" si="200"/>
        <v>-1</v>
      </c>
      <c r="BP75">
        <f t="shared" ref="BP75:EA75" si="201">IF(OR(BP74=-1,AND(IF(BP$3&lt;$B75,BP74+BP$6,IF(BP$3=$B75,1,""))&gt;$B$1,BP$3&lt;$B75)),-1,IF(BP$3&lt;$B75,BP74+BP$6,IF(BP$3=$B75,1,"")))</f>
        <v>-1</v>
      </c>
      <c r="BQ75">
        <f t="shared" si="201"/>
        <v>-1</v>
      </c>
      <c r="BR75">
        <f t="shared" si="201"/>
        <v>-1</v>
      </c>
      <c r="BS75">
        <f t="shared" si="201"/>
        <v>66</v>
      </c>
      <c r="BT75">
        <f t="shared" si="201"/>
        <v>64</v>
      </c>
      <c r="BU75">
        <f t="shared" si="201"/>
        <v>37.600000000000044</v>
      </c>
      <c r="BV75">
        <f t="shared" si="201"/>
        <v>34.000000000000036</v>
      </c>
      <c r="BW75">
        <f t="shared" si="201"/>
        <v>30.400000000000027</v>
      </c>
      <c r="BX75">
        <f t="shared" si="201"/>
        <v>26.800000000000018</v>
      </c>
      <c r="BY75">
        <f t="shared" si="201"/>
        <v>23.20000000000001</v>
      </c>
      <c r="BZ75">
        <f t="shared" si="201"/>
        <v>19.600000000000001</v>
      </c>
      <c r="CA75">
        <f t="shared" si="201"/>
        <v>15.999999999999993</v>
      </c>
      <c r="CB75">
        <f t="shared" si="201"/>
        <v>12.399999999999995</v>
      </c>
      <c r="CC75">
        <f t="shared" si="201"/>
        <v>8.7999999999999972</v>
      </c>
      <c r="CD75">
        <f t="shared" si="201"/>
        <v>5.1999999999999993</v>
      </c>
      <c r="CE75">
        <f t="shared" si="201"/>
        <v>1.6</v>
      </c>
      <c r="CF75" t="str">
        <f t="shared" si="201"/>
        <v/>
      </c>
      <c r="CG75" t="str">
        <f t="shared" si="201"/>
        <v/>
      </c>
      <c r="CH75" t="str">
        <f t="shared" si="201"/>
        <v/>
      </c>
      <c r="CI75" t="str">
        <f t="shared" si="201"/>
        <v/>
      </c>
      <c r="CJ75" t="str">
        <f t="shared" si="201"/>
        <v/>
      </c>
      <c r="CK75" t="str">
        <f t="shared" si="201"/>
        <v/>
      </c>
      <c r="CL75" t="str">
        <f t="shared" si="201"/>
        <v/>
      </c>
      <c r="CM75" t="str">
        <f t="shared" si="201"/>
        <v/>
      </c>
      <c r="CN75" t="str">
        <f t="shared" si="201"/>
        <v/>
      </c>
      <c r="CO75">
        <f t="shared" si="201"/>
        <v>21.5</v>
      </c>
      <c r="CP75">
        <f t="shared" si="201"/>
        <v>8.5</v>
      </c>
      <c r="CQ75">
        <f t="shared" si="201"/>
        <v>63</v>
      </c>
      <c r="CR75">
        <f t="shared" si="201"/>
        <v>58</v>
      </c>
      <c r="CS75">
        <f t="shared" si="201"/>
        <v>53</v>
      </c>
      <c r="CT75">
        <f t="shared" si="201"/>
        <v>-1</v>
      </c>
      <c r="CU75">
        <f t="shared" si="201"/>
        <v>-1</v>
      </c>
      <c r="CV75">
        <f t="shared" si="201"/>
        <v>-1</v>
      </c>
      <c r="CW75">
        <f t="shared" si="201"/>
        <v>-1</v>
      </c>
      <c r="CX75">
        <f t="shared" si="201"/>
        <v>-1</v>
      </c>
      <c r="CY75">
        <f t="shared" si="201"/>
        <v>-1</v>
      </c>
      <c r="CZ75">
        <f t="shared" si="201"/>
        <v>68.200000000000031</v>
      </c>
      <c r="DA75">
        <f t="shared" si="201"/>
        <v>64</v>
      </c>
      <c r="DB75">
        <f t="shared" si="201"/>
        <v>60</v>
      </c>
      <c r="DC75">
        <f t="shared" si="201"/>
        <v>56</v>
      </c>
      <c r="DD75">
        <f t="shared" si="201"/>
        <v>52</v>
      </c>
      <c r="DE75">
        <f t="shared" si="201"/>
        <v>66</v>
      </c>
      <c r="DF75">
        <f t="shared" si="201"/>
        <v>64</v>
      </c>
      <c r="DG75">
        <f t="shared" si="201"/>
        <v>-1</v>
      </c>
      <c r="DH75">
        <f t="shared" si="201"/>
        <v>-1</v>
      </c>
      <c r="DI75">
        <f t="shared" si="201"/>
        <v>-1</v>
      </c>
      <c r="DJ75">
        <f t="shared" si="201"/>
        <v>-1</v>
      </c>
      <c r="DK75">
        <f t="shared" si="201"/>
        <v>-1</v>
      </c>
      <c r="DL75">
        <f t="shared" si="201"/>
        <v>-1</v>
      </c>
      <c r="DM75">
        <f t="shared" si="201"/>
        <v>-1</v>
      </c>
      <c r="DN75">
        <f t="shared" si="201"/>
        <v>-1</v>
      </c>
      <c r="DO75">
        <f t="shared" si="201"/>
        <v>-1</v>
      </c>
      <c r="DP75">
        <f t="shared" si="201"/>
        <v>-1</v>
      </c>
      <c r="DQ75">
        <f t="shared" si="201"/>
        <v>-1</v>
      </c>
      <c r="DR75">
        <f t="shared" si="201"/>
        <v>-1</v>
      </c>
      <c r="DS75">
        <f t="shared" si="201"/>
        <v>62</v>
      </c>
      <c r="DT75">
        <f t="shared" si="201"/>
        <v>56</v>
      </c>
      <c r="DU75">
        <f t="shared" si="201"/>
        <v>50</v>
      </c>
      <c r="DV75">
        <f t="shared" si="201"/>
        <v>44</v>
      </c>
      <c r="DW75">
        <f t="shared" si="201"/>
        <v>38</v>
      </c>
      <c r="DX75">
        <f t="shared" si="201"/>
        <v>32</v>
      </c>
      <c r="DY75">
        <f t="shared" si="201"/>
        <v>-1</v>
      </c>
      <c r="DZ75">
        <f t="shared" si="201"/>
        <v>-1</v>
      </c>
      <c r="EA75">
        <f t="shared" si="201"/>
        <v>-1</v>
      </c>
      <c r="EB75">
        <f t="shared" ref="EB75:EO75" si="202">IF(OR(EB74=-1,AND(IF(EB$3&lt;$B75,EB74+EB$6,IF(EB$3=$B75,1,""))&gt;$B$1,EB$3&lt;$B75)),-1,IF(EB$3&lt;$B75,EB74+EB$6,IF(EB$3=$B75,1,"")))</f>
        <v>-1</v>
      </c>
      <c r="EC75">
        <f t="shared" si="202"/>
        <v>-1</v>
      </c>
      <c r="ED75">
        <f t="shared" si="202"/>
        <v>-1</v>
      </c>
      <c r="EE75">
        <f t="shared" si="202"/>
        <v>-1</v>
      </c>
      <c r="EF75">
        <f t="shared" si="202"/>
        <v>-1</v>
      </c>
      <c r="EG75">
        <f t="shared" si="202"/>
        <v>-1</v>
      </c>
      <c r="EH75">
        <f t="shared" si="202"/>
        <v>-1</v>
      </c>
      <c r="EI75">
        <f t="shared" si="202"/>
        <v>68.200000000000031</v>
      </c>
      <c r="EJ75">
        <f t="shared" si="202"/>
        <v>60.200000000000038</v>
      </c>
      <c r="EK75">
        <f t="shared" si="202"/>
        <v>-1</v>
      </c>
      <c r="EL75">
        <f t="shared" si="202"/>
        <v>-1</v>
      </c>
      <c r="EM75">
        <f t="shared" si="202"/>
        <v>-1</v>
      </c>
      <c r="EN75">
        <f t="shared" si="202"/>
        <v>74.600000000000009</v>
      </c>
      <c r="EO75">
        <f t="shared" si="202"/>
        <v>63.400000000000041</v>
      </c>
    </row>
    <row r="76" spans="1:145" x14ac:dyDescent="0.15">
      <c r="A76" t="e">
        <f t="shared" si="193"/>
        <v>#N/A</v>
      </c>
      <c r="B76" s="218">
        <v>68</v>
      </c>
      <c r="C76">
        <f t="shared" si="193"/>
        <v>67</v>
      </c>
      <c r="D76">
        <f t="shared" ref="D76:BO76" si="203">IF(OR(D75=-1,AND(IF(D$3&lt;$B76,D75+D$6,IF(D$3=$B76,1,""))&gt;$B$1,D$3&lt;$B76)),-1,IF(D$3&lt;$B76,D75+D$6,IF(D$3=$B76,1,"")))</f>
        <v>65</v>
      </c>
      <c r="E76">
        <f t="shared" si="203"/>
        <v>63</v>
      </c>
      <c r="F76">
        <f t="shared" si="203"/>
        <v>61</v>
      </c>
      <c r="G76">
        <f t="shared" si="203"/>
        <v>59</v>
      </c>
      <c r="H76">
        <f t="shared" si="203"/>
        <v>57</v>
      </c>
      <c r="I76">
        <f t="shared" si="203"/>
        <v>-1</v>
      </c>
      <c r="J76">
        <f t="shared" si="203"/>
        <v>65.999999999999943</v>
      </c>
      <c r="K76">
        <f t="shared" si="203"/>
        <v>54.299999999999962</v>
      </c>
      <c r="L76">
        <f t="shared" si="203"/>
        <v>45.10000000000003</v>
      </c>
      <c r="M76">
        <f t="shared" si="203"/>
        <v>41.600000000000016</v>
      </c>
      <c r="N76">
        <f t="shared" si="203"/>
        <v>38.1</v>
      </c>
      <c r="O76">
        <f t="shared" si="203"/>
        <v>67</v>
      </c>
      <c r="P76">
        <f t="shared" si="203"/>
        <v>65</v>
      </c>
      <c r="Q76">
        <f t="shared" si="203"/>
        <v>63</v>
      </c>
      <c r="R76">
        <f t="shared" si="203"/>
        <v>61</v>
      </c>
      <c r="S76">
        <f t="shared" si="203"/>
        <v>59</v>
      </c>
      <c r="T76">
        <f t="shared" si="203"/>
        <v>-1</v>
      </c>
      <c r="U76">
        <f t="shared" si="203"/>
        <v>-1</v>
      </c>
      <c r="V76">
        <f t="shared" si="203"/>
        <v>-1</v>
      </c>
      <c r="W76">
        <f t="shared" si="203"/>
        <v>-1</v>
      </c>
      <c r="X76">
        <f t="shared" si="203"/>
        <v>-1</v>
      </c>
      <c r="Y76">
        <f t="shared" si="203"/>
        <v>-1</v>
      </c>
      <c r="Z76">
        <f t="shared" si="203"/>
        <v>66</v>
      </c>
      <c r="AA76">
        <f t="shared" si="203"/>
        <v>63</v>
      </c>
      <c r="AB76">
        <f t="shared" si="203"/>
        <v>60</v>
      </c>
      <c r="AC76">
        <f t="shared" si="203"/>
        <v>-1</v>
      </c>
      <c r="AD76">
        <f t="shared" si="203"/>
        <v>-1</v>
      </c>
      <c r="AE76">
        <f t="shared" si="203"/>
        <v>-1</v>
      </c>
      <c r="AF76">
        <f t="shared" si="203"/>
        <v>-1</v>
      </c>
      <c r="AG76">
        <f t="shared" si="203"/>
        <v>69.399999999999949</v>
      </c>
      <c r="AH76">
        <f t="shared" si="203"/>
        <v>58.599999999999966</v>
      </c>
      <c r="AI76">
        <f t="shared" si="203"/>
        <v>39.400000000000048</v>
      </c>
      <c r="AJ76">
        <f t="shared" si="203"/>
        <v>37.000000000000043</v>
      </c>
      <c r="AK76">
        <f t="shared" si="203"/>
        <v>34.600000000000037</v>
      </c>
      <c r="AL76">
        <f t="shared" si="203"/>
        <v>32.200000000000031</v>
      </c>
      <c r="AM76">
        <f t="shared" si="203"/>
        <v>63</v>
      </c>
      <c r="AN76">
        <f t="shared" si="203"/>
        <v>57</v>
      </c>
      <c r="AO76">
        <f t="shared" si="203"/>
        <v>51</v>
      </c>
      <c r="AP76">
        <f t="shared" si="203"/>
        <v>-1</v>
      </c>
      <c r="AQ76">
        <f t="shared" si="203"/>
        <v>-1</v>
      </c>
      <c r="AR76">
        <f t="shared" si="203"/>
        <v>-1</v>
      </c>
      <c r="AS76">
        <f t="shared" si="203"/>
        <v>73.799999999999926</v>
      </c>
      <c r="AT76">
        <f t="shared" si="203"/>
        <v>69.899999999999935</v>
      </c>
      <c r="AU76">
        <f t="shared" si="203"/>
        <v>65.999999999999943</v>
      </c>
      <c r="AV76">
        <f t="shared" si="203"/>
        <v>62.099999999999945</v>
      </c>
      <c r="AW76">
        <f t="shared" si="203"/>
        <v>63</v>
      </c>
      <c r="AX76">
        <f t="shared" si="203"/>
        <v>57</v>
      </c>
      <c r="AY76">
        <f t="shared" si="203"/>
        <v>-1</v>
      </c>
      <c r="AZ76">
        <f t="shared" si="203"/>
        <v>-1</v>
      </c>
      <c r="BA76">
        <f t="shared" si="203"/>
        <v>-1</v>
      </c>
      <c r="BB76">
        <f t="shared" si="203"/>
        <v>-1</v>
      </c>
      <c r="BC76">
        <f t="shared" si="203"/>
        <v>-1</v>
      </c>
      <c r="BD76">
        <f t="shared" si="203"/>
        <v>-1</v>
      </c>
      <c r="BE76">
        <f t="shared" si="203"/>
        <v>-1</v>
      </c>
      <c r="BF76">
        <f t="shared" si="203"/>
        <v>-1</v>
      </c>
      <c r="BG76">
        <f t="shared" si="203"/>
        <v>-1</v>
      </c>
      <c r="BH76">
        <f t="shared" si="203"/>
        <v>-1</v>
      </c>
      <c r="BI76">
        <f t="shared" si="203"/>
        <v>64</v>
      </c>
      <c r="BJ76">
        <f t="shared" si="203"/>
        <v>59</v>
      </c>
      <c r="BK76">
        <f t="shared" si="203"/>
        <v>54</v>
      </c>
      <c r="BL76">
        <f t="shared" si="203"/>
        <v>49</v>
      </c>
      <c r="BM76">
        <f t="shared" si="203"/>
        <v>63</v>
      </c>
      <c r="BN76">
        <f t="shared" si="203"/>
        <v>-1</v>
      </c>
      <c r="BO76">
        <f t="shared" si="203"/>
        <v>-1</v>
      </c>
      <c r="BP76">
        <f t="shared" ref="BP76:EA76" si="204">IF(OR(BP75=-1,AND(IF(BP$3&lt;$B76,BP75+BP$6,IF(BP$3=$B76,1,""))&gt;$B$1,BP$3&lt;$B76)),-1,IF(BP$3&lt;$B76,BP75+BP$6,IF(BP$3=$B76,1,"")))</f>
        <v>-1</v>
      </c>
      <c r="BQ76">
        <f t="shared" si="204"/>
        <v>-1</v>
      </c>
      <c r="BR76">
        <f t="shared" si="204"/>
        <v>-1</v>
      </c>
      <c r="BS76">
        <f t="shared" si="204"/>
        <v>67</v>
      </c>
      <c r="BT76">
        <f t="shared" si="204"/>
        <v>65</v>
      </c>
      <c r="BU76">
        <f t="shared" si="204"/>
        <v>38.200000000000045</v>
      </c>
      <c r="BV76">
        <f t="shared" si="204"/>
        <v>34.600000000000037</v>
      </c>
      <c r="BW76">
        <f t="shared" si="204"/>
        <v>31.000000000000028</v>
      </c>
      <c r="BX76">
        <f t="shared" si="204"/>
        <v>27.40000000000002</v>
      </c>
      <c r="BY76">
        <f t="shared" si="204"/>
        <v>23.800000000000011</v>
      </c>
      <c r="BZ76">
        <f t="shared" si="204"/>
        <v>20.200000000000003</v>
      </c>
      <c r="CA76">
        <f t="shared" si="204"/>
        <v>16.599999999999994</v>
      </c>
      <c r="CB76">
        <f t="shared" si="204"/>
        <v>12.999999999999995</v>
      </c>
      <c r="CC76">
        <f t="shared" si="204"/>
        <v>9.3999999999999968</v>
      </c>
      <c r="CD76">
        <f t="shared" si="204"/>
        <v>5.7999999999999989</v>
      </c>
      <c r="CE76">
        <f t="shared" si="204"/>
        <v>2.2000000000000002</v>
      </c>
      <c r="CF76" t="str">
        <f t="shared" si="204"/>
        <v/>
      </c>
      <c r="CG76" t="str">
        <f t="shared" si="204"/>
        <v/>
      </c>
      <c r="CH76" t="str">
        <f t="shared" si="204"/>
        <v/>
      </c>
      <c r="CI76" t="str">
        <f t="shared" si="204"/>
        <v/>
      </c>
      <c r="CJ76" t="str">
        <f t="shared" si="204"/>
        <v/>
      </c>
      <c r="CK76" t="str">
        <f t="shared" si="204"/>
        <v/>
      </c>
      <c r="CL76" t="str">
        <f t="shared" si="204"/>
        <v/>
      </c>
      <c r="CM76" t="str">
        <f t="shared" si="204"/>
        <v/>
      </c>
      <c r="CN76" t="str">
        <f t="shared" si="204"/>
        <v/>
      </c>
      <c r="CO76">
        <f t="shared" si="204"/>
        <v>22</v>
      </c>
      <c r="CP76">
        <f t="shared" si="204"/>
        <v>9</v>
      </c>
      <c r="CQ76">
        <f t="shared" si="204"/>
        <v>64</v>
      </c>
      <c r="CR76">
        <f t="shared" si="204"/>
        <v>59</v>
      </c>
      <c r="CS76">
        <f t="shared" si="204"/>
        <v>54</v>
      </c>
      <c r="CT76">
        <f t="shared" si="204"/>
        <v>-1</v>
      </c>
      <c r="CU76">
        <f t="shared" si="204"/>
        <v>-1</v>
      </c>
      <c r="CV76">
        <f t="shared" si="204"/>
        <v>-1</v>
      </c>
      <c r="CW76">
        <f t="shared" si="204"/>
        <v>-1</v>
      </c>
      <c r="CX76">
        <f t="shared" si="204"/>
        <v>-1</v>
      </c>
      <c r="CY76">
        <f t="shared" si="204"/>
        <v>-1</v>
      </c>
      <c r="CZ76">
        <f t="shared" si="204"/>
        <v>69.800000000000026</v>
      </c>
      <c r="DA76">
        <f t="shared" si="204"/>
        <v>65</v>
      </c>
      <c r="DB76">
        <f t="shared" si="204"/>
        <v>61</v>
      </c>
      <c r="DC76">
        <f t="shared" si="204"/>
        <v>57</v>
      </c>
      <c r="DD76">
        <f t="shared" si="204"/>
        <v>53</v>
      </c>
      <c r="DE76">
        <f t="shared" si="204"/>
        <v>67</v>
      </c>
      <c r="DF76">
        <f t="shared" si="204"/>
        <v>65</v>
      </c>
      <c r="DG76">
        <f t="shared" si="204"/>
        <v>-1</v>
      </c>
      <c r="DH76">
        <f t="shared" si="204"/>
        <v>-1</v>
      </c>
      <c r="DI76">
        <f t="shared" si="204"/>
        <v>-1</v>
      </c>
      <c r="DJ76">
        <f t="shared" si="204"/>
        <v>-1</v>
      </c>
      <c r="DK76">
        <f t="shared" si="204"/>
        <v>-1</v>
      </c>
      <c r="DL76">
        <f t="shared" si="204"/>
        <v>-1</v>
      </c>
      <c r="DM76">
        <f t="shared" si="204"/>
        <v>-1</v>
      </c>
      <c r="DN76">
        <f t="shared" si="204"/>
        <v>-1</v>
      </c>
      <c r="DO76">
        <f t="shared" si="204"/>
        <v>-1</v>
      </c>
      <c r="DP76">
        <f t="shared" si="204"/>
        <v>-1</v>
      </c>
      <c r="DQ76">
        <f t="shared" si="204"/>
        <v>-1</v>
      </c>
      <c r="DR76">
        <f t="shared" si="204"/>
        <v>-1</v>
      </c>
      <c r="DS76">
        <f t="shared" si="204"/>
        <v>63</v>
      </c>
      <c r="DT76">
        <f t="shared" si="204"/>
        <v>57</v>
      </c>
      <c r="DU76">
        <f t="shared" si="204"/>
        <v>51</v>
      </c>
      <c r="DV76">
        <f t="shared" si="204"/>
        <v>45</v>
      </c>
      <c r="DW76">
        <f t="shared" si="204"/>
        <v>39</v>
      </c>
      <c r="DX76">
        <f t="shared" si="204"/>
        <v>33</v>
      </c>
      <c r="DY76">
        <f t="shared" si="204"/>
        <v>-1</v>
      </c>
      <c r="DZ76">
        <f t="shared" si="204"/>
        <v>-1</v>
      </c>
      <c r="EA76">
        <f t="shared" si="204"/>
        <v>-1</v>
      </c>
      <c r="EB76">
        <f t="shared" ref="EB76:EO76" si="205">IF(OR(EB75=-1,AND(IF(EB$3&lt;$B76,EB75+EB$6,IF(EB$3=$B76,1,""))&gt;$B$1,EB$3&lt;$B76)),-1,IF(EB$3&lt;$B76,EB75+EB$6,IF(EB$3=$B76,1,"")))</f>
        <v>-1</v>
      </c>
      <c r="EC76">
        <f t="shared" si="205"/>
        <v>-1</v>
      </c>
      <c r="ED76">
        <f t="shared" si="205"/>
        <v>-1</v>
      </c>
      <c r="EE76">
        <f t="shared" si="205"/>
        <v>-1</v>
      </c>
      <c r="EF76">
        <f t="shared" si="205"/>
        <v>-1</v>
      </c>
      <c r="EG76">
        <f t="shared" si="205"/>
        <v>-1</v>
      </c>
      <c r="EH76">
        <f t="shared" si="205"/>
        <v>-1</v>
      </c>
      <c r="EI76">
        <f t="shared" si="205"/>
        <v>69.800000000000026</v>
      </c>
      <c r="EJ76">
        <f t="shared" si="205"/>
        <v>61.80000000000004</v>
      </c>
      <c r="EK76">
        <f t="shared" si="205"/>
        <v>-1</v>
      </c>
      <c r="EL76">
        <f t="shared" si="205"/>
        <v>-1</v>
      </c>
      <c r="EM76">
        <f t="shared" si="205"/>
        <v>-1</v>
      </c>
      <c r="EN76">
        <f t="shared" si="205"/>
        <v>-1</v>
      </c>
      <c r="EO76">
        <f t="shared" si="205"/>
        <v>65.000000000000043</v>
      </c>
    </row>
    <row r="77" spans="1:145" x14ac:dyDescent="0.15">
      <c r="A77" t="e">
        <f t="shared" si="193"/>
        <v>#N/A</v>
      </c>
      <c r="B77" s="218">
        <v>69</v>
      </c>
      <c r="C77">
        <f t="shared" si="193"/>
        <v>68</v>
      </c>
      <c r="D77">
        <f t="shared" ref="D77:BO77" si="206">IF(OR(D76=-1,AND(IF(D$3&lt;$B77,D76+D$6,IF(D$3=$B77,1,""))&gt;$B$1,D$3&lt;$B77)),-1,IF(D$3&lt;$B77,D76+D$6,IF(D$3=$B77,1,"")))</f>
        <v>66</v>
      </c>
      <c r="E77">
        <f t="shared" si="206"/>
        <v>64</v>
      </c>
      <c r="F77">
        <f t="shared" si="206"/>
        <v>62</v>
      </c>
      <c r="G77">
        <f t="shared" si="206"/>
        <v>60</v>
      </c>
      <c r="H77">
        <f t="shared" si="206"/>
        <v>58</v>
      </c>
      <c r="I77">
        <f t="shared" si="206"/>
        <v>-1</v>
      </c>
      <c r="J77">
        <f t="shared" si="206"/>
        <v>67.29999999999994</v>
      </c>
      <c r="K77">
        <f t="shared" si="206"/>
        <v>55.599999999999959</v>
      </c>
      <c r="L77">
        <f t="shared" si="206"/>
        <v>45.800000000000033</v>
      </c>
      <c r="M77">
        <f t="shared" si="206"/>
        <v>42.300000000000018</v>
      </c>
      <c r="N77">
        <f t="shared" si="206"/>
        <v>38.800000000000004</v>
      </c>
      <c r="O77">
        <f t="shared" si="206"/>
        <v>68</v>
      </c>
      <c r="P77">
        <f t="shared" si="206"/>
        <v>66</v>
      </c>
      <c r="Q77">
        <f t="shared" si="206"/>
        <v>64</v>
      </c>
      <c r="R77">
        <f t="shared" si="206"/>
        <v>62</v>
      </c>
      <c r="S77">
        <f t="shared" si="206"/>
        <v>60</v>
      </c>
      <c r="T77">
        <f t="shared" si="206"/>
        <v>-1</v>
      </c>
      <c r="U77">
        <f t="shared" si="206"/>
        <v>-1</v>
      </c>
      <c r="V77">
        <f t="shared" si="206"/>
        <v>-1</v>
      </c>
      <c r="W77">
        <f t="shared" si="206"/>
        <v>-1</v>
      </c>
      <c r="X77">
        <f t="shared" si="206"/>
        <v>-1</v>
      </c>
      <c r="Y77">
        <f t="shared" si="206"/>
        <v>-1</v>
      </c>
      <c r="Z77">
        <f t="shared" si="206"/>
        <v>67</v>
      </c>
      <c r="AA77">
        <f t="shared" si="206"/>
        <v>64</v>
      </c>
      <c r="AB77">
        <f t="shared" si="206"/>
        <v>61</v>
      </c>
      <c r="AC77">
        <f t="shared" si="206"/>
        <v>-1</v>
      </c>
      <c r="AD77">
        <f t="shared" si="206"/>
        <v>-1</v>
      </c>
      <c r="AE77">
        <f t="shared" si="206"/>
        <v>-1</v>
      </c>
      <c r="AF77">
        <f t="shared" si="206"/>
        <v>-1</v>
      </c>
      <c r="AG77">
        <f t="shared" si="206"/>
        <v>71.199999999999946</v>
      </c>
      <c r="AH77">
        <f t="shared" si="206"/>
        <v>60.399999999999963</v>
      </c>
      <c r="AI77">
        <f t="shared" si="206"/>
        <v>40.00000000000005</v>
      </c>
      <c r="AJ77">
        <f t="shared" si="206"/>
        <v>37.600000000000044</v>
      </c>
      <c r="AK77">
        <f t="shared" si="206"/>
        <v>35.200000000000038</v>
      </c>
      <c r="AL77">
        <f t="shared" si="206"/>
        <v>32.800000000000033</v>
      </c>
      <c r="AM77">
        <f t="shared" si="206"/>
        <v>64</v>
      </c>
      <c r="AN77">
        <f t="shared" si="206"/>
        <v>58</v>
      </c>
      <c r="AO77">
        <f t="shared" si="206"/>
        <v>52</v>
      </c>
      <c r="AP77">
        <f t="shared" si="206"/>
        <v>-1</v>
      </c>
      <c r="AQ77">
        <f t="shared" si="206"/>
        <v>-1</v>
      </c>
      <c r="AR77">
        <f t="shared" si="206"/>
        <v>-1</v>
      </c>
      <c r="AS77">
        <f t="shared" si="206"/>
        <v>-1</v>
      </c>
      <c r="AT77">
        <f t="shared" si="206"/>
        <v>71.199999999999932</v>
      </c>
      <c r="AU77">
        <f t="shared" si="206"/>
        <v>67.29999999999994</v>
      </c>
      <c r="AV77">
        <f t="shared" si="206"/>
        <v>63.399999999999942</v>
      </c>
      <c r="AW77">
        <f t="shared" si="206"/>
        <v>64</v>
      </c>
      <c r="AX77">
        <f t="shared" si="206"/>
        <v>58</v>
      </c>
      <c r="AY77">
        <f t="shared" si="206"/>
        <v>-1</v>
      </c>
      <c r="AZ77">
        <f t="shared" si="206"/>
        <v>-1</v>
      </c>
      <c r="BA77">
        <f t="shared" si="206"/>
        <v>-1</v>
      </c>
      <c r="BB77">
        <f t="shared" si="206"/>
        <v>-1</v>
      </c>
      <c r="BC77">
        <f t="shared" si="206"/>
        <v>-1</v>
      </c>
      <c r="BD77">
        <f t="shared" si="206"/>
        <v>-1</v>
      </c>
      <c r="BE77">
        <f t="shared" si="206"/>
        <v>-1</v>
      </c>
      <c r="BF77">
        <f t="shared" si="206"/>
        <v>-1</v>
      </c>
      <c r="BG77">
        <f t="shared" si="206"/>
        <v>-1</v>
      </c>
      <c r="BH77">
        <f t="shared" si="206"/>
        <v>-1</v>
      </c>
      <c r="BI77">
        <f t="shared" si="206"/>
        <v>65</v>
      </c>
      <c r="BJ77">
        <f t="shared" si="206"/>
        <v>60</v>
      </c>
      <c r="BK77">
        <f t="shared" si="206"/>
        <v>55</v>
      </c>
      <c r="BL77">
        <f t="shared" si="206"/>
        <v>50</v>
      </c>
      <c r="BM77">
        <f t="shared" si="206"/>
        <v>64</v>
      </c>
      <c r="BN77">
        <f t="shared" si="206"/>
        <v>-1</v>
      </c>
      <c r="BO77">
        <f t="shared" si="206"/>
        <v>-1</v>
      </c>
      <c r="BP77">
        <f t="shared" ref="BP77:EA77" si="207">IF(OR(BP76=-1,AND(IF(BP$3&lt;$B77,BP76+BP$6,IF(BP$3=$B77,1,""))&gt;$B$1,BP$3&lt;$B77)),-1,IF(BP$3&lt;$B77,BP76+BP$6,IF(BP$3=$B77,1,"")))</f>
        <v>-1</v>
      </c>
      <c r="BQ77">
        <f t="shared" si="207"/>
        <v>-1</v>
      </c>
      <c r="BR77">
        <f t="shared" si="207"/>
        <v>-1</v>
      </c>
      <c r="BS77">
        <f t="shared" si="207"/>
        <v>68</v>
      </c>
      <c r="BT77">
        <f t="shared" si="207"/>
        <v>66</v>
      </c>
      <c r="BU77">
        <f t="shared" si="207"/>
        <v>38.800000000000047</v>
      </c>
      <c r="BV77">
        <f t="shared" si="207"/>
        <v>35.200000000000038</v>
      </c>
      <c r="BW77">
        <f t="shared" si="207"/>
        <v>31.60000000000003</v>
      </c>
      <c r="BX77">
        <f t="shared" si="207"/>
        <v>28.000000000000021</v>
      </c>
      <c r="BY77">
        <f t="shared" si="207"/>
        <v>24.400000000000013</v>
      </c>
      <c r="BZ77">
        <f t="shared" si="207"/>
        <v>20.800000000000004</v>
      </c>
      <c r="CA77">
        <f t="shared" si="207"/>
        <v>17.199999999999996</v>
      </c>
      <c r="CB77">
        <f t="shared" si="207"/>
        <v>13.599999999999994</v>
      </c>
      <c r="CC77">
        <f t="shared" si="207"/>
        <v>9.9999999999999964</v>
      </c>
      <c r="CD77">
        <f t="shared" si="207"/>
        <v>6.3999999999999986</v>
      </c>
      <c r="CE77">
        <f t="shared" si="207"/>
        <v>2.8000000000000003</v>
      </c>
      <c r="CF77" t="str">
        <f t="shared" si="207"/>
        <v/>
      </c>
      <c r="CG77" t="str">
        <f t="shared" si="207"/>
        <v/>
      </c>
      <c r="CH77" t="str">
        <f t="shared" si="207"/>
        <v/>
      </c>
      <c r="CI77" t="str">
        <f t="shared" si="207"/>
        <v/>
      </c>
      <c r="CJ77" t="str">
        <f t="shared" si="207"/>
        <v/>
      </c>
      <c r="CK77" t="str">
        <f t="shared" si="207"/>
        <v/>
      </c>
      <c r="CL77" t="str">
        <f t="shared" si="207"/>
        <v/>
      </c>
      <c r="CM77" t="str">
        <f t="shared" si="207"/>
        <v/>
      </c>
      <c r="CN77" t="str">
        <f t="shared" si="207"/>
        <v/>
      </c>
      <c r="CO77">
        <f t="shared" si="207"/>
        <v>22.5</v>
      </c>
      <c r="CP77">
        <f t="shared" si="207"/>
        <v>9.5</v>
      </c>
      <c r="CQ77">
        <f t="shared" si="207"/>
        <v>65</v>
      </c>
      <c r="CR77">
        <f t="shared" si="207"/>
        <v>60</v>
      </c>
      <c r="CS77">
        <f t="shared" si="207"/>
        <v>55</v>
      </c>
      <c r="CT77">
        <f t="shared" si="207"/>
        <v>-1</v>
      </c>
      <c r="CU77">
        <f t="shared" si="207"/>
        <v>-1</v>
      </c>
      <c r="CV77">
        <f t="shared" si="207"/>
        <v>-1</v>
      </c>
      <c r="CW77">
        <f t="shared" si="207"/>
        <v>-1</v>
      </c>
      <c r="CX77">
        <f t="shared" si="207"/>
        <v>-1</v>
      </c>
      <c r="CY77">
        <f t="shared" si="207"/>
        <v>-1</v>
      </c>
      <c r="CZ77">
        <f t="shared" si="207"/>
        <v>71.40000000000002</v>
      </c>
      <c r="DA77">
        <f t="shared" si="207"/>
        <v>66</v>
      </c>
      <c r="DB77">
        <f t="shared" si="207"/>
        <v>62</v>
      </c>
      <c r="DC77">
        <f t="shared" si="207"/>
        <v>58</v>
      </c>
      <c r="DD77">
        <f t="shared" si="207"/>
        <v>54</v>
      </c>
      <c r="DE77">
        <f t="shared" si="207"/>
        <v>68</v>
      </c>
      <c r="DF77">
        <f t="shared" si="207"/>
        <v>66</v>
      </c>
      <c r="DG77">
        <f t="shared" si="207"/>
        <v>-1</v>
      </c>
      <c r="DH77">
        <f t="shared" si="207"/>
        <v>-1</v>
      </c>
      <c r="DI77">
        <f t="shared" si="207"/>
        <v>-1</v>
      </c>
      <c r="DJ77">
        <f t="shared" si="207"/>
        <v>-1</v>
      </c>
      <c r="DK77">
        <f t="shared" si="207"/>
        <v>-1</v>
      </c>
      <c r="DL77">
        <f t="shared" si="207"/>
        <v>-1</v>
      </c>
      <c r="DM77">
        <f t="shared" si="207"/>
        <v>-1</v>
      </c>
      <c r="DN77">
        <f t="shared" si="207"/>
        <v>-1</v>
      </c>
      <c r="DO77">
        <f t="shared" si="207"/>
        <v>-1</v>
      </c>
      <c r="DP77">
        <f t="shared" si="207"/>
        <v>-1</v>
      </c>
      <c r="DQ77">
        <f t="shared" si="207"/>
        <v>-1</v>
      </c>
      <c r="DR77">
        <f t="shared" si="207"/>
        <v>-1</v>
      </c>
      <c r="DS77">
        <f t="shared" si="207"/>
        <v>64</v>
      </c>
      <c r="DT77">
        <f t="shared" si="207"/>
        <v>58</v>
      </c>
      <c r="DU77">
        <f t="shared" si="207"/>
        <v>52</v>
      </c>
      <c r="DV77">
        <f t="shared" si="207"/>
        <v>46</v>
      </c>
      <c r="DW77">
        <f t="shared" si="207"/>
        <v>40</v>
      </c>
      <c r="DX77">
        <f t="shared" si="207"/>
        <v>34</v>
      </c>
      <c r="DY77">
        <f t="shared" si="207"/>
        <v>-1</v>
      </c>
      <c r="DZ77">
        <f t="shared" si="207"/>
        <v>-1</v>
      </c>
      <c r="EA77">
        <f t="shared" si="207"/>
        <v>-1</v>
      </c>
      <c r="EB77">
        <f t="shared" ref="EB77:EO77" si="208">IF(OR(EB76=-1,AND(IF(EB$3&lt;$B77,EB76+EB$6,IF(EB$3=$B77,1,""))&gt;$B$1,EB$3&lt;$B77)),-1,IF(EB$3&lt;$B77,EB76+EB$6,IF(EB$3=$B77,1,"")))</f>
        <v>-1</v>
      </c>
      <c r="EC77">
        <f t="shared" si="208"/>
        <v>-1</v>
      </c>
      <c r="ED77">
        <f t="shared" si="208"/>
        <v>-1</v>
      </c>
      <c r="EE77">
        <f t="shared" si="208"/>
        <v>-1</v>
      </c>
      <c r="EF77">
        <f t="shared" si="208"/>
        <v>-1</v>
      </c>
      <c r="EG77">
        <f t="shared" si="208"/>
        <v>-1</v>
      </c>
      <c r="EH77">
        <f t="shared" si="208"/>
        <v>-1</v>
      </c>
      <c r="EI77">
        <f t="shared" si="208"/>
        <v>71.40000000000002</v>
      </c>
      <c r="EJ77">
        <f t="shared" si="208"/>
        <v>63.400000000000041</v>
      </c>
      <c r="EK77">
        <f t="shared" si="208"/>
        <v>-1</v>
      </c>
      <c r="EL77">
        <f t="shared" si="208"/>
        <v>-1</v>
      </c>
      <c r="EM77">
        <f t="shared" si="208"/>
        <v>-1</v>
      </c>
      <c r="EN77">
        <f t="shared" si="208"/>
        <v>-1</v>
      </c>
      <c r="EO77">
        <f t="shared" si="208"/>
        <v>66.600000000000037</v>
      </c>
    </row>
    <row r="78" spans="1:145" x14ac:dyDescent="0.15">
      <c r="A78" t="e">
        <f t="shared" si="193"/>
        <v>#N/A</v>
      </c>
      <c r="B78" s="218">
        <v>70</v>
      </c>
      <c r="C78">
        <f t="shared" si="193"/>
        <v>69</v>
      </c>
      <c r="D78">
        <f t="shared" ref="D78:BO78" si="209">IF(OR(D77=-1,AND(IF(D$3&lt;$B78,D77+D$6,IF(D$3=$B78,1,""))&gt;$B$1,D$3&lt;$B78)),-1,IF(D$3&lt;$B78,D77+D$6,IF(D$3=$B78,1,"")))</f>
        <v>67</v>
      </c>
      <c r="E78">
        <f t="shared" si="209"/>
        <v>65</v>
      </c>
      <c r="F78">
        <f t="shared" si="209"/>
        <v>63</v>
      </c>
      <c r="G78">
        <f t="shared" si="209"/>
        <v>61</v>
      </c>
      <c r="H78">
        <f t="shared" si="209"/>
        <v>59</v>
      </c>
      <c r="I78">
        <f t="shared" si="209"/>
        <v>-1</v>
      </c>
      <c r="J78">
        <f t="shared" si="209"/>
        <v>68.599999999999937</v>
      </c>
      <c r="K78">
        <f t="shared" si="209"/>
        <v>56.899999999999956</v>
      </c>
      <c r="L78">
        <f t="shared" si="209"/>
        <v>46.500000000000036</v>
      </c>
      <c r="M78">
        <f t="shared" si="209"/>
        <v>43.000000000000021</v>
      </c>
      <c r="N78">
        <f t="shared" si="209"/>
        <v>39.500000000000007</v>
      </c>
      <c r="O78">
        <f t="shared" si="209"/>
        <v>69</v>
      </c>
      <c r="P78">
        <f t="shared" si="209"/>
        <v>67</v>
      </c>
      <c r="Q78">
        <f t="shared" si="209"/>
        <v>65</v>
      </c>
      <c r="R78">
        <f t="shared" si="209"/>
        <v>63</v>
      </c>
      <c r="S78">
        <f t="shared" si="209"/>
        <v>61</v>
      </c>
      <c r="T78">
        <f t="shared" si="209"/>
        <v>-1</v>
      </c>
      <c r="U78">
        <f t="shared" si="209"/>
        <v>-1</v>
      </c>
      <c r="V78">
        <f t="shared" si="209"/>
        <v>-1</v>
      </c>
      <c r="W78">
        <f t="shared" si="209"/>
        <v>-1</v>
      </c>
      <c r="X78">
        <f t="shared" si="209"/>
        <v>-1</v>
      </c>
      <c r="Y78">
        <f t="shared" si="209"/>
        <v>-1</v>
      </c>
      <c r="Z78">
        <f t="shared" si="209"/>
        <v>68</v>
      </c>
      <c r="AA78">
        <f t="shared" si="209"/>
        <v>65</v>
      </c>
      <c r="AB78">
        <f t="shared" si="209"/>
        <v>62</v>
      </c>
      <c r="AC78">
        <f t="shared" si="209"/>
        <v>-1</v>
      </c>
      <c r="AD78">
        <f t="shared" si="209"/>
        <v>-1</v>
      </c>
      <c r="AE78">
        <f t="shared" si="209"/>
        <v>-1</v>
      </c>
      <c r="AF78">
        <f t="shared" si="209"/>
        <v>-1</v>
      </c>
      <c r="AG78">
        <f t="shared" si="209"/>
        <v>72.999999999999943</v>
      </c>
      <c r="AH78">
        <f t="shared" si="209"/>
        <v>62.19999999999996</v>
      </c>
      <c r="AI78">
        <f t="shared" si="209"/>
        <v>40.600000000000051</v>
      </c>
      <c r="AJ78">
        <f t="shared" si="209"/>
        <v>38.200000000000045</v>
      </c>
      <c r="AK78">
        <f t="shared" si="209"/>
        <v>35.80000000000004</v>
      </c>
      <c r="AL78">
        <f t="shared" si="209"/>
        <v>33.400000000000034</v>
      </c>
      <c r="AM78">
        <f t="shared" si="209"/>
        <v>65</v>
      </c>
      <c r="AN78">
        <f t="shared" si="209"/>
        <v>59</v>
      </c>
      <c r="AO78">
        <f t="shared" si="209"/>
        <v>53</v>
      </c>
      <c r="AP78">
        <f t="shared" si="209"/>
        <v>-1</v>
      </c>
      <c r="AQ78">
        <f t="shared" si="209"/>
        <v>-1</v>
      </c>
      <c r="AR78">
        <f t="shared" si="209"/>
        <v>-1</v>
      </c>
      <c r="AS78">
        <f t="shared" si="209"/>
        <v>-1</v>
      </c>
      <c r="AT78">
        <f t="shared" si="209"/>
        <v>72.499999999999929</v>
      </c>
      <c r="AU78">
        <f t="shared" si="209"/>
        <v>68.599999999999937</v>
      </c>
      <c r="AV78">
        <f t="shared" si="209"/>
        <v>64.699999999999946</v>
      </c>
      <c r="AW78">
        <f t="shared" si="209"/>
        <v>65</v>
      </c>
      <c r="AX78">
        <f t="shared" si="209"/>
        <v>59</v>
      </c>
      <c r="AY78">
        <f t="shared" si="209"/>
        <v>-1</v>
      </c>
      <c r="AZ78">
        <f t="shared" si="209"/>
        <v>-1</v>
      </c>
      <c r="BA78">
        <f t="shared" si="209"/>
        <v>-1</v>
      </c>
      <c r="BB78">
        <f t="shared" si="209"/>
        <v>-1</v>
      </c>
      <c r="BC78">
        <f t="shared" si="209"/>
        <v>-1</v>
      </c>
      <c r="BD78">
        <f t="shared" si="209"/>
        <v>-1</v>
      </c>
      <c r="BE78">
        <f t="shared" si="209"/>
        <v>-1</v>
      </c>
      <c r="BF78">
        <f t="shared" si="209"/>
        <v>-1</v>
      </c>
      <c r="BG78">
        <f t="shared" si="209"/>
        <v>-1</v>
      </c>
      <c r="BH78">
        <f t="shared" si="209"/>
        <v>-1</v>
      </c>
      <c r="BI78">
        <f t="shared" si="209"/>
        <v>66</v>
      </c>
      <c r="BJ78">
        <f t="shared" si="209"/>
        <v>61</v>
      </c>
      <c r="BK78">
        <f t="shared" si="209"/>
        <v>56</v>
      </c>
      <c r="BL78">
        <f t="shared" si="209"/>
        <v>51</v>
      </c>
      <c r="BM78">
        <f t="shared" si="209"/>
        <v>65</v>
      </c>
      <c r="BN78">
        <f t="shared" si="209"/>
        <v>-1</v>
      </c>
      <c r="BO78">
        <f t="shared" si="209"/>
        <v>-1</v>
      </c>
      <c r="BP78">
        <f t="shared" ref="BP78:EA78" si="210">IF(OR(BP77=-1,AND(IF(BP$3&lt;$B78,BP77+BP$6,IF(BP$3=$B78,1,""))&gt;$B$1,BP$3&lt;$B78)),-1,IF(BP$3&lt;$B78,BP77+BP$6,IF(BP$3=$B78,1,"")))</f>
        <v>-1</v>
      </c>
      <c r="BQ78">
        <f t="shared" si="210"/>
        <v>-1</v>
      </c>
      <c r="BR78">
        <f t="shared" si="210"/>
        <v>-1</v>
      </c>
      <c r="BS78">
        <f t="shared" si="210"/>
        <v>69</v>
      </c>
      <c r="BT78">
        <f t="shared" si="210"/>
        <v>67</v>
      </c>
      <c r="BU78">
        <f t="shared" si="210"/>
        <v>39.400000000000048</v>
      </c>
      <c r="BV78">
        <f t="shared" si="210"/>
        <v>35.80000000000004</v>
      </c>
      <c r="BW78">
        <f t="shared" si="210"/>
        <v>32.200000000000031</v>
      </c>
      <c r="BX78">
        <f t="shared" si="210"/>
        <v>28.600000000000023</v>
      </c>
      <c r="BY78">
        <f t="shared" si="210"/>
        <v>25.000000000000014</v>
      </c>
      <c r="BZ78">
        <f t="shared" si="210"/>
        <v>21.400000000000006</v>
      </c>
      <c r="CA78">
        <f t="shared" si="210"/>
        <v>17.799999999999997</v>
      </c>
      <c r="CB78">
        <f t="shared" si="210"/>
        <v>14.199999999999994</v>
      </c>
      <c r="CC78">
        <f t="shared" si="210"/>
        <v>10.599999999999996</v>
      </c>
      <c r="CD78">
        <f t="shared" si="210"/>
        <v>6.9999999999999982</v>
      </c>
      <c r="CE78">
        <f t="shared" si="210"/>
        <v>3.4000000000000004</v>
      </c>
      <c r="CF78" t="str">
        <f t="shared" si="210"/>
        <v/>
      </c>
      <c r="CG78" t="str">
        <f t="shared" si="210"/>
        <v/>
      </c>
      <c r="CH78" t="str">
        <f t="shared" si="210"/>
        <v/>
      </c>
      <c r="CI78" t="str">
        <f t="shared" si="210"/>
        <v/>
      </c>
      <c r="CJ78" t="str">
        <f t="shared" si="210"/>
        <v/>
      </c>
      <c r="CK78" t="str">
        <f t="shared" si="210"/>
        <v/>
      </c>
      <c r="CL78" t="str">
        <f t="shared" si="210"/>
        <v/>
      </c>
      <c r="CM78" t="str">
        <f t="shared" si="210"/>
        <v/>
      </c>
      <c r="CN78" t="str">
        <f t="shared" si="210"/>
        <v/>
      </c>
      <c r="CO78">
        <f t="shared" si="210"/>
        <v>23</v>
      </c>
      <c r="CP78">
        <f t="shared" si="210"/>
        <v>10</v>
      </c>
      <c r="CQ78">
        <f t="shared" si="210"/>
        <v>66</v>
      </c>
      <c r="CR78">
        <f t="shared" si="210"/>
        <v>61</v>
      </c>
      <c r="CS78">
        <f t="shared" si="210"/>
        <v>56</v>
      </c>
      <c r="CT78">
        <f t="shared" si="210"/>
        <v>-1</v>
      </c>
      <c r="CU78">
        <f t="shared" si="210"/>
        <v>-1</v>
      </c>
      <c r="CV78">
        <f t="shared" si="210"/>
        <v>-1</v>
      </c>
      <c r="CW78">
        <f t="shared" si="210"/>
        <v>-1</v>
      </c>
      <c r="CX78">
        <f t="shared" si="210"/>
        <v>-1</v>
      </c>
      <c r="CY78">
        <f t="shared" si="210"/>
        <v>-1</v>
      </c>
      <c r="CZ78">
        <f t="shared" si="210"/>
        <v>73.000000000000014</v>
      </c>
      <c r="DA78">
        <f t="shared" si="210"/>
        <v>67</v>
      </c>
      <c r="DB78">
        <f t="shared" si="210"/>
        <v>63</v>
      </c>
      <c r="DC78">
        <f t="shared" si="210"/>
        <v>59</v>
      </c>
      <c r="DD78">
        <f t="shared" si="210"/>
        <v>55</v>
      </c>
      <c r="DE78">
        <f t="shared" si="210"/>
        <v>69</v>
      </c>
      <c r="DF78">
        <f t="shared" si="210"/>
        <v>67</v>
      </c>
      <c r="DG78">
        <f t="shared" si="210"/>
        <v>-1</v>
      </c>
      <c r="DH78">
        <f t="shared" si="210"/>
        <v>-1</v>
      </c>
      <c r="DI78">
        <f t="shared" si="210"/>
        <v>-1</v>
      </c>
      <c r="DJ78">
        <f t="shared" si="210"/>
        <v>-1</v>
      </c>
      <c r="DK78">
        <f t="shared" si="210"/>
        <v>-1</v>
      </c>
      <c r="DL78">
        <f t="shared" si="210"/>
        <v>-1</v>
      </c>
      <c r="DM78">
        <f t="shared" si="210"/>
        <v>-1</v>
      </c>
      <c r="DN78">
        <f t="shared" si="210"/>
        <v>-1</v>
      </c>
      <c r="DO78">
        <f t="shared" si="210"/>
        <v>-1</v>
      </c>
      <c r="DP78">
        <f t="shared" si="210"/>
        <v>-1</v>
      </c>
      <c r="DQ78">
        <f t="shared" si="210"/>
        <v>-1</v>
      </c>
      <c r="DR78">
        <f t="shared" si="210"/>
        <v>-1</v>
      </c>
      <c r="DS78">
        <f t="shared" si="210"/>
        <v>65</v>
      </c>
      <c r="DT78">
        <f t="shared" si="210"/>
        <v>59</v>
      </c>
      <c r="DU78">
        <f t="shared" si="210"/>
        <v>53</v>
      </c>
      <c r="DV78">
        <f t="shared" si="210"/>
        <v>47</v>
      </c>
      <c r="DW78">
        <f t="shared" si="210"/>
        <v>41</v>
      </c>
      <c r="DX78">
        <f t="shared" si="210"/>
        <v>35</v>
      </c>
      <c r="DY78">
        <f t="shared" si="210"/>
        <v>-1</v>
      </c>
      <c r="DZ78">
        <f t="shared" si="210"/>
        <v>-1</v>
      </c>
      <c r="EA78">
        <f t="shared" si="210"/>
        <v>-1</v>
      </c>
      <c r="EB78">
        <f t="shared" ref="EB78:EO78" si="211">IF(OR(EB77=-1,AND(IF(EB$3&lt;$B78,EB77+EB$6,IF(EB$3=$B78,1,""))&gt;$B$1,EB$3&lt;$B78)),-1,IF(EB$3&lt;$B78,EB77+EB$6,IF(EB$3=$B78,1,"")))</f>
        <v>-1</v>
      </c>
      <c r="EC78">
        <f t="shared" si="211"/>
        <v>-1</v>
      </c>
      <c r="ED78">
        <f t="shared" si="211"/>
        <v>-1</v>
      </c>
      <c r="EE78">
        <f t="shared" si="211"/>
        <v>-1</v>
      </c>
      <c r="EF78">
        <f t="shared" si="211"/>
        <v>-1</v>
      </c>
      <c r="EG78">
        <f t="shared" si="211"/>
        <v>-1</v>
      </c>
      <c r="EH78">
        <f t="shared" si="211"/>
        <v>-1</v>
      </c>
      <c r="EI78">
        <f t="shared" si="211"/>
        <v>73.000000000000014</v>
      </c>
      <c r="EJ78">
        <f t="shared" si="211"/>
        <v>65.000000000000043</v>
      </c>
      <c r="EK78">
        <f t="shared" si="211"/>
        <v>-1</v>
      </c>
      <c r="EL78">
        <f t="shared" si="211"/>
        <v>-1</v>
      </c>
      <c r="EM78">
        <f t="shared" si="211"/>
        <v>-1</v>
      </c>
      <c r="EN78">
        <f t="shared" si="211"/>
        <v>-1</v>
      </c>
      <c r="EO78">
        <f t="shared" si="211"/>
        <v>68.200000000000031</v>
      </c>
    </row>
    <row r="79" spans="1:145" x14ac:dyDescent="0.15">
      <c r="A79" t="e">
        <f t="shared" si="193"/>
        <v>#N/A</v>
      </c>
      <c r="B79" s="218">
        <v>71</v>
      </c>
      <c r="C79">
        <f t="shared" si="193"/>
        <v>70</v>
      </c>
      <c r="D79">
        <f t="shared" ref="D79:BO79" si="212">IF(OR(D78=-1,AND(IF(D$3&lt;$B79,D78+D$6,IF(D$3=$B79,1,""))&gt;$B$1,D$3&lt;$B79)),-1,IF(D$3&lt;$B79,D78+D$6,IF(D$3=$B79,1,"")))</f>
        <v>68</v>
      </c>
      <c r="E79">
        <f t="shared" si="212"/>
        <v>66</v>
      </c>
      <c r="F79">
        <f t="shared" si="212"/>
        <v>64</v>
      </c>
      <c r="G79">
        <f t="shared" si="212"/>
        <v>62</v>
      </c>
      <c r="H79">
        <f t="shared" si="212"/>
        <v>60</v>
      </c>
      <c r="I79">
        <f t="shared" si="212"/>
        <v>-1</v>
      </c>
      <c r="J79">
        <f t="shared" si="212"/>
        <v>69.899999999999935</v>
      </c>
      <c r="K79">
        <f t="shared" si="212"/>
        <v>58.199999999999953</v>
      </c>
      <c r="L79">
        <f t="shared" si="212"/>
        <v>47.200000000000038</v>
      </c>
      <c r="M79">
        <f t="shared" si="212"/>
        <v>43.700000000000024</v>
      </c>
      <c r="N79">
        <f t="shared" si="212"/>
        <v>40.20000000000001</v>
      </c>
      <c r="O79">
        <f t="shared" si="212"/>
        <v>70</v>
      </c>
      <c r="P79">
        <f t="shared" si="212"/>
        <v>68</v>
      </c>
      <c r="Q79">
        <f t="shared" si="212"/>
        <v>66</v>
      </c>
      <c r="R79">
        <f t="shared" si="212"/>
        <v>64</v>
      </c>
      <c r="S79">
        <f t="shared" si="212"/>
        <v>62</v>
      </c>
      <c r="T79">
        <f t="shared" si="212"/>
        <v>-1</v>
      </c>
      <c r="U79">
        <f t="shared" si="212"/>
        <v>-1</v>
      </c>
      <c r="V79">
        <f t="shared" si="212"/>
        <v>-1</v>
      </c>
      <c r="W79">
        <f t="shared" si="212"/>
        <v>-1</v>
      </c>
      <c r="X79">
        <f t="shared" si="212"/>
        <v>-1</v>
      </c>
      <c r="Y79">
        <f t="shared" si="212"/>
        <v>-1</v>
      </c>
      <c r="Z79">
        <f t="shared" si="212"/>
        <v>69</v>
      </c>
      <c r="AA79">
        <f t="shared" si="212"/>
        <v>66</v>
      </c>
      <c r="AB79">
        <f t="shared" si="212"/>
        <v>63</v>
      </c>
      <c r="AC79">
        <f t="shared" si="212"/>
        <v>-1</v>
      </c>
      <c r="AD79">
        <f t="shared" si="212"/>
        <v>-1</v>
      </c>
      <c r="AE79">
        <f t="shared" si="212"/>
        <v>-1</v>
      </c>
      <c r="AF79">
        <f t="shared" si="212"/>
        <v>-1</v>
      </c>
      <c r="AG79">
        <f t="shared" si="212"/>
        <v>74.79999999999994</v>
      </c>
      <c r="AH79">
        <f t="shared" si="212"/>
        <v>63.999999999999957</v>
      </c>
      <c r="AI79">
        <f t="shared" si="212"/>
        <v>41.200000000000053</v>
      </c>
      <c r="AJ79">
        <f t="shared" si="212"/>
        <v>38.800000000000047</v>
      </c>
      <c r="AK79">
        <f t="shared" si="212"/>
        <v>36.400000000000041</v>
      </c>
      <c r="AL79">
        <f t="shared" si="212"/>
        <v>34.000000000000036</v>
      </c>
      <c r="AM79">
        <f t="shared" si="212"/>
        <v>66</v>
      </c>
      <c r="AN79">
        <f t="shared" si="212"/>
        <v>60</v>
      </c>
      <c r="AO79">
        <f t="shared" si="212"/>
        <v>54</v>
      </c>
      <c r="AP79">
        <f t="shared" si="212"/>
        <v>-1</v>
      </c>
      <c r="AQ79">
        <f t="shared" si="212"/>
        <v>-1</v>
      </c>
      <c r="AR79">
        <f t="shared" si="212"/>
        <v>-1</v>
      </c>
      <c r="AS79">
        <f t="shared" si="212"/>
        <v>-1</v>
      </c>
      <c r="AT79">
        <f t="shared" si="212"/>
        <v>73.799999999999926</v>
      </c>
      <c r="AU79">
        <f t="shared" si="212"/>
        <v>69.899999999999935</v>
      </c>
      <c r="AV79">
        <f t="shared" si="212"/>
        <v>65.999999999999943</v>
      </c>
      <c r="AW79">
        <f t="shared" si="212"/>
        <v>66</v>
      </c>
      <c r="AX79">
        <f t="shared" si="212"/>
        <v>60</v>
      </c>
      <c r="AY79">
        <f t="shared" si="212"/>
        <v>-1</v>
      </c>
      <c r="AZ79">
        <f t="shared" si="212"/>
        <v>-1</v>
      </c>
      <c r="BA79">
        <f t="shared" si="212"/>
        <v>-1</v>
      </c>
      <c r="BB79">
        <f t="shared" si="212"/>
        <v>-1</v>
      </c>
      <c r="BC79">
        <f t="shared" si="212"/>
        <v>-1</v>
      </c>
      <c r="BD79">
        <f t="shared" si="212"/>
        <v>-1</v>
      </c>
      <c r="BE79">
        <f t="shared" si="212"/>
        <v>-1</v>
      </c>
      <c r="BF79">
        <f t="shared" si="212"/>
        <v>-1</v>
      </c>
      <c r="BG79">
        <f t="shared" si="212"/>
        <v>-1</v>
      </c>
      <c r="BH79">
        <f t="shared" si="212"/>
        <v>-1</v>
      </c>
      <c r="BI79">
        <f t="shared" si="212"/>
        <v>67</v>
      </c>
      <c r="BJ79">
        <f t="shared" si="212"/>
        <v>62</v>
      </c>
      <c r="BK79">
        <f t="shared" si="212"/>
        <v>57</v>
      </c>
      <c r="BL79">
        <f t="shared" si="212"/>
        <v>52</v>
      </c>
      <c r="BM79">
        <f t="shared" si="212"/>
        <v>66</v>
      </c>
      <c r="BN79">
        <f t="shared" si="212"/>
        <v>-1</v>
      </c>
      <c r="BO79">
        <f t="shared" si="212"/>
        <v>-1</v>
      </c>
      <c r="BP79">
        <f t="shared" ref="BP79:EA79" si="213">IF(OR(BP78=-1,AND(IF(BP$3&lt;$B79,BP78+BP$6,IF(BP$3=$B79,1,""))&gt;$B$1,BP$3&lt;$B79)),-1,IF(BP$3&lt;$B79,BP78+BP$6,IF(BP$3=$B79,1,"")))</f>
        <v>-1</v>
      </c>
      <c r="BQ79">
        <f t="shared" si="213"/>
        <v>-1</v>
      </c>
      <c r="BR79">
        <f t="shared" si="213"/>
        <v>-1</v>
      </c>
      <c r="BS79">
        <f t="shared" si="213"/>
        <v>70</v>
      </c>
      <c r="BT79">
        <f t="shared" si="213"/>
        <v>68</v>
      </c>
      <c r="BU79">
        <f t="shared" si="213"/>
        <v>40.00000000000005</v>
      </c>
      <c r="BV79">
        <f t="shared" si="213"/>
        <v>36.400000000000041</v>
      </c>
      <c r="BW79">
        <f t="shared" si="213"/>
        <v>32.800000000000033</v>
      </c>
      <c r="BX79">
        <f t="shared" si="213"/>
        <v>29.200000000000024</v>
      </c>
      <c r="BY79">
        <f t="shared" si="213"/>
        <v>25.600000000000016</v>
      </c>
      <c r="BZ79">
        <f t="shared" si="213"/>
        <v>22.000000000000007</v>
      </c>
      <c r="CA79">
        <f t="shared" si="213"/>
        <v>18.399999999999999</v>
      </c>
      <c r="CB79">
        <f t="shared" si="213"/>
        <v>14.799999999999994</v>
      </c>
      <c r="CC79">
        <f t="shared" si="213"/>
        <v>11.199999999999996</v>
      </c>
      <c r="CD79">
        <f t="shared" si="213"/>
        <v>7.5999999999999979</v>
      </c>
      <c r="CE79">
        <f t="shared" si="213"/>
        <v>4</v>
      </c>
      <c r="CF79" t="str">
        <f t="shared" si="213"/>
        <v/>
      </c>
      <c r="CG79" t="str">
        <f t="shared" si="213"/>
        <v/>
      </c>
      <c r="CH79" t="str">
        <f t="shared" si="213"/>
        <v/>
      </c>
      <c r="CI79" t="str">
        <f t="shared" si="213"/>
        <v/>
      </c>
      <c r="CJ79" t="str">
        <f t="shared" si="213"/>
        <v/>
      </c>
      <c r="CK79" t="str">
        <f t="shared" si="213"/>
        <v/>
      </c>
      <c r="CL79" t="str">
        <f t="shared" si="213"/>
        <v/>
      </c>
      <c r="CM79" t="str">
        <f t="shared" si="213"/>
        <v/>
      </c>
      <c r="CN79" t="str">
        <f t="shared" si="213"/>
        <v/>
      </c>
      <c r="CO79">
        <f t="shared" si="213"/>
        <v>23.5</v>
      </c>
      <c r="CP79">
        <f t="shared" si="213"/>
        <v>10.5</v>
      </c>
      <c r="CQ79">
        <f t="shared" si="213"/>
        <v>67</v>
      </c>
      <c r="CR79">
        <f t="shared" si="213"/>
        <v>62</v>
      </c>
      <c r="CS79">
        <f t="shared" si="213"/>
        <v>57</v>
      </c>
      <c r="CT79">
        <f t="shared" si="213"/>
        <v>-1</v>
      </c>
      <c r="CU79">
        <f t="shared" si="213"/>
        <v>-1</v>
      </c>
      <c r="CV79">
        <f t="shared" si="213"/>
        <v>-1</v>
      </c>
      <c r="CW79">
        <f t="shared" si="213"/>
        <v>-1</v>
      </c>
      <c r="CX79">
        <f t="shared" si="213"/>
        <v>-1</v>
      </c>
      <c r="CY79">
        <f t="shared" si="213"/>
        <v>-1</v>
      </c>
      <c r="CZ79">
        <f t="shared" si="213"/>
        <v>74.600000000000009</v>
      </c>
      <c r="DA79">
        <f t="shared" si="213"/>
        <v>68</v>
      </c>
      <c r="DB79">
        <f t="shared" si="213"/>
        <v>64</v>
      </c>
      <c r="DC79">
        <f t="shared" si="213"/>
        <v>60</v>
      </c>
      <c r="DD79">
        <f t="shared" si="213"/>
        <v>56</v>
      </c>
      <c r="DE79">
        <f t="shared" si="213"/>
        <v>70</v>
      </c>
      <c r="DF79">
        <f t="shared" si="213"/>
        <v>68</v>
      </c>
      <c r="DG79">
        <f t="shared" si="213"/>
        <v>-1</v>
      </c>
      <c r="DH79">
        <f t="shared" si="213"/>
        <v>-1</v>
      </c>
      <c r="DI79">
        <f t="shared" si="213"/>
        <v>-1</v>
      </c>
      <c r="DJ79">
        <f t="shared" si="213"/>
        <v>-1</v>
      </c>
      <c r="DK79">
        <f t="shared" si="213"/>
        <v>-1</v>
      </c>
      <c r="DL79">
        <f t="shared" si="213"/>
        <v>-1</v>
      </c>
      <c r="DM79">
        <f t="shared" si="213"/>
        <v>-1</v>
      </c>
      <c r="DN79">
        <f t="shared" si="213"/>
        <v>-1</v>
      </c>
      <c r="DO79">
        <f t="shared" si="213"/>
        <v>-1</v>
      </c>
      <c r="DP79">
        <f t="shared" si="213"/>
        <v>-1</v>
      </c>
      <c r="DQ79">
        <f t="shared" si="213"/>
        <v>-1</v>
      </c>
      <c r="DR79">
        <f t="shared" si="213"/>
        <v>-1</v>
      </c>
      <c r="DS79">
        <f t="shared" si="213"/>
        <v>66</v>
      </c>
      <c r="DT79">
        <f t="shared" si="213"/>
        <v>60</v>
      </c>
      <c r="DU79">
        <f t="shared" si="213"/>
        <v>54</v>
      </c>
      <c r="DV79">
        <f t="shared" si="213"/>
        <v>48</v>
      </c>
      <c r="DW79">
        <f t="shared" si="213"/>
        <v>42</v>
      </c>
      <c r="DX79">
        <f t="shared" si="213"/>
        <v>36</v>
      </c>
      <c r="DY79">
        <f t="shared" si="213"/>
        <v>-1</v>
      </c>
      <c r="DZ79">
        <f t="shared" si="213"/>
        <v>-1</v>
      </c>
      <c r="EA79">
        <f t="shared" si="213"/>
        <v>-1</v>
      </c>
      <c r="EB79">
        <f t="shared" ref="EB79:EO79" si="214">IF(OR(EB78=-1,AND(IF(EB$3&lt;$B79,EB78+EB$6,IF(EB$3=$B79,1,""))&gt;$B$1,EB$3&lt;$B79)),-1,IF(EB$3&lt;$B79,EB78+EB$6,IF(EB$3=$B79,1,"")))</f>
        <v>-1</v>
      </c>
      <c r="EC79">
        <f t="shared" si="214"/>
        <v>-1</v>
      </c>
      <c r="ED79">
        <f t="shared" si="214"/>
        <v>-1</v>
      </c>
      <c r="EE79">
        <f t="shared" si="214"/>
        <v>-1</v>
      </c>
      <c r="EF79">
        <f t="shared" si="214"/>
        <v>-1</v>
      </c>
      <c r="EG79">
        <f t="shared" si="214"/>
        <v>-1</v>
      </c>
      <c r="EH79">
        <f t="shared" si="214"/>
        <v>-1</v>
      </c>
      <c r="EI79">
        <f t="shared" si="214"/>
        <v>74.600000000000009</v>
      </c>
      <c r="EJ79">
        <f t="shared" si="214"/>
        <v>66.600000000000037</v>
      </c>
      <c r="EK79">
        <f t="shared" si="214"/>
        <v>-1</v>
      </c>
      <c r="EL79">
        <f t="shared" si="214"/>
        <v>-1</v>
      </c>
      <c r="EM79">
        <f t="shared" si="214"/>
        <v>-1</v>
      </c>
      <c r="EN79">
        <f t="shared" si="214"/>
        <v>-1</v>
      </c>
      <c r="EO79">
        <f t="shared" si="214"/>
        <v>69.800000000000026</v>
      </c>
    </row>
    <row r="80" spans="1:145" x14ac:dyDescent="0.15">
      <c r="A80" t="e">
        <f t="shared" si="193"/>
        <v>#N/A</v>
      </c>
      <c r="B80" s="218">
        <v>72</v>
      </c>
      <c r="C80">
        <f t="shared" si="193"/>
        <v>71</v>
      </c>
      <c r="D80">
        <f t="shared" ref="D80:BO80" si="215">IF(OR(D79=-1,AND(IF(D$3&lt;$B80,D79+D$6,IF(D$3=$B80,1,""))&gt;$B$1,D$3&lt;$B80)),-1,IF(D$3&lt;$B80,D79+D$6,IF(D$3=$B80,1,"")))</f>
        <v>69</v>
      </c>
      <c r="E80">
        <f t="shared" si="215"/>
        <v>67</v>
      </c>
      <c r="F80">
        <f t="shared" si="215"/>
        <v>65</v>
      </c>
      <c r="G80">
        <f t="shared" si="215"/>
        <v>63</v>
      </c>
      <c r="H80">
        <f t="shared" si="215"/>
        <v>61</v>
      </c>
      <c r="I80">
        <f t="shared" si="215"/>
        <v>-1</v>
      </c>
      <c r="J80">
        <f t="shared" si="215"/>
        <v>71.199999999999932</v>
      </c>
      <c r="K80">
        <f t="shared" si="215"/>
        <v>59.49999999999995</v>
      </c>
      <c r="L80">
        <f t="shared" si="215"/>
        <v>47.900000000000041</v>
      </c>
      <c r="M80">
        <f t="shared" si="215"/>
        <v>44.400000000000027</v>
      </c>
      <c r="N80">
        <f t="shared" si="215"/>
        <v>40.900000000000013</v>
      </c>
      <c r="O80">
        <f t="shared" si="215"/>
        <v>71</v>
      </c>
      <c r="P80">
        <f t="shared" si="215"/>
        <v>69</v>
      </c>
      <c r="Q80">
        <f t="shared" si="215"/>
        <v>67</v>
      </c>
      <c r="R80">
        <f t="shared" si="215"/>
        <v>65</v>
      </c>
      <c r="S80">
        <f t="shared" si="215"/>
        <v>63</v>
      </c>
      <c r="T80">
        <f t="shared" si="215"/>
        <v>-1</v>
      </c>
      <c r="U80">
        <f t="shared" si="215"/>
        <v>-1</v>
      </c>
      <c r="V80">
        <f t="shared" si="215"/>
        <v>-1</v>
      </c>
      <c r="W80">
        <f t="shared" si="215"/>
        <v>-1</v>
      </c>
      <c r="X80">
        <f t="shared" si="215"/>
        <v>-1</v>
      </c>
      <c r="Y80">
        <f t="shared" si="215"/>
        <v>-1</v>
      </c>
      <c r="Z80">
        <f t="shared" si="215"/>
        <v>70</v>
      </c>
      <c r="AA80">
        <f t="shared" si="215"/>
        <v>67</v>
      </c>
      <c r="AB80">
        <f t="shared" si="215"/>
        <v>64</v>
      </c>
      <c r="AC80">
        <f t="shared" si="215"/>
        <v>-1</v>
      </c>
      <c r="AD80">
        <f t="shared" si="215"/>
        <v>-1</v>
      </c>
      <c r="AE80">
        <f t="shared" si="215"/>
        <v>-1</v>
      </c>
      <c r="AF80">
        <f t="shared" si="215"/>
        <v>-1</v>
      </c>
      <c r="AG80">
        <f t="shared" si="215"/>
        <v>-1</v>
      </c>
      <c r="AH80">
        <f t="shared" si="215"/>
        <v>65.799999999999955</v>
      </c>
      <c r="AI80">
        <f t="shared" si="215"/>
        <v>41.800000000000054</v>
      </c>
      <c r="AJ80">
        <f t="shared" si="215"/>
        <v>39.400000000000048</v>
      </c>
      <c r="AK80">
        <f t="shared" si="215"/>
        <v>37.000000000000043</v>
      </c>
      <c r="AL80">
        <f t="shared" si="215"/>
        <v>34.600000000000037</v>
      </c>
      <c r="AM80">
        <f t="shared" si="215"/>
        <v>67</v>
      </c>
      <c r="AN80">
        <f t="shared" si="215"/>
        <v>61</v>
      </c>
      <c r="AO80">
        <f t="shared" si="215"/>
        <v>55</v>
      </c>
      <c r="AP80">
        <f t="shared" si="215"/>
        <v>-1</v>
      </c>
      <c r="AQ80">
        <f t="shared" si="215"/>
        <v>-1</v>
      </c>
      <c r="AR80">
        <f t="shared" si="215"/>
        <v>-1</v>
      </c>
      <c r="AS80">
        <f t="shared" si="215"/>
        <v>-1</v>
      </c>
      <c r="AT80">
        <f t="shared" si="215"/>
        <v>-1</v>
      </c>
      <c r="AU80">
        <f t="shared" si="215"/>
        <v>71.199999999999932</v>
      </c>
      <c r="AV80">
        <f t="shared" si="215"/>
        <v>67.29999999999994</v>
      </c>
      <c r="AW80">
        <f t="shared" si="215"/>
        <v>67</v>
      </c>
      <c r="AX80">
        <f t="shared" si="215"/>
        <v>61</v>
      </c>
      <c r="AY80">
        <f t="shared" si="215"/>
        <v>-1</v>
      </c>
      <c r="AZ80">
        <f t="shared" si="215"/>
        <v>-1</v>
      </c>
      <c r="BA80">
        <f t="shared" si="215"/>
        <v>-1</v>
      </c>
      <c r="BB80">
        <f t="shared" si="215"/>
        <v>-1</v>
      </c>
      <c r="BC80">
        <f t="shared" si="215"/>
        <v>-1</v>
      </c>
      <c r="BD80">
        <f t="shared" si="215"/>
        <v>-1</v>
      </c>
      <c r="BE80">
        <f t="shared" si="215"/>
        <v>-1</v>
      </c>
      <c r="BF80">
        <f t="shared" si="215"/>
        <v>-1</v>
      </c>
      <c r="BG80">
        <f t="shared" si="215"/>
        <v>-1</v>
      </c>
      <c r="BH80">
        <f t="shared" si="215"/>
        <v>-1</v>
      </c>
      <c r="BI80">
        <f t="shared" si="215"/>
        <v>68</v>
      </c>
      <c r="BJ80">
        <f t="shared" si="215"/>
        <v>63</v>
      </c>
      <c r="BK80">
        <f t="shared" si="215"/>
        <v>58</v>
      </c>
      <c r="BL80">
        <f t="shared" si="215"/>
        <v>53</v>
      </c>
      <c r="BM80">
        <f t="shared" si="215"/>
        <v>67</v>
      </c>
      <c r="BN80">
        <f t="shared" si="215"/>
        <v>-1</v>
      </c>
      <c r="BO80">
        <f t="shared" si="215"/>
        <v>-1</v>
      </c>
      <c r="BP80">
        <f t="shared" ref="BP80:EA80" si="216">IF(OR(BP79=-1,AND(IF(BP$3&lt;$B80,BP79+BP$6,IF(BP$3=$B80,1,""))&gt;$B$1,BP$3&lt;$B80)),-1,IF(BP$3&lt;$B80,BP79+BP$6,IF(BP$3=$B80,1,"")))</f>
        <v>-1</v>
      </c>
      <c r="BQ80">
        <f t="shared" si="216"/>
        <v>-1</v>
      </c>
      <c r="BR80">
        <f t="shared" si="216"/>
        <v>-1</v>
      </c>
      <c r="BS80">
        <f t="shared" si="216"/>
        <v>71</v>
      </c>
      <c r="BT80">
        <f t="shared" si="216"/>
        <v>69</v>
      </c>
      <c r="BU80">
        <f t="shared" si="216"/>
        <v>40.600000000000051</v>
      </c>
      <c r="BV80">
        <f t="shared" si="216"/>
        <v>37.000000000000043</v>
      </c>
      <c r="BW80">
        <f t="shared" si="216"/>
        <v>33.400000000000034</v>
      </c>
      <c r="BX80">
        <f t="shared" si="216"/>
        <v>29.800000000000026</v>
      </c>
      <c r="BY80">
        <f t="shared" si="216"/>
        <v>26.200000000000017</v>
      </c>
      <c r="BZ80">
        <f t="shared" si="216"/>
        <v>22.600000000000009</v>
      </c>
      <c r="CA80">
        <f t="shared" si="216"/>
        <v>19</v>
      </c>
      <c r="CB80">
        <f t="shared" si="216"/>
        <v>15.399999999999993</v>
      </c>
      <c r="CC80">
        <f t="shared" si="216"/>
        <v>11.799999999999995</v>
      </c>
      <c r="CD80">
        <f t="shared" si="216"/>
        <v>8.1999999999999975</v>
      </c>
      <c r="CE80">
        <f t="shared" si="216"/>
        <v>4.5999999999999996</v>
      </c>
      <c r="CF80">
        <f t="shared" si="216"/>
        <v>1</v>
      </c>
      <c r="CG80" t="str">
        <f t="shared" si="216"/>
        <v/>
      </c>
      <c r="CH80" t="str">
        <f t="shared" si="216"/>
        <v/>
      </c>
      <c r="CI80" t="str">
        <f t="shared" si="216"/>
        <v/>
      </c>
      <c r="CJ80" t="str">
        <f t="shared" si="216"/>
        <v/>
      </c>
      <c r="CK80" t="str">
        <f t="shared" si="216"/>
        <v/>
      </c>
      <c r="CL80" t="str">
        <f t="shared" si="216"/>
        <v/>
      </c>
      <c r="CM80" t="str">
        <f t="shared" si="216"/>
        <v/>
      </c>
      <c r="CN80" t="str">
        <f t="shared" si="216"/>
        <v/>
      </c>
      <c r="CO80">
        <f t="shared" si="216"/>
        <v>24</v>
      </c>
      <c r="CP80">
        <f t="shared" si="216"/>
        <v>11</v>
      </c>
      <c r="CQ80">
        <f t="shared" si="216"/>
        <v>68</v>
      </c>
      <c r="CR80">
        <f t="shared" si="216"/>
        <v>63</v>
      </c>
      <c r="CS80">
        <f t="shared" si="216"/>
        <v>58</v>
      </c>
      <c r="CT80">
        <f t="shared" si="216"/>
        <v>-1</v>
      </c>
      <c r="CU80">
        <f t="shared" si="216"/>
        <v>-1</v>
      </c>
      <c r="CV80">
        <f t="shared" si="216"/>
        <v>-1</v>
      </c>
      <c r="CW80">
        <f t="shared" si="216"/>
        <v>-1</v>
      </c>
      <c r="CX80">
        <f t="shared" si="216"/>
        <v>-1</v>
      </c>
      <c r="CY80">
        <f t="shared" si="216"/>
        <v>-1</v>
      </c>
      <c r="CZ80">
        <f t="shared" si="216"/>
        <v>-1</v>
      </c>
      <c r="DA80">
        <f t="shared" si="216"/>
        <v>69</v>
      </c>
      <c r="DB80">
        <f t="shared" si="216"/>
        <v>65</v>
      </c>
      <c r="DC80">
        <f t="shared" si="216"/>
        <v>61</v>
      </c>
      <c r="DD80">
        <f t="shared" si="216"/>
        <v>57</v>
      </c>
      <c r="DE80">
        <f t="shared" si="216"/>
        <v>71</v>
      </c>
      <c r="DF80">
        <f t="shared" si="216"/>
        <v>69</v>
      </c>
      <c r="DG80">
        <f t="shared" si="216"/>
        <v>-1</v>
      </c>
      <c r="DH80">
        <f t="shared" si="216"/>
        <v>-1</v>
      </c>
      <c r="DI80">
        <f t="shared" si="216"/>
        <v>-1</v>
      </c>
      <c r="DJ80">
        <f t="shared" si="216"/>
        <v>-1</v>
      </c>
      <c r="DK80">
        <f t="shared" si="216"/>
        <v>-1</v>
      </c>
      <c r="DL80">
        <f t="shared" si="216"/>
        <v>-1</v>
      </c>
      <c r="DM80">
        <f t="shared" si="216"/>
        <v>-1</v>
      </c>
      <c r="DN80">
        <f t="shared" si="216"/>
        <v>-1</v>
      </c>
      <c r="DO80">
        <f t="shared" si="216"/>
        <v>-1</v>
      </c>
      <c r="DP80">
        <f t="shared" si="216"/>
        <v>-1</v>
      </c>
      <c r="DQ80">
        <f t="shared" si="216"/>
        <v>-1</v>
      </c>
      <c r="DR80">
        <f t="shared" si="216"/>
        <v>-1</v>
      </c>
      <c r="DS80">
        <f t="shared" si="216"/>
        <v>67</v>
      </c>
      <c r="DT80">
        <f t="shared" si="216"/>
        <v>61</v>
      </c>
      <c r="DU80">
        <f t="shared" si="216"/>
        <v>55</v>
      </c>
      <c r="DV80">
        <f t="shared" si="216"/>
        <v>49</v>
      </c>
      <c r="DW80">
        <f t="shared" si="216"/>
        <v>43</v>
      </c>
      <c r="DX80">
        <f t="shared" si="216"/>
        <v>37</v>
      </c>
      <c r="DY80">
        <f t="shared" si="216"/>
        <v>-1</v>
      </c>
      <c r="DZ80">
        <f t="shared" si="216"/>
        <v>-1</v>
      </c>
      <c r="EA80">
        <f t="shared" si="216"/>
        <v>-1</v>
      </c>
      <c r="EB80">
        <f t="shared" ref="EB80:EO80" si="217">IF(OR(EB79=-1,AND(IF(EB$3&lt;$B80,EB79+EB$6,IF(EB$3=$B80,1,""))&gt;$B$1,EB$3&lt;$B80)),-1,IF(EB$3&lt;$B80,EB79+EB$6,IF(EB$3=$B80,1,"")))</f>
        <v>-1</v>
      </c>
      <c r="EC80">
        <f t="shared" si="217"/>
        <v>-1</v>
      </c>
      <c r="ED80">
        <f t="shared" si="217"/>
        <v>-1</v>
      </c>
      <c r="EE80">
        <f t="shared" si="217"/>
        <v>-1</v>
      </c>
      <c r="EF80">
        <f t="shared" si="217"/>
        <v>-1</v>
      </c>
      <c r="EG80">
        <f t="shared" si="217"/>
        <v>-1</v>
      </c>
      <c r="EH80">
        <f t="shared" si="217"/>
        <v>-1</v>
      </c>
      <c r="EI80">
        <f t="shared" si="217"/>
        <v>-1</v>
      </c>
      <c r="EJ80">
        <f t="shared" si="217"/>
        <v>68.200000000000031</v>
      </c>
      <c r="EK80">
        <f t="shared" si="217"/>
        <v>-1</v>
      </c>
      <c r="EL80">
        <f t="shared" si="217"/>
        <v>-1</v>
      </c>
      <c r="EM80">
        <f t="shared" si="217"/>
        <v>-1</v>
      </c>
      <c r="EN80">
        <f t="shared" si="217"/>
        <v>-1</v>
      </c>
      <c r="EO80">
        <f t="shared" si="217"/>
        <v>71.40000000000002</v>
      </c>
    </row>
    <row r="81" spans="1:145" x14ac:dyDescent="0.15">
      <c r="A81" t="e">
        <f t="shared" si="193"/>
        <v>#N/A</v>
      </c>
      <c r="B81" s="218">
        <v>73</v>
      </c>
      <c r="C81">
        <f t="shared" si="193"/>
        <v>72</v>
      </c>
      <c r="D81">
        <f t="shared" ref="D81:BO81" si="218">IF(OR(D80=-1,AND(IF(D$3&lt;$B81,D80+D$6,IF(D$3=$B81,1,""))&gt;$B$1,D$3&lt;$B81)),-1,IF(D$3&lt;$B81,D80+D$6,IF(D$3=$B81,1,"")))</f>
        <v>70</v>
      </c>
      <c r="E81">
        <f t="shared" si="218"/>
        <v>68</v>
      </c>
      <c r="F81">
        <f t="shared" si="218"/>
        <v>66</v>
      </c>
      <c r="G81">
        <f t="shared" si="218"/>
        <v>64</v>
      </c>
      <c r="H81">
        <f t="shared" si="218"/>
        <v>62</v>
      </c>
      <c r="I81">
        <f t="shared" si="218"/>
        <v>-1</v>
      </c>
      <c r="J81">
        <f t="shared" si="218"/>
        <v>72.499999999999929</v>
      </c>
      <c r="K81">
        <f t="shared" si="218"/>
        <v>60.799999999999947</v>
      </c>
      <c r="L81">
        <f t="shared" si="218"/>
        <v>48.600000000000044</v>
      </c>
      <c r="M81">
        <f t="shared" si="218"/>
        <v>45.10000000000003</v>
      </c>
      <c r="N81">
        <f t="shared" si="218"/>
        <v>41.600000000000016</v>
      </c>
      <c r="O81">
        <f t="shared" si="218"/>
        <v>72</v>
      </c>
      <c r="P81">
        <f t="shared" si="218"/>
        <v>70</v>
      </c>
      <c r="Q81">
        <f t="shared" si="218"/>
        <v>68</v>
      </c>
      <c r="R81">
        <f t="shared" si="218"/>
        <v>66</v>
      </c>
      <c r="S81">
        <f t="shared" si="218"/>
        <v>64</v>
      </c>
      <c r="T81">
        <f t="shared" si="218"/>
        <v>-1</v>
      </c>
      <c r="U81">
        <f t="shared" si="218"/>
        <v>-1</v>
      </c>
      <c r="V81">
        <f t="shared" si="218"/>
        <v>-1</v>
      </c>
      <c r="W81">
        <f t="shared" si="218"/>
        <v>-1</v>
      </c>
      <c r="X81">
        <f t="shared" si="218"/>
        <v>-1</v>
      </c>
      <c r="Y81">
        <f t="shared" si="218"/>
        <v>-1</v>
      </c>
      <c r="Z81">
        <f t="shared" si="218"/>
        <v>71</v>
      </c>
      <c r="AA81">
        <f t="shared" si="218"/>
        <v>68</v>
      </c>
      <c r="AB81">
        <f t="shared" si="218"/>
        <v>65</v>
      </c>
      <c r="AC81">
        <f t="shared" si="218"/>
        <v>-1</v>
      </c>
      <c r="AD81">
        <f t="shared" si="218"/>
        <v>-1</v>
      </c>
      <c r="AE81">
        <f t="shared" si="218"/>
        <v>-1</v>
      </c>
      <c r="AF81">
        <f t="shared" si="218"/>
        <v>-1</v>
      </c>
      <c r="AG81">
        <f t="shared" si="218"/>
        <v>-1</v>
      </c>
      <c r="AH81">
        <f t="shared" si="218"/>
        <v>67.599999999999952</v>
      </c>
      <c r="AI81">
        <f t="shared" si="218"/>
        <v>42.400000000000055</v>
      </c>
      <c r="AJ81">
        <f t="shared" si="218"/>
        <v>40.00000000000005</v>
      </c>
      <c r="AK81">
        <f t="shared" si="218"/>
        <v>37.600000000000044</v>
      </c>
      <c r="AL81">
        <f t="shared" si="218"/>
        <v>35.200000000000038</v>
      </c>
      <c r="AM81">
        <f t="shared" si="218"/>
        <v>68</v>
      </c>
      <c r="AN81">
        <f t="shared" si="218"/>
        <v>62</v>
      </c>
      <c r="AO81">
        <f t="shared" si="218"/>
        <v>56</v>
      </c>
      <c r="AP81">
        <f t="shared" si="218"/>
        <v>-1</v>
      </c>
      <c r="AQ81">
        <f t="shared" si="218"/>
        <v>-1</v>
      </c>
      <c r="AR81">
        <f t="shared" si="218"/>
        <v>-1</v>
      </c>
      <c r="AS81">
        <f t="shared" si="218"/>
        <v>-1</v>
      </c>
      <c r="AT81">
        <f t="shared" si="218"/>
        <v>-1</v>
      </c>
      <c r="AU81">
        <f t="shared" si="218"/>
        <v>72.499999999999929</v>
      </c>
      <c r="AV81">
        <f t="shared" si="218"/>
        <v>68.599999999999937</v>
      </c>
      <c r="AW81">
        <f t="shared" si="218"/>
        <v>68</v>
      </c>
      <c r="AX81">
        <f t="shared" si="218"/>
        <v>62</v>
      </c>
      <c r="AY81">
        <f t="shared" si="218"/>
        <v>-1</v>
      </c>
      <c r="AZ81">
        <f t="shared" si="218"/>
        <v>-1</v>
      </c>
      <c r="BA81">
        <f t="shared" si="218"/>
        <v>-1</v>
      </c>
      <c r="BB81">
        <f t="shared" si="218"/>
        <v>-1</v>
      </c>
      <c r="BC81">
        <f t="shared" si="218"/>
        <v>-1</v>
      </c>
      <c r="BD81">
        <f t="shared" si="218"/>
        <v>-1</v>
      </c>
      <c r="BE81">
        <f t="shared" si="218"/>
        <v>-1</v>
      </c>
      <c r="BF81">
        <f t="shared" si="218"/>
        <v>-1</v>
      </c>
      <c r="BG81">
        <f t="shared" si="218"/>
        <v>-1</v>
      </c>
      <c r="BH81">
        <f t="shared" si="218"/>
        <v>-1</v>
      </c>
      <c r="BI81">
        <f t="shared" si="218"/>
        <v>69</v>
      </c>
      <c r="BJ81">
        <f t="shared" si="218"/>
        <v>64</v>
      </c>
      <c r="BK81">
        <f t="shared" si="218"/>
        <v>59</v>
      </c>
      <c r="BL81">
        <f t="shared" si="218"/>
        <v>54</v>
      </c>
      <c r="BM81">
        <f t="shared" si="218"/>
        <v>68</v>
      </c>
      <c r="BN81">
        <f t="shared" si="218"/>
        <v>-1</v>
      </c>
      <c r="BO81">
        <f t="shared" si="218"/>
        <v>-1</v>
      </c>
      <c r="BP81">
        <f t="shared" ref="BP81:EA81" si="219">IF(OR(BP80=-1,AND(IF(BP$3&lt;$B81,BP80+BP$6,IF(BP$3=$B81,1,""))&gt;$B$1,BP$3&lt;$B81)),-1,IF(BP$3&lt;$B81,BP80+BP$6,IF(BP$3=$B81,1,"")))</f>
        <v>-1</v>
      </c>
      <c r="BQ81">
        <f t="shared" si="219"/>
        <v>-1</v>
      </c>
      <c r="BR81">
        <f t="shared" si="219"/>
        <v>-1</v>
      </c>
      <c r="BS81">
        <f t="shared" si="219"/>
        <v>72</v>
      </c>
      <c r="BT81">
        <f t="shared" si="219"/>
        <v>70</v>
      </c>
      <c r="BU81">
        <f t="shared" si="219"/>
        <v>41.200000000000053</v>
      </c>
      <c r="BV81">
        <f t="shared" si="219"/>
        <v>37.600000000000044</v>
      </c>
      <c r="BW81">
        <f t="shared" si="219"/>
        <v>34.000000000000036</v>
      </c>
      <c r="BX81">
        <f t="shared" si="219"/>
        <v>30.400000000000027</v>
      </c>
      <c r="BY81">
        <f t="shared" si="219"/>
        <v>26.800000000000018</v>
      </c>
      <c r="BZ81">
        <f t="shared" si="219"/>
        <v>23.20000000000001</v>
      </c>
      <c r="CA81">
        <f t="shared" si="219"/>
        <v>19.600000000000001</v>
      </c>
      <c r="CB81">
        <f t="shared" si="219"/>
        <v>15.999999999999993</v>
      </c>
      <c r="CC81">
        <f t="shared" si="219"/>
        <v>12.399999999999995</v>
      </c>
      <c r="CD81">
        <f t="shared" si="219"/>
        <v>8.7999999999999972</v>
      </c>
      <c r="CE81">
        <f t="shared" si="219"/>
        <v>5.1999999999999993</v>
      </c>
      <c r="CF81">
        <f t="shared" si="219"/>
        <v>1.6</v>
      </c>
      <c r="CG81" t="str">
        <f t="shared" si="219"/>
        <v/>
      </c>
      <c r="CH81" t="str">
        <f t="shared" si="219"/>
        <v/>
      </c>
      <c r="CI81" t="str">
        <f t="shared" si="219"/>
        <v/>
      </c>
      <c r="CJ81" t="str">
        <f t="shared" si="219"/>
        <v/>
      </c>
      <c r="CK81" t="str">
        <f t="shared" si="219"/>
        <v/>
      </c>
      <c r="CL81" t="str">
        <f t="shared" si="219"/>
        <v/>
      </c>
      <c r="CM81" t="str">
        <f t="shared" si="219"/>
        <v/>
      </c>
      <c r="CN81" t="str">
        <f t="shared" si="219"/>
        <v/>
      </c>
      <c r="CO81">
        <f t="shared" si="219"/>
        <v>24.5</v>
      </c>
      <c r="CP81">
        <f t="shared" si="219"/>
        <v>11.5</v>
      </c>
      <c r="CQ81">
        <f t="shared" si="219"/>
        <v>69</v>
      </c>
      <c r="CR81">
        <f t="shared" si="219"/>
        <v>64</v>
      </c>
      <c r="CS81">
        <f t="shared" si="219"/>
        <v>59</v>
      </c>
      <c r="CT81">
        <f t="shared" si="219"/>
        <v>-1</v>
      </c>
      <c r="CU81">
        <f t="shared" si="219"/>
        <v>-1</v>
      </c>
      <c r="CV81">
        <f t="shared" si="219"/>
        <v>-1</v>
      </c>
      <c r="CW81">
        <f t="shared" si="219"/>
        <v>-1</v>
      </c>
      <c r="CX81">
        <f t="shared" si="219"/>
        <v>-1</v>
      </c>
      <c r="CY81">
        <f t="shared" si="219"/>
        <v>-1</v>
      </c>
      <c r="CZ81">
        <f t="shared" si="219"/>
        <v>-1</v>
      </c>
      <c r="DA81">
        <f t="shared" si="219"/>
        <v>70</v>
      </c>
      <c r="DB81">
        <f t="shared" si="219"/>
        <v>66</v>
      </c>
      <c r="DC81">
        <f t="shared" si="219"/>
        <v>62</v>
      </c>
      <c r="DD81">
        <f t="shared" si="219"/>
        <v>58</v>
      </c>
      <c r="DE81">
        <f t="shared" si="219"/>
        <v>72</v>
      </c>
      <c r="DF81">
        <f t="shared" si="219"/>
        <v>70</v>
      </c>
      <c r="DG81">
        <f t="shared" si="219"/>
        <v>-1</v>
      </c>
      <c r="DH81">
        <f t="shared" si="219"/>
        <v>-1</v>
      </c>
      <c r="DI81">
        <f t="shared" si="219"/>
        <v>-1</v>
      </c>
      <c r="DJ81">
        <f t="shared" si="219"/>
        <v>-1</v>
      </c>
      <c r="DK81">
        <f t="shared" si="219"/>
        <v>-1</v>
      </c>
      <c r="DL81">
        <f t="shared" si="219"/>
        <v>-1</v>
      </c>
      <c r="DM81">
        <f t="shared" si="219"/>
        <v>-1</v>
      </c>
      <c r="DN81">
        <f t="shared" si="219"/>
        <v>-1</v>
      </c>
      <c r="DO81">
        <f t="shared" si="219"/>
        <v>-1</v>
      </c>
      <c r="DP81">
        <f t="shared" si="219"/>
        <v>-1</v>
      </c>
      <c r="DQ81">
        <f t="shared" si="219"/>
        <v>-1</v>
      </c>
      <c r="DR81">
        <f t="shared" si="219"/>
        <v>-1</v>
      </c>
      <c r="DS81">
        <f t="shared" si="219"/>
        <v>68</v>
      </c>
      <c r="DT81">
        <f t="shared" si="219"/>
        <v>62</v>
      </c>
      <c r="DU81">
        <f t="shared" si="219"/>
        <v>56</v>
      </c>
      <c r="DV81">
        <f t="shared" si="219"/>
        <v>50</v>
      </c>
      <c r="DW81">
        <f t="shared" si="219"/>
        <v>44</v>
      </c>
      <c r="DX81">
        <f t="shared" si="219"/>
        <v>38</v>
      </c>
      <c r="DY81">
        <f t="shared" si="219"/>
        <v>-1</v>
      </c>
      <c r="DZ81">
        <f t="shared" si="219"/>
        <v>-1</v>
      </c>
      <c r="EA81">
        <f t="shared" si="219"/>
        <v>-1</v>
      </c>
      <c r="EB81">
        <f t="shared" ref="EB81:EO81" si="220">IF(OR(EB80=-1,AND(IF(EB$3&lt;$B81,EB80+EB$6,IF(EB$3=$B81,1,""))&gt;$B$1,EB$3&lt;$B81)),-1,IF(EB$3&lt;$B81,EB80+EB$6,IF(EB$3=$B81,1,"")))</f>
        <v>-1</v>
      </c>
      <c r="EC81">
        <f t="shared" si="220"/>
        <v>-1</v>
      </c>
      <c r="ED81">
        <f t="shared" si="220"/>
        <v>-1</v>
      </c>
      <c r="EE81">
        <f t="shared" si="220"/>
        <v>-1</v>
      </c>
      <c r="EF81">
        <f t="shared" si="220"/>
        <v>-1</v>
      </c>
      <c r="EG81">
        <f t="shared" si="220"/>
        <v>-1</v>
      </c>
      <c r="EH81">
        <f t="shared" si="220"/>
        <v>-1</v>
      </c>
      <c r="EI81">
        <f t="shared" si="220"/>
        <v>-1</v>
      </c>
      <c r="EJ81">
        <f t="shared" si="220"/>
        <v>69.800000000000026</v>
      </c>
      <c r="EK81">
        <f t="shared" si="220"/>
        <v>-1</v>
      </c>
      <c r="EL81">
        <f t="shared" si="220"/>
        <v>-1</v>
      </c>
      <c r="EM81">
        <f t="shared" si="220"/>
        <v>-1</v>
      </c>
      <c r="EN81">
        <f t="shared" si="220"/>
        <v>-1</v>
      </c>
      <c r="EO81">
        <f t="shared" si="220"/>
        <v>73.000000000000014</v>
      </c>
    </row>
    <row r="82" spans="1:145" x14ac:dyDescent="0.15">
      <c r="A82" t="e">
        <f t="shared" si="193"/>
        <v>#N/A</v>
      </c>
      <c r="B82" s="218">
        <v>74</v>
      </c>
      <c r="C82">
        <f t="shared" si="193"/>
        <v>73</v>
      </c>
      <c r="D82">
        <f t="shared" ref="D82:BO82" si="221">IF(OR(D81=-1,AND(IF(D$3&lt;$B82,D81+D$6,IF(D$3=$B82,1,""))&gt;$B$1,D$3&lt;$B82)),-1,IF(D$3&lt;$B82,D81+D$6,IF(D$3=$B82,1,"")))</f>
        <v>71</v>
      </c>
      <c r="E82">
        <f t="shared" si="221"/>
        <v>69</v>
      </c>
      <c r="F82">
        <f t="shared" si="221"/>
        <v>67</v>
      </c>
      <c r="G82">
        <f t="shared" si="221"/>
        <v>65</v>
      </c>
      <c r="H82">
        <f t="shared" si="221"/>
        <v>63</v>
      </c>
      <c r="I82">
        <f t="shared" si="221"/>
        <v>-1</v>
      </c>
      <c r="J82">
        <f t="shared" si="221"/>
        <v>73.799999999999926</v>
      </c>
      <c r="K82">
        <f t="shared" si="221"/>
        <v>62.099999999999945</v>
      </c>
      <c r="L82">
        <f t="shared" si="221"/>
        <v>49.300000000000047</v>
      </c>
      <c r="M82">
        <f t="shared" si="221"/>
        <v>45.800000000000033</v>
      </c>
      <c r="N82">
        <f t="shared" si="221"/>
        <v>42.300000000000018</v>
      </c>
      <c r="O82">
        <f t="shared" si="221"/>
        <v>73</v>
      </c>
      <c r="P82">
        <f t="shared" si="221"/>
        <v>71</v>
      </c>
      <c r="Q82">
        <f t="shared" si="221"/>
        <v>69</v>
      </c>
      <c r="R82">
        <f t="shared" si="221"/>
        <v>67</v>
      </c>
      <c r="S82">
        <f t="shared" si="221"/>
        <v>65</v>
      </c>
      <c r="T82">
        <f t="shared" si="221"/>
        <v>-1</v>
      </c>
      <c r="U82">
        <f t="shared" si="221"/>
        <v>-1</v>
      </c>
      <c r="V82">
        <f t="shared" si="221"/>
        <v>-1</v>
      </c>
      <c r="W82">
        <f t="shared" si="221"/>
        <v>-1</v>
      </c>
      <c r="X82">
        <f t="shared" si="221"/>
        <v>-1</v>
      </c>
      <c r="Y82">
        <f t="shared" si="221"/>
        <v>-1</v>
      </c>
      <c r="Z82">
        <f t="shared" si="221"/>
        <v>72</v>
      </c>
      <c r="AA82">
        <f t="shared" si="221"/>
        <v>69</v>
      </c>
      <c r="AB82">
        <f t="shared" si="221"/>
        <v>66</v>
      </c>
      <c r="AC82">
        <f t="shared" si="221"/>
        <v>-1</v>
      </c>
      <c r="AD82">
        <f t="shared" si="221"/>
        <v>-1</v>
      </c>
      <c r="AE82">
        <f t="shared" si="221"/>
        <v>-1</v>
      </c>
      <c r="AF82">
        <f t="shared" si="221"/>
        <v>-1</v>
      </c>
      <c r="AG82">
        <f t="shared" si="221"/>
        <v>-1</v>
      </c>
      <c r="AH82">
        <f t="shared" si="221"/>
        <v>69.399999999999949</v>
      </c>
      <c r="AI82">
        <f t="shared" si="221"/>
        <v>43.000000000000057</v>
      </c>
      <c r="AJ82">
        <f t="shared" si="221"/>
        <v>40.600000000000051</v>
      </c>
      <c r="AK82">
        <f t="shared" si="221"/>
        <v>38.200000000000045</v>
      </c>
      <c r="AL82">
        <f t="shared" si="221"/>
        <v>35.80000000000004</v>
      </c>
      <c r="AM82">
        <f t="shared" si="221"/>
        <v>69</v>
      </c>
      <c r="AN82">
        <f t="shared" si="221"/>
        <v>63</v>
      </c>
      <c r="AO82">
        <f t="shared" si="221"/>
        <v>57</v>
      </c>
      <c r="AP82">
        <f t="shared" si="221"/>
        <v>-1</v>
      </c>
      <c r="AQ82">
        <f t="shared" si="221"/>
        <v>-1</v>
      </c>
      <c r="AR82">
        <f t="shared" si="221"/>
        <v>-1</v>
      </c>
      <c r="AS82">
        <f t="shared" si="221"/>
        <v>-1</v>
      </c>
      <c r="AT82">
        <f t="shared" si="221"/>
        <v>-1</v>
      </c>
      <c r="AU82">
        <f t="shared" si="221"/>
        <v>73.799999999999926</v>
      </c>
      <c r="AV82">
        <f t="shared" si="221"/>
        <v>69.899999999999935</v>
      </c>
      <c r="AW82">
        <f t="shared" si="221"/>
        <v>69</v>
      </c>
      <c r="AX82">
        <f t="shared" si="221"/>
        <v>63</v>
      </c>
      <c r="AY82">
        <f t="shared" si="221"/>
        <v>-1</v>
      </c>
      <c r="AZ82">
        <f t="shared" si="221"/>
        <v>-1</v>
      </c>
      <c r="BA82">
        <f t="shared" si="221"/>
        <v>-1</v>
      </c>
      <c r="BB82">
        <f t="shared" si="221"/>
        <v>-1</v>
      </c>
      <c r="BC82">
        <f t="shared" si="221"/>
        <v>-1</v>
      </c>
      <c r="BD82">
        <f t="shared" si="221"/>
        <v>-1</v>
      </c>
      <c r="BE82">
        <f t="shared" si="221"/>
        <v>-1</v>
      </c>
      <c r="BF82">
        <f t="shared" si="221"/>
        <v>-1</v>
      </c>
      <c r="BG82">
        <f t="shared" si="221"/>
        <v>-1</v>
      </c>
      <c r="BH82">
        <f t="shared" si="221"/>
        <v>-1</v>
      </c>
      <c r="BI82">
        <f t="shared" si="221"/>
        <v>70</v>
      </c>
      <c r="BJ82">
        <f t="shared" si="221"/>
        <v>65</v>
      </c>
      <c r="BK82">
        <f t="shared" si="221"/>
        <v>60</v>
      </c>
      <c r="BL82">
        <f t="shared" si="221"/>
        <v>55</v>
      </c>
      <c r="BM82">
        <f t="shared" si="221"/>
        <v>69</v>
      </c>
      <c r="BN82">
        <f t="shared" si="221"/>
        <v>-1</v>
      </c>
      <c r="BO82">
        <f t="shared" si="221"/>
        <v>-1</v>
      </c>
      <c r="BP82">
        <f t="shared" ref="BP82:EA82" si="222">IF(OR(BP81=-1,AND(IF(BP$3&lt;$B82,BP81+BP$6,IF(BP$3=$B82,1,""))&gt;$B$1,BP$3&lt;$B82)),-1,IF(BP$3&lt;$B82,BP81+BP$6,IF(BP$3=$B82,1,"")))</f>
        <v>-1</v>
      </c>
      <c r="BQ82">
        <f t="shared" si="222"/>
        <v>-1</v>
      </c>
      <c r="BR82">
        <f t="shared" si="222"/>
        <v>-1</v>
      </c>
      <c r="BS82">
        <f t="shared" si="222"/>
        <v>73</v>
      </c>
      <c r="BT82">
        <f t="shared" si="222"/>
        <v>71</v>
      </c>
      <c r="BU82">
        <f t="shared" si="222"/>
        <v>41.800000000000054</v>
      </c>
      <c r="BV82">
        <f t="shared" si="222"/>
        <v>38.200000000000045</v>
      </c>
      <c r="BW82">
        <f t="shared" si="222"/>
        <v>34.600000000000037</v>
      </c>
      <c r="BX82">
        <f t="shared" si="222"/>
        <v>31.000000000000028</v>
      </c>
      <c r="BY82">
        <f t="shared" si="222"/>
        <v>27.40000000000002</v>
      </c>
      <c r="BZ82">
        <f t="shared" si="222"/>
        <v>23.800000000000011</v>
      </c>
      <c r="CA82">
        <f t="shared" si="222"/>
        <v>20.200000000000003</v>
      </c>
      <c r="CB82">
        <f t="shared" si="222"/>
        <v>16.599999999999994</v>
      </c>
      <c r="CC82">
        <f t="shared" si="222"/>
        <v>12.999999999999995</v>
      </c>
      <c r="CD82">
        <f t="shared" si="222"/>
        <v>9.3999999999999968</v>
      </c>
      <c r="CE82">
        <f t="shared" si="222"/>
        <v>5.7999999999999989</v>
      </c>
      <c r="CF82">
        <f t="shared" si="222"/>
        <v>2.2000000000000002</v>
      </c>
      <c r="CG82" t="str">
        <f t="shared" si="222"/>
        <v/>
      </c>
      <c r="CH82" t="str">
        <f t="shared" si="222"/>
        <v/>
      </c>
      <c r="CI82" t="str">
        <f t="shared" si="222"/>
        <v/>
      </c>
      <c r="CJ82" t="str">
        <f t="shared" si="222"/>
        <v/>
      </c>
      <c r="CK82" t="str">
        <f t="shared" si="222"/>
        <v/>
      </c>
      <c r="CL82" t="str">
        <f t="shared" si="222"/>
        <v/>
      </c>
      <c r="CM82" t="str">
        <f t="shared" si="222"/>
        <v/>
      </c>
      <c r="CN82" t="str">
        <f t="shared" si="222"/>
        <v/>
      </c>
      <c r="CO82">
        <f t="shared" si="222"/>
        <v>25</v>
      </c>
      <c r="CP82">
        <f t="shared" si="222"/>
        <v>12</v>
      </c>
      <c r="CQ82">
        <f t="shared" si="222"/>
        <v>70</v>
      </c>
      <c r="CR82">
        <f t="shared" si="222"/>
        <v>65</v>
      </c>
      <c r="CS82">
        <f t="shared" si="222"/>
        <v>60</v>
      </c>
      <c r="CT82">
        <f t="shared" si="222"/>
        <v>-1</v>
      </c>
      <c r="CU82">
        <f t="shared" si="222"/>
        <v>-1</v>
      </c>
      <c r="CV82">
        <f t="shared" si="222"/>
        <v>-1</v>
      </c>
      <c r="CW82">
        <f t="shared" si="222"/>
        <v>-1</v>
      </c>
      <c r="CX82">
        <f t="shared" si="222"/>
        <v>-1</v>
      </c>
      <c r="CY82">
        <f t="shared" si="222"/>
        <v>-1</v>
      </c>
      <c r="CZ82">
        <f t="shared" si="222"/>
        <v>-1</v>
      </c>
      <c r="DA82">
        <f t="shared" si="222"/>
        <v>71</v>
      </c>
      <c r="DB82">
        <f t="shared" si="222"/>
        <v>67</v>
      </c>
      <c r="DC82">
        <f t="shared" si="222"/>
        <v>63</v>
      </c>
      <c r="DD82">
        <f t="shared" si="222"/>
        <v>59</v>
      </c>
      <c r="DE82">
        <f t="shared" si="222"/>
        <v>73</v>
      </c>
      <c r="DF82">
        <f t="shared" si="222"/>
        <v>71</v>
      </c>
      <c r="DG82">
        <f t="shared" si="222"/>
        <v>-1</v>
      </c>
      <c r="DH82">
        <f t="shared" si="222"/>
        <v>-1</v>
      </c>
      <c r="DI82">
        <f t="shared" si="222"/>
        <v>-1</v>
      </c>
      <c r="DJ82">
        <f t="shared" si="222"/>
        <v>-1</v>
      </c>
      <c r="DK82">
        <f t="shared" si="222"/>
        <v>-1</v>
      </c>
      <c r="DL82">
        <f t="shared" si="222"/>
        <v>-1</v>
      </c>
      <c r="DM82">
        <f t="shared" si="222"/>
        <v>-1</v>
      </c>
      <c r="DN82">
        <f t="shared" si="222"/>
        <v>-1</v>
      </c>
      <c r="DO82">
        <f t="shared" si="222"/>
        <v>-1</v>
      </c>
      <c r="DP82">
        <f t="shared" si="222"/>
        <v>-1</v>
      </c>
      <c r="DQ82">
        <f t="shared" si="222"/>
        <v>-1</v>
      </c>
      <c r="DR82">
        <f t="shared" si="222"/>
        <v>-1</v>
      </c>
      <c r="DS82">
        <f t="shared" si="222"/>
        <v>69</v>
      </c>
      <c r="DT82">
        <f t="shared" si="222"/>
        <v>63</v>
      </c>
      <c r="DU82">
        <f t="shared" si="222"/>
        <v>57</v>
      </c>
      <c r="DV82">
        <f t="shared" si="222"/>
        <v>51</v>
      </c>
      <c r="DW82">
        <f t="shared" si="222"/>
        <v>45</v>
      </c>
      <c r="DX82">
        <f t="shared" si="222"/>
        <v>39</v>
      </c>
      <c r="DY82">
        <f t="shared" si="222"/>
        <v>-1</v>
      </c>
      <c r="DZ82">
        <f t="shared" si="222"/>
        <v>-1</v>
      </c>
      <c r="EA82">
        <f t="shared" si="222"/>
        <v>-1</v>
      </c>
      <c r="EB82">
        <f t="shared" ref="EB82:EO82" si="223">IF(OR(EB81=-1,AND(IF(EB$3&lt;$B82,EB81+EB$6,IF(EB$3=$B82,1,""))&gt;$B$1,EB$3&lt;$B82)),-1,IF(EB$3&lt;$B82,EB81+EB$6,IF(EB$3=$B82,1,"")))</f>
        <v>-1</v>
      </c>
      <c r="EC82">
        <f t="shared" si="223"/>
        <v>-1</v>
      </c>
      <c r="ED82">
        <f t="shared" si="223"/>
        <v>-1</v>
      </c>
      <c r="EE82">
        <f t="shared" si="223"/>
        <v>-1</v>
      </c>
      <c r="EF82">
        <f t="shared" si="223"/>
        <v>-1</v>
      </c>
      <c r="EG82">
        <f t="shared" si="223"/>
        <v>-1</v>
      </c>
      <c r="EH82">
        <f t="shared" si="223"/>
        <v>-1</v>
      </c>
      <c r="EI82">
        <f t="shared" si="223"/>
        <v>-1</v>
      </c>
      <c r="EJ82">
        <f t="shared" si="223"/>
        <v>71.40000000000002</v>
      </c>
      <c r="EK82">
        <f t="shared" si="223"/>
        <v>-1</v>
      </c>
      <c r="EL82">
        <f t="shared" si="223"/>
        <v>-1</v>
      </c>
      <c r="EM82">
        <f t="shared" si="223"/>
        <v>-1</v>
      </c>
      <c r="EN82">
        <f t="shared" si="223"/>
        <v>-1</v>
      </c>
      <c r="EO82">
        <f t="shared" si="223"/>
        <v>74.600000000000009</v>
      </c>
    </row>
    <row r="83" spans="1:145" x14ac:dyDescent="0.15">
      <c r="A83" t="e">
        <f t="shared" si="193"/>
        <v>#N/A</v>
      </c>
      <c r="B83" s="218">
        <v>75</v>
      </c>
      <c r="C83">
        <f t="shared" si="193"/>
        <v>74</v>
      </c>
      <c r="D83">
        <f t="shared" ref="D83:BO83" si="224">IF(OR(D82=-1,AND(IF(D$3&lt;$B83,D82+D$6,IF(D$3=$B83,1,""))&gt;$B$1,D$3&lt;$B83)),-1,IF(D$3&lt;$B83,D82+D$6,IF(D$3=$B83,1,"")))</f>
        <v>72</v>
      </c>
      <c r="E83">
        <f t="shared" si="224"/>
        <v>70</v>
      </c>
      <c r="F83">
        <f t="shared" si="224"/>
        <v>68</v>
      </c>
      <c r="G83">
        <f t="shared" si="224"/>
        <v>66</v>
      </c>
      <c r="H83">
        <f t="shared" si="224"/>
        <v>64</v>
      </c>
      <c r="I83">
        <f t="shared" si="224"/>
        <v>-1</v>
      </c>
      <c r="J83">
        <f t="shared" si="224"/>
        <v>-1</v>
      </c>
      <c r="K83">
        <f t="shared" si="224"/>
        <v>63.399999999999942</v>
      </c>
      <c r="L83">
        <f t="shared" si="224"/>
        <v>50.00000000000005</v>
      </c>
      <c r="M83">
        <f t="shared" si="224"/>
        <v>46.500000000000036</v>
      </c>
      <c r="N83">
        <f t="shared" si="224"/>
        <v>43.000000000000021</v>
      </c>
      <c r="O83">
        <f t="shared" si="224"/>
        <v>74</v>
      </c>
      <c r="P83">
        <f t="shared" si="224"/>
        <v>72</v>
      </c>
      <c r="Q83">
        <f t="shared" si="224"/>
        <v>70</v>
      </c>
      <c r="R83">
        <f t="shared" si="224"/>
        <v>68</v>
      </c>
      <c r="S83">
        <f t="shared" si="224"/>
        <v>66</v>
      </c>
      <c r="T83">
        <f t="shared" si="224"/>
        <v>-1</v>
      </c>
      <c r="U83">
        <f t="shared" si="224"/>
        <v>-1</v>
      </c>
      <c r="V83">
        <f t="shared" si="224"/>
        <v>-1</v>
      </c>
      <c r="W83">
        <f t="shared" si="224"/>
        <v>-1</v>
      </c>
      <c r="X83">
        <f t="shared" si="224"/>
        <v>-1</v>
      </c>
      <c r="Y83">
        <f t="shared" si="224"/>
        <v>-1</v>
      </c>
      <c r="Z83">
        <f t="shared" si="224"/>
        <v>73</v>
      </c>
      <c r="AA83">
        <f t="shared" si="224"/>
        <v>70</v>
      </c>
      <c r="AB83">
        <f t="shared" si="224"/>
        <v>67</v>
      </c>
      <c r="AC83">
        <f t="shared" si="224"/>
        <v>-1</v>
      </c>
      <c r="AD83">
        <f t="shared" si="224"/>
        <v>-1</v>
      </c>
      <c r="AE83">
        <f t="shared" si="224"/>
        <v>-1</v>
      </c>
      <c r="AF83">
        <f t="shared" si="224"/>
        <v>-1</v>
      </c>
      <c r="AG83">
        <f t="shared" si="224"/>
        <v>-1</v>
      </c>
      <c r="AH83">
        <f t="shared" si="224"/>
        <v>71.199999999999946</v>
      </c>
      <c r="AI83">
        <f t="shared" si="224"/>
        <v>43.600000000000058</v>
      </c>
      <c r="AJ83">
        <f t="shared" si="224"/>
        <v>41.200000000000053</v>
      </c>
      <c r="AK83">
        <f t="shared" si="224"/>
        <v>38.800000000000047</v>
      </c>
      <c r="AL83">
        <f t="shared" si="224"/>
        <v>36.400000000000041</v>
      </c>
      <c r="AM83">
        <f t="shared" si="224"/>
        <v>70</v>
      </c>
      <c r="AN83">
        <f t="shared" si="224"/>
        <v>64</v>
      </c>
      <c r="AO83">
        <f t="shared" si="224"/>
        <v>58</v>
      </c>
      <c r="AP83">
        <f t="shared" si="224"/>
        <v>-1</v>
      </c>
      <c r="AQ83">
        <f t="shared" si="224"/>
        <v>-1</v>
      </c>
      <c r="AR83">
        <f t="shared" si="224"/>
        <v>-1</v>
      </c>
      <c r="AS83">
        <f t="shared" si="224"/>
        <v>-1</v>
      </c>
      <c r="AT83">
        <f t="shared" si="224"/>
        <v>-1</v>
      </c>
      <c r="AU83">
        <f t="shared" si="224"/>
        <v>-1</v>
      </c>
      <c r="AV83">
        <f t="shared" si="224"/>
        <v>71.199999999999932</v>
      </c>
      <c r="AW83">
        <f t="shared" si="224"/>
        <v>70</v>
      </c>
      <c r="AX83">
        <f t="shared" si="224"/>
        <v>64</v>
      </c>
      <c r="AY83">
        <f t="shared" si="224"/>
        <v>-1</v>
      </c>
      <c r="AZ83">
        <f t="shared" si="224"/>
        <v>-1</v>
      </c>
      <c r="BA83">
        <f t="shared" si="224"/>
        <v>-1</v>
      </c>
      <c r="BB83">
        <f t="shared" si="224"/>
        <v>-1</v>
      </c>
      <c r="BC83">
        <f t="shared" si="224"/>
        <v>-1</v>
      </c>
      <c r="BD83">
        <f t="shared" si="224"/>
        <v>-1</v>
      </c>
      <c r="BE83">
        <f t="shared" si="224"/>
        <v>-1</v>
      </c>
      <c r="BF83">
        <f t="shared" si="224"/>
        <v>-1</v>
      </c>
      <c r="BG83">
        <f t="shared" si="224"/>
        <v>-1</v>
      </c>
      <c r="BH83">
        <f t="shared" si="224"/>
        <v>-1</v>
      </c>
      <c r="BI83">
        <f t="shared" si="224"/>
        <v>71</v>
      </c>
      <c r="BJ83">
        <f t="shared" si="224"/>
        <v>66</v>
      </c>
      <c r="BK83">
        <f t="shared" si="224"/>
        <v>61</v>
      </c>
      <c r="BL83">
        <f t="shared" si="224"/>
        <v>56</v>
      </c>
      <c r="BM83">
        <f t="shared" si="224"/>
        <v>70</v>
      </c>
      <c r="BN83">
        <f t="shared" si="224"/>
        <v>-1</v>
      </c>
      <c r="BO83">
        <f t="shared" si="224"/>
        <v>-1</v>
      </c>
      <c r="BP83">
        <f t="shared" ref="BP83:EA83" si="225">IF(OR(BP82=-1,AND(IF(BP$3&lt;$B83,BP82+BP$6,IF(BP$3=$B83,1,""))&gt;$B$1,BP$3&lt;$B83)),-1,IF(BP$3&lt;$B83,BP82+BP$6,IF(BP$3=$B83,1,"")))</f>
        <v>-1</v>
      </c>
      <c r="BQ83">
        <f t="shared" si="225"/>
        <v>-1</v>
      </c>
      <c r="BR83">
        <f t="shared" si="225"/>
        <v>-1</v>
      </c>
      <c r="BS83">
        <f t="shared" si="225"/>
        <v>74</v>
      </c>
      <c r="BT83">
        <f t="shared" si="225"/>
        <v>72</v>
      </c>
      <c r="BU83">
        <f t="shared" si="225"/>
        <v>42.400000000000055</v>
      </c>
      <c r="BV83">
        <f t="shared" si="225"/>
        <v>38.800000000000047</v>
      </c>
      <c r="BW83">
        <f t="shared" si="225"/>
        <v>35.200000000000038</v>
      </c>
      <c r="BX83">
        <f t="shared" si="225"/>
        <v>31.60000000000003</v>
      </c>
      <c r="BY83">
        <f t="shared" si="225"/>
        <v>28.000000000000021</v>
      </c>
      <c r="BZ83">
        <f t="shared" si="225"/>
        <v>24.400000000000013</v>
      </c>
      <c r="CA83">
        <f t="shared" si="225"/>
        <v>20.800000000000004</v>
      </c>
      <c r="CB83">
        <f t="shared" si="225"/>
        <v>17.199999999999996</v>
      </c>
      <c r="CC83">
        <f t="shared" si="225"/>
        <v>13.599999999999994</v>
      </c>
      <c r="CD83">
        <f t="shared" si="225"/>
        <v>9.9999999999999964</v>
      </c>
      <c r="CE83">
        <f t="shared" si="225"/>
        <v>6.3999999999999986</v>
      </c>
      <c r="CF83">
        <f t="shared" si="225"/>
        <v>2.8000000000000003</v>
      </c>
      <c r="CG83" t="str">
        <f t="shared" si="225"/>
        <v/>
      </c>
      <c r="CH83" t="str">
        <f t="shared" si="225"/>
        <v/>
      </c>
      <c r="CI83" t="str">
        <f t="shared" si="225"/>
        <v/>
      </c>
      <c r="CJ83" t="str">
        <f t="shared" si="225"/>
        <v/>
      </c>
      <c r="CK83" t="str">
        <f t="shared" si="225"/>
        <v/>
      </c>
      <c r="CL83" t="str">
        <f t="shared" si="225"/>
        <v/>
      </c>
      <c r="CM83" t="str">
        <f t="shared" si="225"/>
        <v/>
      </c>
      <c r="CN83" t="str">
        <f t="shared" si="225"/>
        <v/>
      </c>
      <c r="CO83">
        <f t="shared" si="225"/>
        <v>25.5</v>
      </c>
      <c r="CP83">
        <f t="shared" si="225"/>
        <v>12.5</v>
      </c>
      <c r="CQ83">
        <f t="shared" si="225"/>
        <v>71</v>
      </c>
      <c r="CR83">
        <f t="shared" si="225"/>
        <v>66</v>
      </c>
      <c r="CS83">
        <f t="shared" si="225"/>
        <v>61</v>
      </c>
      <c r="CT83">
        <f t="shared" si="225"/>
        <v>-1</v>
      </c>
      <c r="CU83">
        <f t="shared" si="225"/>
        <v>-1</v>
      </c>
      <c r="CV83">
        <f t="shared" si="225"/>
        <v>-1</v>
      </c>
      <c r="CW83">
        <f t="shared" si="225"/>
        <v>-1</v>
      </c>
      <c r="CX83">
        <f t="shared" si="225"/>
        <v>-1</v>
      </c>
      <c r="CY83">
        <f t="shared" si="225"/>
        <v>-1</v>
      </c>
      <c r="CZ83">
        <f t="shared" si="225"/>
        <v>-1</v>
      </c>
      <c r="DA83">
        <f t="shared" si="225"/>
        <v>72</v>
      </c>
      <c r="DB83">
        <f t="shared" si="225"/>
        <v>68</v>
      </c>
      <c r="DC83">
        <f t="shared" si="225"/>
        <v>64</v>
      </c>
      <c r="DD83">
        <f t="shared" si="225"/>
        <v>60</v>
      </c>
      <c r="DE83">
        <f t="shared" si="225"/>
        <v>74</v>
      </c>
      <c r="DF83">
        <f t="shared" si="225"/>
        <v>72</v>
      </c>
      <c r="DG83">
        <f t="shared" si="225"/>
        <v>-1</v>
      </c>
      <c r="DH83">
        <f t="shared" si="225"/>
        <v>-1</v>
      </c>
      <c r="DI83">
        <f t="shared" si="225"/>
        <v>-1</v>
      </c>
      <c r="DJ83">
        <f t="shared" si="225"/>
        <v>-1</v>
      </c>
      <c r="DK83">
        <f t="shared" si="225"/>
        <v>-1</v>
      </c>
      <c r="DL83">
        <f t="shared" si="225"/>
        <v>-1</v>
      </c>
      <c r="DM83">
        <f t="shared" si="225"/>
        <v>-1</v>
      </c>
      <c r="DN83">
        <f t="shared" si="225"/>
        <v>-1</v>
      </c>
      <c r="DO83">
        <f t="shared" si="225"/>
        <v>-1</v>
      </c>
      <c r="DP83">
        <f t="shared" si="225"/>
        <v>-1</v>
      </c>
      <c r="DQ83">
        <f t="shared" si="225"/>
        <v>-1</v>
      </c>
      <c r="DR83">
        <f t="shared" si="225"/>
        <v>-1</v>
      </c>
      <c r="DS83">
        <f t="shared" si="225"/>
        <v>70</v>
      </c>
      <c r="DT83">
        <f t="shared" si="225"/>
        <v>64</v>
      </c>
      <c r="DU83">
        <f t="shared" si="225"/>
        <v>58</v>
      </c>
      <c r="DV83">
        <f t="shared" si="225"/>
        <v>52</v>
      </c>
      <c r="DW83">
        <f t="shared" si="225"/>
        <v>46</v>
      </c>
      <c r="DX83">
        <f t="shared" si="225"/>
        <v>40</v>
      </c>
      <c r="DY83">
        <f t="shared" si="225"/>
        <v>-1</v>
      </c>
      <c r="DZ83">
        <f t="shared" si="225"/>
        <v>-1</v>
      </c>
      <c r="EA83">
        <f t="shared" si="225"/>
        <v>-1</v>
      </c>
      <c r="EB83">
        <f t="shared" ref="EB83:EO83" si="226">IF(OR(EB82=-1,AND(IF(EB$3&lt;$B83,EB82+EB$6,IF(EB$3=$B83,1,""))&gt;$B$1,EB$3&lt;$B83)),-1,IF(EB$3&lt;$B83,EB82+EB$6,IF(EB$3=$B83,1,"")))</f>
        <v>-1</v>
      </c>
      <c r="EC83">
        <f t="shared" si="226"/>
        <v>-1</v>
      </c>
      <c r="ED83">
        <f t="shared" si="226"/>
        <v>-1</v>
      </c>
      <c r="EE83">
        <f t="shared" si="226"/>
        <v>-1</v>
      </c>
      <c r="EF83">
        <f t="shared" si="226"/>
        <v>-1</v>
      </c>
      <c r="EG83">
        <f t="shared" si="226"/>
        <v>-1</v>
      </c>
      <c r="EH83">
        <f t="shared" si="226"/>
        <v>-1</v>
      </c>
      <c r="EI83">
        <f t="shared" si="226"/>
        <v>-1</v>
      </c>
      <c r="EJ83">
        <f t="shared" si="226"/>
        <v>73.000000000000014</v>
      </c>
      <c r="EK83">
        <f t="shared" si="226"/>
        <v>-1</v>
      </c>
      <c r="EL83">
        <f t="shared" si="226"/>
        <v>-1</v>
      </c>
      <c r="EM83">
        <f t="shared" si="226"/>
        <v>-1</v>
      </c>
      <c r="EN83">
        <f t="shared" si="226"/>
        <v>-1</v>
      </c>
      <c r="EO83">
        <f t="shared" si="226"/>
        <v>-1</v>
      </c>
    </row>
    <row r="84" spans="1:145" x14ac:dyDescent="0.15">
      <c r="A84" t="e">
        <f t="shared" si="193"/>
        <v>#N/A</v>
      </c>
      <c r="B84" s="218">
        <v>76</v>
      </c>
      <c r="C84">
        <f t="shared" si="193"/>
        <v>75</v>
      </c>
      <c r="D84">
        <f t="shared" ref="D84:BO84" si="227">IF(OR(D83=-1,AND(IF(D$3&lt;$B84,D83+D$6,IF(D$3=$B84,1,""))&gt;$B$1,D$3&lt;$B84)),-1,IF(D$3&lt;$B84,D83+D$6,IF(D$3=$B84,1,"")))</f>
        <v>73</v>
      </c>
      <c r="E84">
        <f t="shared" si="227"/>
        <v>71</v>
      </c>
      <c r="F84">
        <f t="shared" si="227"/>
        <v>69</v>
      </c>
      <c r="G84">
        <f t="shared" si="227"/>
        <v>67</v>
      </c>
      <c r="H84">
        <f t="shared" si="227"/>
        <v>65</v>
      </c>
      <c r="I84">
        <f t="shared" si="227"/>
        <v>-1</v>
      </c>
      <c r="J84">
        <f t="shared" si="227"/>
        <v>-1</v>
      </c>
      <c r="K84">
        <f t="shared" si="227"/>
        <v>64.699999999999946</v>
      </c>
      <c r="L84">
        <f t="shared" si="227"/>
        <v>50.700000000000053</v>
      </c>
      <c r="M84">
        <f t="shared" si="227"/>
        <v>47.200000000000038</v>
      </c>
      <c r="N84">
        <f t="shared" si="227"/>
        <v>43.700000000000024</v>
      </c>
      <c r="O84">
        <f t="shared" si="227"/>
        <v>75</v>
      </c>
      <c r="P84">
        <f t="shared" si="227"/>
        <v>73</v>
      </c>
      <c r="Q84">
        <f t="shared" si="227"/>
        <v>71</v>
      </c>
      <c r="R84">
        <f t="shared" si="227"/>
        <v>69</v>
      </c>
      <c r="S84">
        <f t="shared" si="227"/>
        <v>67</v>
      </c>
      <c r="T84">
        <f t="shared" si="227"/>
        <v>-1</v>
      </c>
      <c r="U84">
        <f t="shared" si="227"/>
        <v>-1</v>
      </c>
      <c r="V84">
        <f t="shared" si="227"/>
        <v>-1</v>
      </c>
      <c r="W84">
        <f t="shared" si="227"/>
        <v>-1</v>
      </c>
      <c r="X84">
        <f t="shared" si="227"/>
        <v>-1</v>
      </c>
      <c r="Y84">
        <f t="shared" si="227"/>
        <v>-1</v>
      </c>
      <c r="Z84">
        <f t="shared" si="227"/>
        <v>74</v>
      </c>
      <c r="AA84">
        <f t="shared" si="227"/>
        <v>71</v>
      </c>
      <c r="AB84">
        <f t="shared" si="227"/>
        <v>68</v>
      </c>
      <c r="AC84">
        <f t="shared" si="227"/>
        <v>-1</v>
      </c>
      <c r="AD84">
        <f t="shared" si="227"/>
        <v>-1</v>
      </c>
      <c r="AE84">
        <f t="shared" si="227"/>
        <v>-1</v>
      </c>
      <c r="AF84">
        <f t="shared" si="227"/>
        <v>-1</v>
      </c>
      <c r="AG84">
        <f t="shared" si="227"/>
        <v>-1</v>
      </c>
      <c r="AH84">
        <f t="shared" si="227"/>
        <v>72.999999999999943</v>
      </c>
      <c r="AI84">
        <f t="shared" si="227"/>
        <v>44.20000000000006</v>
      </c>
      <c r="AJ84">
        <f t="shared" si="227"/>
        <v>41.800000000000054</v>
      </c>
      <c r="AK84">
        <f t="shared" si="227"/>
        <v>39.400000000000048</v>
      </c>
      <c r="AL84">
        <f t="shared" si="227"/>
        <v>37.000000000000043</v>
      </c>
      <c r="AM84">
        <f t="shared" si="227"/>
        <v>71</v>
      </c>
      <c r="AN84">
        <f t="shared" si="227"/>
        <v>65</v>
      </c>
      <c r="AO84">
        <f t="shared" si="227"/>
        <v>59</v>
      </c>
      <c r="AP84">
        <f t="shared" si="227"/>
        <v>-1</v>
      </c>
      <c r="AQ84">
        <f t="shared" si="227"/>
        <v>-1</v>
      </c>
      <c r="AR84">
        <f t="shared" si="227"/>
        <v>-1</v>
      </c>
      <c r="AS84">
        <f t="shared" si="227"/>
        <v>-1</v>
      </c>
      <c r="AT84">
        <f t="shared" si="227"/>
        <v>-1</v>
      </c>
      <c r="AU84">
        <f t="shared" si="227"/>
        <v>-1</v>
      </c>
      <c r="AV84">
        <f t="shared" si="227"/>
        <v>72.499999999999929</v>
      </c>
      <c r="AW84">
        <f t="shared" si="227"/>
        <v>71</v>
      </c>
      <c r="AX84">
        <f t="shared" si="227"/>
        <v>65</v>
      </c>
      <c r="AY84">
        <f t="shared" si="227"/>
        <v>-1</v>
      </c>
      <c r="AZ84">
        <f t="shared" si="227"/>
        <v>-1</v>
      </c>
      <c r="BA84">
        <f t="shared" si="227"/>
        <v>-1</v>
      </c>
      <c r="BB84">
        <f t="shared" si="227"/>
        <v>-1</v>
      </c>
      <c r="BC84">
        <f t="shared" si="227"/>
        <v>-1</v>
      </c>
      <c r="BD84">
        <f t="shared" si="227"/>
        <v>-1</v>
      </c>
      <c r="BE84">
        <f t="shared" si="227"/>
        <v>-1</v>
      </c>
      <c r="BF84">
        <f t="shared" si="227"/>
        <v>-1</v>
      </c>
      <c r="BG84">
        <f t="shared" si="227"/>
        <v>-1</v>
      </c>
      <c r="BH84">
        <f t="shared" si="227"/>
        <v>-1</v>
      </c>
      <c r="BI84">
        <f t="shared" si="227"/>
        <v>72</v>
      </c>
      <c r="BJ84">
        <f t="shared" si="227"/>
        <v>67</v>
      </c>
      <c r="BK84">
        <f t="shared" si="227"/>
        <v>62</v>
      </c>
      <c r="BL84">
        <f t="shared" si="227"/>
        <v>57</v>
      </c>
      <c r="BM84">
        <f t="shared" si="227"/>
        <v>71</v>
      </c>
      <c r="BN84">
        <f t="shared" si="227"/>
        <v>-1</v>
      </c>
      <c r="BO84">
        <f t="shared" si="227"/>
        <v>-1</v>
      </c>
      <c r="BP84">
        <f t="shared" ref="BP84:EA84" si="228">IF(OR(BP83=-1,AND(IF(BP$3&lt;$B84,BP83+BP$6,IF(BP$3=$B84,1,""))&gt;$B$1,BP$3&lt;$B84)),-1,IF(BP$3&lt;$B84,BP83+BP$6,IF(BP$3=$B84,1,"")))</f>
        <v>-1</v>
      </c>
      <c r="BQ84">
        <f t="shared" si="228"/>
        <v>-1</v>
      </c>
      <c r="BR84">
        <f t="shared" si="228"/>
        <v>-1</v>
      </c>
      <c r="BS84">
        <f t="shared" si="228"/>
        <v>75</v>
      </c>
      <c r="BT84">
        <f t="shared" si="228"/>
        <v>73</v>
      </c>
      <c r="BU84">
        <f t="shared" si="228"/>
        <v>43.000000000000057</v>
      </c>
      <c r="BV84">
        <f t="shared" si="228"/>
        <v>39.400000000000048</v>
      </c>
      <c r="BW84">
        <f t="shared" si="228"/>
        <v>35.80000000000004</v>
      </c>
      <c r="BX84">
        <f t="shared" si="228"/>
        <v>32.200000000000031</v>
      </c>
      <c r="BY84">
        <f t="shared" si="228"/>
        <v>28.600000000000023</v>
      </c>
      <c r="BZ84">
        <f t="shared" si="228"/>
        <v>25.000000000000014</v>
      </c>
      <c r="CA84">
        <f t="shared" si="228"/>
        <v>21.400000000000006</v>
      </c>
      <c r="CB84">
        <f t="shared" si="228"/>
        <v>17.799999999999997</v>
      </c>
      <c r="CC84">
        <f t="shared" si="228"/>
        <v>14.199999999999994</v>
      </c>
      <c r="CD84">
        <f t="shared" si="228"/>
        <v>10.599999999999996</v>
      </c>
      <c r="CE84">
        <f t="shared" si="228"/>
        <v>6.9999999999999982</v>
      </c>
      <c r="CF84">
        <f t="shared" si="228"/>
        <v>3.4000000000000004</v>
      </c>
      <c r="CG84" t="str">
        <f t="shared" si="228"/>
        <v/>
      </c>
      <c r="CH84" t="str">
        <f t="shared" si="228"/>
        <v/>
      </c>
      <c r="CI84" t="str">
        <f t="shared" si="228"/>
        <v/>
      </c>
      <c r="CJ84" t="str">
        <f t="shared" si="228"/>
        <v/>
      </c>
      <c r="CK84" t="str">
        <f t="shared" si="228"/>
        <v/>
      </c>
      <c r="CL84" t="str">
        <f t="shared" si="228"/>
        <v/>
      </c>
      <c r="CM84" t="str">
        <f t="shared" si="228"/>
        <v/>
      </c>
      <c r="CN84" t="str">
        <f t="shared" si="228"/>
        <v/>
      </c>
      <c r="CO84">
        <f t="shared" si="228"/>
        <v>26</v>
      </c>
      <c r="CP84">
        <f t="shared" si="228"/>
        <v>13</v>
      </c>
      <c r="CQ84">
        <f t="shared" si="228"/>
        <v>72</v>
      </c>
      <c r="CR84">
        <f t="shared" si="228"/>
        <v>67</v>
      </c>
      <c r="CS84">
        <f t="shared" si="228"/>
        <v>62</v>
      </c>
      <c r="CT84">
        <f t="shared" si="228"/>
        <v>-1</v>
      </c>
      <c r="CU84">
        <f t="shared" si="228"/>
        <v>-1</v>
      </c>
      <c r="CV84">
        <f t="shared" si="228"/>
        <v>-1</v>
      </c>
      <c r="CW84">
        <f t="shared" si="228"/>
        <v>-1</v>
      </c>
      <c r="CX84">
        <f t="shared" si="228"/>
        <v>-1</v>
      </c>
      <c r="CY84">
        <f t="shared" si="228"/>
        <v>-1</v>
      </c>
      <c r="CZ84">
        <f t="shared" si="228"/>
        <v>-1</v>
      </c>
      <c r="DA84">
        <f t="shared" si="228"/>
        <v>73</v>
      </c>
      <c r="DB84">
        <f t="shared" si="228"/>
        <v>69</v>
      </c>
      <c r="DC84">
        <f t="shared" si="228"/>
        <v>65</v>
      </c>
      <c r="DD84">
        <f t="shared" si="228"/>
        <v>61</v>
      </c>
      <c r="DE84">
        <f t="shared" si="228"/>
        <v>75</v>
      </c>
      <c r="DF84">
        <f t="shared" si="228"/>
        <v>73</v>
      </c>
      <c r="DG84">
        <f t="shared" si="228"/>
        <v>-1</v>
      </c>
      <c r="DH84">
        <f t="shared" si="228"/>
        <v>-1</v>
      </c>
      <c r="DI84">
        <f t="shared" si="228"/>
        <v>-1</v>
      </c>
      <c r="DJ84">
        <f t="shared" si="228"/>
        <v>-1</v>
      </c>
      <c r="DK84">
        <f t="shared" si="228"/>
        <v>-1</v>
      </c>
      <c r="DL84">
        <f t="shared" si="228"/>
        <v>-1</v>
      </c>
      <c r="DM84">
        <f t="shared" si="228"/>
        <v>-1</v>
      </c>
      <c r="DN84">
        <f t="shared" si="228"/>
        <v>-1</v>
      </c>
      <c r="DO84">
        <f t="shared" si="228"/>
        <v>-1</v>
      </c>
      <c r="DP84">
        <f t="shared" si="228"/>
        <v>-1</v>
      </c>
      <c r="DQ84">
        <f t="shared" si="228"/>
        <v>-1</v>
      </c>
      <c r="DR84">
        <f t="shared" si="228"/>
        <v>-1</v>
      </c>
      <c r="DS84">
        <f t="shared" si="228"/>
        <v>71</v>
      </c>
      <c r="DT84">
        <f t="shared" si="228"/>
        <v>65</v>
      </c>
      <c r="DU84">
        <f t="shared" si="228"/>
        <v>59</v>
      </c>
      <c r="DV84">
        <f t="shared" si="228"/>
        <v>53</v>
      </c>
      <c r="DW84">
        <f t="shared" si="228"/>
        <v>47</v>
      </c>
      <c r="DX84">
        <f t="shared" si="228"/>
        <v>41</v>
      </c>
      <c r="DY84">
        <f t="shared" si="228"/>
        <v>-1</v>
      </c>
      <c r="DZ84">
        <f t="shared" si="228"/>
        <v>-1</v>
      </c>
      <c r="EA84">
        <f t="shared" si="228"/>
        <v>-1</v>
      </c>
      <c r="EB84">
        <f t="shared" ref="EB84:EO84" si="229">IF(OR(EB83=-1,AND(IF(EB$3&lt;$B84,EB83+EB$6,IF(EB$3=$B84,1,""))&gt;$B$1,EB$3&lt;$B84)),-1,IF(EB$3&lt;$B84,EB83+EB$6,IF(EB$3=$B84,1,"")))</f>
        <v>-1</v>
      </c>
      <c r="EC84">
        <f t="shared" si="229"/>
        <v>-1</v>
      </c>
      <c r="ED84">
        <f t="shared" si="229"/>
        <v>-1</v>
      </c>
      <c r="EE84">
        <f t="shared" si="229"/>
        <v>-1</v>
      </c>
      <c r="EF84">
        <f t="shared" si="229"/>
        <v>-1</v>
      </c>
      <c r="EG84">
        <f t="shared" si="229"/>
        <v>-1</v>
      </c>
      <c r="EH84">
        <f t="shared" si="229"/>
        <v>-1</v>
      </c>
      <c r="EI84">
        <f t="shared" si="229"/>
        <v>-1</v>
      </c>
      <c r="EJ84">
        <f t="shared" si="229"/>
        <v>74.600000000000009</v>
      </c>
      <c r="EK84">
        <f t="shared" si="229"/>
        <v>-1</v>
      </c>
      <c r="EL84">
        <f t="shared" si="229"/>
        <v>-1</v>
      </c>
      <c r="EM84">
        <f t="shared" si="229"/>
        <v>-1</v>
      </c>
      <c r="EN84">
        <f t="shared" si="229"/>
        <v>-1</v>
      </c>
      <c r="EO84">
        <f t="shared" si="229"/>
        <v>-1</v>
      </c>
    </row>
    <row r="85" spans="1:145" x14ac:dyDescent="0.15">
      <c r="A85" t="e">
        <f t="shared" si="193"/>
        <v>#N/A</v>
      </c>
      <c r="B85" s="218">
        <v>77</v>
      </c>
      <c r="C85">
        <f t="shared" si="193"/>
        <v>-1</v>
      </c>
      <c r="D85">
        <f t="shared" ref="D85:BO85" si="230">IF(OR(D84=-1,AND(IF(D$3&lt;$B85,D84+D$6,IF(D$3=$B85,1,""))&gt;$B$1,D$3&lt;$B85)),-1,IF(D$3&lt;$B85,D84+D$6,IF(D$3=$B85,1,"")))</f>
        <v>74</v>
      </c>
      <c r="E85">
        <f t="shared" si="230"/>
        <v>72</v>
      </c>
      <c r="F85">
        <f t="shared" si="230"/>
        <v>70</v>
      </c>
      <c r="G85">
        <f t="shared" si="230"/>
        <v>68</v>
      </c>
      <c r="H85">
        <f t="shared" si="230"/>
        <v>66</v>
      </c>
      <c r="I85">
        <f t="shared" si="230"/>
        <v>-1</v>
      </c>
      <c r="J85">
        <f t="shared" si="230"/>
        <v>-1</v>
      </c>
      <c r="K85">
        <f t="shared" si="230"/>
        <v>65.999999999999943</v>
      </c>
      <c r="L85">
        <f t="shared" si="230"/>
        <v>51.400000000000055</v>
      </c>
      <c r="M85">
        <f t="shared" si="230"/>
        <v>47.900000000000041</v>
      </c>
      <c r="N85">
        <f t="shared" si="230"/>
        <v>44.400000000000027</v>
      </c>
      <c r="O85">
        <f t="shared" si="230"/>
        <v>-1</v>
      </c>
      <c r="P85">
        <f t="shared" si="230"/>
        <v>74</v>
      </c>
      <c r="Q85">
        <f t="shared" si="230"/>
        <v>72</v>
      </c>
      <c r="R85">
        <f t="shared" si="230"/>
        <v>70</v>
      </c>
      <c r="S85">
        <f t="shared" si="230"/>
        <v>68</v>
      </c>
      <c r="T85">
        <f t="shared" si="230"/>
        <v>-1</v>
      </c>
      <c r="U85">
        <f t="shared" si="230"/>
        <v>-1</v>
      </c>
      <c r="V85">
        <f t="shared" si="230"/>
        <v>-1</v>
      </c>
      <c r="W85">
        <f t="shared" si="230"/>
        <v>-1</v>
      </c>
      <c r="X85">
        <f t="shared" si="230"/>
        <v>-1</v>
      </c>
      <c r="Y85">
        <f t="shared" si="230"/>
        <v>-1</v>
      </c>
      <c r="Z85">
        <f t="shared" si="230"/>
        <v>75</v>
      </c>
      <c r="AA85">
        <f t="shared" si="230"/>
        <v>72</v>
      </c>
      <c r="AB85">
        <f t="shared" si="230"/>
        <v>69</v>
      </c>
      <c r="AC85">
        <f t="shared" si="230"/>
        <v>-1</v>
      </c>
      <c r="AD85">
        <f t="shared" si="230"/>
        <v>-1</v>
      </c>
      <c r="AE85">
        <f t="shared" si="230"/>
        <v>-1</v>
      </c>
      <c r="AF85">
        <f t="shared" si="230"/>
        <v>-1</v>
      </c>
      <c r="AG85">
        <f t="shared" si="230"/>
        <v>-1</v>
      </c>
      <c r="AH85">
        <f t="shared" si="230"/>
        <v>74.79999999999994</v>
      </c>
      <c r="AI85">
        <f t="shared" si="230"/>
        <v>44.800000000000061</v>
      </c>
      <c r="AJ85">
        <f t="shared" si="230"/>
        <v>42.400000000000055</v>
      </c>
      <c r="AK85">
        <f t="shared" si="230"/>
        <v>40.00000000000005</v>
      </c>
      <c r="AL85">
        <f t="shared" si="230"/>
        <v>37.600000000000044</v>
      </c>
      <c r="AM85">
        <f t="shared" si="230"/>
        <v>72</v>
      </c>
      <c r="AN85">
        <f t="shared" si="230"/>
        <v>66</v>
      </c>
      <c r="AO85">
        <f t="shared" si="230"/>
        <v>60</v>
      </c>
      <c r="AP85">
        <f t="shared" si="230"/>
        <v>-1</v>
      </c>
      <c r="AQ85">
        <f t="shared" si="230"/>
        <v>-1</v>
      </c>
      <c r="AR85">
        <f t="shared" si="230"/>
        <v>-1</v>
      </c>
      <c r="AS85">
        <f t="shared" si="230"/>
        <v>-1</v>
      </c>
      <c r="AT85">
        <f t="shared" si="230"/>
        <v>-1</v>
      </c>
      <c r="AU85">
        <f t="shared" si="230"/>
        <v>-1</v>
      </c>
      <c r="AV85">
        <f t="shared" si="230"/>
        <v>73.799999999999926</v>
      </c>
      <c r="AW85">
        <f t="shared" si="230"/>
        <v>72</v>
      </c>
      <c r="AX85">
        <f t="shared" si="230"/>
        <v>66</v>
      </c>
      <c r="AY85">
        <f t="shared" si="230"/>
        <v>-1</v>
      </c>
      <c r="AZ85">
        <f t="shared" si="230"/>
        <v>-1</v>
      </c>
      <c r="BA85">
        <f t="shared" si="230"/>
        <v>-1</v>
      </c>
      <c r="BB85">
        <f t="shared" si="230"/>
        <v>-1</v>
      </c>
      <c r="BC85">
        <f t="shared" si="230"/>
        <v>-1</v>
      </c>
      <c r="BD85">
        <f t="shared" si="230"/>
        <v>-1</v>
      </c>
      <c r="BE85">
        <f t="shared" si="230"/>
        <v>-1</v>
      </c>
      <c r="BF85">
        <f t="shared" si="230"/>
        <v>-1</v>
      </c>
      <c r="BG85">
        <f t="shared" si="230"/>
        <v>-1</v>
      </c>
      <c r="BH85">
        <f t="shared" si="230"/>
        <v>-1</v>
      </c>
      <c r="BI85">
        <f t="shared" si="230"/>
        <v>73</v>
      </c>
      <c r="BJ85">
        <f t="shared" si="230"/>
        <v>68</v>
      </c>
      <c r="BK85">
        <f t="shared" si="230"/>
        <v>63</v>
      </c>
      <c r="BL85">
        <f t="shared" si="230"/>
        <v>58</v>
      </c>
      <c r="BM85">
        <f t="shared" si="230"/>
        <v>72</v>
      </c>
      <c r="BN85">
        <f t="shared" si="230"/>
        <v>-1</v>
      </c>
      <c r="BO85">
        <f t="shared" si="230"/>
        <v>-1</v>
      </c>
      <c r="BP85">
        <f t="shared" ref="BP85:EA85" si="231">IF(OR(BP84=-1,AND(IF(BP$3&lt;$B85,BP84+BP$6,IF(BP$3=$B85,1,""))&gt;$B$1,BP$3&lt;$B85)),-1,IF(BP$3&lt;$B85,BP84+BP$6,IF(BP$3=$B85,1,"")))</f>
        <v>-1</v>
      </c>
      <c r="BQ85">
        <f t="shared" si="231"/>
        <v>-1</v>
      </c>
      <c r="BR85">
        <f t="shared" si="231"/>
        <v>-1</v>
      </c>
      <c r="BS85">
        <f t="shared" si="231"/>
        <v>-1</v>
      </c>
      <c r="BT85">
        <f t="shared" si="231"/>
        <v>74</v>
      </c>
      <c r="BU85">
        <f t="shared" si="231"/>
        <v>43.600000000000058</v>
      </c>
      <c r="BV85">
        <f t="shared" si="231"/>
        <v>40.00000000000005</v>
      </c>
      <c r="BW85">
        <f t="shared" si="231"/>
        <v>36.400000000000041</v>
      </c>
      <c r="BX85">
        <f t="shared" si="231"/>
        <v>32.800000000000033</v>
      </c>
      <c r="BY85">
        <f t="shared" si="231"/>
        <v>29.200000000000024</v>
      </c>
      <c r="BZ85">
        <f t="shared" si="231"/>
        <v>25.600000000000016</v>
      </c>
      <c r="CA85">
        <f t="shared" si="231"/>
        <v>22.000000000000007</v>
      </c>
      <c r="CB85">
        <f t="shared" si="231"/>
        <v>18.399999999999999</v>
      </c>
      <c r="CC85">
        <f t="shared" si="231"/>
        <v>14.799999999999994</v>
      </c>
      <c r="CD85">
        <f t="shared" si="231"/>
        <v>11.199999999999996</v>
      </c>
      <c r="CE85">
        <f t="shared" si="231"/>
        <v>7.5999999999999979</v>
      </c>
      <c r="CF85">
        <f t="shared" si="231"/>
        <v>4</v>
      </c>
      <c r="CG85" t="str">
        <f t="shared" si="231"/>
        <v/>
      </c>
      <c r="CH85" t="str">
        <f t="shared" si="231"/>
        <v/>
      </c>
      <c r="CI85" t="str">
        <f t="shared" si="231"/>
        <v/>
      </c>
      <c r="CJ85" t="str">
        <f t="shared" si="231"/>
        <v/>
      </c>
      <c r="CK85" t="str">
        <f t="shared" si="231"/>
        <v/>
      </c>
      <c r="CL85" t="str">
        <f t="shared" si="231"/>
        <v/>
      </c>
      <c r="CM85" t="str">
        <f t="shared" si="231"/>
        <v/>
      </c>
      <c r="CN85" t="str">
        <f t="shared" si="231"/>
        <v/>
      </c>
      <c r="CO85">
        <f t="shared" si="231"/>
        <v>26.5</v>
      </c>
      <c r="CP85">
        <f t="shared" si="231"/>
        <v>13.5</v>
      </c>
      <c r="CQ85">
        <f t="shared" si="231"/>
        <v>73</v>
      </c>
      <c r="CR85">
        <f t="shared" si="231"/>
        <v>68</v>
      </c>
      <c r="CS85">
        <f t="shared" si="231"/>
        <v>63</v>
      </c>
      <c r="CT85">
        <f t="shared" si="231"/>
        <v>-1</v>
      </c>
      <c r="CU85">
        <f t="shared" si="231"/>
        <v>-1</v>
      </c>
      <c r="CV85">
        <f t="shared" si="231"/>
        <v>-1</v>
      </c>
      <c r="CW85">
        <f t="shared" si="231"/>
        <v>-1</v>
      </c>
      <c r="CX85">
        <f t="shared" si="231"/>
        <v>-1</v>
      </c>
      <c r="CY85">
        <f t="shared" si="231"/>
        <v>-1</v>
      </c>
      <c r="CZ85">
        <f t="shared" si="231"/>
        <v>-1</v>
      </c>
      <c r="DA85">
        <f t="shared" si="231"/>
        <v>74</v>
      </c>
      <c r="DB85">
        <f t="shared" si="231"/>
        <v>70</v>
      </c>
      <c r="DC85">
        <f t="shared" si="231"/>
        <v>66</v>
      </c>
      <c r="DD85">
        <f t="shared" si="231"/>
        <v>62</v>
      </c>
      <c r="DE85">
        <f t="shared" si="231"/>
        <v>-1</v>
      </c>
      <c r="DF85">
        <f t="shared" si="231"/>
        <v>74</v>
      </c>
      <c r="DG85">
        <f t="shared" si="231"/>
        <v>-1</v>
      </c>
      <c r="DH85">
        <f t="shared" si="231"/>
        <v>-1</v>
      </c>
      <c r="DI85">
        <f t="shared" si="231"/>
        <v>-1</v>
      </c>
      <c r="DJ85">
        <f t="shared" si="231"/>
        <v>-1</v>
      </c>
      <c r="DK85">
        <f t="shared" si="231"/>
        <v>-1</v>
      </c>
      <c r="DL85">
        <f t="shared" si="231"/>
        <v>-1</v>
      </c>
      <c r="DM85">
        <f t="shared" si="231"/>
        <v>-1</v>
      </c>
      <c r="DN85">
        <f t="shared" si="231"/>
        <v>-1</v>
      </c>
      <c r="DO85">
        <f t="shared" si="231"/>
        <v>-1</v>
      </c>
      <c r="DP85">
        <f t="shared" si="231"/>
        <v>-1</v>
      </c>
      <c r="DQ85">
        <f t="shared" si="231"/>
        <v>-1</v>
      </c>
      <c r="DR85">
        <f t="shared" si="231"/>
        <v>-1</v>
      </c>
      <c r="DS85">
        <f t="shared" si="231"/>
        <v>72</v>
      </c>
      <c r="DT85">
        <f t="shared" si="231"/>
        <v>66</v>
      </c>
      <c r="DU85">
        <f t="shared" si="231"/>
        <v>60</v>
      </c>
      <c r="DV85">
        <f t="shared" si="231"/>
        <v>54</v>
      </c>
      <c r="DW85">
        <f t="shared" si="231"/>
        <v>48</v>
      </c>
      <c r="DX85">
        <f t="shared" si="231"/>
        <v>42</v>
      </c>
      <c r="DY85">
        <f t="shared" si="231"/>
        <v>-1</v>
      </c>
      <c r="DZ85">
        <f t="shared" si="231"/>
        <v>-1</v>
      </c>
      <c r="EA85">
        <f t="shared" si="231"/>
        <v>-1</v>
      </c>
      <c r="EB85">
        <f t="shared" ref="EB85:EO85" si="232">IF(OR(EB84=-1,AND(IF(EB$3&lt;$B85,EB84+EB$6,IF(EB$3=$B85,1,""))&gt;$B$1,EB$3&lt;$B85)),-1,IF(EB$3&lt;$B85,EB84+EB$6,IF(EB$3=$B85,1,"")))</f>
        <v>-1</v>
      </c>
      <c r="EC85">
        <f t="shared" si="232"/>
        <v>-1</v>
      </c>
      <c r="ED85">
        <f t="shared" si="232"/>
        <v>-1</v>
      </c>
      <c r="EE85">
        <f t="shared" si="232"/>
        <v>-1</v>
      </c>
      <c r="EF85">
        <f t="shared" si="232"/>
        <v>-1</v>
      </c>
      <c r="EG85">
        <f t="shared" si="232"/>
        <v>-1</v>
      </c>
      <c r="EH85">
        <f t="shared" si="232"/>
        <v>-1</v>
      </c>
      <c r="EI85">
        <f t="shared" si="232"/>
        <v>-1</v>
      </c>
      <c r="EJ85">
        <f t="shared" si="232"/>
        <v>-1</v>
      </c>
      <c r="EK85">
        <f t="shared" si="232"/>
        <v>-1</v>
      </c>
      <c r="EL85">
        <f t="shared" si="232"/>
        <v>-1</v>
      </c>
      <c r="EM85">
        <f t="shared" si="232"/>
        <v>-1</v>
      </c>
      <c r="EN85">
        <f t="shared" si="232"/>
        <v>-1</v>
      </c>
      <c r="EO85">
        <f t="shared" si="232"/>
        <v>-1</v>
      </c>
    </row>
    <row r="86" spans="1:145" x14ac:dyDescent="0.15">
      <c r="A86" t="e">
        <f t="shared" si="193"/>
        <v>#N/A</v>
      </c>
      <c r="B86" s="218">
        <v>78</v>
      </c>
      <c r="C86">
        <f t="shared" si="193"/>
        <v>-1</v>
      </c>
      <c r="D86">
        <f t="shared" ref="D86:BO86" si="233">IF(OR(D85=-1,AND(IF(D$3&lt;$B86,D85+D$6,IF(D$3=$B86,1,""))&gt;$B$1,D$3&lt;$B86)),-1,IF(D$3&lt;$B86,D85+D$6,IF(D$3=$B86,1,"")))</f>
        <v>75</v>
      </c>
      <c r="E86">
        <f t="shared" si="233"/>
        <v>73</v>
      </c>
      <c r="F86">
        <f t="shared" si="233"/>
        <v>71</v>
      </c>
      <c r="G86">
        <f t="shared" si="233"/>
        <v>69</v>
      </c>
      <c r="H86">
        <f t="shared" si="233"/>
        <v>67</v>
      </c>
      <c r="I86">
        <f t="shared" si="233"/>
        <v>-1</v>
      </c>
      <c r="J86">
        <f t="shared" si="233"/>
        <v>-1</v>
      </c>
      <c r="K86">
        <f t="shared" si="233"/>
        <v>67.29999999999994</v>
      </c>
      <c r="L86">
        <f t="shared" si="233"/>
        <v>52.100000000000058</v>
      </c>
      <c r="M86">
        <f t="shared" si="233"/>
        <v>48.600000000000044</v>
      </c>
      <c r="N86">
        <f t="shared" si="233"/>
        <v>45.10000000000003</v>
      </c>
      <c r="O86">
        <f t="shared" si="233"/>
        <v>-1</v>
      </c>
      <c r="P86">
        <f t="shared" si="233"/>
        <v>75</v>
      </c>
      <c r="Q86">
        <f t="shared" si="233"/>
        <v>73</v>
      </c>
      <c r="R86">
        <f t="shared" si="233"/>
        <v>71</v>
      </c>
      <c r="S86">
        <f t="shared" si="233"/>
        <v>69</v>
      </c>
      <c r="T86">
        <f t="shared" si="233"/>
        <v>-1</v>
      </c>
      <c r="U86">
        <f t="shared" si="233"/>
        <v>-1</v>
      </c>
      <c r="V86">
        <f t="shared" si="233"/>
        <v>-1</v>
      </c>
      <c r="W86">
        <f t="shared" si="233"/>
        <v>-1</v>
      </c>
      <c r="X86">
        <f t="shared" si="233"/>
        <v>-1</v>
      </c>
      <c r="Y86">
        <f t="shared" si="233"/>
        <v>-1</v>
      </c>
      <c r="Z86">
        <f t="shared" si="233"/>
        <v>-1</v>
      </c>
      <c r="AA86">
        <f t="shared" si="233"/>
        <v>73</v>
      </c>
      <c r="AB86">
        <f t="shared" si="233"/>
        <v>70</v>
      </c>
      <c r="AC86">
        <f t="shared" si="233"/>
        <v>-1</v>
      </c>
      <c r="AD86">
        <f t="shared" si="233"/>
        <v>-1</v>
      </c>
      <c r="AE86">
        <f t="shared" si="233"/>
        <v>-1</v>
      </c>
      <c r="AF86">
        <f t="shared" si="233"/>
        <v>-1</v>
      </c>
      <c r="AG86">
        <f t="shared" si="233"/>
        <v>-1</v>
      </c>
      <c r="AH86">
        <f t="shared" si="233"/>
        <v>-1</v>
      </c>
      <c r="AI86">
        <f t="shared" si="233"/>
        <v>45.400000000000063</v>
      </c>
      <c r="AJ86">
        <f t="shared" si="233"/>
        <v>43.000000000000057</v>
      </c>
      <c r="AK86">
        <f t="shared" si="233"/>
        <v>40.600000000000051</v>
      </c>
      <c r="AL86">
        <f t="shared" si="233"/>
        <v>38.200000000000045</v>
      </c>
      <c r="AM86">
        <f t="shared" si="233"/>
        <v>73</v>
      </c>
      <c r="AN86">
        <f t="shared" si="233"/>
        <v>67</v>
      </c>
      <c r="AO86">
        <f t="shared" si="233"/>
        <v>61</v>
      </c>
      <c r="AP86">
        <f t="shared" si="233"/>
        <v>-1</v>
      </c>
      <c r="AQ86">
        <f t="shared" si="233"/>
        <v>-1</v>
      </c>
      <c r="AR86">
        <f t="shared" si="233"/>
        <v>-1</v>
      </c>
      <c r="AS86">
        <f t="shared" si="233"/>
        <v>-1</v>
      </c>
      <c r="AT86">
        <f t="shared" si="233"/>
        <v>-1</v>
      </c>
      <c r="AU86">
        <f t="shared" si="233"/>
        <v>-1</v>
      </c>
      <c r="AV86">
        <f t="shared" si="233"/>
        <v>-1</v>
      </c>
      <c r="AW86">
        <f t="shared" si="233"/>
        <v>73</v>
      </c>
      <c r="AX86">
        <f t="shared" si="233"/>
        <v>67</v>
      </c>
      <c r="AY86">
        <f t="shared" si="233"/>
        <v>-1</v>
      </c>
      <c r="AZ86">
        <f t="shared" si="233"/>
        <v>-1</v>
      </c>
      <c r="BA86">
        <f t="shared" si="233"/>
        <v>-1</v>
      </c>
      <c r="BB86">
        <f t="shared" si="233"/>
        <v>-1</v>
      </c>
      <c r="BC86">
        <f t="shared" si="233"/>
        <v>-1</v>
      </c>
      <c r="BD86">
        <f t="shared" si="233"/>
        <v>-1</v>
      </c>
      <c r="BE86">
        <f t="shared" si="233"/>
        <v>-1</v>
      </c>
      <c r="BF86">
        <f t="shared" si="233"/>
        <v>-1</v>
      </c>
      <c r="BG86">
        <f t="shared" si="233"/>
        <v>-1</v>
      </c>
      <c r="BH86">
        <f t="shared" si="233"/>
        <v>-1</v>
      </c>
      <c r="BI86">
        <f t="shared" si="233"/>
        <v>74</v>
      </c>
      <c r="BJ86">
        <f t="shared" si="233"/>
        <v>69</v>
      </c>
      <c r="BK86">
        <f t="shared" si="233"/>
        <v>64</v>
      </c>
      <c r="BL86">
        <f t="shared" si="233"/>
        <v>59</v>
      </c>
      <c r="BM86">
        <f t="shared" si="233"/>
        <v>73</v>
      </c>
      <c r="BN86">
        <f t="shared" si="233"/>
        <v>-1</v>
      </c>
      <c r="BO86">
        <f t="shared" si="233"/>
        <v>-1</v>
      </c>
      <c r="BP86">
        <f t="shared" ref="BP86:EA86" si="234">IF(OR(BP85=-1,AND(IF(BP$3&lt;$B86,BP85+BP$6,IF(BP$3=$B86,1,""))&gt;$B$1,BP$3&lt;$B86)),-1,IF(BP$3&lt;$B86,BP85+BP$6,IF(BP$3=$B86,1,"")))</f>
        <v>-1</v>
      </c>
      <c r="BQ86">
        <f t="shared" si="234"/>
        <v>-1</v>
      </c>
      <c r="BR86">
        <f t="shared" si="234"/>
        <v>-1</v>
      </c>
      <c r="BS86">
        <f t="shared" si="234"/>
        <v>-1</v>
      </c>
      <c r="BT86">
        <f t="shared" si="234"/>
        <v>75</v>
      </c>
      <c r="BU86">
        <f t="shared" si="234"/>
        <v>44.20000000000006</v>
      </c>
      <c r="BV86">
        <f t="shared" si="234"/>
        <v>40.600000000000051</v>
      </c>
      <c r="BW86">
        <f t="shared" si="234"/>
        <v>37.000000000000043</v>
      </c>
      <c r="BX86">
        <f t="shared" si="234"/>
        <v>33.400000000000034</v>
      </c>
      <c r="BY86">
        <f t="shared" si="234"/>
        <v>29.800000000000026</v>
      </c>
      <c r="BZ86">
        <f t="shared" si="234"/>
        <v>26.200000000000017</v>
      </c>
      <c r="CA86">
        <f t="shared" si="234"/>
        <v>22.600000000000009</v>
      </c>
      <c r="CB86">
        <f t="shared" si="234"/>
        <v>19</v>
      </c>
      <c r="CC86">
        <f t="shared" si="234"/>
        <v>15.399999999999993</v>
      </c>
      <c r="CD86">
        <f t="shared" si="234"/>
        <v>11.799999999999995</v>
      </c>
      <c r="CE86">
        <f t="shared" si="234"/>
        <v>8.1999999999999975</v>
      </c>
      <c r="CF86">
        <f t="shared" si="234"/>
        <v>4.5999999999999996</v>
      </c>
      <c r="CG86">
        <f t="shared" si="234"/>
        <v>1</v>
      </c>
      <c r="CH86" t="str">
        <f t="shared" si="234"/>
        <v/>
      </c>
      <c r="CI86" t="str">
        <f t="shared" si="234"/>
        <v/>
      </c>
      <c r="CJ86" t="str">
        <f t="shared" si="234"/>
        <v/>
      </c>
      <c r="CK86" t="str">
        <f t="shared" si="234"/>
        <v/>
      </c>
      <c r="CL86" t="str">
        <f t="shared" si="234"/>
        <v/>
      </c>
      <c r="CM86" t="str">
        <f t="shared" si="234"/>
        <v/>
      </c>
      <c r="CN86" t="str">
        <f t="shared" si="234"/>
        <v/>
      </c>
      <c r="CO86">
        <f t="shared" si="234"/>
        <v>27</v>
      </c>
      <c r="CP86">
        <f t="shared" si="234"/>
        <v>14</v>
      </c>
      <c r="CQ86">
        <f t="shared" si="234"/>
        <v>74</v>
      </c>
      <c r="CR86">
        <f t="shared" si="234"/>
        <v>69</v>
      </c>
      <c r="CS86">
        <f t="shared" si="234"/>
        <v>64</v>
      </c>
      <c r="CT86">
        <f t="shared" si="234"/>
        <v>-1</v>
      </c>
      <c r="CU86">
        <f t="shared" si="234"/>
        <v>-1</v>
      </c>
      <c r="CV86">
        <f t="shared" si="234"/>
        <v>-1</v>
      </c>
      <c r="CW86">
        <f t="shared" si="234"/>
        <v>-1</v>
      </c>
      <c r="CX86">
        <f t="shared" si="234"/>
        <v>-1</v>
      </c>
      <c r="CY86">
        <f t="shared" si="234"/>
        <v>-1</v>
      </c>
      <c r="CZ86">
        <f t="shared" si="234"/>
        <v>-1</v>
      </c>
      <c r="DA86">
        <f t="shared" si="234"/>
        <v>75</v>
      </c>
      <c r="DB86">
        <f t="shared" si="234"/>
        <v>71</v>
      </c>
      <c r="DC86">
        <f t="shared" si="234"/>
        <v>67</v>
      </c>
      <c r="DD86">
        <f t="shared" si="234"/>
        <v>63</v>
      </c>
      <c r="DE86">
        <f t="shared" si="234"/>
        <v>-1</v>
      </c>
      <c r="DF86">
        <f t="shared" si="234"/>
        <v>75</v>
      </c>
      <c r="DG86">
        <f t="shared" si="234"/>
        <v>-1</v>
      </c>
      <c r="DH86">
        <f t="shared" si="234"/>
        <v>-1</v>
      </c>
      <c r="DI86">
        <f t="shared" si="234"/>
        <v>-1</v>
      </c>
      <c r="DJ86">
        <f t="shared" si="234"/>
        <v>-1</v>
      </c>
      <c r="DK86">
        <f t="shared" si="234"/>
        <v>-1</v>
      </c>
      <c r="DL86">
        <f t="shared" si="234"/>
        <v>-1</v>
      </c>
      <c r="DM86">
        <f t="shared" si="234"/>
        <v>-1</v>
      </c>
      <c r="DN86">
        <f t="shared" si="234"/>
        <v>-1</v>
      </c>
      <c r="DO86">
        <f t="shared" si="234"/>
        <v>-1</v>
      </c>
      <c r="DP86">
        <f t="shared" si="234"/>
        <v>-1</v>
      </c>
      <c r="DQ86">
        <f t="shared" si="234"/>
        <v>-1</v>
      </c>
      <c r="DR86">
        <f t="shared" si="234"/>
        <v>-1</v>
      </c>
      <c r="DS86">
        <f t="shared" si="234"/>
        <v>73</v>
      </c>
      <c r="DT86">
        <f t="shared" si="234"/>
        <v>67</v>
      </c>
      <c r="DU86">
        <f t="shared" si="234"/>
        <v>61</v>
      </c>
      <c r="DV86">
        <f t="shared" si="234"/>
        <v>55</v>
      </c>
      <c r="DW86">
        <f t="shared" si="234"/>
        <v>49</v>
      </c>
      <c r="DX86">
        <f t="shared" si="234"/>
        <v>43</v>
      </c>
      <c r="DY86">
        <f t="shared" si="234"/>
        <v>-1</v>
      </c>
      <c r="DZ86">
        <f t="shared" si="234"/>
        <v>-1</v>
      </c>
      <c r="EA86">
        <f t="shared" si="234"/>
        <v>-1</v>
      </c>
      <c r="EB86">
        <f t="shared" ref="EB86:EO86" si="235">IF(OR(EB85=-1,AND(IF(EB$3&lt;$B86,EB85+EB$6,IF(EB$3=$B86,1,""))&gt;$B$1,EB$3&lt;$B86)),-1,IF(EB$3&lt;$B86,EB85+EB$6,IF(EB$3=$B86,1,"")))</f>
        <v>-1</v>
      </c>
      <c r="EC86">
        <f t="shared" si="235"/>
        <v>-1</v>
      </c>
      <c r="ED86">
        <f t="shared" si="235"/>
        <v>-1</v>
      </c>
      <c r="EE86">
        <f t="shared" si="235"/>
        <v>-1</v>
      </c>
      <c r="EF86">
        <f t="shared" si="235"/>
        <v>-1</v>
      </c>
      <c r="EG86">
        <f t="shared" si="235"/>
        <v>-1</v>
      </c>
      <c r="EH86">
        <f t="shared" si="235"/>
        <v>-1</v>
      </c>
      <c r="EI86">
        <f t="shared" si="235"/>
        <v>-1</v>
      </c>
      <c r="EJ86">
        <f t="shared" si="235"/>
        <v>-1</v>
      </c>
      <c r="EK86">
        <f t="shared" si="235"/>
        <v>-1</v>
      </c>
      <c r="EL86">
        <f t="shared" si="235"/>
        <v>-1</v>
      </c>
      <c r="EM86">
        <f t="shared" si="235"/>
        <v>-1</v>
      </c>
      <c r="EN86">
        <f t="shared" si="235"/>
        <v>-1</v>
      </c>
      <c r="EO86">
        <f t="shared" si="235"/>
        <v>-1</v>
      </c>
    </row>
    <row r="87" spans="1:145" x14ac:dyDescent="0.15">
      <c r="A87" t="e">
        <f t="shared" si="193"/>
        <v>#N/A</v>
      </c>
      <c r="B87" s="218">
        <v>79</v>
      </c>
      <c r="C87">
        <f t="shared" si="193"/>
        <v>-1</v>
      </c>
      <c r="D87">
        <f t="shared" ref="D87:BO87" si="236">IF(OR(D86=-1,AND(IF(D$3&lt;$B87,D86+D$6,IF(D$3=$B87,1,""))&gt;$B$1,D$3&lt;$B87)),-1,IF(D$3&lt;$B87,D86+D$6,IF(D$3=$B87,1,"")))</f>
        <v>-1</v>
      </c>
      <c r="E87">
        <f t="shared" si="236"/>
        <v>74</v>
      </c>
      <c r="F87">
        <f t="shared" si="236"/>
        <v>72</v>
      </c>
      <c r="G87">
        <f t="shared" si="236"/>
        <v>70</v>
      </c>
      <c r="H87">
        <f t="shared" si="236"/>
        <v>68</v>
      </c>
      <c r="I87">
        <f t="shared" si="236"/>
        <v>-1</v>
      </c>
      <c r="J87">
        <f t="shared" si="236"/>
        <v>-1</v>
      </c>
      <c r="K87">
        <f t="shared" si="236"/>
        <v>68.599999999999937</v>
      </c>
      <c r="L87">
        <f t="shared" si="236"/>
        <v>52.800000000000061</v>
      </c>
      <c r="M87">
        <f t="shared" si="236"/>
        <v>49.300000000000047</v>
      </c>
      <c r="N87">
        <f t="shared" si="236"/>
        <v>45.800000000000033</v>
      </c>
      <c r="O87">
        <f t="shared" si="236"/>
        <v>-1</v>
      </c>
      <c r="P87">
        <f t="shared" si="236"/>
        <v>-1</v>
      </c>
      <c r="Q87">
        <f t="shared" si="236"/>
        <v>74</v>
      </c>
      <c r="R87">
        <f t="shared" si="236"/>
        <v>72</v>
      </c>
      <c r="S87">
        <f t="shared" si="236"/>
        <v>70</v>
      </c>
      <c r="T87">
        <f t="shared" si="236"/>
        <v>-1</v>
      </c>
      <c r="U87">
        <f t="shared" si="236"/>
        <v>-1</v>
      </c>
      <c r="V87">
        <f t="shared" si="236"/>
        <v>-1</v>
      </c>
      <c r="W87">
        <f t="shared" si="236"/>
        <v>-1</v>
      </c>
      <c r="X87">
        <f t="shared" si="236"/>
        <v>-1</v>
      </c>
      <c r="Y87">
        <f t="shared" si="236"/>
        <v>-1</v>
      </c>
      <c r="Z87">
        <f t="shared" si="236"/>
        <v>-1</v>
      </c>
      <c r="AA87">
        <f t="shared" si="236"/>
        <v>74</v>
      </c>
      <c r="AB87">
        <f t="shared" si="236"/>
        <v>71</v>
      </c>
      <c r="AC87">
        <f t="shared" si="236"/>
        <v>-1</v>
      </c>
      <c r="AD87">
        <f t="shared" si="236"/>
        <v>-1</v>
      </c>
      <c r="AE87">
        <f t="shared" si="236"/>
        <v>-1</v>
      </c>
      <c r="AF87">
        <f t="shared" si="236"/>
        <v>-1</v>
      </c>
      <c r="AG87">
        <f t="shared" si="236"/>
        <v>-1</v>
      </c>
      <c r="AH87">
        <f t="shared" si="236"/>
        <v>-1</v>
      </c>
      <c r="AI87">
        <f t="shared" si="236"/>
        <v>46.000000000000064</v>
      </c>
      <c r="AJ87">
        <f t="shared" si="236"/>
        <v>43.600000000000058</v>
      </c>
      <c r="AK87">
        <f t="shared" si="236"/>
        <v>41.200000000000053</v>
      </c>
      <c r="AL87">
        <f t="shared" si="236"/>
        <v>38.800000000000047</v>
      </c>
      <c r="AM87">
        <f t="shared" si="236"/>
        <v>74</v>
      </c>
      <c r="AN87">
        <f t="shared" si="236"/>
        <v>68</v>
      </c>
      <c r="AO87">
        <f t="shared" si="236"/>
        <v>62</v>
      </c>
      <c r="AP87">
        <f t="shared" si="236"/>
        <v>-1</v>
      </c>
      <c r="AQ87">
        <f t="shared" si="236"/>
        <v>-1</v>
      </c>
      <c r="AR87">
        <f t="shared" si="236"/>
        <v>-1</v>
      </c>
      <c r="AS87">
        <f t="shared" si="236"/>
        <v>-1</v>
      </c>
      <c r="AT87">
        <f t="shared" si="236"/>
        <v>-1</v>
      </c>
      <c r="AU87">
        <f t="shared" si="236"/>
        <v>-1</v>
      </c>
      <c r="AV87">
        <f t="shared" si="236"/>
        <v>-1</v>
      </c>
      <c r="AW87">
        <f t="shared" si="236"/>
        <v>74</v>
      </c>
      <c r="AX87">
        <f t="shared" si="236"/>
        <v>68</v>
      </c>
      <c r="AY87">
        <f t="shared" si="236"/>
        <v>-1</v>
      </c>
      <c r="AZ87">
        <f t="shared" si="236"/>
        <v>-1</v>
      </c>
      <c r="BA87">
        <f t="shared" si="236"/>
        <v>-1</v>
      </c>
      <c r="BB87">
        <f t="shared" si="236"/>
        <v>-1</v>
      </c>
      <c r="BC87">
        <f t="shared" si="236"/>
        <v>-1</v>
      </c>
      <c r="BD87">
        <f t="shared" si="236"/>
        <v>-1</v>
      </c>
      <c r="BE87">
        <f t="shared" si="236"/>
        <v>-1</v>
      </c>
      <c r="BF87">
        <f t="shared" si="236"/>
        <v>-1</v>
      </c>
      <c r="BG87">
        <f t="shared" si="236"/>
        <v>-1</v>
      </c>
      <c r="BH87">
        <f t="shared" si="236"/>
        <v>-1</v>
      </c>
      <c r="BI87">
        <f t="shared" si="236"/>
        <v>75</v>
      </c>
      <c r="BJ87">
        <f t="shared" si="236"/>
        <v>70</v>
      </c>
      <c r="BK87">
        <f t="shared" si="236"/>
        <v>65</v>
      </c>
      <c r="BL87">
        <f t="shared" si="236"/>
        <v>60</v>
      </c>
      <c r="BM87">
        <f t="shared" si="236"/>
        <v>74</v>
      </c>
      <c r="BN87">
        <f t="shared" si="236"/>
        <v>-1</v>
      </c>
      <c r="BO87">
        <f t="shared" si="236"/>
        <v>-1</v>
      </c>
      <c r="BP87">
        <f t="shared" ref="BP87:EA87" si="237">IF(OR(BP86=-1,AND(IF(BP$3&lt;$B87,BP86+BP$6,IF(BP$3=$B87,1,""))&gt;$B$1,BP$3&lt;$B87)),-1,IF(BP$3&lt;$B87,BP86+BP$6,IF(BP$3=$B87,1,"")))</f>
        <v>-1</v>
      </c>
      <c r="BQ87">
        <f t="shared" si="237"/>
        <v>-1</v>
      </c>
      <c r="BR87">
        <f t="shared" si="237"/>
        <v>-1</v>
      </c>
      <c r="BS87">
        <f t="shared" si="237"/>
        <v>-1</v>
      </c>
      <c r="BT87">
        <f t="shared" si="237"/>
        <v>-1</v>
      </c>
      <c r="BU87">
        <f t="shared" si="237"/>
        <v>44.800000000000061</v>
      </c>
      <c r="BV87">
        <f t="shared" si="237"/>
        <v>41.200000000000053</v>
      </c>
      <c r="BW87">
        <f t="shared" si="237"/>
        <v>37.600000000000044</v>
      </c>
      <c r="BX87">
        <f t="shared" si="237"/>
        <v>34.000000000000036</v>
      </c>
      <c r="BY87">
        <f t="shared" si="237"/>
        <v>30.400000000000027</v>
      </c>
      <c r="BZ87">
        <f t="shared" si="237"/>
        <v>26.800000000000018</v>
      </c>
      <c r="CA87">
        <f t="shared" si="237"/>
        <v>23.20000000000001</v>
      </c>
      <c r="CB87">
        <f t="shared" si="237"/>
        <v>19.600000000000001</v>
      </c>
      <c r="CC87">
        <f t="shared" si="237"/>
        <v>15.999999999999993</v>
      </c>
      <c r="CD87">
        <f t="shared" si="237"/>
        <v>12.399999999999995</v>
      </c>
      <c r="CE87">
        <f t="shared" si="237"/>
        <v>8.7999999999999972</v>
      </c>
      <c r="CF87">
        <f t="shared" si="237"/>
        <v>5.1999999999999993</v>
      </c>
      <c r="CG87">
        <f t="shared" si="237"/>
        <v>1.6</v>
      </c>
      <c r="CH87" t="str">
        <f t="shared" si="237"/>
        <v/>
      </c>
      <c r="CI87" t="str">
        <f t="shared" si="237"/>
        <v/>
      </c>
      <c r="CJ87" t="str">
        <f t="shared" si="237"/>
        <v/>
      </c>
      <c r="CK87" t="str">
        <f t="shared" si="237"/>
        <v/>
      </c>
      <c r="CL87" t="str">
        <f t="shared" si="237"/>
        <v/>
      </c>
      <c r="CM87" t="str">
        <f t="shared" si="237"/>
        <v/>
      </c>
      <c r="CN87" t="str">
        <f t="shared" si="237"/>
        <v/>
      </c>
      <c r="CO87">
        <f t="shared" si="237"/>
        <v>27.5</v>
      </c>
      <c r="CP87">
        <f t="shared" si="237"/>
        <v>14.5</v>
      </c>
      <c r="CQ87">
        <f t="shared" si="237"/>
        <v>75</v>
      </c>
      <c r="CR87">
        <f t="shared" si="237"/>
        <v>70</v>
      </c>
      <c r="CS87">
        <f t="shared" si="237"/>
        <v>65</v>
      </c>
      <c r="CT87">
        <f t="shared" si="237"/>
        <v>-1</v>
      </c>
      <c r="CU87">
        <f t="shared" si="237"/>
        <v>-1</v>
      </c>
      <c r="CV87">
        <f t="shared" si="237"/>
        <v>-1</v>
      </c>
      <c r="CW87">
        <f t="shared" si="237"/>
        <v>-1</v>
      </c>
      <c r="CX87">
        <f t="shared" si="237"/>
        <v>-1</v>
      </c>
      <c r="CY87">
        <f t="shared" si="237"/>
        <v>-1</v>
      </c>
      <c r="CZ87">
        <f t="shared" si="237"/>
        <v>-1</v>
      </c>
      <c r="DA87">
        <f t="shared" si="237"/>
        <v>-1</v>
      </c>
      <c r="DB87">
        <f t="shared" si="237"/>
        <v>72</v>
      </c>
      <c r="DC87">
        <f t="shared" si="237"/>
        <v>68</v>
      </c>
      <c r="DD87">
        <f t="shared" si="237"/>
        <v>64</v>
      </c>
      <c r="DE87">
        <f t="shared" si="237"/>
        <v>-1</v>
      </c>
      <c r="DF87">
        <f t="shared" si="237"/>
        <v>-1</v>
      </c>
      <c r="DG87">
        <f t="shared" si="237"/>
        <v>-1</v>
      </c>
      <c r="DH87">
        <f t="shared" si="237"/>
        <v>-1</v>
      </c>
      <c r="DI87">
        <f t="shared" si="237"/>
        <v>-1</v>
      </c>
      <c r="DJ87">
        <f t="shared" si="237"/>
        <v>-1</v>
      </c>
      <c r="DK87">
        <f t="shared" si="237"/>
        <v>-1</v>
      </c>
      <c r="DL87">
        <f t="shared" si="237"/>
        <v>-1</v>
      </c>
      <c r="DM87">
        <f t="shared" si="237"/>
        <v>-1</v>
      </c>
      <c r="DN87">
        <f t="shared" si="237"/>
        <v>-1</v>
      </c>
      <c r="DO87">
        <f t="shared" si="237"/>
        <v>-1</v>
      </c>
      <c r="DP87">
        <f t="shared" si="237"/>
        <v>-1</v>
      </c>
      <c r="DQ87">
        <f t="shared" si="237"/>
        <v>-1</v>
      </c>
      <c r="DR87">
        <f t="shared" si="237"/>
        <v>-1</v>
      </c>
      <c r="DS87">
        <f t="shared" si="237"/>
        <v>74</v>
      </c>
      <c r="DT87">
        <f t="shared" si="237"/>
        <v>68</v>
      </c>
      <c r="DU87">
        <f t="shared" si="237"/>
        <v>62</v>
      </c>
      <c r="DV87">
        <f t="shared" si="237"/>
        <v>56</v>
      </c>
      <c r="DW87">
        <f t="shared" si="237"/>
        <v>50</v>
      </c>
      <c r="DX87">
        <f t="shared" si="237"/>
        <v>44</v>
      </c>
      <c r="DY87">
        <f t="shared" si="237"/>
        <v>-1</v>
      </c>
      <c r="DZ87">
        <f t="shared" si="237"/>
        <v>-1</v>
      </c>
      <c r="EA87">
        <f t="shared" si="237"/>
        <v>-1</v>
      </c>
      <c r="EB87">
        <f t="shared" ref="EB87:EO87" si="238">IF(OR(EB86=-1,AND(IF(EB$3&lt;$B87,EB86+EB$6,IF(EB$3=$B87,1,""))&gt;$B$1,EB$3&lt;$B87)),-1,IF(EB$3&lt;$B87,EB86+EB$6,IF(EB$3=$B87,1,"")))</f>
        <v>-1</v>
      </c>
      <c r="EC87">
        <f t="shared" si="238"/>
        <v>-1</v>
      </c>
      <c r="ED87">
        <f t="shared" si="238"/>
        <v>-1</v>
      </c>
      <c r="EE87">
        <f t="shared" si="238"/>
        <v>-1</v>
      </c>
      <c r="EF87">
        <f t="shared" si="238"/>
        <v>-1</v>
      </c>
      <c r="EG87">
        <f t="shared" si="238"/>
        <v>-1</v>
      </c>
      <c r="EH87">
        <f t="shared" si="238"/>
        <v>-1</v>
      </c>
      <c r="EI87">
        <f t="shared" si="238"/>
        <v>-1</v>
      </c>
      <c r="EJ87">
        <f t="shared" si="238"/>
        <v>-1</v>
      </c>
      <c r="EK87">
        <f t="shared" si="238"/>
        <v>-1</v>
      </c>
      <c r="EL87">
        <f t="shared" si="238"/>
        <v>-1</v>
      </c>
      <c r="EM87">
        <f t="shared" si="238"/>
        <v>-1</v>
      </c>
      <c r="EN87">
        <f t="shared" si="238"/>
        <v>-1</v>
      </c>
      <c r="EO87">
        <f t="shared" si="238"/>
        <v>-1</v>
      </c>
    </row>
    <row r="88" spans="1:145" x14ac:dyDescent="0.15">
      <c r="A88" t="e">
        <f t="shared" si="193"/>
        <v>#N/A</v>
      </c>
      <c r="B88" s="218">
        <v>80</v>
      </c>
      <c r="C88">
        <f t="shared" si="193"/>
        <v>-1</v>
      </c>
      <c r="D88">
        <f t="shared" ref="D88:BO88" si="239">IF(OR(D87=-1,AND(IF(D$3&lt;$B88,D87+D$6,IF(D$3=$B88,1,""))&gt;$B$1,D$3&lt;$B88)),-1,IF(D$3&lt;$B88,D87+D$6,IF(D$3=$B88,1,"")))</f>
        <v>-1</v>
      </c>
      <c r="E88">
        <f t="shared" si="239"/>
        <v>75</v>
      </c>
      <c r="F88">
        <f t="shared" si="239"/>
        <v>73</v>
      </c>
      <c r="G88">
        <f t="shared" si="239"/>
        <v>71</v>
      </c>
      <c r="H88">
        <f t="shared" si="239"/>
        <v>69</v>
      </c>
      <c r="I88">
        <f t="shared" si="239"/>
        <v>-1</v>
      </c>
      <c r="J88">
        <f t="shared" si="239"/>
        <v>-1</v>
      </c>
      <c r="K88">
        <f t="shared" si="239"/>
        <v>69.899999999999935</v>
      </c>
      <c r="L88">
        <f t="shared" si="239"/>
        <v>53.500000000000064</v>
      </c>
      <c r="M88">
        <f t="shared" si="239"/>
        <v>50.00000000000005</v>
      </c>
      <c r="N88">
        <f t="shared" si="239"/>
        <v>46.500000000000036</v>
      </c>
      <c r="O88">
        <f t="shared" si="239"/>
        <v>-1</v>
      </c>
      <c r="P88">
        <f t="shared" si="239"/>
        <v>-1</v>
      </c>
      <c r="Q88">
        <f t="shared" si="239"/>
        <v>75</v>
      </c>
      <c r="R88">
        <f t="shared" si="239"/>
        <v>73</v>
      </c>
      <c r="S88">
        <f t="shared" si="239"/>
        <v>71</v>
      </c>
      <c r="T88">
        <f t="shared" si="239"/>
        <v>-1</v>
      </c>
      <c r="U88">
        <f t="shared" si="239"/>
        <v>-1</v>
      </c>
      <c r="V88">
        <f t="shared" si="239"/>
        <v>-1</v>
      </c>
      <c r="W88">
        <f t="shared" si="239"/>
        <v>-1</v>
      </c>
      <c r="X88">
        <f t="shared" si="239"/>
        <v>-1</v>
      </c>
      <c r="Y88">
        <f t="shared" si="239"/>
        <v>-1</v>
      </c>
      <c r="Z88">
        <f t="shared" si="239"/>
        <v>-1</v>
      </c>
      <c r="AA88">
        <f t="shared" si="239"/>
        <v>75</v>
      </c>
      <c r="AB88">
        <f t="shared" si="239"/>
        <v>72</v>
      </c>
      <c r="AC88">
        <f t="shared" si="239"/>
        <v>-1</v>
      </c>
      <c r="AD88">
        <f t="shared" si="239"/>
        <v>-1</v>
      </c>
      <c r="AE88">
        <f t="shared" si="239"/>
        <v>-1</v>
      </c>
      <c r="AF88">
        <f t="shared" si="239"/>
        <v>-1</v>
      </c>
      <c r="AG88">
        <f t="shared" si="239"/>
        <v>-1</v>
      </c>
      <c r="AH88">
        <f t="shared" si="239"/>
        <v>-1</v>
      </c>
      <c r="AI88">
        <f t="shared" si="239"/>
        <v>46.600000000000065</v>
      </c>
      <c r="AJ88">
        <f t="shared" si="239"/>
        <v>44.20000000000006</v>
      </c>
      <c r="AK88">
        <f t="shared" si="239"/>
        <v>41.800000000000054</v>
      </c>
      <c r="AL88">
        <f t="shared" si="239"/>
        <v>39.400000000000048</v>
      </c>
      <c r="AM88">
        <f t="shared" si="239"/>
        <v>75</v>
      </c>
      <c r="AN88">
        <f t="shared" si="239"/>
        <v>69</v>
      </c>
      <c r="AO88">
        <f t="shared" si="239"/>
        <v>63</v>
      </c>
      <c r="AP88">
        <f t="shared" si="239"/>
        <v>-1</v>
      </c>
      <c r="AQ88">
        <f t="shared" si="239"/>
        <v>-1</v>
      </c>
      <c r="AR88">
        <f t="shared" si="239"/>
        <v>-1</v>
      </c>
      <c r="AS88">
        <f t="shared" si="239"/>
        <v>-1</v>
      </c>
      <c r="AT88">
        <f t="shared" si="239"/>
        <v>-1</v>
      </c>
      <c r="AU88">
        <f t="shared" si="239"/>
        <v>-1</v>
      </c>
      <c r="AV88">
        <f t="shared" si="239"/>
        <v>-1</v>
      </c>
      <c r="AW88">
        <f t="shared" si="239"/>
        <v>75</v>
      </c>
      <c r="AX88">
        <f t="shared" si="239"/>
        <v>69</v>
      </c>
      <c r="AY88">
        <f t="shared" si="239"/>
        <v>-1</v>
      </c>
      <c r="AZ88">
        <f t="shared" si="239"/>
        <v>-1</v>
      </c>
      <c r="BA88">
        <f t="shared" si="239"/>
        <v>-1</v>
      </c>
      <c r="BB88">
        <f t="shared" si="239"/>
        <v>-1</v>
      </c>
      <c r="BC88">
        <f t="shared" si="239"/>
        <v>-1</v>
      </c>
      <c r="BD88">
        <f t="shared" si="239"/>
        <v>-1</v>
      </c>
      <c r="BE88">
        <f t="shared" si="239"/>
        <v>-1</v>
      </c>
      <c r="BF88">
        <f t="shared" si="239"/>
        <v>-1</v>
      </c>
      <c r="BG88">
        <f t="shared" si="239"/>
        <v>-1</v>
      </c>
      <c r="BH88">
        <f t="shared" si="239"/>
        <v>-1</v>
      </c>
      <c r="BI88">
        <f t="shared" si="239"/>
        <v>-1</v>
      </c>
      <c r="BJ88">
        <f t="shared" si="239"/>
        <v>71</v>
      </c>
      <c r="BK88">
        <f t="shared" si="239"/>
        <v>66</v>
      </c>
      <c r="BL88">
        <f t="shared" si="239"/>
        <v>61</v>
      </c>
      <c r="BM88">
        <f t="shared" si="239"/>
        <v>75</v>
      </c>
      <c r="BN88">
        <f t="shared" si="239"/>
        <v>-1</v>
      </c>
      <c r="BO88">
        <f t="shared" si="239"/>
        <v>-1</v>
      </c>
      <c r="BP88">
        <f t="shared" ref="BP88:EA88" si="240">IF(OR(BP87=-1,AND(IF(BP$3&lt;$B88,BP87+BP$6,IF(BP$3=$B88,1,""))&gt;$B$1,BP$3&lt;$B88)),-1,IF(BP$3&lt;$B88,BP87+BP$6,IF(BP$3=$B88,1,"")))</f>
        <v>-1</v>
      </c>
      <c r="BQ88">
        <f t="shared" si="240"/>
        <v>-1</v>
      </c>
      <c r="BR88">
        <f t="shared" si="240"/>
        <v>-1</v>
      </c>
      <c r="BS88">
        <f t="shared" si="240"/>
        <v>-1</v>
      </c>
      <c r="BT88">
        <f t="shared" si="240"/>
        <v>-1</v>
      </c>
      <c r="BU88">
        <f t="shared" si="240"/>
        <v>45.400000000000063</v>
      </c>
      <c r="BV88">
        <f t="shared" si="240"/>
        <v>41.800000000000054</v>
      </c>
      <c r="BW88">
        <f t="shared" si="240"/>
        <v>38.200000000000045</v>
      </c>
      <c r="BX88">
        <f t="shared" si="240"/>
        <v>34.600000000000037</v>
      </c>
      <c r="BY88">
        <f t="shared" si="240"/>
        <v>31.000000000000028</v>
      </c>
      <c r="BZ88">
        <f t="shared" si="240"/>
        <v>27.40000000000002</v>
      </c>
      <c r="CA88">
        <f t="shared" si="240"/>
        <v>23.800000000000011</v>
      </c>
      <c r="CB88">
        <f t="shared" si="240"/>
        <v>20.200000000000003</v>
      </c>
      <c r="CC88">
        <f t="shared" si="240"/>
        <v>16.599999999999994</v>
      </c>
      <c r="CD88">
        <f t="shared" si="240"/>
        <v>12.999999999999995</v>
      </c>
      <c r="CE88">
        <f t="shared" si="240"/>
        <v>9.3999999999999968</v>
      </c>
      <c r="CF88">
        <f t="shared" si="240"/>
        <v>5.7999999999999989</v>
      </c>
      <c r="CG88">
        <f t="shared" si="240"/>
        <v>2.2000000000000002</v>
      </c>
      <c r="CH88" t="str">
        <f t="shared" si="240"/>
        <v/>
      </c>
      <c r="CI88" t="str">
        <f t="shared" si="240"/>
        <v/>
      </c>
      <c r="CJ88" t="str">
        <f t="shared" si="240"/>
        <v/>
      </c>
      <c r="CK88" t="str">
        <f t="shared" si="240"/>
        <v/>
      </c>
      <c r="CL88" t="str">
        <f t="shared" si="240"/>
        <v/>
      </c>
      <c r="CM88" t="str">
        <f t="shared" si="240"/>
        <v/>
      </c>
      <c r="CN88" t="str">
        <f t="shared" si="240"/>
        <v/>
      </c>
      <c r="CO88">
        <f t="shared" si="240"/>
        <v>28</v>
      </c>
      <c r="CP88">
        <f t="shared" si="240"/>
        <v>15</v>
      </c>
      <c r="CQ88">
        <f t="shared" si="240"/>
        <v>-1</v>
      </c>
      <c r="CR88">
        <f t="shared" si="240"/>
        <v>71</v>
      </c>
      <c r="CS88">
        <f t="shared" si="240"/>
        <v>66</v>
      </c>
      <c r="CT88">
        <f t="shared" si="240"/>
        <v>-1</v>
      </c>
      <c r="CU88">
        <f t="shared" si="240"/>
        <v>-1</v>
      </c>
      <c r="CV88">
        <f t="shared" si="240"/>
        <v>-1</v>
      </c>
      <c r="CW88">
        <f t="shared" si="240"/>
        <v>-1</v>
      </c>
      <c r="CX88">
        <f t="shared" si="240"/>
        <v>-1</v>
      </c>
      <c r="CY88">
        <f t="shared" si="240"/>
        <v>-1</v>
      </c>
      <c r="CZ88">
        <f t="shared" si="240"/>
        <v>-1</v>
      </c>
      <c r="DA88">
        <f t="shared" si="240"/>
        <v>-1</v>
      </c>
      <c r="DB88">
        <f t="shared" si="240"/>
        <v>73</v>
      </c>
      <c r="DC88">
        <f t="shared" si="240"/>
        <v>69</v>
      </c>
      <c r="DD88">
        <f t="shared" si="240"/>
        <v>65</v>
      </c>
      <c r="DE88">
        <f t="shared" si="240"/>
        <v>-1</v>
      </c>
      <c r="DF88">
        <f t="shared" si="240"/>
        <v>-1</v>
      </c>
      <c r="DG88">
        <f t="shared" si="240"/>
        <v>-1</v>
      </c>
      <c r="DH88">
        <f t="shared" si="240"/>
        <v>-1</v>
      </c>
      <c r="DI88">
        <f t="shared" si="240"/>
        <v>-1</v>
      </c>
      <c r="DJ88">
        <f t="shared" si="240"/>
        <v>-1</v>
      </c>
      <c r="DK88">
        <f t="shared" si="240"/>
        <v>-1</v>
      </c>
      <c r="DL88">
        <f t="shared" si="240"/>
        <v>-1</v>
      </c>
      <c r="DM88">
        <f t="shared" si="240"/>
        <v>-1</v>
      </c>
      <c r="DN88">
        <f t="shared" si="240"/>
        <v>-1</v>
      </c>
      <c r="DO88">
        <f t="shared" si="240"/>
        <v>-1</v>
      </c>
      <c r="DP88">
        <f t="shared" si="240"/>
        <v>-1</v>
      </c>
      <c r="DQ88">
        <f t="shared" si="240"/>
        <v>-1</v>
      </c>
      <c r="DR88">
        <f t="shared" si="240"/>
        <v>-1</v>
      </c>
      <c r="DS88">
        <f t="shared" si="240"/>
        <v>75</v>
      </c>
      <c r="DT88">
        <f t="shared" si="240"/>
        <v>69</v>
      </c>
      <c r="DU88">
        <f t="shared" si="240"/>
        <v>63</v>
      </c>
      <c r="DV88">
        <f t="shared" si="240"/>
        <v>57</v>
      </c>
      <c r="DW88">
        <f t="shared" si="240"/>
        <v>51</v>
      </c>
      <c r="DX88">
        <f t="shared" si="240"/>
        <v>45</v>
      </c>
      <c r="DY88">
        <f t="shared" si="240"/>
        <v>-1</v>
      </c>
      <c r="DZ88">
        <f t="shared" si="240"/>
        <v>-1</v>
      </c>
      <c r="EA88">
        <f t="shared" si="240"/>
        <v>-1</v>
      </c>
      <c r="EB88">
        <f t="shared" ref="EB88:EO88" si="241">IF(OR(EB87=-1,AND(IF(EB$3&lt;$B88,EB87+EB$6,IF(EB$3=$B88,1,""))&gt;$B$1,EB$3&lt;$B88)),-1,IF(EB$3&lt;$B88,EB87+EB$6,IF(EB$3=$B88,1,"")))</f>
        <v>-1</v>
      </c>
      <c r="EC88">
        <f t="shared" si="241"/>
        <v>-1</v>
      </c>
      <c r="ED88">
        <f t="shared" si="241"/>
        <v>-1</v>
      </c>
      <c r="EE88">
        <f t="shared" si="241"/>
        <v>-1</v>
      </c>
      <c r="EF88">
        <f t="shared" si="241"/>
        <v>-1</v>
      </c>
      <c r="EG88">
        <f t="shared" si="241"/>
        <v>-1</v>
      </c>
      <c r="EH88">
        <f t="shared" si="241"/>
        <v>-1</v>
      </c>
      <c r="EI88">
        <f t="shared" si="241"/>
        <v>-1</v>
      </c>
      <c r="EJ88">
        <f t="shared" si="241"/>
        <v>-1</v>
      </c>
      <c r="EK88">
        <f t="shared" si="241"/>
        <v>-1</v>
      </c>
      <c r="EL88">
        <f t="shared" si="241"/>
        <v>-1</v>
      </c>
      <c r="EM88">
        <f t="shared" si="241"/>
        <v>-1</v>
      </c>
      <c r="EN88">
        <f t="shared" si="241"/>
        <v>-1</v>
      </c>
      <c r="EO88">
        <f t="shared" si="241"/>
        <v>-1</v>
      </c>
    </row>
    <row r="89" spans="1:145" x14ac:dyDescent="0.15">
      <c r="A89" t="e">
        <f t="shared" si="193"/>
        <v>#N/A</v>
      </c>
      <c r="B89" s="218">
        <v>81</v>
      </c>
      <c r="C89">
        <f t="shared" si="193"/>
        <v>-1</v>
      </c>
      <c r="D89">
        <f t="shared" ref="D89:BO89" si="242">IF(OR(D88=-1,AND(IF(D$3&lt;$B89,D88+D$6,IF(D$3=$B89,1,""))&gt;$B$1,D$3&lt;$B89)),-1,IF(D$3&lt;$B89,D88+D$6,IF(D$3=$B89,1,"")))</f>
        <v>-1</v>
      </c>
      <c r="E89">
        <f t="shared" si="242"/>
        <v>-1</v>
      </c>
      <c r="F89">
        <f t="shared" si="242"/>
        <v>74</v>
      </c>
      <c r="G89">
        <f t="shared" si="242"/>
        <v>72</v>
      </c>
      <c r="H89">
        <f t="shared" si="242"/>
        <v>70</v>
      </c>
      <c r="I89">
        <f t="shared" si="242"/>
        <v>-1</v>
      </c>
      <c r="J89">
        <f t="shared" si="242"/>
        <v>-1</v>
      </c>
      <c r="K89">
        <f t="shared" si="242"/>
        <v>71.199999999999932</v>
      </c>
      <c r="L89">
        <f t="shared" si="242"/>
        <v>54.200000000000067</v>
      </c>
      <c r="M89">
        <f t="shared" si="242"/>
        <v>50.700000000000053</v>
      </c>
      <c r="N89">
        <f t="shared" si="242"/>
        <v>47.200000000000038</v>
      </c>
      <c r="O89">
        <f t="shared" si="242"/>
        <v>-1</v>
      </c>
      <c r="P89">
        <f t="shared" si="242"/>
        <v>-1</v>
      </c>
      <c r="Q89">
        <f t="shared" si="242"/>
        <v>-1</v>
      </c>
      <c r="R89">
        <f t="shared" si="242"/>
        <v>74</v>
      </c>
      <c r="S89">
        <f t="shared" si="242"/>
        <v>72</v>
      </c>
      <c r="T89">
        <f t="shared" si="242"/>
        <v>-1</v>
      </c>
      <c r="U89">
        <f t="shared" si="242"/>
        <v>-1</v>
      </c>
      <c r="V89">
        <f t="shared" si="242"/>
        <v>-1</v>
      </c>
      <c r="W89">
        <f t="shared" si="242"/>
        <v>-1</v>
      </c>
      <c r="X89">
        <f t="shared" si="242"/>
        <v>-1</v>
      </c>
      <c r="Y89">
        <f t="shared" si="242"/>
        <v>-1</v>
      </c>
      <c r="Z89">
        <f t="shared" si="242"/>
        <v>-1</v>
      </c>
      <c r="AA89">
        <f t="shared" si="242"/>
        <v>-1</v>
      </c>
      <c r="AB89">
        <f t="shared" si="242"/>
        <v>73</v>
      </c>
      <c r="AC89">
        <f t="shared" si="242"/>
        <v>-1</v>
      </c>
      <c r="AD89">
        <f t="shared" si="242"/>
        <v>-1</v>
      </c>
      <c r="AE89">
        <f t="shared" si="242"/>
        <v>-1</v>
      </c>
      <c r="AF89">
        <f t="shared" si="242"/>
        <v>-1</v>
      </c>
      <c r="AG89">
        <f t="shared" si="242"/>
        <v>-1</v>
      </c>
      <c r="AH89">
        <f t="shared" si="242"/>
        <v>-1</v>
      </c>
      <c r="AI89">
        <f t="shared" si="242"/>
        <v>47.200000000000067</v>
      </c>
      <c r="AJ89">
        <f t="shared" si="242"/>
        <v>44.800000000000061</v>
      </c>
      <c r="AK89">
        <f t="shared" si="242"/>
        <v>42.400000000000055</v>
      </c>
      <c r="AL89">
        <f t="shared" si="242"/>
        <v>40.00000000000005</v>
      </c>
      <c r="AM89">
        <f t="shared" si="242"/>
        <v>-1</v>
      </c>
      <c r="AN89">
        <f t="shared" si="242"/>
        <v>70</v>
      </c>
      <c r="AO89">
        <f t="shared" si="242"/>
        <v>64</v>
      </c>
      <c r="AP89">
        <f t="shared" si="242"/>
        <v>-1</v>
      </c>
      <c r="AQ89">
        <f t="shared" si="242"/>
        <v>-1</v>
      </c>
      <c r="AR89">
        <f t="shared" si="242"/>
        <v>-1</v>
      </c>
      <c r="AS89">
        <f t="shared" si="242"/>
        <v>-1</v>
      </c>
      <c r="AT89">
        <f t="shared" si="242"/>
        <v>-1</v>
      </c>
      <c r="AU89">
        <f t="shared" si="242"/>
        <v>-1</v>
      </c>
      <c r="AV89">
        <f t="shared" si="242"/>
        <v>-1</v>
      </c>
      <c r="AW89">
        <f t="shared" si="242"/>
        <v>-1</v>
      </c>
      <c r="AX89">
        <f t="shared" si="242"/>
        <v>70</v>
      </c>
      <c r="AY89">
        <f t="shared" si="242"/>
        <v>-1</v>
      </c>
      <c r="AZ89">
        <f t="shared" si="242"/>
        <v>-1</v>
      </c>
      <c r="BA89">
        <f t="shared" si="242"/>
        <v>-1</v>
      </c>
      <c r="BB89">
        <f t="shared" si="242"/>
        <v>-1</v>
      </c>
      <c r="BC89">
        <f t="shared" si="242"/>
        <v>-1</v>
      </c>
      <c r="BD89">
        <f t="shared" si="242"/>
        <v>-1</v>
      </c>
      <c r="BE89">
        <f t="shared" si="242"/>
        <v>-1</v>
      </c>
      <c r="BF89">
        <f t="shared" si="242"/>
        <v>-1</v>
      </c>
      <c r="BG89">
        <f t="shared" si="242"/>
        <v>-1</v>
      </c>
      <c r="BH89">
        <f t="shared" si="242"/>
        <v>-1</v>
      </c>
      <c r="BI89">
        <f t="shared" si="242"/>
        <v>-1</v>
      </c>
      <c r="BJ89">
        <f t="shared" si="242"/>
        <v>72</v>
      </c>
      <c r="BK89">
        <f t="shared" si="242"/>
        <v>67</v>
      </c>
      <c r="BL89">
        <f t="shared" si="242"/>
        <v>62</v>
      </c>
      <c r="BM89">
        <f t="shared" si="242"/>
        <v>-1</v>
      </c>
      <c r="BN89">
        <f t="shared" si="242"/>
        <v>-1</v>
      </c>
      <c r="BO89">
        <f t="shared" si="242"/>
        <v>-1</v>
      </c>
      <c r="BP89">
        <f t="shared" ref="BP89:EA89" si="243">IF(OR(BP88=-1,AND(IF(BP$3&lt;$B89,BP88+BP$6,IF(BP$3=$B89,1,""))&gt;$B$1,BP$3&lt;$B89)),-1,IF(BP$3&lt;$B89,BP88+BP$6,IF(BP$3=$B89,1,"")))</f>
        <v>-1</v>
      </c>
      <c r="BQ89">
        <f t="shared" si="243"/>
        <v>-1</v>
      </c>
      <c r="BR89">
        <f t="shared" si="243"/>
        <v>-1</v>
      </c>
      <c r="BS89">
        <f t="shared" si="243"/>
        <v>-1</v>
      </c>
      <c r="BT89">
        <f t="shared" si="243"/>
        <v>-1</v>
      </c>
      <c r="BU89">
        <f t="shared" si="243"/>
        <v>46.000000000000064</v>
      </c>
      <c r="BV89">
        <f t="shared" si="243"/>
        <v>42.400000000000055</v>
      </c>
      <c r="BW89">
        <f t="shared" si="243"/>
        <v>38.800000000000047</v>
      </c>
      <c r="BX89">
        <f t="shared" si="243"/>
        <v>35.200000000000038</v>
      </c>
      <c r="BY89">
        <f t="shared" si="243"/>
        <v>31.60000000000003</v>
      </c>
      <c r="BZ89">
        <f t="shared" si="243"/>
        <v>28.000000000000021</v>
      </c>
      <c r="CA89">
        <f t="shared" si="243"/>
        <v>24.400000000000013</v>
      </c>
      <c r="CB89">
        <f t="shared" si="243"/>
        <v>20.800000000000004</v>
      </c>
      <c r="CC89">
        <f t="shared" si="243"/>
        <v>17.199999999999996</v>
      </c>
      <c r="CD89">
        <f t="shared" si="243"/>
        <v>13.599999999999994</v>
      </c>
      <c r="CE89">
        <f t="shared" si="243"/>
        <v>9.9999999999999964</v>
      </c>
      <c r="CF89">
        <f t="shared" si="243"/>
        <v>6.3999999999999986</v>
      </c>
      <c r="CG89">
        <f t="shared" si="243"/>
        <v>2.8000000000000003</v>
      </c>
      <c r="CH89" t="str">
        <f t="shared" si="243"/>
        <v/>
      </c>
      <c r="CI89" t="str">
        <f t="shared" si="243"/>
        <v/>
      </c>
      <c r="CJ89" t="str">
        <f t="shared" si="243"/>
        <v/>
      </c>
      <c r="CK89" t="str">
        <f t="shared" si="243"/>
        <v/>
      </c>
      <c r="CL89" t="str">
        <f t="shared" si="243"/>
        <v/>
      </c>
      <c r="CM89" t="str">
        <f t="shared" si="243"/>
        <v/>
      </c>
      <c r="CN89" t="str">
        <f t="shared" si="243"/>
        <v/>
      </c>
      <c r="CO89">
        <f t="shared" si="243"/>
        <v>28.5</v>
      </c>
      <c r="CP89">
        <f t="shared" si="243"/>
        <v>15.5</v>
      </c>
      <c r="CQ89">
        <f t="shared" si="243"/>
        <v>-1</v>
      </c>
      <c r="CR89">
        <f t="shared" si="243"/>
        <v>72</v>
      </c>
      <c r="CS89">
        <f t="shared" si="243"/>
        <v>67</v>
      </c>
      <c r="CT89">
        <f t="shared" si="243"/>
        <v>-1</v>
      </c>
      <c r="CU89">
        <f t="shared" si="243"/>
        <v>-1</v>
      </c>
      <c r="CV89">
        <f t="shared" si="243"/>
        <v>-1</v>
      </c>
      <c r="CW89">
        <f t="shared" si="243"/>
        <v>-1</v>
      </c>
      <c r="CX89">
        <f t="shared" si="243"/>
        <v>-1</v>
      </c>
      <c r="CY89">
        <f t="shared" si="243"/>
        <v>-1</v>
      </c>
      <c r="CZ89">
        <f t="shared" si="243"/>
        <v>-1</v>
      </c>
      <c r="DA89">
        <f t="shared" si="243"/>
        <v>-1</v>
      </c>
      <c r="DB89">
        <f t="shared" si="243"/>
        <v>74</v>
      </c>
      <c r="DC89">
        <f t="shared" si="243"/>
        <v>70</v>
      </c>
      <c r="DD89">
        <f t="shared" si="243"/>
        <v>66</v>
      </c>
      <c r="DE89">
        <f t="shared" si="243"/>
        <v>-1</v>
      </c>
      <c r="DF89">
        <f t="shared" si="243"/>
        <v>-1</v>
      </c>
      <c r="DG89">
        <f t="shared" si="243"/>
        <v>-1</v>
      </c>
      <c r="DH89">
        <f t="shared" si="243"/>
        <v>-1</v>
      </c>
      <c r="DI89">
        <f t="shared" si="243"/>
        <v>-1</v>
      </c>
      <c r="DJ89">
        <f t="shared" si="243"/>
        <v>-1</v>
      </c>
      <c r="DK89">
        <f t="shared" si="243"/>
        <v>-1</v>
      </c>
      <c r="DL89">
        <f t="shared" si="243"/>
        <v>-1</v>
      </c>
      <c r="DM89">
        <f t="shared" si="243"/>
        <v>-1</v>
      </c>
      <c r="DN89">
        <f t="shared" si="243"/>
        <v>-1</v>
      </c>
      <c r="DO89">
        <f t="shared" si="243"/>
        <v>-1</v>
      </c>
      <c r="DP89">
        <f t="shared" si="243"/>
        <v>-1</v>
      </c>
      <c r="DQ89">
        <f t="shared" si="243"/>
        <v>-1</v>
      </c>
      <c r="DR89">
        <f t="shared" si="243"/>
        <v>-1</v>
      </c>
      <c r="DS89">
        <f t="shared" si="243"/>
        <v>-1</v>
      </c>
      <c r="DT89">
        <f t="shared" si="243"/>
        <v>70</v>
      </c>
      <c r="DU89">
        <f t="shared" si="243"/>
        <v>64</v>
      </c>
      <c r="DV89">
        <f t="shared" si="243"/>
        <v>58</v>
      </c>
      <c r="DW89">
        <f t="shared" si="243"/>
        <v>52</v>
      </c>
      <c r="DX89">
        <f t="shared" si="243"/>
        <v>46</v>
      </c>
      <c r="DY89">
        <f t="shared" si="243"/>
        <v>-1</v>
      </c>
      <c r="DZ89">
        <f t="shared" si="243"/>
        <v>-1</v>
      </c>
      <c r="EA89">
        <f t="shared" si="243"/>
        <v>-1</v>
      </c>
      <c r="EB89">
        <f t="shared" ref="EB89:EO89" si="244">IF(OR(EB88=-1,AND(IF(EB$3&lt;$B89,EB88+EB$6,IF(EB$3=$B89,1,""))&gt;$B$1,EB$3&lt;$B89)),-1,IF(EB$3&lt;$B89,EB88+EB$6,IF(EB$3=$B89,1,"")))</f>
        <v>-1</v>
      </c>
      <c r="EC89">
        <f t="shared" si="244"/>
        <v>-1</v>
      </c>
      <c r="ED89">
        <f t="shared" si="244"/>
        <v>-1</v>
      </c>
      <c r="EE89">
        <f t="shared" si="244"/>
        <v>-1</v>
      </c>
      <c r="EF89">
        <f t="shared" si="244"/>
        <v>-1</v>
      </c>
      <c r="EG89">
        <f t="shared" si="244"/>
        <v>-1</v>
      </c>
      <c r="EH89">
        <f t="shared" si="244"/>
        <v>-1</v>
      </c>
      <c r="EI89">
        <f t="shared" si="244"/>
        <v>-1</v>
      </c>
      <c r="EJ89">
        <f t="shared" si="244"/>
        <v>-1</v>
      </c>
      <c r="EK89">
        <f t="shared" si="244"/>
        <v>-1</v>
      </c>
      <c r="EL89">
        <f t="shared" si="244"/>
        <v>-1</v>
      </c>
      <c r="EM89">
        <f t="shared" si="244"/>
        <v>-1</v>
      </c>
      <c r="EN89">
        <f t="shared" si="244"/>
        <v>-1</v>
      </c>
      <c r="EO89">
        <f t="shared" si="244"/>
        <v>-1</v>
      </c>
    </row>
    <row r="90" spans="1:145" x14ac:dyDescent="0.15">
      <c r="A90" t="e">
        <f t="shared" si="193"/>
        <v>#N/A</v>
      </c>
      <c r="B90" s="218">
        <v>82</v>
      </c>
      <c r="C90">
        <f t="shared" si="193"/>
        <v>-1</v>
      </c>
      <c r="D90">
        <f t="shared" ref="D90:BO90" si="245">IF(OR(D89=-1,AND(IF(D$3&lt;$B90,D89+D$6,IF(D$3=$B90,1,""))&gt;$B$1,D$3&lt;$B90)),-1,IF(D$3&lt;$B90,D89+D$6,IF(D$3=$B90,1,"")))</f>
        <v>-1</v>
      </c>
      <c r="E90">
        <f t="shared" si="245"/>
        <v>-1</v>
      </c>
      <c r="F90">
        <f t="shared" si="245"/>
        <v>75</v>
      </c>
      <c r="G90">
        <f t="shared" si="245"/>
        <v>73</v>
      </c>
      <c r="H90">
        <f t="shared" si="245"/>
        <v>71</v>
      </c>
      <c r="I90">
        <f t="shared" si="245"/>
        <v>-1</v>
      </c>
      <c r="J90">
        <f t="shared" si="245"/>
        <v>-1</v>
      </c>
      <c r="K90">
        <f t="shared" si="245"/>
        <v>72.499999999999929</v>
      </c>
      <c r="L90">
        <f t="shared" si="245"/>
        <v>54.90000000000007</v>
      </c>
      <c r="M90">
        <f t="shared" si="245"/>
        <v>51.400000000000055</v>
      </c>
      <c r="N90">
        <f t="shared" si="245"/>
        <v>47.900000000000041</v>
      </c>
      <c r="O90">
        <f t="shared" si="245"/>
        <v>-1</v>
      </c>
      <c r="P90">
        <f t="shared" si="245"/>
        <v>-1</v>
      </c>
      <c r="Q90">
        <f t="shared" si="245"/>
        <v>-1</v>
      </c>
      <c r="R90">
        <f t="shared" si="245"/>
        <v>75</v>
      </c>
      <c r="S90">
        <f t="shared" si="245"/>
        <v>73</v>
      </c>
      <c r="T90">
        <f t="shared" si="245"/>
        <v>-1</v>
      </c>
      <c r="U90">
        <f t="shared" si="245"/>
        <v>-1</v>
      </c>
      <c r="V90">
        <f t="shared" si="245"/>
        <v>-1</v>
      </c>
      <c r="W90">
        <f t="shared" si="245"/>
        <v>-1</v>
      </c>
      <c r="X90">
        <f t="shared" si="245"/>
        <v>-1</v>
      </c>
      <c r="Y90">
        <f t="shared" si="245"/>
        <v>-1</v>
      </c>
      <c r="Z90">
        <f t="shared" si="245"/>
        <v>-1</v>
      </c>
      <c r="AA90">
        <f t="shared" si="245"/>
        <v>-1</v>
      </c>
      <c r="AB90">
        <f t="shared" si="245"/>
        <v>74</v>
      </c>
      <c r="AC90">
        <f t="shared" si="245"/>
        <v>-1</v>
      </c>
      <c r="AD90">
        <f t="shared" si="245"/>
        <v>-1</v>
      </c>
      <c r="AE90">
        <f t="shared" si="245"/>
        <v>-1</v>
      </c>
      <c r="AF90">
        <f t="shared" si="245"/>
        <v>-1</v>
      </c>
      <c r="AG90">
        <f t="shared" si="245"/>
        <v>-1</v>
      </c>
      <c r="AH90">
        <f t="shared" si="245"/>
        <v>-1</v>
      </c>
      <c r="AI90">
        <f t="shared" si="245"/>
        <v>47.800000000000068</v>
      </c>
      <c r="AJ90">
        <f t="shared" si="245"/>
        <v>45.400000000000063</v>
      </c>
      <c r="AK90">
        <f t="shared" si="245"/>
        <v>43.000000000000057</v>
      </c>
      <c r="AL90">
        <f t="shared" si="245"/>
        <v>40.600000000000051</v>
      </c>
      <c r="AM90">
        <f t="shared" si="245"/>
        <v>-1</v>
      </c>
      <c r="AN90">
        <f t="shared" si="245"/>
        <v>71</v>
      </c>
      <c r="AO90">
        <f t="shared" si="245"/>
        <v>65</v>
      </c>
      <c r="AP90">
        <f t="shared" si="245"/>
        <v>-1</v>
      </c>
      <c r="AQ90">
        <f t="shared" si="245"/>
        <v>-1</v>
      </c>
      <c r="AR90">
        <f t="shared" si="245"/>
        <v>-1</v>
      </c>
      <c r="AS90">
        <f t="shared" si="245"/>
        <v>-1</v>
      </c>
      <c r="AT90">
        <f t="shared" si="245"/>
        <v>-1</v>
      </c>
      <c r="AU90">
        <f t="shared" si="245"/>
        <v>-1</v>
      </c>
      <c r="AV90">
        <f t="shared" si="245"/>
        <v>-1</v>
      </c>
      <c r="AW90">
        <f t="shared" si="245"/>
        <v>-1</v>
      </c>
      <c r="AX90">
        <f t="shared" si="245"/>
        <v>71</v>
      </c>
      <c r="AY90">
        <f t="shared" si="245"/>
        <v>-1</v>
      </c>
      <c r="AZ90">
        <f t="shared" si="245"/>
        <v>-1</v>
      </c>
      <c r="BA90">
        <f t="shared" si="245"/>
        <v>-1</v>
      </c>
      <c r="BB90">
        <f t="shared" si="245"/>
        <v>-1</v>
      </c>
      <c r="BC90">
        <f t="shared" si="245"/>
        <v>-1</v>
      </c>
      <c r="BD90">
        <f t="shared" si="245"/>
        <v>-1</v>
      </c>
      <c r="BE90">
        <f t="shared" si="245"/>
        <v>-1</v>
      </c>
      <c r="BF90">
        <f t="shared" si="245"/>
        <v>-1</v>
      </c>
      <c r="BG90">
        <f t="shared" si="245"/>
        <v>-1</v>
      </c>
      <c r="BH90">
        <f t="shared" si="245"/>
        <v>-1</v>
      </c>
      <c r="BI90">
        <f t="shared" si="245"/>
        <v>-1</v>
      </c>
      <c r="BJ90">
        <f t="shared" si="245"/>
        <v>73</v>
      </c>
      <c r="BK90">
        <f t="shared" si="245"/>
        <v>68</v>
      </c>
      <c r="BL90">
        <f t="shared" si="245"/>
        <v>63</v>
      </c>
      <c r="BM90">
        <f t="shared" si="245"/>
        <v>-1</v>
      </c>
      <c r="BN90">
        <f t="shared" si="245"/>
        <v>-1</v>
      </c>
      <c r="BO90">
        <f t="shared" si="245"/>
        <v>-1</v>
      </c>
      <c r="BP90">
        <f t="shared" ref="BP90:EA90" si="246">IF(OR(BP89=-1,AND(IF(BP$3&lt;$B90,BP89+BP$6,IF(BP$3=$B90,1,""))&gt;$B$1,BP$3&lt;$B90)),-1,IF(BP$3&lt;$B90,BP89+BP$6,IF(BP$3=$B90,1,"")))</f>
        <v>-1</v>
      </c>
      <c r="BQ90">
        <f t="shared" si="246"/>
        <v>-1</v>
      </c>
      <c r="BR90">
        <f t="shared" si="246"/>
        <v>-1</v>
      </c>
      <c r="BS90">
        <f t="shared" si="246"/>
        <v>-1</v>
      </c>
      <c r="BT90">
        <f t="shared" si="246"/>
        <v>-1</v>
      </c>
      <c r="BU90">
        <f t="shared" si="246"/>
        <v>46.600000000000065</v>
      </c>
      <c r="BV90">
        <f t="shared" si="246"/>
        <v>43.000000000000057</v>
      </c>
      <c r="BW90">
        <f t="shared" si="246"/>
        <v>39.400000000000048</v>
      </c>
      <c r="BX90">
        <f t="shared" si="246"/>
        <v>35.80000000000004</v>
      </c>
      <c r="BY90">
        <f t="shared" si="246"/>
        <v>32.200000000000031</v>
      </c>
      <c r="BZ90">
        <f t="shared" si="246"/>
        <v>28.600000000000023</v>
      </c>
      <c r="CA90">
        <f t="shared" si="246"/>
        <v>25.000000000000014</v>
      </c>
      <c r="CB90">
        <f t="shared" si="246"/>
        <v>21.400000000000006</v>
      </c>
      <c r="CC90">
        <f t="shared" si="246"/>
        <v>17.799999999999997</v>
      </c>
      <c r="CD90">
        <f t="shared" si="246"/>
        <v>14.199999999999994</v>
      </c>
      <c r="CE90">
        <f t="shared" si="246"/>
        <v>10.599999999999996</v>
      </c>
      <c r="CF90">
        <f t="shared" si="246"/>
        <v>6.9999999999999982</v>
      </c>
      <c r="CG90">
        <f t="shared" si="246"/>
        <v>3.4000000000000004</v>
      </c>
      <c r="CH90" t="str">
        <f t="shared" si="246"/>
        <v/>
      </c>
      <c r="CI90" t="str">
        <f t="shared" si="246"/>
        <v/>
      </c>
      <c r="CJ90" t="str">
        <f t="shared" si="246"/>
        <v/>
      </c>
      <c r="CK90" t="str">
        <f t="shared" si="246"/>
        <v/>
      </c>
      <c r="CL90" t="str">
        <f t="shared" si="246"/>
        <v/>
      </c>
      <c r="CM90" t="str">
        <f t="shared" si="246"/>
        <v/>
      </c>
      <c r="CN90" t="str">
        <f t="shared" si="246"/>
        <v/>
      </c>
      <c r="CO90">
        <f t="shared" si="246"/>
        <v>29</v>
      </c>
      <c r="CP90">
        <f t="shared" si="246"/>
        <v>16</v>
      </c>
      <c r="CQ90">
        <f t="shared" si="246"/>
        <v>-1</v>
      </c>
      <c r="CR90">
        <f t="shared" si="246"/>
        <v>73</v>
      </c>
      <c r="CS90">
        <f t="shared" si="246"/>
        <v>68</v>
      </c>
      <c r="CT90">
        <f t="shared" si="246"/>
        <v>-1</v>
      </c>
      <c r="CU90">
        <f t="shared" si="246"/>
        <v>-1</v>
      </c>
      <c r="CV90">
        <f t="shared" si="246"/>
        <v>-1</v>
      </c>
      <c r="CW90">
        <f t="shared" si="246"/>
        <v>-1</v>
      </c>
      <c r="CX90">
        <f t="shared" si="246"/>
        <v>-1</v>
      </c>
      <c r="CY90">
        <f t="shared" si="246"/>
        <v>-1</v>
      </c>
      <c r="CZ90">
        <f t="shared" si="246"/>
        <v>-1</v>
      </c>
      <c r="DA90">
        <f t="shared" si="246"/>
        <v>-1</v>
      </c>
      <c r="DB90">
        <f t="shared" si="246"/>
        <v>75</v>
      </c>
      <c r="DC90">
        <f t="shared" si="246"/>
        <v>71</v>
      </c>
      <c r="DD90">
        <f t="shared" si="246"/>
        <v>67</v>
      </c>
      <c r="DE90">
        <f t="shared" si="246"/>
        <v>-1</v>
      </c>
      <c r="DF90">
        <f t="shared" si="246"/>
        <v>-1</v>
      </c>
      <c r="DG90">
        <f t="shared" si="246"/>
        <v>-1</v>
      </c>
      <c r="DH90">
        <f t="shared" si="246"/>
        <v>-1</v>
      </c>
      <c r="DI90">
        <f t="shared" si="246"/>
        <v>-1</v>
      </c>
      <c r="DJ90">
        <f t="shared" si="246"/>
        <v>-1</v>
      </c>
      <c r="DK90">
        <f t="shared" si="246"/>
        <v>-1</v>
      </c>
      <c r="DL90">
        <f t="shared" si="246"/>
        <v>-1</v>
      </c>
      <c r="DM90">
        <f t="shared" si="246"/>
        <v>-1</v>
      </c>
      <c r="DN90">
        <f t="shared" si="246"/>
        <v>-1</v>
      </c>
      <c r="DO90">
        <f t="shared" si="246"/>
        <v>-1</v>
      </c>
      <c r="DP90">
        <f t="shared" si="246"/>
        <v>-1</v>
      </c>
      <c r="DQ90">
        <f t="shared" si="246"/>
        <v>-1</v>
      </c>
      <c r="DR90">
        <f t="shared" si="246"/>
        <v>-1</v>
      </c>
      <c r="DS90">
        <f t="shared" si="246"/>
        <v>-1</v>
      </c>
      <c r="DT90">
        <f t="shared" si="246"/>
        <v>71</v>
      </c>
      <c r="DU90">
        <f t="shared" si="246"/>
        <v>65</v>
      </c>
      <c r="DV90">
        <f t="shared" si="246"/>
        <v>59</v>
      </c>
      <c r="DW90">
        <f t="shared" si="246"/>
        <v>53</v>
      </c>
      <c r="DX90">
        <f t="shared" si="246"/>
        <v>47</v>
      </c>
      <c r="DY90">
        <f t="shared" si="246"/>
        <v>-1</v>
      </c>
      <c r="DZ90">
        <f t="shared" si="246"/>
        <v>-1</v>
      </c>
      <c r="EA90">
        <f t="shared" si="246"/>
        <v>-1</v>
      </c>
      <c r="EB90">
        <f t="shared" ref="EB90:EO90" si="247">IF(OR(EB89=-1,AND(IF(EB$3&lt;$B90,EB89+EB$6,IF(EB$3=$B90,1,""))&gt;$B$1,EB$3&lt;$B90)),-1,IF(EB$3&lt;$B90,EB89+EB$6,IF(EB$3=$B90,1,"")))</f>
        <v>-1</v>
      </c>
      <c r="EC90">
        <f t="shared" si="247"/>
        <v>-1</v>
      </c>
      <c r="ED90">
        <f t="shared" si="247"/>
        <v>-1</v>
      </c>
      <c r="EE90">
        <f t="shared" si="247"/>
        <v>-1</v>
      </c>
      <c r="EF90">
        <f t="shared" si="247"/>
        <v>-1</v>
      </c>
      <c r="EG90">
        <f t="shared" si="247"/>
        <v>-1</v>
      </c>
      <c r="EH90">
        <f t="shared" si="247"/>
        <v>-1</v>
      </c>
      <c r="EI90">
        <f t="shared" si="247"/>
        <v>-1</v>
      </c>
      <c r="EJ90">
        <f t="shared" si="247"/>
        <v>-1</v>
      </c>
      <c r="EK90">
        <f t="shared" si="247"/>
        <v>-1</v>
      </c>
      <c r="EL90">
        <f t="shared" si="247"/>
        <v>-1</v>
      </c>
      <c r="EM90">
        <f t="shared" si="247"/>
        <v>-1</v>
      </c>
      <c r="EN90">
        <f t="shared" si="247"/>
        <v>-1</v>
      </c>
      <c r="EO90">
        <f t="shared" si="247"/>
        <v>-1</v>
      </c>
    </row>
    <row r="91" spans="1:145" x14ac:dyDescent="0.15">
      <c r="A91" t="e">
        <f t="shared" si="193"/>
        <v>#N/A</v>
      </c>
      <c r="B91" s="218">
        <v>83</v>
      </c>
      <c r="C91">
        <f t="shared" si="193"/>
        <v>-1</v>
      </c>
      <c r="D91">
        <f t="shared" ref="D91:BO91" si="248">IF(OR(D90=-1,AND(IF(D$3&lt;$B91,D90+D$6,IF(D$3=$B91,1,""))&gt;$B$1,D$3&lt;$B91)),-1,IF(D$3&lt;$B91,D90+D$6,IF(D$3=$B91,1,"")))</f>
        <v>-1</v>
      </c>
      <c r="E91">
        <f t="shared" si="248"/>
        <v>-1</v>
      </c>
      <c r="F91">
        <f t="shared" si="248"/>
        <v>-1</v>
      </c>
      <c r="G91">
        <f t="shared" si="248"/>
        <v>74</v>
      </c>
      <c r="H91">
        <f t="shared" si="248"/>
        <v>72</v>
      </c>
      <c r="I91">
        <f t="shared" si="248"/>
        <v>-1</v>
      </c>
      <c r="J91">
        <f t="shared" si="248"/>
        <v>-1</v>
      </c>
      <c r="K91">
        <f t="shared" si="248"/>
        <v>73.799999999999926</v>
      </c>
      <c r="L91">
        <f t="shared" si="248"/>
        <v>55.600000000000072</v>
      </c>
      <c r="M91">
        <f t="shared" si="248"/>
        <v>52.100000000000058</v>
      </c>
      <c r="N91">
        <f t="shared" si="248"/>
        <v>48.600000000000044</v>
      </c>
      <c r="O91">
        <f t="shared" si="248"/>
        <v>-1</v>
      </c>
      <c r="P91">
        <f t="shared" si="248"/>
        <v>-1</v>
      </c>
      <c r="Q91">
        <f t="shared" si="248"/>
        <v>-1</v>
      </c>
      <c r="R91">
        <f t="shared" si="248"/>
        <v>-1</v>
      </c>
      <c r="S91">
        <f t="shared" si="248"/>
        <v>74</v>
      </c>
      <c r="T91">
        <f t="shared" si="248"/>
        <v>-1</v>
      </c>
      <c r="U91">
        <f t="shared" si="248"/>
        <v>-1</v>
      </c>
      <c r="V91">
        <f t="shared" si="248"/>
        <v>-1</v>
      </c>
      <c r="W91">
        <f t="shared" si="248"/>
        <v>-1</v>
      </c>
      <c r="X91">
        <f t="shared" si="248"/>
        <v>-1</v>
      </c>
      <c r="Y91">
        <f t="shared" si="248"/>
        <v>-1</v>
      </c>
      <c r="Z91">
        <f t="shared" si="248"/>
        <v>-1</v>
      </c>
      <c r="AA91">
        <f t="shared" si="248"/>
        <v>-1</v>
      </c>
      <c r="AB91">
        <f t="shared" si="248"/>
        <v>75</v>
      </c>
      <c r="AC91">
        <f t="shared" si="248"/>
        <v>-1</v>
      </c>
      <c r="AD91">
        <f t="shared" si="248"/>
        <v>-1</v>
      </c>
      <c r="AE91">
        <f t="shared" si="248"/>
        <v>-1</v>
      </c>
      <c r="AF91">
        <f t="shared" si="248"/>
        <v>-1</v>
      </c>
      <c r="AG91">
        <f t="shared" si="248"/>
        <v>-1</v>
      </c>
      <c r="AH91">
        <f t="shared" si="248"/>
        <v>-1</v>
      </c>
      <c r="AI91">
        <f t="shared" si="248"/>
        <v>48.40000000000007</v>
      </c>
      <c r="AJ91">
        <f t="shared" si="248"/>
        <v>46.000000000000064</v>
      </c>
      <c r="AK91">
        <f t="shared" si="248"/>
        <v>43.600000000000058</v>
      </c>
      <c r="AL91">
        <f t="shared" si="248"/>
        <v>41.200000000000053</v>
      </c>
      <c r="AM91">
        <f t="shared" si="248"/>
        <v>-1</v>
      </c>
      <c r="AN91">
        <f t="shared" si="248"/>
        <v>72</v>
      </c>
      <c r="AO91">
        <f t="shared" si="248"/>
        <v>66</v>
      </c>
      <c r="AP91">
        <f t="shared" si="248"/>
        <v>-1</v>
      </c>
      <c r="AQ91">
        <f t="shared" si="248"/>
        <v>-1</v>
      </c>
      <c r="AR91">
        <f t="shared" si="248"/>
        <v>-1</v>
      </c>
      <c r="AS91">
        <f t="shared" si="248"/>
        <v>-1</v>
      </c>
      <c r="AT91">
        <f t="shared" si="248"/>
        <v>-1</v>
      </c>
      <c r="AU91">
        <f t="shared" si="248"/>
        <v>-1</v>
      </c>
      <c r="AV91">
        <f t="shared" si="248"/>
        <v>-1</v>
      </c>
      <c r="AW91">
        <f t="shared" si="248"/>
        <v>-1</v>
      </c>
      <c r="AX91">
        <f t="shared" si="248"/>
        <v>72</v>
      </c>
      <c r="AY91">
        <f t="shared" si="248"/>
        <v>-1</v>
      </c>
      <c r="AZ91">
        <f t="shared" si="248"/>
        <v>-1</v>
      </c>
      <c r="BA91">
        <f t="shared" si="248"/>
        <v>-1</v>
      </c>
      <c r="BB91">
        <f t="shared" si="248"/>
        <v>-1</v>
      </c>
      <c r="BC91">
        <f t="shared" si="248"/>
        <v>-1</v>
      </c>
      <c r="BD91">
        <f t="shared" si="248"/>
        <v>-1</v>
      </c>
      <c r="BE91">
        <f t="shared" si="248"/>
        <v>-1</v>
      </c>
      <c r="BF91">
        <f t="shared" si="248"/>
        <v>-1</v>
      </c>
      <c r="BG91">
        <f t="shared" si="248"/>
        <v>-1</v>
      </c>
      <c r="BH91">
        <f t="shared" si="248"/>
        <v>-1</v>
      </c>
      <c r="BI91">
        <f t="shared" si="248"/>
        <v>-1</v>
      </c>
      <c r="BJ91">
        <f t="shared" si="248"/>
        <v>74</v>
      </c>
      <c r="BK91">
        <f t="shared" si="248"/>
        <v>69</v>
      </c>
      <c r="BL91">
        <f t="shared" si="248"/>
        <v>64</v>
      </c>
      <c r="BM91">
        <f t="shared" si="248"/>
        <v>-1</v>
      </c>
      <c r="BN91">
        <f t="shared" si="248"/>
        <v>-1</v>
      </c>
      <c r="BO91">
        <f t="shared" si="248"/>
        <v>-1</v>
      </c>
      <c r="BP91">
        <f t="shared" ref="BP91:EA91" si="249">IF(OR(BP90=-1,AND(IF(BP$3&lt;$B91,BP90+BP$6,IF(BP$3=$B91,1,""))&gt;$B$1,BP$3&lt;$B91)),-1,IF(BP$3&lt;$B91,BP90+BP$6,IF(BP$3=$B91,1,"")))</f>
        <v>-1</v>
      </c>
      <c r="BQ91">
        <f t="shared" si="249"/>
        <v>-1</v>
      </c>
      <c r="BR91">
        <f t="shared" si="249"/>
        <v>-1</v>
      </c>
      <c r="BS91">
        <f t="shared" si="249"/>
        <v>-1</v>
      </c>
      <c r="BT91">
        <f t="shared" si="249"/>
        <v>-1</v>
      </c>
      <c r="BU91">
        <f t="shared" si="249"/>
        <v>47.200000000000067</v>
      </c>
      <c r="BV91">
        <f t="shared" si="249"/>
        <v>43.600000000000058</v>
      </c>
      <c r="BW91">
        <f t="shared" si="249"/>
        <v>40.00000000000005</v>
      </c>
      <c r="BX91">
        <f t="shared" si="249"/>
        <v>36.400000000000041</v>
      </c>
      <c r="BY91">
        <f t="shared" si="249"/>
        <v>32.800000000000033</v>
      </c>
      <c r="BZ91">
        <f t="shared" si="249"/>
        <v>29.200000000000024</v>
      </c>
      <c r="CA91">
        <f t="shared" si="249"/>
        <v>25.600000000000016</v>
      </c>
      <c r="CB91">
        <f t="shared" si="249"/>
        <v>22.000000000000007</v>
      </c>
      <c r="CC91">
        <f t="shared" si="249"/>
        <v>18.399999999999999</v>
      </c>
      <c r="CD91">
        <f t="shared" si="249"/>
        <v>14.799999999999994</v>
      </c>
      <c r="CE91">
        <f t="shared" si="249"/>
        <v>11.199999999999996</v>
      </c>
      <c r="CF91">
        <f t="shared" si="249"/>
        <v>7.5999999999999979</v>
      </c>
      <c r="CG91">
        <f t="shared" si="249"/>
        <v>4</v>
      </c>
      <c r="CH91" t="str">
        <f t="shared" si="249"/>
        <v/>
      </c>
      <c r="CI91" t="str">
        <f t="shared" si="249"/>
        <v/>
      </c>
      <c r="CJ91" t="str">
        <f t="shared" si="249"/>
        <v/>
      </c>
      <c r="CK91" t="str">
        <f t="shared" si="249"/>
        <v/>
      </c>
      <c r="CL91" t="str">
        <f t="shared" si="249"/>
        <v/>
      </c>
      <c r="CM91" t="str">
        <f t="shared" si="249"/>
        <v/>
      </c>
      <c r="CN91" t="str">
        <f t="shared" si="249"/>
        <v/>
      </c>
      <c r="CO91">
        <f t="shared" si="249"/>
        <v>29.5</v>
      </c>
      <c r="CP91">
        <f t="shared" si="249"/>
        <v>16.5</v>
      </c>
      <c r="CQ91">
        <f t="shared" si="249"/>
        <v>-1</v>
      </c>
      <c r="CR91">
        <f t="shared" si="249"/>
        <v>74</v>
      </c>
      <c r="CS91">
        <f t="shared" si="249"/>
        <v>69</v>
      </c>
      <c r="CT91">
        <f t="shared" si="249"/>
        <v>-1</v>
      </c>
      <c r="CU91">
        <f t="shared" si="249"/>
        <v>-1</v>
      </c>
      <c r="CV91">
        <f t="shared" si="249"/>
        <v>-1</v>
      </c>
      <c r="CW91">
        <f t="shared" si="249"/>
        <v>-1</v>
      </c>
      <c r="CX91">
        <f t="shared" si="249"/>
        <v>-1</v>
      </c>
      <c r="CY91">
        <f t="shared" si="249"/>
        <v>-1</v>
      </c>
      <c r="CZ91">
        <f t="shared" si="249"/>
        <v>-1</v>
      </c>
      <c r="DA91">
        <f t="shared" si="249"/>
        <v>-1</v>
      </c>
      <c r="DB91">
        <f t="shared" si="249"/>
        <v>-1</v>
      </c>
      <c r="DC91">
        <f t="shared" si="249"/>
        <v>72</v>
      </c>
      <c r="DD91">
        <f t="shared" si="249"/>
        <v>68</v>
      </c>
      <c r="DE91">
        <f t="shared" si="249"/>
        <v>-1</v>
      </c>
      <c r="DF91">
        <f t="shared" si="249"/>
        <v>-1</v>
      </c>
      <c r="DG91">
        <f t="shared" si="249"/>
        <v>-1</v>
      </c>
      <c r="DH91">
        <f t="shared" si="249"/>
        <v>-1</v>
      </c>
      <c r="DI91">
        <f t="shared" si="249"/>
        <v>-1</v>
      </c>
      <c r="DJ91">
        <f t="shared" si="249"/>
        <v>-1</v>
      </c>
      <c r="DK91">
        <f t="shared" si="249"/>
        <v>-1</v>
      </c>
      <c r="DL91">
        <f t="shared" si="249"/>
        <v>-1</v>
      </c>
      <c r="DM91">
        <f t="shared" si="249"/>
        <v>-1</v>
      </c>
      <c r="DN91">
        <f t="shared" si="249"/>
        <v>-1</v>
      </c>
      <c r="DO91">
        <f t="shared" si="249"/>
        <v>-1</v>
      </c>
      <c r="DP91">
        <f t="shared" si="249"/>
        <v>-1</v>
      </c>
      <c r="DQ91">
        <f t="shared" si="249"/>
        <v>-1</v>
      </c>
      <c r="DR91">
        <f t="shared" si="249"/>
        <v>-1</v>
      </c>
      <c r="DS91">
        <f t="shared" si="249"/>
        <v>-1</v>
      </c>
      <c r="DT91">
        <f t="shared" si="249"/>
        <v>72</v>
      </c>
      <c r="DU91">
        <f t="shared" si="249"/>
        <v>66</v>
      </c>
      <c r="DV91">
        <f t="shared" si="249"/>
        <v>60</v>
      </c>
      <c r="DW91">
        <f t="shared" si="249"/>
        <v>54</v>
      </c>
      <c r="DX91">
        <f t="shared" si="249"/>
        <v>48</v>
      </c>
      <c r="DY91">
        <f t="shared" si="249"/>
        <v>-1</v>
      </c>
      <c r="DZ91">
        <f t="shared" si="249"/>
        <v>-1</v>
      </c>
      <c r="EA91">
        <f t="shared" si="249"/>
        <v>-1</v>
      </c>
      <c r="EB91">
        <f t="shared" ref="EB91:EO91" si="250">IF(OR(EB90=-1,AND(IF(EB$3&lt;$B91,EB90+EB$6,IF(EB$3=$B91,1,""))&gt;$B$1,EB$3&lt;$B91)),-1,IF(EB$3&lt;$B91,EB90+EB$6,IF(EB$3=$B91,1,"")))</f>
        <v>-1</v>
      </c>
      <c r="EC91">
        <f t="shared" si="250"/>
        <v>-1</v>
      </c>
      <c r="ED91">
        <f t="shared" si="250"/>
        <v>-1</v>
      </c>
      <c r="EE91">
        <f t="shared" si="250"/>
        <v>-1</v>
      </c>
      <c r="EF91">
        <f t="shared" si="250"/>
        <v>-1</v>
      </c>
      <c r="EG91">
        <f t="shared" si="250"/>
        <v>-1</v>
      </c>
      <c r="EH91">
        <f t="shared" si="250"/>
        <v>-1</v>
      </c>
      <c r="EI91">
        <f t="shared" si="250"/>
        <v>-1</v>
      </c>
      <c r="EJ91">
        <f t="shared" si="250"/>
        <v>-1</v>
      </c>
      <c r="EK91">
        <f t="shared" si="250"/>
        <v>-1</v>
      </c>
      <c r="EL91">
        <f t="shared" si="250"/>
        <v>-1</v>
      </c>
      <c r="EM91">
        <f t="shared" si="250"/>
        <v>-1</v>
      </c>
      <c r="EN91">
        <f t="shared" si="250"/>
        <v>-1</v>
      </c>
      <c r="EO91">
        <f t="shared" si="250"/>
        <v>-1</v>
      </c>
    </row>
    <row r="92" spans="1:145" x14ac:dyDescent="0.15">
      <c r="A92" t="e">
        <f t="shared" si="193"/>
        <v>#N/A</v>
      </c>
      <c r="B92" s="218">
        <v>84</v>
      </c>
      <c r="C92">
        <f t="shared" si="193"/>
        <v>-1</v>
      </c>
      <c r="D92">
        <f t="shared" ref="D92:BO92" si="251">IF(OR(D91=-1,AND(IF(D$3&lt;$B92,D91+D$6,IF(D$3=$B92,1,""))&gt;$B$1,D$3&lt;$B92)),-1,IF(D$3&lt;$B92,D91+D$6,IF(D$3=$B92,1,"")))</f>
        <v>-1</v>
      </c>
      <c r="E92">
        <f t="shared" si="251"/>
        <v>-1</v>
      </c>
      <c r="F92">
        <f t="shared" si="251"/>
        <v>-1</v>
      </c>
      <c r="G92">
        <f t="shared" si="251"/>
        <v>75</v>
      </c>
      <c r="H92">
        <f t="shared" si="251"/>
        <v>73</v>
      </c>
      <c r="I92">
        <f t="shared" si="251"/>
        <v>-1</v>
      </c>
      <c r="J92">
        <f t="shared" si="251"/>
        <v>-1</v>
      </c>
      <c r="K92">
        <f t="shared" si="251"/>
        <v>-1</v>
      </c>
      <c r="L92">
        <f t="shared" si="251"/>
        <v>56.300000000000075</v>
      </c>
      <c r="M92">
        <f t="shared" si="251"/>
        <v>52.800000000000061</v>
      </c>
      <c r="N92">
        <f t="shared" si="251"/>
        <v>49.300000000000047</v>
      </c>
      <c r="O92">
        <f t="shared" si="251"/>
        <v>-1</v>
      </c>
      <c r="P92">
        <f t="shared" si="251"/>
        <v>-1</v>
      </c>
      <c r="Q92">
        <f t="shared" si="251"/>
        <v>-1</v>
      </c>
      <c r="R92">
        <f t="shared" si="251"/>
        <v>-1</v>
      </c>
      <c r="S92">
        <f t="shared" si="251"/>
        <v>75</v>
      </c>
      <c r="T92">
        <f t="shared" si="251"/>
        <v>-1</v>
      </c>
      <c r="U92">
        <f t="shared" si="251"/>
        <v>-1</v>
      </c>
      <c r="V92">
        <f t="shared" si="251"/>
        <v>-1</v>
      </c>
      <c r="W92">
        <f t="shared" si="251"/>
        <v>-1</v>
      </c>
      <c r="X92">
        <f t="shared" si="251"/>
        <v>-1</v>
      </c>
      <c r="Y92">
        <f t="shared" si="251"/>
        <v>-1</v>
      </c>
      <c r="Z92">
        <f t="shared" si="251"/>
        <v>-1</v>
      </c>
      <c r="AA92">
        <f t="shared" si="251"/>
        <v>-1</v>
      </c>
      <c r="AB92">
        <f t="shared" si="251"/>
        <v>-1</v>
      </c>
      <c r="AC92">
        <f t="shared" si="251"/>
        <v>-1</v>
      </c>
      <c r="AD92">
        <f t="shared" si="251"/>
        <v>-1</v>
      </c>
      <c r="AE92">
        <f t="shared" si="251"/>
        <v>-1</v>
      </c>
      <c r="AF92">
        <f t="shared" si="251"/>
        <v>-1</v>
      </c>
      <c r="AG92">
        <f t="shared" si="251"/>
        <v>-1</v>
      </c>
      <c r="AH92">
        <f t="shared" si="251"/>
        <v>-1</v>
      </c>
      <c r="AI92">
        <f t="shared" si="251"/>
        <v>49.000000000000071</v>
      </c>
      <c r="AJ92">
        <f t="shared" si="251"/>
        <v>46.600000000000065</v>
      </c>
      <c r="AK92">
        <f t="shared" si="251"/>
        <v>44.20000000000006</v>
      </c>
      <c r="AL92">
        <f t="shared" si="251"/>
        <v>41.800000000000054</v>
      </c>
      <c r="AM92">
        <f t="shared" si="251"/>
        <v>-1</v>
      </c>
      <c r="AN92">
        <f t="shared" si="251"/>
        <v>73</v>
      </c>
      <c r="AO92">
        <f t="shared" si="251"/>
        <v>67</v>
      </c>
      <c r="AP92">
        <f t="shared" si="251"/>
        <v>-1</v>
      </c>
      <c r="AQ92">
        <f t="shared" si="251"/>
        <v>-1</v>
      </c>
      <c r="AR92">
        <f t="shared" si="251"/>
        <v>-1</v>
      </c>
      <c r="AS92">
        <f t="shared" si="251"/>
        <v>-1</v>
      </c>
      <c r="AT92">
        <f t="shared" si="251"/>
        <v>-1</v>
      </c>
      <c r="AU92">
        <f t="shared" si="251"/>
        <v>-1</v>
      </c>
      <c r="AV92">
        <f t="shared" si="251"/>
        <v>-1</v>
      </c>
      <c r="AW92">
        <f t="shared" si="251"/>
        <v>-1</v>
      </c>
      <c r="AX92">
        <f t="shared" si="251"/>
        <v>73</v>
      </c>
      <c r="AY92">
        <f t="shared" si="251"/>
        <v>-1</v>
      </c>
      <c r="AZ92">
        <f t="shared" si="251"/>
        <v>-1</v>
      </c>
      <c r="BA92">
        <f t="shared" si="251"/>
        <v>-1</v>
      </c>
      <c r="BB92">
        <f t="shared" si="251"/>
        <v>-1</v>
      </c>
      <c r="BC92">
        <f t="shared" si="251"/>
        <v>-1</v>
      </c>
      <c r="BD92">
        <f t="shared" si="251"/>
        <v>-1</v>
      </c>
      <c r="BE92">
        <f t="shared" si="251"/>
        <v>-1</v>
      </c>
      <c r="BF92">
        <f t="shared" si="251"/>
        <v>-1</v>
      </c>
      <c r="BG92">
        <f t="shared" si="251"/>
        <v>-1</v>
      </c>
      <c r="BH92">
        <f t="shared" si="251"/>
        <v>-1</v>
      </c>
      <c r="BI92">
        <f t="shared" si="251"/>
        <v>-1</v>
      </c>
      <c r="BJ92">
        <f t="shared" si="251"/>
        <v>75</v>
      </c>
      <c r="BK92">
        <f t="shared" si="251"/>
        <v>70</v>
      </c>
      <c r="BL92">
        <f t="shared" si="251"/>
        <v>65</v>
      </c>
      <c r="BM92">
        <f t="shared" si="251"/>
        <v>-1</v>
      </c>
      <c r="BN92">
        <f t="shared" si="251"/>
        <v>-1</v>
      </c>
      <c r="BO92">
        <f t="shared" si="251"/>
        <v>-1</v>
      </c>
      <c r="BP92">
        <f t="shared" ref="BP92:EA92" si="252">IF(OR(BP91=-1,AND(IF(BP$3&lt;$B92,BP91+BP$6,IF(BP$3=$B92,1,""))&gt;$B$1,BP$3&lt;$B92)),-1,IF(BP$3&lt;$B92,BP91+BP$6,IF(BP$3=$B92,1,"")))</f>
        <v>-1</v>
      </c>
      <c r="BQ92">
        <f t="shared" si="252"/>
        <v>-1</v>
      </c>
      <c r="BR92">
        <f t="shared" si="252"/>
        <v>-1</v>
      </c>
      <c r="BS92">
        <f t="shared" si="252"/>
        <v>-1</v>
      </c>
      <c r="BT92">
        <f t="shared" si="252"/>
        <v>-1</v>
      </c>
      <c r="BU92">
        <f t="shared" si="252"/>
        <v>47.800000000000068</v>
      </c>
      <c r="BV92">
        <f t="shared" si="252"/>
        <v>44.20000000000006</v>
      </c>
      <c r="BW92">
        <f t="shared" si="252"/>
        <v>40.600000000000051</v>
      </c>
      <c r="BX92">
        <f t="shared" si="252"/>
        <v>37.000000000000043</v>
      </c>
      <c r="BY92">
        <f t="shared" si="252"/>
        <v>33.400000000000034</v>
      </c>
      <c r="BZ92">
        <f t="shared" si="252"/>
        <v>29.800000000000026</v>
      </c>
      <c r="CA92">
        <f t="shared" si="252"/>
        <v>26.200000000000017</v>
      </c>
      <c r="CB92">
        <f t="shared" si="252"/>
        <v>22.600000000000009</v>
      </c>
      <c r="CC92">
        <f t="shared" si="252"/>
        <v>19</v>
      </c>
      <c r="CD92">
        <f t="shared" si="252"/>
        <v>15.399999999999993</v>
      </c>
      <c r="CE92">
        <f t="shared" si="252"/>
        <v>11.799999999999995</v>
      </c>
      <c r="CF92">
        <f t="shared" si="252"/>
        <v>8.1999999999999975</v>
      </c>
      <c r="CG92">
        <f t="shared" si="252"/>
        <v>4.5999999999999996</v>
      </c>
      <c r="CH92">
        <f t="shared" si="252"/>
        <v>1</v>
      </c>
      <c r="CI92" t="str">
        <f t="shared" si="252"/>
        <v/>
      </c>
      <c r="CJ92" t="str">
        <f t="shared" si="252"/>
        <v/>
      </c>
      <c r="CK92" t="str">
        <f t="shared" si="252"/>
        <v/>
      </c>
      <c r="CL92" t="str">
        <f t="shared" si="252"/>
        <v/>
      </c>
      <c r="CM92" t="str">
        <f t="shared" si="252"/>
        <v/>
      </c>
      <c r="CN92" t="str">
        <f t="shared" si="252"/>
        <v/>
      </c>
      <c r="CO92">
        <f t="shared" si="252"/>
        <v>30</v>
      </c>
      <c r="CP92">
        <f t="shared" si="252"/>
        <v>17</v>
      </c>
      <c r="CQ92">
        <f t="shared" si="252"/>
        <v>-1</v>
      </c>
      <c r="CR92">
        <f t="shared" si="252"/>
        <v>75</v>
      </c>
      <c r="CS92">
        <f t="shared" si="252"/>
        <v>70</v>
      </c>
      <c r="CT92">
        <f t="shared" si="252"/>
        <v>-1</v>
      </c>
      <c r="CU92">
        <f t="shared" si="252"/>
        <v>-1</v>
      </c>
      <c r="CV92">
        <f t="shared" si="252"/>
        <v>-1</v>
      </c>
      <c r="CW92">
        <f t="shared" si="252"/>
        <v>-1</v>
      </c>
      <c r="CX92">
        <f t="shared" si="252"/>
        <v>-1</v>
      </c>
      <c r="CY92">
        <f t="shared" si="252"/>
        <v>-1</v>
      </c>
      <c r="CZ92">
        <f t="shared" si="252"/>
        <v>-1</v>
      </c>
      <c r="DA92">
        <f t="shared" si="252"/>
        <v>-1</v>
      </c>
      <c r="DB92">
        <f t="shared" si="252"/>
        <v>-1</v>
      </c>
      <c r="DC92">
        <f t="shared" si="252"/>
        <v>73</v>
      </c>
      <c r="DD92">
        <f t="shared" si="252"/>
        <v>69</v>
      </c>
      <c r="DE92">
        <f t="shared" si="252"/>
        <v>-1</v>
      </c>
      <c r="DF92">
        <f t="shared" si="252"/>
        <v>-1</v>
      </c>
      <c r="DG92">
        <f t="shared" si="252"/>
        <v>-1</v>
      </c>
      <c r="DH92">
        <f t="shared" si="252"/>
        <v>-1</v>
      </c>
      <c r="DI92">
        <f t="shared" si="252"/>
        <v>-1</v>
      </c>
      <c r="DJ92">
        <f t="shared" si="252"/>
        <v>-1</v>
      </c>
      <c r="DK92">
        <f t="shared" si="252"/>
        <v>-1</v>
      </c>
      <c r="DL92">
        <f t="shared" si="252"/>
        <v>-1</v>
      </c>
      <c r="DM92">
        <f t="shared" si="252"/>
        <v>-1</v>
      </c>
      <c r="DN92">
        <f t="shared" si="252"/>
        <v>-1</v>
      </c>
      <c r="DO92">
        <f t="shared" si="252"/>
        <v>-1</v>
      </c>
      <c r="DP92">
        <f t="shared" si="252"/>
        <v>-1</v>
      </c>
      <c r="DQ92">
        <f t="shared" si="252"/>
        <v>-1</v>
      </c>
      <c r="DR92">
        <f t="shared" si="252"/>
        <v>-1</v>
      </c>
      <c r="DS92">
        <f t="shared" si="252"/>
        <v>-1</v>
      </c>
      <c r="DT92">
        <f t="shared" si="252"/>
        <v>73</v>
      </c>
      <c r="DU92">
        <f t="shared" si="252"/>
        <v>67</v>
      </c>
      <c r="DV92">
        <f t="shared" si="252"/>
        <v>61</v>
      </c>
      <c r="DW92">
        <f t="shared" si="252"/>
        <v>55</v>
      </c>
      <c r="DX92">
        <f t="shared" si="252"/>
        <v>49</v>
      </c>
      <c r="DY92">
        <f t="shared" si="252"/>
        <v>-1</v>
      </c>
      <c r="DZ92">
        <f t="shared" si="252"/>
        <v>-1</v>
      </c>
      <c r="EA92">
        <f t="shared" si="252"/>
        <v>-1</v>
      </c>
      <c r="EB92">
        <f t="shared" ref="EB92:EO92" si="253">IF(OR(EB91=-1,AND(IF(EB$3&lt;$B92,EB91+EB$6,IF(EB$3=$B92,1,""))&gt;$B$1,EB$3&lt;$B92)),-1,IF(EB$3&lt;$B92,EB91+EB$6,IF(EB$3=$B92,1,"")))</f>
        <v>-1</v>
      </c>
      <c r="EC92">
        <f t="shared" si="253"/>
        <v>-1</v>
      </c>
      <c r="ED92">
        <f t="shared" si="253"/>
        <v>-1</v>
      </c>
      <c r="EE92">
        <f t="shared" si="253"/>
        <v>-1</v>
      </c>
      <c r="EF92">
        <f t="shared" si="253"/>
        <v>-1</v>
      </c>
      <c r="EG92">
        <f t="shared" si="253"/>
        <v>-1</v>
      </c>
      <c r="EH92">
        <f t="shared" si="253"/>
        <v>-1</v>
      </c>
      <c r="EI92">
        <f t="shared" si="253"/>
        <v>-1</v>
      </c>
      <c r="EJ92">
        <f t="shared" si="253"/>
        <v>-1</v>
      </c>
      <c r="EK92">
        <f t="shared" si="253"/>
        <v>-1</v>
      </c>
      <c r="EL92">
        <f t="shared" si="253"/>
        <v>-1</v>
      </c>
      <c r="EM92">
        <f t="shared" si="253"/>
        <v>-1</v>
      </c>
      <c r="EN92">
        <f t="shared" si="253"/>
        <v>-1</v>
      </c>
      <c r="EO92">
        <f t="shared" si="253"/>
        <v>-1</v>
      </c>
    </row>
    <row r="93" spans="1:145" x14ac:dyDescent="0.15">
      <c r="A93" t="e">
        <f t="shared" si="193"/>
        <v>#N/A</v>
      </c>
      <c r="B93" s="218">
        <v>85</v>
      </c>
      <c r="C93">
        <f t="shared" si="193"/>
        <v>-1</v>
      </c>
      <c r="D93">
        <f t="shared" ref="D93:BO93" si="254">IF(OR(D92=-1,AND(IF(D$3&lt;$B93,D92+D$6,IF(D$3=$B93,1,""))&gt;$B$1,D$3&lt;$B93)),-1,IF(D$3&lt;$B93,D92+D$6,IF(D$3=$B93,1,"")))</f>
        <v>-1</v>
      </c>
      <c r="E93">
        <f t="shared" si="254"/>
        <v>-1</v>
      </c>
      <c r="F93">
        <f t="shared" si="254"/>
        <v>-1</v>
      </c>
      <c r="G93">
        <f t="shared" si="254"/>
        <v>-1</v>
      </c>
      <c r="H93">
        <f t="shared" si="254"/>
        <v>74</v>
      </c>
      <c r="I93">
        <f t="shared" si="254"/>
        <v>-1</v>
      </c>
      <c r="J93">
        <f t="shared" si="254"/>
        <v>-1</v>
      </c>
      <c r="K93">
        <f t="shared" si="254"/>
        <v>-1</v>
      </c>
      <c r="L93">
        <f t="shared" si="254"/>
        <v>57.000000000000078</v>
      </c>
      <c r="M93">
        <f t="shared" si="254"/>
        <v>53.500000000000064</v>
      </c>
      <c r="N93">
        <f t="shared" si="254"/>
        <v>50.00000000000005</v>
      </c>
      <c r="O93">
        <f t="shared" si="254"/>
        <v>-1</v>
      </c>
      <c r="P93">
        <f t="shared" si="254"/>
        <v>-1</v>
      </c>
      <c r="Q93">
        <f t="shared" si="254"/>
        <v>-1</v>
      </c>
      <c r="R93">
        <f t="shared" si="254"/>
        <v>-1</v>
      </c>
      <c r="S93">
        <f t="shared" si="254"/>
        <v>-1</v>
      </c>
      <c r="T93">
        <f t="shared" si="254"/>
        <v>-1</v>
      </c>
      <c r="U93">
        <f t="shared" si="254"/>
        <v>-1</v>
      </c>
      <c r="V93">
        <f t="shared" si="254"/>
        <v>-1</v>
      </c>
      <c r="W93">
        <f t="shared" si="254"/>
        <v>-1</v>
      </c>
      <c r="X93">
        <f t="shared" si="254"/>
        <v>-1</v>
      </c>
      <c r="Y93">
        <f t="shared" si="254"/>
        <v>-1</v>
      </c>
      <c r="Z93">
        <f t="shared" si="254"/>
        <v>-1</v>
      </c>
      <c r="AA93">
        <f t="shared" si="254"/>
        <v>-1</v>
      </c>
      <c r="AB93">
        <f t="shared" si="254"/>
        <v>-1</v>
      </c>
      <c r="AC93">
        <f t="shared" si="254"/>
        <v>-1</v>
      </c>
      <c r="AD93">
        <f t="shared" si="254"/>
        <v>-1</v>
      </c>
      <c r="AE93">
        <f t="shared" si="254"/>
        <v>-1</v>
      </c>
      <c r="AF93">
        <f t="shared" si="254"/>
        <v>-1</v>
      </c>
      <c r="AG93">
        <f t="shared" si="254"/>
        <v>-1</v>
      </c>
      <c r="AH93">
        <f t="shared" si="254"/>
        <v>-1</v>
      </c>
      <c r="AI93">
        <f t="shared" si="254"/>
        <v>49.600000000000072</v>
      </c>
      <c r="AJ93">
        <f t="shared" si="254"/>
        <v>47.200000000000067</v>
      </c>
      <c r="AK93">
        <f t="shared" si="254"/>
        <v>44.800000000000061</v>
      </c>
      <c r="AL93">
        <f t="shared" si="254"/>
        <v>42.400000000000055</v>
      </c>
      <c r="AM93">
        <f t="shared" si="254"/>
        <v>-1</v>
      </c>
      <c r="AN93">
        <f t="shared" si="254"/>
        <v>74</v>
      </c>
      <c r="AO93">
        <f t="shared" si="254"/>
        <v>68</v>
      </c>
      <c r="AP93">
        <f t="shared" si="254"/>
        <v>-1</v>
      </c>
      <c r="AQ93">
        <f t="shared" si="254"/>
        <v>-1</v>
      </c>
      <c r="AR93">
        <f t="shared" si="254"/>
        <v>-1</v>
      </c>
      <c r="AS93">
        <f t="shared" si="254"/>
        <v>-1</v>
      </c>
      <c r="AT93">
        <f t="shared" si="254"/>
        <v>-1</v>
      </c>
      <c r="AU93">
        <f t="shared" si="254"/>
        <v>-1</v>
      </c>
      <c r="AV93">
        <f t="shared" si="254"/>
        <v>-1</v>
      </c>
      <c r="AW93">
        <f t="shared" si="254"/>
        <v>-1</v>
      </c>
      <c r="AX93">
        <f t="shared" si="254"/>
        <v>74</v>
      </c>
      <c r="AY93">
        <f t="shared" si="254"/>
        <v>-1</v>
      </c>
      <c r="AZ93">
        <f t="shared" si="254"/>
        <v>-1</v>
      </c>
      <c r="BA93">
        <f t="shared" si="254"/>
        <v>-1</v>
      </c>
      <c r="BB93">
        <f t="shared" si="254"/>
        <v>-1</v>
      </c>
      <c r="BC93">
        <f t="shared" si="254"/>
        <v>-1</v>
      </c>
      <c r="BD93">
        <f t="shared" si="254"/>
        <v>-1</v>
      </c>
      <c r="BE93">
        <f t="shared" si="254"/>
        <v>-1</v>
      </c>
      <c r="BF93">
        <f t="shared" si="254"/>
        <v>-1</v>
      </c>
      <c r="BG93">
        <f t="shared" si="254"/>
        <v>-1</v>
      </c>
      <c r="BH93">
        <f t="shared" si="254"/>
        <v>-1</v>
      </c>
      <c r="BI93">
        <f t="shared" si="254"/>
        <v>-1</v>
      </c>
      <c r="BJ93">
        <f t="shared" si="254"/>
        <v>-1</v>
      </c>
      <c r="BK93">
        <f t="shared" si="254"/>
        <v>71</v>
      </c>
      <c r="BL93">
        <f t="shared" si="254"/>
        <v>66</v>
      </c>
      <c r="BM93">
        <f t="shared" si="254"/>
        <v>-1</v>
      </c>
      <c r="BN93">
        <f t="shared" si="254"/>
        <v>-1</v>
      </c>
      <c r="BO93">
        <f t="shared" si="254"/>
        <v>-1</v>
      </c>
      <c r="BP93">
        <f t="shared" ref="BP93:EA93" si="255">IF(OR(BP92=-1,AND(IF(BP$3&lt;$B93,BP92+BP$6,IF(BP$3=$B93,1,""))&gt;$B$1,BP$3&lt;$B93)),-1,IF(BP$3&lt;$B93,BP92+BP$6,IF(BP$3=$B93,1,"")))</f>
        <v>-1</v>
      </c>
      <c r="BQ93">
        <f t="shared" si="255"/>
        <v>-1</v>
      </c>
      <c r="BR93">
        <f t="shared" si="255"/>
        <v>-1</v>
      </c>
      <c r="BS93">
        <f t="shared" si="255"/>
        <v>-1</v>
      </c>
      <c r="BT93">
        <f t="shared" si="255"/>
        <v>-1</v>
      </c>
      <c r="BU93">
        <f t="shared" si="255"/>
        <v>48.40000000000007</v>
      </c>
      <c r="BV93">
        <f t="shared" si="255"/>
        <v>44.800000000000061</v>
      </c>
      <c r="BW93">
        <f t="shared" si="255"/>
        <v>41.200000000000053</v>
      </c>
      <c r="BX93">
        <f t="shared" si="255"/>
        <v>37.600000000000044</v>
      </c>
      <c r="BY93">
        <f t="shared" si="255"/>
        <v>34.000000000000036</v>
      </c>
      <c r="BZ93">
        <f t="shared" si="255"/>
        <v>30.400000000000027</v>
      </c>
      <c r="CA93">
        <f t="shared" si="255"/>
        <v>26.800000000000018</v>
      </c>
      <c r="CB93">
        <f t="shared" si="255"/>
        <v>23.20000000000001</v>
      </c>
      <c r="CC93">
        <f t="shared" si="255"/>
        <v>19.600000000000001</v>
      </c>
      <c r="CD93">
        <f t="shared" si="255"/>
        <v>15.999999999999993</v>
      </c>
      <c r="CE93">
        <f t="shared" si="255"/>
        <v>12.399999999999995</v>
      </c>
      <c r="CF93">
        <f t="shared" si="255"/>
        <v>8.7999999999999972</v>
      </c>
      <c r="CG93">
        <f t="shared" si="255"/>
        <v>5.1999999999999993</v>
      </c>
      <c r="CH93">
        <f t="shared" si="255"/>
        <v>1.6</v>
      </c>
      <c r="CI93" t="str">
        <f t="shared" si="255"/>
        <v/>
      </c>
      <c r="CJ93" t="str">
        <f t="shared" si="255"/>
        <v/>
      </c>
      <c r="CK93" t="str">
        <f t="shared" si="255"/>
        <v/>
      </c>
      <c r="CL93" t="str">
        <f t="shared" si="255"/>
        <v/>
      </c>
      <c r="CM93" t="str">
        <f t="shared" si="255"/>
        <v/>
      </c>
      <c r="CN93" t="str">
        <f t="shared" si="255"/>
        <v/>
      </c>
      <c r="CO93">
        <f t="shared" si="255"/>
        <v>30.5</v>
      </c>
      <c r="CP93">
        <f t="shared" si="255"/>
        <v>17.5</v>
      </c>
      <c r="CQ93">
        <f t="shared" si="255"/>
        <v>-1</v>
      </c>
      <c r="CR93">
        <f t="shared" si="255"/>
        <v>-1</v>
      </c>
      <c r="CS93">
        <f t="shared" si="255"/>
        <v>71</v>
      </c>
      <c r="CT93">
        <f t="shared" si="255"/>
        <v>-1</v>
      </c>
      <c r="CU93">
        <f t="shared" si="255"/>
        <v>-1</v>
      </c>
      <c r="CV93">
        <f t="shared" si="255"/>
        <v>-1</v>
      </c>
      <c r="CW93">
        <f t="shared" si="255"/>
        <v>-1</v>
      </c>
      <c r="CX93">
        <f t="shared" si="255"/>
        <v>-1</v>
      </c>
      <c r="CY93">
        <f t="shared" si="255"/>
        <v>-1</v>
      </c>
      <c r="CZ93">
        <f t="shared" si="255"/>
        <v>-1</v>
      </c>
      <c r="DA93">
        <f t="shared" si="255"/>
        <v>-1</v>
      </c>
      <c r="DB93">
        <f t="shared" si="255"/>
        <v>-1</v>
      </c>
      <c r="DC93">
        <f t="shared" si="255"/>
        <v>74</v>
      </c>
      <c r="DD93">
        <f t="shared" si="255"/>
        <v>70</v>
      </c>
      <c r="DE93">
        <f t="shared" si="255"/>
        <v>-1</v>
      </c>
      <c r="DF93">
        <f t="shared" si="255"/>
        <v>-1</v>
      </c>
      <c r="DG93">
        <f t="shared" si="255"/>
        <v>-1</v>
      </c>
      <c r="DH93">
        <f t="shared" si="255"/>
        <v>-1</v>
      </c>
      <c r="DI93">
        <f t="shared" si="255"/>
        <v>-1</v>
      </c>
      <c r="DJ93">
        <f t="shared" si="255"/>
        <v>-1</v>
      </c>
      <c r="DK93">
        <f t="shared" si="255"/>
        <v>-1</v>
      </c>
      <c r="DL93">
        <f t="shared" si="255"/>
        <v>-1</v>
      </c>
      <c r="DM93">
        <f t="shared" si="255"/>
        <v>-1</v>
      </c>
      <c r="DN93">
        <f t="shared" si="255"/>
        <v>-1</v>
      </c>
      <c r="DO93">
        <f t="shared" si="255"/>
        <v>-1</v>
      </c>
      <c r="DP93">
        <f t="shared" si="255"/>
        <v>-1</v>
      </c>
      <c r="DQ93">
        <f t="shared" si="255"/>
        <v>-1</v>
      </c>
      <c r="DR93">
        <f t="shared" si="255"/>
        <v>-1</v>
      </c>
      <c r="DS93">
        <f t="shared" si="255"/>
        <v>-1</v>
      </c>
      <c r="DT93">
        <f t="shared" si="255"/>
        <v>74</v>
      </c>
      <c r="DU93">
        <f t="shared" si="255"/>
        <v>68</v>
      </c>
      <c r="DV93">
        <f t="shared" si="255"/>
        <v>62</v>
      </c>
      <c r="DW93">
        <f t="shared" si="255"/>
        <v>56</v>
      </c>
      <c r="DX93">
        <f t="shared" si="255"/>
        <v>50</v>
      </c>
      <c r="DY93">
        <f t="shared" si="255"/>
        <v>-1</v>
      </c>
      <c r="DZ93">
        <f t="shared" si="255"/>
        <v>-1</v>
      </c>
      <c r="EA93">
        <f t="shared" si="255"/>
        <v>-1</v>
      </c>
      <c r="EB93">
        <f t="shared" ref="EB93:EO93" si="256">IF(OR(EB92=-1,AND(IF(EB$3&lt;$B93,EB92+EB$6,IF(EB$3=$B93,1,""))&gt;$B$1,EB$3&lt;$B93)),-1,IF(EB$3&lt;$B93,EB92+EB$6,IF(EB$3=$B93,1,"")))</f>
        <v>-1</v>
      </c>
      <c r="EC93">
        <f t="shared" si="256"/>
        <v>-1</v>
      </c>
      <c r="ED93">
        <f t="shared" si="256"/>
        <v>-1</v>
      </c>
      <c r="EE93">
        <f t="shared" si="256"/>
        <v>-1</v>
      </c>
      <c r="EF93">
        <f t="shared" si="256"/>
        <v>-1</v>
      </c>
      <c r="EG93">
        <f t="shared" si="256"/>
        <v>-1</v>
      </c>
      <c r="EH93">
        <f t="shared" si="256"/>
        <v>-1</v>
      </c>
      <c r="EI93">
        <f t="shared" si="256"/>
        <v>-1</v>
      </c>
      <c r="EJ93">
        <f t="shared" si="256"/>
        <v>-1</v>
      </c>
      <c r="EK93">
        <f t="shared" si="256"/>
        <v>-1</v>
      </c>
      <c r="EL93">
        <f t="shared" si="256"/>
        <v>-1</v>
      </c>
      <c r="EM93">
        <f t="shared" si="256"/>
        <v>-1</v>
      </c>
      <c r="EN93">
        <f t="shared" si="256"/>
        <v>-1</v>
      </c>
      <c r="EO93">
        <f t="shared" si="256"/>
        <v>-1</v>
      </c>
    </row>
    <row r="94" spans="1:145" x14ac:dyDescent="0.15">
      <c r="A94" t="e">
        <f t="shared" si="193"/>
        <v>#N/A</v>
      </c>
      <c r="B94" s="218">
        <v>86</v>
      </c>
      <c r="C94">
        <f t="shared" si="193"/>
        <v>-1</v>
      </c>
      <c r="D94">
        <f t="shared" ref="D94:BO94" si="257">IF(OR(D93=-1,AND(IF(D$3&lt;$B94,D93+D$6,IF(D$3=$B94,1,""))&gt;$B$1,D$3&lt;$B94)),-1,IF(D$3&lt;$B94,D93+D$6,IF(D$3=$B94,1,"")))</f>
        <v>-1</v>
      </c>
      <c r="E94">
        <f t="shared" si="257"/>
        <v>-1</v>
      </c>
      <c r="F94">
        <f t="shared" si="257"/>
        <v>-1</v>
      </c>
      <c r="G94">
        <f t="shared" si="257"/>
        <v>-1</v>
      </c>
      <c r="H94">
        <f t="shared" si="257"/>
        <v>75</v>
      </c>
      <c r="I94">
        <f t="shared" si="257"/>
        <v>-1</v>
      </c>
      <c r="J94">
        <f t="shared" si="257"/>
        <v>-1</v>
      </c>
      <c r="K94">
        <f t="shared" si="257"/>
        <v>-1</v>
      </c>
      <c r="L94">
        <f t="shared" si="257"/>
        <v>57.700000000000081</v>
      </c>
      <c r="M94">
        <f t="shared" si="257"/>
        <v>54.200000000000067</v>
      </c>
      <c r="N94">
        <f t="shared" si="257"/>
        <v>50.700000000000053</v>
      </c>
      <c r="O94">
        <f t="shared" si="257"/>
        <v>-1</v>
      </c>
      <c r="P94">
        <f t="shared" si="257"/>
        <v>-1</v>
      </c>
      <c r="Q94">
        <f t="shared" si="257"/>
        <v>-1</v>
      </c>
      <c r="R94">
        <f t="shared" si="257"/>
        <v>-1</v>
      </c>
      <c r="S94">
        <f t="shared" si="257"/>
        <v>-1</v>
      </c>
      <c r="T94">
        <f t="shared" si="257"/>
        <v>-1</v>
      </c>
      <c r="U94">
        <f t="shared" si="257"/>
        <v>-1</v>
      </c>
      <c r="V94">
        <f t="shared" si="257"/>
        <v>-1</v>
      </c>
      <c r="W94">
        <f t="shared" si="257"/>
        <v>-1</v>
      </c>
      <c r="X94">
        <f t="shared" si="257"/>
        <v>-1</v>
      </c>
      <c r="Y94">
        <f t="shared" si="257"/>
        <v>-1</v>
      </c>
      <c r="Z94">
        <f t="shared" si="257"/>
        <v>-1</v>
      </c>
      <c r="AA94">
        <f t="shared" si="257"/>
        <v>-1</v>
      </c>
      <c r="AB94">
        <f t="shared" si="257"/>
        <v>-1</v>
      </c>
      <c r="AC94">
        <f t="shared" si="257"/>
        <v>-1</v>
      </c>
      <c r="AD94">
        <f t="shared" si="257"/>
        <v>-1</v>
      </c>
      <c r="AE94">
        <f t="shared" si="257"/>
        <v>-1</v>
      </c>
      <c r="AF94">
        <f t="shared" si="257"/>
        <v>-1</v>
      </c>
      <c r="AG94">
        <f t="shared" si="257"/>
        <v>-1</v>
      </c>
      <c r="AH94">
        <f t="shared" si="257"/>
        <v>-1</v>
      </c>
      <c r="AI94">
        <f t="shared" si="257"/>
        <v>50.200000000000074</v>
      </c>
      <c r="AJ94">
        <f t="shared" si="257"/>
        <v>47.800000000000068</v>
      </c>
      <c r="AK94">
        <f t="shared" si="257"/>
        <v>45.400000000000063</v>
      </c>
      <c r="AL94">
        <f t="shared" si="257"/>
        <v>43.000000000000057</v>
      </c>
      <c r="AM94">
        <f t="shared" si="257"/>
        <v>-1</v>
      </c>
      <c r="AN94">
        <f t="shared" si="257"/>
        <v>75</v>
      </c>
      <c r="AO94">
        <f t="shared" si="257"/>
        <v>69</v>
      </c>
      <c r="AP94">
        <f t="shared" si="257"/>
        <v>-1</v>
      </c>
      <c r="AQ94">
        <f t="shared" si="257"/>
        <v>-1</v>
      </c>
      <c r="AR94">
        <f t="shared" si="257"/>
        <v>-1</v>
      </c>
      <c r="AS94">
        <f t="shared" si="257"/>
        <v>-1</v>
      </c>
      <c r="AT94">
        <f t="shared" si="257"/>
        <v>-1</v>
      </c>
      <c r="AU94">
        <f t="shared" si="257"/>
        <v>-1</v>
      </c>
      <c r="AV94">
        <f t="shared" si="257"/>
        <v>-1</v>
      </c>
      <c r="AW94">
        <f t="shared" si="257"/>
        <v>-1</v>
      </c>
      <c r="AX94">
        <f t="shared" si="257"/>
        <v>75</v>
      </c>
      <c r="AY94">
        <f t="shared" si="257"/>
        <v>-1</v>
      </c>
      <c r="AZ94">
        <f t="shared" si="257"/>
        <v>-1</v>
      </c>
      <c r="BA94">
        <f t="shared" si="257"/>
        <v>-1</v>
      </c>
      <c r="BB94">
        <f t="shared" si="257"/>
        <v>-1</v>
      </c>
      <c r="BC94">
        <f t="shared" si="257"/>
        <v>-1</v>
      </c>
      <c r="BD94">
        <f t="shared" si="257"/>
        <v>-1</v>
      </c>
      <c r="BE94">
        <f t="shared" si="257"/>
        <v>-1</v>
      </c>
      <c r="BF94">
        <f t="shared" si="257"/>
        <v>-1</v>
      </c>
      <c r="BG94">
        <f t="shared" si="257"/>
        <v>-1</v>
      </c>
      <c r="BH94">
        <f t="shared" si="257"/>
        <v>-1</v>
      </c>
      <c r="BI94">
        <f t="shared" si="257"/>
        <v>-1</v>
      </c>
      <c r="BJ94">
        <f t="shared" si="257"/>
        <v>-1</v>
      </c>
      <c r="BK94">
        <f t="shared" si="257"/>
        <v>72</v>
      </c>
      <c r="BL94">
        <f t="shared" si="257"/>
        <v>67</v>
      </c>
      <c r="BM94">
        <f t="shared" si="257"/>
        <v>-1</v>
      </c>
      <c r="BN94">
        <f t="shared" si="257"/>
        <v>-1</v>
      </c>
      <c r="BO94">
        <f t="shared" si="257"/>
        <v>-1</v>
      </c>
      <c r="BP94">
        <f t="shared" ref="BP94:EA94" si="258">IF(OR(BP93=-1,AND(IF(BP$3&lt;$B94,BP93+BP$6,IF(BP$3=$B94,1,""))&gt;$B$1,BP$3&lt;$B94)),-1,IF(BP$3&lt;$B94,BP93+BP$6,IF(BP$3=$B94,1,"")))</f>
        <v>-1</v>
      </c>
      <c r="BQ94">
        <f t="shared" si="258"/>
        <v>-1</v>
      </c>
      <c r="BR94">
        <f t="shared" si="258"/>
        <v>-1</v>
      </c>
      <c r="BS94">
        <f t="shared" si="258"/>
        <v>-1</v>
      </c>
      <c r="BT94">
        <f t="shared" si="258"/>
        <v>-1</v>
      </c>
      <c r="BU94">
        <f t="shared" si="258"/>
        <v>49.000000000000071</v>
      </c>
      <c r="BV94">
        <f t="shared" si="258"/>
        <v>45.400000000000063</v>
      </c>
      <c r="BW94">
        <f t="shared" si="258"/>
        <v>41.800000000000054</v>
      </c>
      <c r="BX94">
        <f t="shared" si="258"/>
        <v>38.200000000000045</v>
      </c>
      <c r="BY94">
        <f t="shared" si="258"/>
        <v>34.600000000000037</v>
      </c>
      <c r="BZ94">
        <f t="shared" si="258"/>
        <v>31.000000000000028</v>
      </c>
      <c r="CA94">
        <f t="shared" si="258"/>
        <v>27.40000000000002</v>
      </c>
      <c r="CB94">
        <f t="shared" si="258"/>
        <v>23.800000000000011</v>
      </c>
      <c r="CC94">
        <f t="shared" si="258"/>
        <v>20.200000000000003</v>
      </c>
      <c r="CD94">
        <f t="shared" si="258"/>
        <v>16.599999999999994</v>
      </c>
      <c r="CE94">
        <f t="shared" si="258"/>
        <v>12.999999999999995</v>
      </c>
      <c r="CF94">
        <f t="shared" si="258"/>
        <v>9.3999999999999968</v>
      </c>
      <c r="CG94">
        <f t="shared" si="258"/>
        <v>5.7999999999999989</v>
      </c>
      <c r="CH94">
        <f t="shared" si="258"/>
        <v>2.2000000000000002</v>
      </c>
      <c r="CI94" t="str">
        <f t="shared" si="258"/>
        <v/>
      </c>
      <c r="CJ94" t="str">
        <f t="shared" si="258"/>
        <v/>
      </c>
      <c r="CK94" t="str">
        <f t="shared" si="258"/>
        <v/>
      </c>
      <c r="CL94" t="str">
        <f t="shared" si="258"/>
        <v/>
      </c>
      <c r="CM94" t="str">
        <f t="shared" si="258"/>
        <v/>
      </c>
      <c r="CN94" t="str">
        <f t="shared" si="258"/>
        <v/>
      </c>
      <c r="CO94">
        <f t="shared" si="258"/>
        <v>31</v>
      </c>
      <c r="CP94">
        <f t="shared" si="258"/>
        <v>18</v>
      </c>
      <c r="CQ94">
        <f t="shared" si="258"/>
        <v>-1</v>
      </c>
      <c r="CR94">
        <f t="shared" si="258"/>
        <v>-1</v>
      </c>
      <c r="CS94">
        <f t="shared" si="258"/>
        <v>72</v>
      </c>
      <c r="CT94">
        <f t="shared" si="258"/>
        <v>-1</v>
      </c>
      <c r="CU94">
        <f t="shared" si="258"/>
        <v>-1</v>
      </c>
      <c r="CV94">
        <f t="shared" si="258"/>
        <v>-1</v>
      </c>
      <c r="CW94">
        <f t="shared" si="258"/>
        <v>-1</v>
      </c>
      <c r="CX94">
        <f t="shared" si="258"/>
        <v>-1</v>
      </c>
      <c r="CY94">
        <f t="shared" si="258"/>
        <v>-1</v>
      </c>
      <c r="CZ94">
        <f t="shared" si="258"/>
        <v>-1</v>
      </c>
      <c r="DA94">
        <f t="shared" si="258"/>
        <v>-1</v>
      </c>
      <c r="DB94">
        <f t="shared" si="258"/>
        <v>-1</v>
      </c>
      <c r="DC94">
        <f t="shared" si="258"/>
        <v>75</v>
      </c>
      <c r="DD94">
        <f t="shared" si="258"/>
        <v>71</v>
      </c>
      <c r="DE94">
        <f t="shared" si="258"/>
        <v>-1</v>
      </c>
      <c r="DF94">
        <f t="shared" si="258"/>
        <v>-1</v>
      </c>
      <c r="DG94">
        <f t="shared" si="258"/>
        <v>-1</v>
      </c>
      <c r="DH94">
        <f t="shared" si="258"/>
        <v>-1</v>
      </c>
      <c r="DI94">
        <f t="shared" si="258"/>
        <v>-1</v>
      </c>
      <c r="DJ94">
        <f t="shared" si="258"/>
        <v>-1</v>
      </c>
      <c r="DK94">
        <f t="shared" si="258"/>
        <v>-1</v>
      </c>
      <c r="DL94">
        <f t="shared" si="258"/>
        <v>-1</v>
      </c>
      <c r="DM94">
        <f t="shared" si="258"/>
        <v>-1</v>
      </c>
      <c r="DN94">
        <f t="shared" si="258"/>
        <v>-1</v>
      </c>
      <c r="DO94">
        <f t="shared" si="258"/>
        <v>-1</v>
      </c>
      <c r="DP94">
        <f t="shared" si="258"/>
        <v>-1</v>
      </c>
      <c r="DQ94">
        <f t="shared" si="258"/>
        <v>-1</v>
      </c>
      <c r="DR94">
        <f t="shared" si="258"/>
        <v>-1</v>
      </c>
      <c r="DS94">
        <f t="shared" si="258"/>
        <v>-1</v>
      </c>
      <c r="DT94">
        <f t="shared" si="258"/>
        <v>75</v>
      </c>
      <c r="DU94">
        <f t="shared" si="258"/>
        <v>69</v>
      </c>
      <c r="DV94">
        <f t="shared" si="258"/>
        <v>63</v>
      </c>
      <c r="DW94">
        <f t="shared" si="258"/>
        <v>57</v>
      </c>
      <c r="DX94">
        <f t="shared" si="258"/>
        <v>51</v>
      </c>
      <c r="DY94">
        <f t="shared" si="258"/>
        <v>-1</v>
      </c>
      <c r="DZ94">
        <f t="shared" si="258"/>
        <v>-1</v>
      </c>
      <c r="EA94">
        <f t="shared" si="258"/>
        <v>-1</v>
      </c>
      <c r="EB94">
        <f t="shared" ref="EB94:EO94" si="259">IF(OR(EB93=-1,AND(IF(EB$3&lt;$B94,EB93+EB$6,IF(EB$3=$B94,1,""))&gt;$B$1,EB$3&lt;$B94)),-1,IF(EB$3&lt;$B94,EB93+EB$6,IF(EB$3=$B94,1,"")))</f>
        <v>-1</v>
      </c>
      <c r="EC94">
        <f t="shared" si="259"/>
        <v>-1</v>
      </c>
      <c r="ED94">
        <f t="shared" si="259"/>
        <v>-1</v>
      </c>
      <c r="EE94">
        <f t="shared" si="259"/>
        <v>-1</v>
      </c>
      <c r="EF94">
        <f t="shared" si="259"/>
        <v>-1</v>
      </c>
      <c r="EG94">
        <f t="shared" si="259"/>
        <v>-1</v>
      </c>
      <c r="EH94">
        <f t="shared" si="259"/>
        <v>-1</v>
      </c>
      <c r="EI94">
        <f t="shared" si="259"/>
        <v>-1</v>
      </c>
      <c r="EJ94">
        <f t="shared" si="259"/>
        <v>-1</v>
      </c>
      <c r="EK94">
        <f t="shared" si="259"/>
        <v>-1</v>
      </c>
      <c r="EL94">
        <f t="shared" si="259"/>
        <v>-1</v>
      </c>
      <c r="EM94">
        <f t="shared" si="259"/>
        <v>-1</v>
      </c>
      <c r="EN94">
        <f t="shared" si="259"/>
        <v>-1</v>
      </c>
      <c r="EO94">
        <f t="shared" si="259"/>
        <v>-1</v>
      </c>
    </row>
    <row r="95" spans="1:145" x14ac:dyDescent="0.15">
      <c r="A95" t="e">
        <f t="shared" si="193"/>
        <v>#N/A</v>
      </c>
      <c r="B95" s="218">
        <v>87</v>
      </c>
      <c r="C95">
        <f t="shared" si="193"/>
        <v>-1</v>
      </c>
      <c r="D95">
        <f t="shared" ref="D95:BO95" si="260">IF(OR(D94=-1,AND(IF(D$3&lt;$B95,D94+D$6,IF(D$3=$B95,1,""))&gt;$B$1,D$3&lt;$B95)),-1,IF(D$3&lt;$B95,D94+D$6,IF(D$3=$B95,1,"")))</f>
        <v>-1</v>
      </c>
      <c r="E95">
        <f t="shared" si="260"/>
        <v>-1</v>
      </c>
      <c r="F95">
        <f t="shared" si="260"/>
        <v>-1</v>
      </c>
      <c r="G95">
        <f t="shared" si="260"/>
        <v>-1</v>
      </c>
      <c r="H95">
        <f t="shared" si="260"/>
        <v>-1</v>
      </c>
      <c r="I95">
        <f t="shared" si="260"/>
        <v>-1</v>
      </c>
      <c r="J95">
        <f t="shared" si="260"/>
        <v>-1</v>
      </c>
      <c r="K95">
        <f t="shared" si="260"/>
        <v>-1</v>
      </c>
      <c r="L95">
        <f t="shared" si="260"/>
        <v>58.400000000000084</v>
      </c>
      <c r="M95">
        <f t="shared" si="260"/>
        <v>54.90000000000007</v>
      </c>
      <c r="N95">
        <f t="shared" si="260"/>
        <v>51.400000000000055</v>
      </c>
      <c r="O95">
        <f t="shared" si="260"/>
        <v>-1</v>
      </c>
      <c r="P95">
        <f t="shared" si="260"/>
        <v>-1</v>
      </c>
      <c r="Q95">
        <f t="shared" si="260"/>
        <v>-1</v>
      </c>
      <c r="R95">
        <f t="shared" si="260"/>
        <v>-1</v>
      </c>
      <c r="S95">
        <f t="shared" si="260"/>
        <v>-1</v>
      </c>
      <c r="T95">
        <f t="shared" si="260"/>
        <v>-1</v>
      </c>
      <c r="U95">
        <f t="shared" si="260"/>
        <v>-1</v>
      </c>
      <c r="V95">
        <f t="shared" si="260"/>
        <v>-1</v>
      </c>
      <c r="W95">
        <f t="shared" si="260"/>
        <v>-1</v>
      </c>
      <c r="X95">
        <f t="shared" si="260"/>
        <v>-1</v>
      </c>
      <c r="Y95">
        <f t="shared" si="260"/>
        <v>-1</v>
      </c>
      <c r="Z95">
        <f t="shared" si="260"/>
        <v>-1</v>
      </c>
      <c r="AA95">
        <f t="shared" si="260"/>
        <v>-1</v>
      </c>
      <c r="AB95">
        <f t="shared" si="260"/>
        <v>-1</v>
      </c>
      <c r="AC95">
        <f t="shared" si="260"/>
        <v>-1</v>
      </c>
      <c r="AD95">
        <f t="shared" si="260"/>
        <v>-1</v>
      </c>
      <c r="AE95">
        <f t="shared" si="260"/>
        <v>-1</v>
      </c>
      <c r="AF95">
        <f t="shared" si="260"/>
        <v>-1</v>
      </c>
      <c r="AG95">
        <f t="shared" si="260"/>
        <v>-1</v>
      </c>
      <c r="AH95">
        <f t="shared" si="260"/>
        <v>-1</v>
      </c>
      <c r="AI95">
        <f t="shared" si="260"/>
        <v>50.800000000000075</v>
      </c>
      <c r="AJ95">
        <f t="shared" si="260"/>
        <v>48.40000000000007</v>
      </c>
      <c r="AK95">
        <f t="shared" si="260"/>
        <v>46.000000000000064</v>
      </c>
      <c r="AL95">
        <f t="shared" si="260"/>
        <v>43.600000000000058</v>
      </c>
      <c r="AM95">
        <f t="shared" si="260"/>
        <v>-1</v>
      </c>
      <c r="AN95">
        <f t="shared" si="260"/>
        <v>-1</v>
      </c>
      <c r="AO95">
        <f t="shared" si="260"/>
        <v>70</v>
      </c>
      <c r="AP95">
        <f t="shared" si="260"/>
        <v>-1</v>
      </c>
      <c r="AQ95">
        <f t="shared" si="260"/>
        <v>-1</v>
      </c>
      <c r="AR95">
        <f t="shared" si="260"/>
        <v>-1</v>
      </c>
      <c r="AS95">
        <f t="shared" si="260"/>
        <v>-1</v>
      </c>
      <c r="AT95">
        <f t="shared" si="260"/>
        <v>-1</v>
      </c>
      <c r="AU95">
        <f t="shared" si="260"/>
        <v>-1</v>
      </c>
      <c r="AV95">
        <f t="shared" si="260"/>
        <v>-1</v>
      </c>
      <c r="AW95">
        <f t="shared" si="260"/>
        <v>-1</v>
      </c>
      <c r="AX95">
        <f t="shared" si="260"/>
        <v>-1</v>
      </c>
      <c r="AY95">
        <f t="shared" si="260"/>
        <v>-1</v>
      </c>
      <c r="AZ95">
        <f t="shared" si="260"/>
        <v>-1</v>
      </c>
      <c r="BA95">
        <f t="shared" si="260"/>
        <v>-1</v>
      </c>
      <c r="BB95">
        <f t="shared" si="260"/>
        <v>-1</v>
      </c>
      <c r="BC95">
        <f t="shared" si="260"/>
        <v>-1</v>
      </c>
      <c r="BD95">
        <f t="shared" si="260"/>
        <v>-1</v>
      </c>
      <c r="BE95">
        <f t="shared" si="260"/>
        <v>-1</v>
      </c>
      <c r="BF95">
        <f t="shared" si="260"/>
        <v>-1</v>
      </c>
      <c r="BG95">
        <f t="shared" si="260"/>
        <v>-1</v>
      </c>
      <c r="BH95">
        <f t="shared" si="260"/>
        <v>-1</v>
      </c>
      <c r="BI95">
        <f t="shared" si="260"/>
        <v>-1</v>
      </c>
      <c r="BJ95">
        <f t="shared" si="260"/>
        <v>-1</v>
      </c>
      <c r="BK95">
        <f t="shared" si="260"/>
        <v>73</v>
      </c>
      <c r="BL95">
        <f t="shared" si="260"/>
        <v>68</v>
      </c>
      <c r="BM95">
        <f t="shared" si="260"/>
        <v>-1</v>
      </c>
      <c r="BN95">
        <f t="shared" si="260"/>
        <v>-1</v>
      </c>
      <c r="BO95">
        <f t="shared" si="260"/>
        <v>-1</v>
      </c>
      <c r="BP95">
        <f t="shared" ref="BP95:EA95" si="261">IF(OR(BP94=-1,AND(IF(BP$3&lt;$B95,BP94+BP$6,IF(BP$3=$B95,1,""))&gt;$B$1,BP$3&lt;$B95)),-1,IF(BP$3&lt;$B95,BP94+BP$6,IF(BP$3=$B95,1,"")))</f>
        <v>-1</v>
      </c>
      <c r="BQ95">
        <f t="shared" si="261"/>
        <v>-1</v>
      </c>
      <c r="BR95">
        <f t="shared" si="261"/>
        <v>-1</v>
      </c>
      <c r="BS95">
        <f t="shared" si="261"/>
        <v>-1</v>
      </c>
      <c r="BT95">
        <f t="shared" si="261"/>
        <v>-1</v>
      </c>
      <c r="BU95">
        <f t="shared" si="261"/>
        <v>49.600000000000072</v>
      </c>
      <c r="BV95">
        <f t="shared" si="261"/>
        <v>46.000000000000064</v>
      </c>
      <c r="BW95">
        <f t="shared" si="261"/>
        <v>42.400000000000055</v>
      </c>
      <c r="BX95">
        <f t="shared" si="261"/>
        <v>38.800000000000047</v>
      </c>
      <c r="BY95">
        <f t="shared" si="261"/>
        <v>35.200000000000038</v>
      </c>
      <c r="BZ95">
        <f t="shared" si="261"/>
        <v>31.60000000000003</v>
      </c>
      <c r="CA95">
        <f t="shared" si="261"/>
        <v>28.000000000000021</v>
      </c>
      <c r="CB95">
        <f t="shared" si="261"/>
        <v>24.400000000000013</v>
      </c>
      <c r="CC95">
        <f t="shared" si="261"/>
        <v>20.800000000000004</v>
      </c>
      <c r="CD95">
        <f t="shared" si="261"/>
        <v>17.199999999999996</v>
      </c>
      <c r="CE95">
        <f t="shared" si="261"/>
        <v>13.599999999999994</v>
      </c>
      <c r="CF95">
        <f t="shared" si="261"/>
        <v>9.9999999999999964</v>
      </c>
      <c r="CG95">
        <f t="shared" si="261"/>
        <v>6.3999999999999986</v>
      </c>
      <c r="CH95">
        <f t="shared" si="261"/>
        <v>2.8000000000000003</v>
      </c>
      <c r="CI95" t="str">
        <f t="shared" si="261"/>
        <v/>
      </c>
      <c r="CJ95" t="str">
        <f t="shared" si="261"/>
        <v/>
      </c>
      <c r="CK95" t="str">
        <f t="shared" si="261"/>
        <v/>
      </c>
      <c r="CL95" t="str">
        <f t="shared" si="261"/>
        <v/>
      </c>
      <c r="CM95" t="str">
        <f t="shared" si="261"/>
        <v/>
      </c>
      <c r="CN95" t="str">
        <f t="shared" si="261"/>
        <v/>
      </c>
      <c r="CO95">
        <f t="shared" si="261"/>
        <v>31.5</v>
      </c>
      <c r="CP95">
        <f t="shared" si="261"/>
        <v>18.5</v>
      </c>
      <c r="CQ95">
        <f t="shared" si="261"/>
        <v>-1</v>
      </c>
      <c r="CR95">
        <f t="shared" si="261"/>
        <v>-1</v>
      </c>
      <c r="CS95">
        <f t="shared" si="261"/>
        <v>73</v>
      </c>
      <c r="CT95">
        <f t="shared" si="261"/>
        <v>-1</v>
      </c>
      <c r="CU95">
        <f t="shared" si="261"/>
        <v>-1</v>
      </c>
      <c r="CV95">
        <f t="shared" si="261"/>
        <v>-1</v>
      </c>
      <c r="CW95">
        <f t="shared" si="261"/>
        <v>-1</v>
      </c>
      <c r="CX95">
        <f t="shared" si="261"/>
        <v>-1</v>
      </c>
      <c r="CY95">
        <f t="shared" si="261"/>
        <v>-1</v>
      </c>
      <c r="CZ95">
        <f t="shared" si="261"/>
        <v>-1</v>
      </c>
      <c r="DA95">
        <f t="shared" si="261"/>
        <v>-1</v>
      </c>
      <c r="DB95">
        <f t="shared" si="261"/>
        <v>-1</v>
      </c>
      <c r="DC95">
        <f t="shared" si="261"/>
        <v>-1</v>
      </c>
      <c r="DD95">
        <f t="shared" si="261"/>
        <v>72</v>
      </c>
      <c r="DE95">
        <f t="shared" si="261"/>
        <v>-1</v>
      </c>
      <c r="DF95">
        <f t="shared" si="261"/>
        <v>-1</v>
      </c>
      <c r="DG95">
        <f t="shared" si="261"/>
        <v>-1</v>
      </c>
      <c r="DH95">
        <f t="shared" si="261"/>
        <v>-1</v>
      </c>
      <c r="DI95">
        <f t="shared" si="261"/>
        <v>-1</v>
      </c>
      <c r="DJ95">
        <f t="shared" si="261"/>
        <v>-1</v>
      </c>
      <c r="DK95">
        <f t="shared" si="261"/>
        <v>-1</v>
      </c>
      <c r="DL95">
        <f t="shared" si="261"/>
        <v>-1</v>
      </c>
      <c r="DM95">
        <f t="shared" si="261"/>
        <v>-1</v>
      </c>
      <c r="DN95">
        <f t="shared" si="261"/>
        <v>-1</v>
      </c>
      <c r="DO95">
        <f t="shared" si="261"/>
        <v>-1</v>
      </c>
      <c r="DP95">
        <f t="shared" si="261"/>
        <v>-1</v>
      </c>
      <c r="DQ95">
        <f t="shared" si="261"/>
        <v>-1</v>
      </c>
      <c r="DR95">
        <f t="shared" si="261"/>
        <v>-1</v>
      </c>
      <c r="DS95">
        <f t="shared" si="261"/>
        <v>-1</v>
      </c>
      <c r="DT95">
        <f t="shared" si="261"/>
        <v>-1</v>
      </c>
      <c r="DU95">
        <f t="shared" si="261"/>
        <v>70</v>
      </c>
      <c r="DV95">
        <f t="shared" si="261"/>
        <v>64</v>
      </c>
      <c r="DW95">
        <f t="shared" si="261"/>
        <v>58</v>
      </c>
      <c r="DX95">
        <f t="shared" si="261"/>
        <v>52</v>
      </c>
      <c r="DY95">
        <f t="shared" si="261"/>
        <v>-1</v>
      </c>
      <c r="DZ95">
        <f t="shared" si="261"/>
        <v>-1</v>
      </c>
      <c r="EA95">
        <f t="shared" si="261"/>
        <v>-1</v>
      </c>
      <c r="EB95">
        <f t="shared" ref="EB95:EO95" si="262">IF(OR(EB94=-1,AND(IF(EB$3&lt;$B95,EB94+EB$6,IF(EB$3=$B95,1,""))&gt;$B$1,EB$3&lt;$B95)),-1,IF(EB$3&lt;$B95,EB94+EB$6,IF(EB$3=$B95,1,"")))</f>
        <v>-1</v>
      </c>
      <c r="EC95">
        <f t="shared" si="262"/>
        <v>-1</v>
      </c>
      <c r="ED95">
        <f t="shared" si="262"/>
        <v>-1</v>
      </c>
      <c r="EE95">
        <f t="shared" si="262"/>
        <v>-1</v>
      </c>
      <c r="EF95">
        <f t="shared" si="262"/>
        <v>-1</v>
      </c>
      <c r="EG95">
        <f t="shared" si="262"/>
        <v>-1</v>
      </c>
      <c r="EH95">
        <f t="shared" si="262"/>
        <v>-1</v>
      </c>
      <c r="EI95">
        <f t="shared" si="262"/>
        <v>-1</v>
      </c>
      <c r="EJ95">
        <f t="shared" si="262"/>
        <v>-1</v>
      </c>
      <c r="EK95">
        <f t="shared" si="262"/>
        <v>-1</v>
      </c>
      <c r="EL95">
        <f t="shared" si="262"/>
        <v>-1</v>
      </c>
      <c r="EM95">
        <f t="shared" si="262"/>
        <v>-1</v>
      </c>
      <c r="EN95">
        <f t="shared" si="262"/>
        <v>-1</v>
      </c>
      <c r="EO95">
        <f t="shared" si="262"/>
        <v>-1</v>
      </c>
    </row>
    <row r="96" spans="1:145" x14ac:dyDescent="0.15">
      <c r="A96" t="e">
        <f t="shared" si="193"/>
        <v>#N/A</v>
      </c>
      <c r="B96" s="218">
        <v>88</v>
      </c>
      <c r="C96">
        <f t="shared" si="193"/>
        <v>-1</v>
      </c>
      <c r="D96">
        <f t="shared" ref="D96:BO96" si="263">IF(OR(D95=-1,AND(IF(D$3&lt;$B96,D95+D$6,IF(D$3=$B96,1,""))&gt;$B$1,D$3&lt;$B96)),-1,IF(D$3&lt;$B96,D95+D$6,IF(D$3=$B96,1,"")))</f>
        <v>-1</v>
      </c>
      <c r="E96">
        <f t="shared" si="263"/>
        <v>-1</v>
      </c>
      <c r="F96">
        <f t="shared" si="263"/>
        <v>-1</v>
      </c>
      <c r="G96">
        <f t="shared" si="263"/>
        <v>-1</v>
      </c>
      <c r="H96">
        <f t="shared" si="263"/>
        <v>-1</v>
      </c>
      <c r="I96">
        <f t="shared" si="263"/>
        <v>-1</v>
      </c>
      <c r="J96">
        <f t="shared" si="263"/>
        <v>-1</v>
      </c>
      <c r="K96">
        <f t="shared" si="263"/>
        <v>-1</v>
      </c>
      <c r="L96">
        <f t="shared" si="263"/>
        <v>59.100000000000087</v>
      </c>
      <c r="M96">
        <f t="shared" si="263"/>
        <v>55.600000000000072</v>
      </c>
      <c r="N96">
        <f t="shared" si="263"/>
        <v>52.100000000000058</v>
      </c>
      <c r="O96">
        <f t="shared" si="263"/>
        <v>-1</v>
      </c>
      <c r="P96">
        <f t="shared" si="263"/>
        <v>-1</v>
      </c>
      <c r="Q96">
        <f t="shared" si="263"/>
        <v>-1</v>
      </c>
      <c r="R96">
        <f t="shared" si="263"/>
        <v>-1</v>
      </c>
      <c r="S96">
        <f t="shared" si="263"/>
        <v>-1</v>
      </c>
      <c r="T96">
        <f t="shared" si="263"/>
        <v>-1</v>
      </c>
      <c r="U96">
        <f t="shared" si="263"/>
        <v>-1</v>
      </c>
      <c r="V96">
        <f t="shared" si="263"/>
        <v>-1</v>
      </c>
      <c r="W96">
        <f t="shared" si="263"/>
        <v>-1</v>
      </c>
      <c r="X96">
        <f t="shared" si="263"/>
        <v>-1</v>
      </c>
      <c r="Y96">
        <f t="shared" si="263"/>
        <v>-1</v>
      </c>
      <c r="Z96">
        <f t="shared" si="263"/>
        <v>-1</v>
      </c>
      <c r="AA96">
        <f t="shared" si="263"/>
        <v>-1</v>
      </c>
      <c r="AB96">
        <f t="shared" si="263"/>
        <v>-1</v>
      </c>
      <c r="AC96">
        <f t="shared" si="263"/>
        <v>-1</v>
      </c>
      <c r="AD96">
        <f t="shared" si="263"/>
        <v>-1</v>
      </c>
      <c r="AE96">
        <f t="shared" si="263"/>
        <v>-1</v>
      </c>
      <c r="AF96">
        <f t="shared" si="263"/>
        <v>-1</v>
      </c>
      <c r="AG96">
        <f t="shared" si="263"/>
        <v>-1</v>
      </c>
      <c r="AH96">
        <f t="shared" si="263"/>
        <v>-1</v>
      </c>
      <c r="AI96">
        <f t="shared" si="263"/>
        <v>51.400000000000077</v>
      </c>
      <c r="AJ96">
        <f t="shared" si="263"/>
        <v>49.000000000000071</v>
      </c>
      <c r="AK96">
        <f t="shared" si="263"/>
        <v>46.600000000000065</v>
      </c>
      <c r="AL96">
        <f t="shared" si="263"/>
        <v>44.20000000000006</v>
      </c>
      <c r="AM96">
        <f t="shared" si="263"/>
        <v>-1</v>
      </c>
      <c r="AN96">
        <f t="shared" si="263"/>
        <v>-1</v>
      </c>
      <c r="AO96">
        <f t="shared" si="263"/>
        <v>71</v>
      </c>
      <c r="AP96">
        <f t="shared" si="263"/>
        <v>-1</v>
      </c>
      <c r="AQ96">
        <f t="shared" si="263"/>
        <v>-1</v>
      </c>
      <c r="AR96">
        <f t="shared" si="263"/>
        <v>-1</v>
      </c>
      <c r="AS96">
        <f t="shared" si="263"/>
        <v>-1</v>
      </c>
      <c r="AT96">
        <f t="shared" si="263"/>
        <v>-1</v>
      </c>
      <c r="AU96">
        <f t="shared" si="263"/>
        <v>-1</v>
      </c>
      <c r="AV96">
        <f t="shared" si="263"/>
        <v>-1</v>
      </c>
      <c r="AW96">
        <f t="shared" si="263"/>
        <v>-1</v>
      </c>
      <c r="AX96">
        <f t="shared" si="263"/>
        <v>-1</v>
      </c>
      <c r="AY96">
        <f t="shared" si="263"/>
        <v>-1</v>
      </c>
      <c r="AZ96">
        <f t="shared" si="263"/>
        <v>-1</v>
      </c>
      <c r="BA96">
        <f t="shared" si="263"/>
        <v>-1</v>
      </c>
      <c r="BB96">
        <f t="shared" si="263"/>
        <v>-1</v>
      </c>
      <c r="BC96">
        <f t="shared" si="263"/>
        <v>-1</v>
      </c>
      <c r="BD96">
        <f t="shared" si="263"/>
        <v>-1</v>
      </c>
      <c r="BE96">
        <f t="shared" si="263"/>
        <v>-1</v>
      </c>
      <c r="BF96">
        <f t="shared" si="263"/>
        <v>-1</v>
      </c>
      <c r="BG96">
        <f t="shared" si="263"/>
        <v>-1</v>
      </c>
      <c r="BH96">
        <f t="shared" si="263"/>
        <v>-1</v>
      </c>
      <c r="BI96">
        <f t="shared" si="263"/>
        <v>-1</v>
      </c>
      <c r="BJ96">
        <f t="shared" si="263"/>
        <v>-1</v>
      </c>
      <c r="BK96">
        <f t="shared" si="263"/>
        <v>74</v>
      </c>
      <c r="BL96">
        <f t="shared" si="263"/>
        <v>69</v>
      </c>
      <c r="BM96">
        <f t="shared" si="263"/>
        <v>-1</v>
      </c>
      <c r="BN96">
        <f t="shared" si="263"/>
        <v>-1</v>
      </c>
      <c r="BO96">
        <f t="shared" si="263"/>
        <v>-1</v>
      </c>
      <c r="BP96">
        <f t="shared" ref="BP96:EA96" si="264">IF(OR(BP95=-1,AND(IF(BP$3&lt;$B96,BP95+BP$6,IF(BP$3=$B96,1,""))&gt;$B$1,BP$3&lt;$B96)),-1,IF(BP$3&lt;$B96,BP95+BP$6,IF(BP$3=$B96,1,"")))</f>
        <v>-1</v>
      </c>
      <c r="BQ96">
        <f t="shared" si="264"/>
        <v>-1</v>
      </c>
      <c r="BR96">
        <f t="shared" si="264"/>
        <v>-1</v>
      </c>
      <c r="BS96">
        <f t="shared" si="264"/>
        <v>-1</v>
      </c>
      <c r="BT96">
        <f t="shared" si="264"/>
        <v>-1</v>
      </c>
      <c r="BU96">
        <f t="shared" si="264"/>
        <v>50.200000000000074</v>
      </c>
      <c r="BV96">
        <f t="shared" si="264"/>
        <v>46.600000000000065</v>
      </c>
      <c r="BW96">
        <f t="shared" si="264"/>
        <v>43.000000000000057</v>
      </c>
      <c r="BX96">
        <f t="shared" si="264"/>
        <v>39.400000000000048</v>
      </c>
      <c r="BY96">
        <f t="shared" si="264"/>
        <v>35.80000000000004</v>
      </c>
      <c r="BZ96">
        <f t="shared" si="264"/>
        <v>32.200000000000031</v>
      </c>
      <c r="CA96">
        <f t="shared" si="264"/>
        <v>28.600000000000023</v>
      </c>
      <c r="CB96">
        <f t="shared" si="264"/>
        <v>25.000000000000014</v>
      </c>
      <c r="CC96">
        <f t="shared" si="264"/>
        <v>21.400000000000006</v>
      </c>
      <c r="CD96">
        <f t="shared" si="264"/>
        <v>17.799999999999997</v>
      </c>
      <c r="CE96">
        <f t="shared" si="264"/>
        <v>14.199999999999994</v>
      </c>
      <c r="CF96">
        <f t="shared" si="264"/>
        <v>10.599999999999996</v>
      </c>
      <c r="CG96">
        <f t="shared" si="264"/>
        <v>6.9999999999999982</v>
      </c>
      <c r="CH96">
        <f t="shared" si="264"/>
        <v>3.4000000000000004</v>
      </c>
      <c r="CI96" t="str">
        <f t="shared" si="264"/>
        <v/>
      </c>
      <c r="CJ96" t="str">
        <f t="shared" si="264"/>
        <v/>
      </c>
      <c r="CK96" t="str">
        <f t="shared" si="264"/>
        <v/>
      </c>
      <c r="CL96" t="str">
        <f t="shared" si="264"/>
        <v/>
      </c>
      <c r="CM96" t="str">
        <f t="shared" si="264"/>
        <v/>
      </c>
      <c r="CN96" t="str">
        <f t="shared" si="264"/>
        <v/>
      </c>
      <c r="CO96">
        <f t="shared" si="264"/>
        <v>32</v>
      </c>
      <c r="CP96">
        <f t="shared" si="264"/>
        <v>19</v>
      </c>
      <c r="CQ96">
        <f t="shared" si="264"/>
        <v>-1</v>
      </c>
      <c r="CR96">
        <f t="shared" si="264"/>
        <v>-1</v>
      </c>
      <c r="CS96">
        <f t="shared" si="264"/>
        <v>74</v>
      </c>
      <c r="CT96">
        <f t="shared" si="264"/>
        <v>-1</v>
      </c>
      <c r="CU96">
        <f t="shared" si="264"/>
        <v>-1</v>
      </c>
      <c r="CV96">
        <f t="shared" si="264"/>
        <v>-1</v>
      </c>
      <c r="CW96">
        <f t="shared" si="264"/>
        <v>-1</v>
      </c>
      <c r="CX96">
        <f t="shared" si="264"/>
        <v>-1</v>
      </c>
      <c r="CY96">
        <f t="shared" si="264"/>
        <v>-1</v>
      </c>
      <c r="CZ96">
        <f t="shared" si="264"/>
        <v>-1</v>
      </c>
      <c r="DA96">
        <f t="shared" si="264"/>
        <v>-1</v>
      </c>
      <c r="DB96">
        <f t="shared" si="264"/>
        <v>-1</v>
      </c>
      <c r="DC96">
        <f t="shared" si="264"/>
        <v>-1</v>
      </c>
      <c r="DD96">
        <f t="shared" si="264"/>
        <v>73</v>
      </c>
      <c r="DE96">
        <f t="shared" si="264"/>
        <v>-1</v>
      </c>
      <c r="DF96">
        <f t="shared" si="264"/>
        <v>-1</v>
      </c>
      <c r="DG96">
        <f t="shared" si="264"/>
        <v>-1</v>
      </c>
      <c r="DH96">
        <f t="shared" si="264"/>
        <v>-1</v>
      </c>
      <c r="DI96">
        <f t="shared" si="264"/>
        <v>-1</v>
      </c>
      <c r="DJ96">
        <f t="shared" si="264"/>
        <v>-1</v>
      </c>
      <c r="DK96">
        <f t="shared" si="264"/>
        <v>-1</v>
      </c>
      <c r="DL96">
        <f t="shared" si="264"/>
        <v>-1</v>
      </c>
      <c r="DM96">
        <f t="shared" si="264"/>
        <v>-1</v>
      </c>
      <c r="DN96">
        <f t="shared" si="264"/>
        <v>-1</v>
      </c>
      <c r="DO96">
        <f t="shared" si="264"/>
        <v>-1</v>
      </c>
      <c r="DP96">
        <f t="shared" si="264"/>
        <v>-1</v>
      </c>
      <c r="DQ96">
        <f t="shared" si="264"/>
        <v>-1</v>
      </c>
      <c r="DR96">
        <f t="shared" si="264"/>
        <v>-1</v>
      </c>
      <c r="DS96">
        <f t="shared" si="264"/>
        <v>-1</v>
      </c>
      <c r="DT96">
        <f t="shared" si="264"/>
        <v>-1</v>
      </c>
      <c r="DU96">
        <f t="shared" si="264"/>
        <v>71</v>
      </c>
      <c r="DV96">
        <f t="shared" si="264"/>
        <v>65</v>
      </c>
      <c r="DW96">
        <f t="shared" si="264"/>
        <v>59</v>
      </c>
      <c r="DX96">
        <f t="shared" si="264"/>
        <v>53</v>
      </c>
      <c r="DY96">
        <f t="shared" si="264"/>
        <v>-1</v>
      </c>
      <c r="DZ96">
        <f t="shared" si="264"/>
        <v>-1</v>
      </c>
      <c r="EA96">
        <f t="shared" si="264"/>
        <v>-1</v>
      </c>
      <c r="EB96">
        <f t="shared" ref="EB96:EO96" si="265">IF(OR(EB95=-1,AND(IF(EB$3&lt;$B96,EB95+EB$6,IF(EB$3=$B96,1,""))&gt;$B$1,EB$3&lt;$B96)),-1,IF(EB$3&lt;$B96,EB95+EB$6,IF(EB$3=$B96,1,"")))</f>
        <v>-1</v>
      </c>
      <c r="EC96">
        <f t="shared" si="265"/>
        <v>-1</v>
      </c>
      <c r="ED96">
        <f t="shared" si="265"/>
        <v>-1</v>
      </c>
      <c r="EE96">
        <f t="shared" si="265"/>
        <v>-1</v>
      </c>
      <c r="EF96">
        <f t="shared" si="265"/>
        <v>-1</v>
      </c>
      <c r="EG96">
        <f t="shared" si="265"/>
        <v>-1</v>
      </c>
      <c r="EH96">
        <f t="shared" si="265"/>
        <v>-1</v>
      </c>
      <c r="EI96">
        <f t="shared" si="265"/>
        <v>-1</v>
      </c>
      <c r="EJ96">
        <f t="shared" si="265"/>
        <v>-1</v>
      </c>
      <c r="EK96">
        <f t="shared" si="265"/>
        <v>-1</v>
      </c>
      <c r="EL96">
        <f t="shared" si="265"/>
        <v>-1</v>
      </c>
      <c r="EM96">
        <f t="shared" si="265"/>
        <v>-1</v>
      </c>
      <c r="EN96">
        <f t="shared" si="265"/>
        <v>-1</v>
      </c>
      <c r="EO96">
        <f t="shared" si="265"/>
        <v>-1</v>
      </c>
    </row>
    <row r="97" spans="1:145" x14ac:dyDescent="0.15">
      <c r="A97" t="e">
        <f t="shared" si="193"/>
        <v>#N/A</v>
      </c>
      <c r="B97" s="218">
        <v>89</v>
      </c>
      <c r="C97">
        <f t="shared" si="193"/>
        <v>-1</v>
      </c>
      <c r="D97">
        <f t="shared" ref="D97:BO97" si="266">IF(OR(D96=-1,AND(IF(D$3&lt;$B97,D96+D$6,IF(D$3=$B97,1,""))&gt;$B$1,D$3&lt;$B97)),-1,IF(D$3&lt;$B97,D96+D$6,IF(D$3=$B97,1,"")))</f>
        <v>-1</v>
      </c>
      <c r="E97">
        <f t="shared" si="266"/>
        <v>-1</v>
      </c>
      <c r="F97">
        <f t="shared" si="266"/>
        <v>-1</v>
      </c>
      <c r="G97">
        <f t="shared" si="266"/>
        <v>-1</v>
      </c>
      <c r="H97">
        <f t="shared" si="266"/>
        <v>-1</v>
      </c>
      <c r="I97">
        <f t="shared" si="266"/>
        <v>-1</v>
      </c>
      <c r="J97">
        <f t="shared" si="266"/>
        <v>-1</v>
      </c>
      <c r="K97">
        <f t="shared" si="266"/>
        <v>-1</v>
      </c>
      <c r="L97">
        <f t="shared" si="266"/>
        <v>59.80000000000009</v>
      </c>
      <c r="M97">
        <f t="shared" si="266"/>
        <v>56.300000000000075</v>
      </c>
      <c r="N97">
        <f t="shared" si="266"/>
        <v>52.800000000000061</v>
      </c>
      <c r="O97">
        <f t="shared" si="266"/>
        <v>-1</v>
      </c>
      <c r="P97">
        <f t="shared" si="266"/>
        <v>-1</v>
      </c>
      <c r="Q97">
        <f t="shared" si="266"/>
        <v>-1</v>
      </c>
      <c r="R97">
        <f t="shared" si="266"/>
        <v>-1</v>
      </c>
      <c r="S97">
        <f t="shared" si="266"/>
        <v>-1</v>
      </c>
      <c r="T97">
        <f t="shared" si="266"/>
        <v>-1</v>
      </c>
      <c r="U97">
        <f t="shared" si="266"/>
        <v>-1</v>
      </c>
      <c r="V97">
        <f t="shared" si="266"/>
        <v>-1</v>
      </c>
      <c r="W97">
        <f t="shared" si="266"/>
        <v>-1</v>
      </c>
      <c r="X97">
        <f t="shared" si="266"/>
        <v>-1</v>
      </c>
      <c r="Y97">
        <f t="shared" si="266"/>
        <v>-1</v>
      </c>
      <c r="Z97">
        <f t="shared" si="266"/>
        <v>-1</v>
      </c>
      <c r="AA97">
        <f t="shared" si="266"/>
        <v>-1</v>
      </c>
      <c r="AB97">
        <f t="shared" si="266"/>
        <v>-1</v>
      </c>
      <c r="AC97">
        <f t="shared" si="266"/>
        <v>-1</v>
      </c>
      <c r="AD97">
        <f t="shared" si="266"/>
        <v>-1</v>
      </c>
      <c r="AE97">
        <f t="shared" si="266"/>
        <v>-1</v>
      </c>
      <c r="AF97">
        <f t="shared" si="266"/>
        <v>-1</v>
      </c>
      <c r="AG97">
        <f t="shared" si="266"/>
        <v>-1</v>
      </c>
      <c r="AH97">
        <f t="shared" si="266"/>
        <v>-1</v>
      </c>
      <c r="AI97">
        <f t="shared" si="266"/>
        <v>52.000000000000078</v>
      </c>
      <c r="AJ97">
        <f t="shared" si="266"/>
        <v>49.600000000000072</v>
      </c>
      <c r="AK97">
        <f t="shared" si="266"/>
        <v>47.200000000000067</v>
      </c>
      <c r="AL97">
        <f t="shared" si="266"/>
        <v>44.800000000000061</v>
      </c>
      <c r="AM97">
        <f t="shared" si="266"/>
        <v>-1</v>
      </c>
      <c r="AN97">
        <f t="shared" si="266"/>
        <v>-1</v>
      </c>
      <c r="AO97">
        <f t="shared" si="266"/>
        <v>72</v>
      </c>
      <c r="AP97">
        <f t="shared" si="266"/>
        <v>-1</v>
      </c>
      <c r="AQ97">
        <f t="shared" si="266"/>
        <v>-1</v>
      </c>
      <c r="AR97">
        <f t="shared" si="266"/>
        <v>-1</v>
      </c>
      <c r="AS97">
        <f t="shared" si="266"/>
        <v>-1</v>
      </c>
      <c r="AT97">
        <f t="shared" si="266"/>
        <v>-1</v>
      </c>
      <c r="AU97">
        <f t="shared" si="266"/>
        <v>-1</v>
      </c>
      <c r="AV97">
        <f t="shared" si="266"/>
        <v>-1</v>
      </c>
      <c r="AW97">
        <f t="shared" si="266"/>
        <v>-1</v>
      </c>
      <c r="AX97">
        <f t="shared" si="266"/>
        <v>-1</v>
      </c>
      <c r="AY97">
        <f t="shared" si="266"/>
        <v>-1</v>
      </c>
      <c r="AZ97">
        <f t="shared" si="266"/>
        <v>-1</v>
      </c>
      <c r="BA97">
        <f t="shared" si="266"/>
        <v>-1</v>
      </c>
      <c r="BB97">
        <f t="shared" si="266"/>
        <v>-1</v>
      </c>
      <c r="BC97">
        <f t="shared" si="266"/>
        <v>-1</v>
      </c>
      <c r="BD97">
        <f t="shared" si="266"/>
        <v>-1</v>
      </c>
      <c r="BE97">
        <f t="shared" si="266"/>
        <v>-1</v>
      </c>
      <c r="BF97">
        <f t="shared" si="266"/>
        <v>-1</v>
      </c>
      <c r="BG97">
        <f t="shared" si="266"/>
        <v>-1</v>
      </c>
      <c r="BH97">
        <f t="shared" si="266"/>
        <v>-1</v>
      </c>
      <c r="BI97">
        <f t="shared" si="266"/>
        <v>-1</v>
      </c>
      <c r="BJ97">
        <f t="shared" si="266"/>
        <v>-1</v>
      </c>
      <c r="BK97">
        <f t="shared" si="266"/>
        <v>75</v>
      </c>
      <c r="BL97">
        <f t="shared" si="266"/>
        <v>70</v>
      </c>
      <c r="BM97">
        <f t="shared" si="266"/>
        <v>-1</v>
      </c>
      <c r="BN97">
        <f t="shared" si="266"/>
        <v>-1</v>
      </c>
      <c r="BO97">
        <f t="shared" si="266"/>
        <v>-1</v>
      </c>
      <c r="BP97">
        <f t="shared" ref="BP97:EA97" si="267">IF(OR(BP96=-1,AND(IF(BP$3&lt;$B97,BP96+BP$6,IF(BP$3=$B97,1,""))&gt;$B$1,BP$3&lt;$B97)),-1,IF(BP$3&lt;$B97,BP96+BP$6,IF(BP$3=$B97,1,"")))</f>
        <v>-1</v>
      </c>
      <c r="BQ97">
        <f t="shared" si="267"/>
        <v>-1</v>
      </c>
      <c r="BR97">
        <f t="shared" si="267"/>
        <v>-1</v>
      </c>
      <c r="BS97">
        <f t="shared" si="267"/>
        <v>-1</v>
      </c>
      <c r="BT97">
        <f t="shared" si="267"/>
        <v>-1</v>
      </c>
      <c r="BU97">
        <f t="shared" si="267"/>
        <v>50.800000000000075</v>
      </c>
      <c r="BV97">
        <f t="shared" si="267"/>
        <v>47.200000000000067</v>
      </c>
      <c r="BW97">
        <f t="shared" si="267"/>
        <v>43.600000000000058</v>
      </c>
      <c r="BX97">
        <f t="shared" si="267"/>
        <v>40.00000000000005</v>
      </c>
      <c r="BY97">
        <f t="shared" si="267"/>
        <v>36.400000000000041</v>
      </c>
      <c r="BZ97">
        <f t="shared" si="267"/>
        <v>32.800000000000033</v>
      </c>
      <c r="CA97">
        <f t="shared" si="267"/>
        <v>29.200000000000024</v>
      </c>
      <c r="CB97">
        <f t="shared" si="267"/>
        <v>25.600000000000016</v>
      </c>
      <c r="CC97">
        <f t="shared" si="267"/>
        <v>22.000000000000007</v>
      </c>
      <c r="CD97">
        <f t="shared" si="267"/>
        <v>18.399999999999999</v>
      </c>
      <c r="CE97">
        <f t="shared" si="267"/>
        <v>14.799999999999994</v>
      </c>
      <c r="CF97">
        <f t="shared" si="267"/>
        <v>11.199999999999996</v>
      </c>
      <c r="CG97">
        <f t="shared" si="267"/>
        <v>7.5999999999999979</v>
      </c>
      <c r="CH97">
        <f t="shared" si="267"/>
        <v>4</v>
      </c>
      <c r="CI97" t="str">
        <f t="shared" si="267"/>
        <v/>
      </c>
      <c r="CJ97" t="str">
        <f t="shared" si="267"/>
        <v/>
      </c>
      <c r="CK97" t="str">
        <f t="shared" si="267"/>
        <v/>
      </c>
      <c r="CL97" t="str">
        <f t="shared" si="267"/>
        <v/>
      </c>
      <c r="CM97" t="str">
        <f t="shared" si="267"/>
        <v/>
      </c>
      <c r="CN97" t="str">
        <f t="shared" si="267"/>
        <v/>
      </c>
      <c r="CO97">
        <f t="shared" si="267"/>
        <v>32.5</v>
      </c>
      <c r="CP97">
        <f t="shared" si="267"/>
        <v>19.5</v>
      </c>
      <c r="CQ97">
        <f t="shared" si="267"/>
        <v>-1</v>
      </c>
      <c r="CR97">
        <f t="shared" si="267"/>
        <v>-1</v>
      </c>
      <c r="CS97">
        <f t="shared" si="267"/>
        <v>75</v>
      </c>
      <c r="CT97">
        <f t="shared" si="267"/>
        <v>-1</v>
      </c>
      <c r="CU97">
        <f t="shared" si="267"/>
        <v>-1</v>
      </c>
      <c r="CV97">
        <f t="shared" si="267"/>
        <v>-1</v>
      </c>
      <c r="CW97">
        <f t="shared" si="267"/>
        <v>-1</v>
      </c>
      <c r="CX97">
        <f t="shared" si="267"/>
        <v>-1</v>
      </c>
      <c r="CY97">
        <f t="shared" si="267"/>
        <v>-1</v>
      </c>
      <c r="CZ97">
        <f t="shared" si="267"/>
        <v>-1</v>
      </c>
      <c r="DA97">
        <f t="shared" si="267"/>
        <v>-1</v>
      </c>
      <c r="DB97">
        <f t="shared" si="267"/>
        <v>-1</v>
      </c>
      <c r="DC97">
        <f t="shared" si="267"/>
        <v>-1</v>
      </c>
      <c r="DD97">
        <f t="shared" si="267"/>
        <v>74</v>
      </c>
      <c r="DE97">
        <f t="shared" si="267"/>
        <v>-1</v>
      </c>
      <c r="DF97">
        <f t="shared" si="267"/>
        <v>-1</v>
      </c>
      <c r="DG97">
        <f t="shared" si="267"/>
        <v>-1</v>
      </c>
      <c r="DH97">
        <f t="shared" si="267"/>
        <v>-1</v>
      </c>
      <c r="DI97">
        <f t="shared" si="267"/>
        <v>-1</v>
      </c>
      <c r="DJ97">
        <f t="shared" si="267"/>
        <v>-1</v>
      </c>
      <c r="DK97">
        <f t="shared" si="267"/>
        <v>-1</v>
      </c>
      <c r="DL97">
        <f t="shared" si="267"/>
        <v>-1</v>
      </c>
      <c r="DM97">
        <f t="shared" si="267"/>
        <v>-1</v>
      </c>
      <c r="DN97">
        <f t="shared" si="267"/>
        <v>-1</v>
      </c>
      <c r="DO97">
        <f t="shared" si="267"/>
        <v>-1</v>
      </c>
      <c r="DP97">
        <f t="shared" si="267"/>
        <v>-1</v>
      </c>
      <c r="DQ97">
        <f t="shared" si="267"/>
        <v>-1</v>
      </c>
      <c r="DR97">
        <f t="shared" si="267"/>
        <v>-1</v>
      </c>
      <c r="DS97">
        <f t="shared" si="267"/>
        <v>-1</v>
      </c>
      <c r="DT97">
        <f t="shared" si="267"/>
        <v>-1</v>
      </c>
      <c r="DU97">
        <f t="shared" si="267"/>
        <v>72</v>
      </c>
      <c r="DV97">
        <f t="shared" si="267"/>
        <v>66</v>
      </c>
      <c r="DW97">
        <f t="shared" si="267"/>
        <v>60</v>
      </c>
      <c r="DX97">
        <f t="shared" si="267"/>
        <v>54</v>
      </c>
      <c r="DY97">
        <f t="shared" si="267"/>
        <v>-1</v>
      </c>
      <c r="DZ97">
        <f t="shared" si="267"/>
        <v>-1</v>
      </c>
      <c r="EA97">
        <f t="shared" si="267"/>
        <v>-1</v>
      </c>
      <c r="EB97">
        <f t="shared" ref="EB97:EO97" si="268">IF(OR(EB96=-1,AND(IF(EB$3&lt;$B97,EB96+EB$6,IF(EB$3=$B97,1,""))&gt;$B$1,EB$3&lt;$B97)),-1,IF(EB$3&lt;$B97,EB96+EB$6,IF(EB$3=$B97,1,"")))</f>
        <v>-1</v>
      </c>
      <c r="EC97">
        <f t="shared" si="268"/>
        <v>-1</v>
      </c>
      <c r="ED97">
        <f t="shared" si="268"/>
        <v>-1</v>
      </c>
      <c r="EE97">
        <f t="shared" si="268"/>
        <v>-1</v>
      </c>
      <c r="EF97">
        <f t="shared" si="268"/>
        <v>-1</v>
      </c>
      <c r="EG97">
        <f t="shared" si="268"/>
        <v>-1</v>
      </c>
      <c r="EH97">
        <f t="shared" si="268"/>
        <v>-1</v>
      </c>
      <c r="EI97">
        <f t="shared" si="268"/>
        <v>-1</v>
      </c>
      <c r="EJ97">
        <f t="shared" si="268"/>
        <v>-1</v>
      </c>
      <c r="EK97">
        <f t="shared" si="268"/>
        <v>-1</v>
      </c>
      <c r="EL97">
        <f t="shared" si="268"/>
        <v>-1</v>
      </c>
      <c r="EM97">
        <f t="shared" si="268"/>
        <v>-1</v>
      </c>
      <c r="EN97">
        <f t="shared" si="268"/>
        <v>-1</v>
      </c>
      <c r="EO97">
        <f t="shared" si="268"/>
        <v>-1</v>
      </c>
    </row>
    <row r="98" spans="1:145" x14ac:dyDescent="0.15">
      <c r="A98" t="e">
        <f t="shared" si="193"/>
        <v>#N/A</v>
      </c>
      <c r="B98" s="218">
        <v>90</v>
      </c>
      <c r="C98">
        <f t="shared" si="193"/>
        <v>-1</v>
      </c>
      <c r="D98">
        <f t="shared" ref="D98:BO98" si="269">IF(OR(D97=-1,AND(IF(D$3&lt;$B98,D97+D$6,IF(D$3=$B98,1,""))&gt;$B$1,D$3&lt;$B98)),-1,IF(D$3&lt;$B98,D97+D$6,IF(D$3=$B98,1,"")))</f>
        <v>-1</v>
      </c>
      <c r="E98">
        <f t="shared" si="269"/>
        <v>-1</v>
      </c>
      <c r="F98">
        <f t="shared" si="269"/>
        <v>-1</v>
      </c>
      <c r="G98">
        <f t="shared" si="269"/>
        <v>-1</v>
      </c>
      <c r="H98">
        <f t="shared" si="269"/>
        <v>-1</v>
      </c>
      <c r="I98">
        <f t="shared" si="269"/>
        <v>-1</v>
      </c>
      <c r="J98">
        <f t="shared" si="269"/>
        <v>-1</v>
      </c>
      <c r="K98">
        <f t="shared" si="269"/>
        <v>-1</v>
      </c>
      <c r="L98">
        <f t="shared" si="269"/>
        <v>60.500000000000092</v>
      </c>
      <c r="M98">
        <f t="shared" si="269"/>
        <v>57.000000000000078</v>
      </c>
      <c r="N98">
        <f t="shared" si="269"/>
        <v>53.500000000000064</v>
      </c>
      <c r="O98">
        <f t="shared" si="269"/>
        <v>-1</v>
      </c>
      <c r="P98">
        <f t="shared" si="269"/>
        <v>-1</v>
      </c>
      <c r="Q98">
        <f t="shared" si="269"/>
        <v>-1</v>
      </c>
      <c r="R98">
        <f t="shared" si="269"/>
        <v>-1</v>
      </c>
      <c r="S98">
        <f t="shared" si="269"/>
        <v>-1</v>
      </c>
      <c r="T98">
        <f t="shared" si="269"/>
        <v>-1</v>
      </c>
      <c r="U98">
        <f t="shared" si="269"/>
        <v>-1</v>
      </c>
      <c r="V98">
        <f t="shared" si="269"/>
        <v>-1</v>
      </c>
      <c r="W98">
        <f t="shared" si="269"/>
        <v>-1</v>
      </c>
      <c r="X98">
        <f t="shared" si="269"/>
        <v>-1</v>
      </c>
      <c r="Y98">
        <f t="shared" si="269"/>
        <v>-1</v>
      </c>
      <c r="Z98">
        <f t="shared" si="269"/>
        <v>-1</v>
      </c>
      <c r="AA98">
        <f t="shared" si="269"/>
        <v>-1</v>
      </c>
      <c r="AB98">
        <f t="shared" si="269"/>
        <v>-1</v>
      </c>
      <c r="AC98">
        <f t="shared" si="269"/>
        <v>-1</v>
      </c>
      <c r="AD98">
        <f t="shared" si="269"/>
        <v>-1</v>
      </c>
      <c r="AE98">
        <f t="shared" si="269"/>
        <v>-1</v>
      </c>
      <c r="AF98">
        <f t="shared" si="269"/>
        <v>-1</v>
      </c>
      <c r="AG98">
        <f t="shared" si="269"/>
        <v>-1</v>
      </c>
      <c r="AH98">
        <f t="shared" si="269"/>
        <v>-1</v>
      </c>
      <c r="AI98">
        <f t="shared" si="269"/>
        <v>52.60000000000008</v>
      </c>
      <c r="AJ98">
        <f t="shared" si="269"/>
        <v>50.200000000000074</v>
      </c>
      <c r="AK98">
        <f t="shared" si="269"/>
        <v>47.800000000000068</v>
      </c>
      <c r="AL98">
        <f t="shared" si="269"/>
        <v>45.400000000000063</v>
      </c>
      <c r="AM98">
        <f t="shared" si="269"/>
        <v>-1</v>
      </c>
      <c r="AN98">
        <f t="shared" si="269"/>
        <v>-1</v>
      </c>
      <c r="AO98">
        <f t="shared" si="269"/>
        <v>73</v>
      </c>
      <c r="AP98">
        <f t="shared" si="269"/>
        <v>-1</v>
      </c>
      <c r="AQ98">
        <f t="shared" si="269"/>
        <v>-1</v>
      </c>
      <c r="AR98">
        <f t="shared" si="269"/>
        <v>-1</v>
      </c>
      <c r="AS98">
        <f t="shared" si="269"/>
        <v>-1</v>
      </c>
      <c r="AT98">
        <f t="shared" si="269"/>
        <v>-1</v>
      </c>
      <c r="AU98">
        <f t="shared" si="269"/>
        <v>-1</v>
      </c>
      <c r="AV98">
        <f t="shared" si="269"/>
        <v>-1</v>
      </c>
      <c r="AW98">
        <f t="shared" si="269"/>
        <v>-1</v>
      </c>
      <c r="AX98">
        <f t="shared" si="269"/>
        <v>-1</v>
      </c>
      <c r="AY98">
        <f t="shared" si="269"/>
        <v>-1</v>
      </c>
      <c r="AZ98">
        <f t="shared" si="269"/>
        <v>-1</v>
      </c>
      <c r="BA98">
        <f t="shared" si="269"/>
        <v>-1</v>
      </c>
      <c r="BB98">
        <f t="shared" si="269"/>
        <v>-1</v>
      </c>
      <c r="BC98">
        <f t="shared" si="269"/>
        <v>-1</v>
      </c>
      <c r="BD98">
        <f t="shared" si="269"/>
        <v>-1</v>
      </c>
      <c r="BE98">
        <f t="shared" si="269"/>
        <v>-1</v>
      </c>
      <c r="BF98">
        <f t="shared" si="269"/>
        <v>-1</v>
      </c>
      <c r="BG98">
        <f t="shared" si="269"/>
        <v>-1</v>
      </c>
      <c r="BH98">
        <f t="shared" si="269"/>
        <v>-1</v>
      </c>
      <c r="BI98">
        <f t="shared" si="269"/>
        <v>-1</v>
      </c>
      <c r="BJ98">
        <f t="shared" si="269"/>
        <v>-1</v>
      </c>
      <c r="BK98">
        <f t="shared" si="269"/>
        <v>-1</v>
      </c>
      <c r="BL98">
        <f t="shared" si="269"/>
        <v>71</v>
      </c>
      <c r="BM98">
        <f t="shared" si="269"/>
        <v>-1</v>
      </c>
      <c r="BN98">
        <f t="shared" si="269"/>
        <v>-1</v>
      </c>
      <c r="BO98">
        <f t="shared" si="269"/>
        <v>-1</v>
      </c>
      <c r="BP98">
        <f t="shared" ref="BP98:EA98" si="270">IF(OR(BP97=-1,AND(IF(BP$3&lt;$B98,BP97+BP$6,IF(BP$3=$B98,1,""))&gt;$B$1,BP$3&lt;$B98)),-1,IF(BP$3&lt;$B98,BP97+BP$6,IF(BP$3=$B98,1,"")))</f>
        <v>-1</v>
      </c>
      <c r="BQ98">
        <f t="shared" si="270"/>
        <v>-1</v>
      </c>
      <c r="BR98">
        <f t="shared" si="270"/>
        <v>-1</v>
      </c>
      <c r="BS98">
        <f t="shared" si="270"/>
        <v>-1</v>
      </c>
      <c r="BT98">
        <f t="shared" si="270"/>
        <v>-1</v>
      </c>
      <c r="BU98">
        <f t="shared" si="270"/>
        <v>51.400000000000077</v>
      </c>
      <c r="BV98">
        <f t="shared" si="270"/>
        <v>47.800000000000068</v>
      </c>
      <c r="BW98">
        <f t="shared" si="270"/>
        <v>44.20000000000006</v>
      </c>
      <c r="BX98">
        <f t="shared" si="270"/>
        <v>40.600000000000051</v>
      </c>
      <c r="BY98">
        <f t="shared" si="270"/>
        <v>37.000000000000043</v>
      </c>
      <c r="BZ98">
        <f t="shared" si="270"/>
        <v>33.400000000000034</v>
      </c>
      <c r="CA98">
        <f t="shared" si="270"/>
        <v>29.800000000000026</v>
      </c>
      <c r="CB98">
        <f t="shared" si="270"/>
        <v>26.200000000000017</v>
      </c>
      <c r="CC98">
        <f t="shared" si="270"/>
        <v>22.600000000000009</v>
      </c>
      <c r="CD98">
        <f t="shared" si="270"/>
        <v>19</v>
      </c>
      <c r="CE98">
        <f t="shared" si="270"/>
        <v>15.399999999999993</v>
      </c>
      <c r="CF98">
        <f t="shared" si="270"/>
        <v>11.799999999999995</v>
      </c>
      <c r="CG98">
        <f t="shared" si="270"/>
        <v>8.1999999999999975</v>
      </c>
      <c r="CH98">
        <f t="shared" si="270"/>
        <v>4.5999999999999996</v>
      </c>
      <c r="CI98">
        <f t="shared" si="270"/>
        <v>1</v>
      </c>
      <c r="CJ98" t="str">
        <f t="shared" si="270"/>
        <v/>
      </c>
      <c r="CK98" t="str">
        <f t="shared" si="270"/>
        <v/>
      </c>
      <c r="CL98" t="str">
        <f t="shared" si="270"/>
        <v/>
      </c>
      <c r="CM98" t="str">
        <f t="shared" si="270"/>
        <v/>
      </c>
      <c r="CN98" t="str">
        <f t="shared" si="270"/>
        <v/>
      </c>
      <c r="CO98">
        <f t="shared" si="270"/>
        <v>33</v>
      </c>
      <c r="CP98">
        <f t="shared" si="270"/>
        <v>20</v>
      </c>
      <c r="CQ98">
        <f t="shared" si="270"/>
        <v>-1</v>
      </c>
      <c r="CR98">
        <f t="shared" si="270"/>
        <v>-1</v>
      </c>
      <c r="CS98">
        <f t="shared" si="270"/>
        <v>-1</v>
      </c>
      <c r="CT98">
        <f t="shared" si="270"/>
        <v>-1</v>
      </c>
      <c r="CU98">
        <f t="shared" si="270"/>
        <v>-1</v>
      </c>
      <c r="CV98">
        <f t="shared" si="270"/>
        <v>-1</v>
      </c>
      <c r="CW98">
        <f t="shared" si="270"/>
        <v>-1</v>
      </c>
      <c r="CX98">
        <f t="shared" si="270"/>
        <v>-1</v>
      </c>
      <c r="CY98">
        <f t="shared" si="270"/>
        <v>-1</v>
      </c>
      <c r="CZ98">
        <f t="shared" si="270"/>
        <v>-1</v>
      </c>
      <c r="DA98">
        <f t="shared" si="270"/>
        <v>-1</v>
      </c>
      <c r="DB98">
        <f t="shared" si="270"/>
        <v>-1</v>
      </c>
      <c r="DC98">
        <f t="shared" si="270"/>
        <v>-1</v>
      </c>
      <c r="DD98">
        <f t="shared" si="270"/>
        <v>75</v>
      </c>
      <c r="DE98">
        <f t="shared" si="270"/>
        <v>-1</v>
      </c>
      <c r="DF98">
        <f t="shared" si="270"/>
        <v>-1</v>
      </c>
      <c r="DG98">
        <f t="shared" si="270"/>
        <v>-1</v>
      </c>
      <c r="DH98">
        <f t="shared" si="270"/>
        <v>-1</v>
      </c>
      <c r="DI98">
        <f t="shared" si="270"/>
        <v>-1</v>
      </c>
      <c r="DJ98">
        <f t="shared" si="270"/>
        <v>-1</v>
      </c>
      <c r="DK98">
        <f t="shared" si="270"/>
        <v>-1</v>
      </c>
      <c r="DL98">
        <f t="shared" si="270"/>
        <v>-1</v>
      </c>
      <c r="DM98">
        <f t="shared" si="270"/>
        <v>-1</v>
      </c>
      <c r="DN98">
        <f t="shared" si="270"/>
        <v>-1</v>
      </c>
      <c r="DO98">
        <f t="shared" si="270"/>
        <v>-1</v>
      </c>
      <c r="DP98">
        <f t="shared" si="270"/>
        <v>-1</v>
      </c>
      <c r="DQ98">
        <f t="shared" si="270"/>
        <v>-1</v>
      </c>
      <c r="DR98">
        <f t="shared" si="270"/>
        <v>-1</v>
      </c>
      <c r="DS98">
        <f t="shared" si="270"/>
        <v>-1</v>
      </c>
      <c r="DT98">
        <f t="shared" si="270"/>
        <v>-1</v>
      </c>
      <c r="DU98">
        <f t="shared" si="270"/>
        <v>73</v>
      </c>
      <c r="DV98">
        <f t="shared" si="270"/>
        <v>67</v>
      </c>
      <c r="DW98">
        <f t="shared" si="270"/>
        <v>61</v>
      </c>
      <c r="DX98">
        <f t="shared" si="270"/>
        <v>55</v>
      </c>
      <c r="DY98">
        <f t="shared" si="270"/>
        <v>-1</v>
      </c>
      <c r="DZ98">
        <f t="shared" si="270"/>
        <v>-1</v>
      </c>
      <c r="EA98">
        <f t="shared" si="270"/>
        <v>-1</v>
      </c>
      <c r="EB98">
        <f t="shared" ref="EB98:EO98" si="271">IF(OR(EB97=-1,AND(IF(EB$3&lt;$B98,EB97+EB$6,IF(EB$3=$B98,1,""))&gt;$B$1,EB$3&lt;$B98)),-1,IF(EB$3&lt;$B98,EB97+EB$6,IF(EB$3=$B98,1,"")))</f>
        <v>-1</v>
      </c>
      <c r="EC98">
        <f t="shared" si="271"/>
        <v>-1</v>
      </c>
      <c r="ED98">
        <f t="shared" si="271"/>
        <v>-1</v>
      </c>
      <c r="EE98">
        <f t="shared" si="271"/>
        <v>-1</v>
      </c>
      <c r="EF98">
        <f t="shared" si="271"/>
        <v>-1</v>
      </c>
      <c r="EG98">
        <f t="shared" si="271"/>
        <v>-1</v>
      </c>
      <c r="EH98">
        <f t="shared" si="271"/>
        <v>-1</v>
      </c>
      <c r="EI98">
        <f t="shared" si="271"/>
        <v>-1</v>
      </c>
      <c r="EJ98">
        <f t="shared" si="271"/>
        <v>-1</v>
      </c>
      <c r="EK98">
        <f t="shared" si="271"/>
        <v>-1</v>
      </c>
      <c r="EL98">
        <f t="shared" si="271"/>
        <v>-1</v>
      </c>
      <c r="EM98">
        <f t="shared" si="271"/>
        <v>-1</v>
      </c>
      <c r="EN98">
        <f t="shared" si="271"/>
        <v>-1</v>
      </c>
      <c r="EO98">
        <f t="shared" si="271"/>
        <v>-1</v>
      </c>
    </row>
    <row r="99" spans="1:145" x14ac:dyDescent="0.15">
      <c r="A99" t="e">
        <f t="shared" si="193"/>
        <v>#N/A</v>
      </c>
      <c r="B99" s="218">
        <v>91</v>
      </c>
      <c r="C99">
        <f t="shared" si="193"/>
        <v>-1</v>
      </c>
      <c r="D99">
        <f t="shared" ref="D99:BO99" si="272">IF(OR(D98=-1,AND(IF(D$3&lt;$B99,D98+D$6,IF(D$3=$B99,1,""))&gt;$B$1,D$3&lt;$B99)),-1,IF(D$3&lt;$B99,D98+D$6,IF(D$3=$B99,1,"")))</f>
        <v>-1</v>
      </c>
      <c r="E99">
        <f t="shared" si="272"/>
        <v>-1</v>
      </c>
      <c r="F99">
        <f t="shared" si="272"/>
        <v>-1</v>
      </c>
      <c r="G99">
        <f t="shared" si="272"/>
        <v>-1</v>
      </c>
      <c r="H99">
        <f t="shared" si="272"/>
        <v>-1</v>
      </c>
      <c r="I99">
        <f t="shared" si="272"/>
        <v>-1</v>
      </c>
      <c r="J99">
        <f t="shared" si="272"/>
        <v>-1</v>
      </c>
      <c r="K99">
        <f t="shared" si="272"/>
        <v>-1</v>
      </c>
      <c r="L99">
        <f t="shared" si="272"/>
        <v>61.200000000000095</v>
      </c>
      <c r="M99">
        <f t="shared" si="272"/>
        <v>57.700000000000081</v>
      </c>
      <c r="N99">
        <f t="shared" si="272"/>
        <v>54.200000000000067</v>
      </c>
      <c r="O99">
        <f t="shared" si="272"/>
        <v>-1</v>
      </c>
      <c r="P99">
        <f t="shared" si="272"/>
        <v>-1</v>
      </c>
      <c r="Q99">
        <f t="shared" si="272"/>
        <v>-1</v>
      </c>
      <c r="R99">
        <f t="shared" si="272"/>
        <v>-1</v>
      </c>
      <c r="S99">
        <f t="shared" si="272"/>
        <v>-1</v>
      </c>
      <c r="T99">
        <f t="shared" si="272"/>
        <v>-1</v>
      </c>
      <c r="U99">
        <f t="shared" si="272"/>
        <v>-1</v>
      </c>
      <c r="V99">
        <f t="shared" si="272"/>
        <v>-1</v>
      </c>
      <c r="W99">
        <f t="shared" si="272"/>
        <v>-1</v>
      </c>
      <c r="X99">
        <f t="shared" si="272"/>
        <v>-1</v>
      </c>
      <c r="Y99">
        <f t="shared" si="272"/>
        <v>-1</v>
      </c>
      <c r="Z99">
        <f t="shared" si="272"/>
        <v>-1</v>
      </c>
      <c r="AA99">
        <f t="shared" si="272"/>
        <v>-1</v>
      </c>
      <c r="AB99">
        <f t="shared" si="272"/>
        <v>-1</v>
      </c>
      <c r="AC99">
        <f t="shared" si="272"/>
        <v>-1</v>
      </c>
      <c r="AD99">
        <f t="shared" si="272"/>
        <v>-1</v>
      </c>
      <c r="AE99">
        <f t="shared" si="272"/>
        <v>-1</v>
      </c>
      <c r="AF99">
        <f t="shared" si="272"/>
        <v>-1</v>
      </c>
      <c r="AG99">
        <f t="shared" si="272"/>
        <v>-1</v>
      </c>
      <c r="AH99">
        <f t="shared" si="272"/>
        <v>-1</v>
      </c>
      <c r="AI99">
        <f t="shared" si="272"/>
        <v>53.200000000000081</v>
      </c>
      <c r="AJ99">
        <f t="shared" si="272"/>
        <v>50.800000000000075</v>
      </c>
      <c r="AK99">
        <f t="shared" si="272"/>
        <v>48.40000000000007</v>
      </c>
      <c r="AL99">
        <f t="shared" si="272"/>
        <v>46.000000000000064</v>
      </c>
      <c r="AM99">
        <f t="shared" si="272"/>
        <v>-1</v>
      </c>
      <c r="AN99">
        <f t="shared" si="272"/>
        <v>-1</v>
      </c>
      <c r="AO99">
        <f t="shared" si="272"/>
        <v>74</v>
      </c>
      <c r="AP99">
        <f t="shared" si="272"/>
        <v>-1</v>
      </c>
      <c r="AQ99">
        <f t="shared" si="272"/>
        <v>-1</v>
      </c>
      <c r="AR99">
        <f t="shared" si="272"/>
        <v>-1</v>
      </c>
      <c r="AS99">
        <f t="shared" si="272"/>
        <v>-1</v>
      </c>
      <c r="AT99">
        <f t="shared" si="272"/>
        <v>-1</v>
      </c>
      <c r="AU99">
        <f t="shared" si="272"/>
        <v>-1</v>
      </c>
      <c r="AV99">
        <f t="shared" si="272"/>
        <v>-1</v>
      </c>
      <c r="AW99">
        <f t="shared" si="272"/>
        <v>-1</v>
      </c>
      <c r="AX99">
        <f t="shared" si="272"/>
        <v>-1</v>
      </c>
      <c r="AY99">
        <f t="shared" si="272"/>
        <v>-1</v>
      </c>
      <c r="AZ99">
        <f t="shared" si="272"/>
        <v>-1</v>
      </c>
      <c r="BA99">
        <f t="shared" si="272"/>
        <v>-1</v>
      </c>
      <c r="BB99">
        <f t="shared" si="272"/>
        <v>-1</v>
      </c>
      <c r="BC99">
        <f t="shared" si="272"/>
        <v>-1</v>
      </c>
      <c r="BD99">
        <f t="shared" si="272"/>
        <v>-1</v>
      </c>
      <c r="BE99">
        <f t="shared" si="272"/>
        <v>-1</v>
      </c>
      <c r="BF99">
        <f t="shared" si="272"/>
        <v>-1</v>
      </c>
      <c r="BG99">
        <f t="shared" si="272"/>
        <v>-1</v>
      </c>
      <c r="BH99">
        <f t="shared" si="272"/>
        <v>-1</v>
      </c>
      <c r="BI99">
        <f t="shared" si="272"/>
        <v>-1</v>
      </c>
      <c r="BJ99">
        <f t="shared" si="272"/>
        <v>-1</v>
      </c>
      <c r="BK99">
        <f t="shared" si="272"/>
        <v>-1</v>
      </c>
      <c r="BL99">
        <f t="shared" si="272"/>
        <v>72</v>
      </c>
      <c r="BM99">
        <f t="shared" si="272"/>
        <v>-1</v>
      </c>
      <c r="BN99">
        <f t="shared" si="272"/>
        <v>-1</v>
      </c>
      <c r="BO99">
        <f t="shared" si="272"/>
        <v>-1</v>
      </c>
      <c r="BP99">
        <f t="shared" ref="BP99:EA99" si="273">IF(OR(BP98=-1,AND(IF(BP$3&lt;$B99,BP98+BP$6,IF(BP$3=$B99,1,""))&gt;$B$1,BP$3&lt;$B99)),-1,IF(BP$3&lt;$B99,BP98+BP$6,IF(BP$3=$B99,1,"")))</f>
        <v>-1</v>
      </c>
      <c r="BQ99">
        <f t="shared" si="273"/>
        <v>-1</v>
      </c>
      <c r="BR99">
        <f t="shared" si="273"/>
        <v>-1</v>
      </c>
      <c r="BS99">
        <f t="shared" si="273"/>
        <v>-1</v>
      </c>
      <c r="BT99">
        <f t="shared" si="273"/>
        <v>-1</v>
      </c>
      <c r="BU99">
        <f t="shared" si="273"/>
        <v>52.000000000000078</v>
      </c>
      <c r="BV99">
        <f t="shared" si="273"/>
        <v>48.40000000000007</v>
      </c>
      <c r="BW99">
        <f t="shared" si="273"/>
        <v>44.800000000000061</v>
      </c>
      <c r="BX99">
        <f t="shared" si="273"/>
        <v>41.200000000000053</v>
      </c>
      <c r="BY99">
        <f t="shared" si="273"/>
        <v>37.600000000000044</v>
      </c>
      <c r="BZ99">
        <f t="shared" si="273"/>
        <v>34.000000000000036</v>
      </c>
      <c r="CA99">
        <f t="shared" si="273"/>
        <v>30.400000000000027</v>
      </c>
      <c r="CB99">
        <f t="shared" si="273"/>
        <v>26.800000000000018</v>
      </c>
      <c r="CC99">
        <f t="shared" si="273"/>
        <v>23.20000000000001</v>
      </c>
      <c r="CD99">
        <f t="shared" si="273"/>
        <v>19.600000000000001</v>
      </c>
      <c r="CE99">
        <f t="shared" si="273"/>
        <v>15.999999999999993</v>
      </c>
      <c r="CF99">
        <f t="shared" si="273"/>
        <v>12.399999999999995</v>
      </c>
      <c r="CG99">
        <f t="shared" si="273"/>
        <v>8.7999999999999972</v>
      </c>
      <c r="CH99">
        <f t="shared" si="273"/>
        <v>5.1999999999999993</v>
      </c>
      <c r="CI99">
        <f t="shared" si="273"/>
        <v>1.6</v>
      </c>
      <c r="CJ99" t="str">
        <f t="shared" si="273"/>
        <v/>
      </c>
      <c r="CK99" t="str">
        <f t="shared" si="273"/>
        <v/>
      </c>
      <c r="CL99" t="str">
        <f t="shared" si="273"/>
        <v/>
      </c>
      <c r="CM99" t="str">
        <f t="shared" si="273"/>
        <v/>
      </c>
      <c r="CN99" t="str">
        <f t="shared" si="273"/>
        <v/>
      </c>
      <c r="CO99">
        <f t="shared" si="273"/>
        <v>33.5</v>
      </c>
      <c r="CP99">
        <f t="shared" si="273"/>
        <v>20.5</v>
      </c>
      <c r="CQ99">
        <f t="shared" si="273"/>
        <v>-1</v>
      </c>
      <c r="CR99">
        <f t="shared" si="273"/>
        <v>-1</v>
      </c>
      <c r="CS99">
        <f t="shared" si="273"/>
        <v>-1</v>
      </c>
      <c r="CT99">
        <f t="shared" si="273"/>
        <v>-1</v>
      </c>
      <c r="CU99">
        <f t="shared" si="273"/>
        <v>-1</v>
      </c>
      <c r="CV99">
        <f t="shared" si="273"/>
        <v>-1</v>
      </c>
      <c r="CW99">
        <f t="shared" si="273"/>
        <v>-1</v>
      </c>
      <c r="CX99">
        <f t="shared" si="273"/>
        <v>-1</v>
      </c>
      <c r="CY99">
        <f t="shared" si="273"/>
        <v>-1</v>
      </c>
      <c r="CZ99">
        <f t="shared" si="273"/>
        <v>-1</v>
      </c>
      <c r="DA99">
        <f t="shared" si="273"/>
        <v>-1</v>
      </c>
      <c r="DB99">
        <f t="shared" si="273"/>
        <v>-1</v>
      </c>
      <c r="DC99">
        <f t="shared" si="273"/>
        <v>-1</v>
      </c>
      <c r="DD99">
        <f t="shared" si="273"/>
        <v>-1</v>
      </c>
      <c r="DE99">
        <f t="shared" si="273"/>
        <v>-1</v>
      </c>
      <c r="DF99">
        <f t="shared" si="273"/>
        <v>-1</v>
      </c>
      <c r="DG99">
        <f t="shared" si="273"/>
        <v>-1</v>
      </c>
      <c r="DH99">
        <f t="shared" si="273"/>
        <v>-1</v>
      </c>
      <c r="DI99">
        <f t="shared" si="273"/>
        <v>-1</v>
      </c>
      <c r="DJ99">
        <f t="shared" si="273"/>
        <v>-1</v>
      </c>
      <c r="DK99">
        <f t="shared" si="273"/>
        <v>-1</v>
      </c>
      <c r="DL99">
        <f t="shared" si="273"/>
        <v>-1</v>
      </c>
      <c r="DM99">
        <f t="shared" si="273"/>
        <v>-1</v>
      </c>
      <c r="DN99">
        <f t="shared" si="273"/>
        <v>-1</v>
      </c>
      <c r="DO99">
        <f t="shared" si="273"/>
        <v>-1</v>
      </c>
      <c r="DP99">
        <f t="shared" si="273"/>
        <v>-1</v>
      </c>
      <c r="DQ99">
        <f t="shared" si="273"/>
        <v>-1</v>
      </c>
      <c r="DR99">
        <f t="shared" si="273"/>
        <v>-1</v>
      </c>
      <c r="DS99">
        <f t="shared" si="273"/>
        <v>-1</v>
      </c>
      <c r="DT99">
        <f t="shared" si="273"/>
        <v>-1</v>
      </c>
      <c r="DU99">
        <f t="shared" si="273"/>
        <v>74</v>
      </c>
      <c r="DV99">
        <f t="shared" si="273"/>
        <v>68</v>
      </c>
      <c r="DW99">
        <f t="shared" si="273"/>
        <v>62</v>
      </c>
      <c r="DX99">
        <f t="shared" si="273"/>
        <v>56</v>
      </c>
      <c r="DY99">
        <f t="shared" si="273"/>
        <v>-1</v>
      </c>
      <c r="DZ99">
        <f t="shared" si="273"/>
        <v>-1</v>
      </c>
      <c r="EA99">
        <f t="shared" si="273"/>
        <v>-1</v>
      </c>
      <c r="EB99">
        <f t="shared" ref="EB99:EO99" si="274">IF(OR(EB98=-1,AND(IF(EB$3&lt;$B99,EB98+EB$6,IF(EB$3=$B99,1,""))&gt;$B$1,EB$3&lt;$B99)),-1,IF(EB$3&lt;$B99,EB98+EB$6,IF(EB$3=$B99,1,"")))</f>
        <v>-1</v>
      </c>
      <c r="EC99">
        <f t="shared" si="274"/>
        <v>-1</v>
      </c>
      <c r="ED99">
        <f t="shared" si="274"/>
        <v>-1</v>
      </c>
      <c r="EE99">
        <f t="shared" si="274"/>
        <v>-1</v>
      </c>
      <c r="EF99">
        <f t="shared" si="274"/>
        <v>-1</v>
      </c>
      <c r="EG99">
        <f t="shared" si="274"/>
        <v>-1</v>
      </c>
      <c r="EH99">
        <f t="shared" si="274"/>
        <v>-1</v>
      </c>
      <c r="EI99">
        <f t="shared" si="274"/>
        <v>-1</v>
      </c>
      <c r="EJ99">
        <f t="shared" si="274"/>
        <v>-1</v>
      </c>
      <c r="EK99">
        <f t="shared" si="274"/>
        <v>-1</v>
      </c>
      <c r="EL99">
        <f t="shared" si="274"/>
        <v>-1</v>
      </c>
      <c r="EM99">
        <f t="shared" si="274"/>
        <v>-1</v>
      </c>
      <c r="EN99">
        <f t="shared" si="274"/>
        <v>-1</v>
      </c>
      <c r="EO99">
        <f t="shared" si="274"/>
        <v>-1</v>
      </c>
    </row>
    <row r="100" spans="1:145" x14ac:dyDescent="0.15">
      <c r="A100" t="e">
        <f t="shared" si="193"/>
        <v>#N/A</v>
      </c>
      <c r="B100" s="218">
        <v>92</v>
      </c>
      <c r="C100">
        <f t="shared" si="193"/>
        <v>-1</v>
      </c>
      <c r="D100">
        <f t="shared" ref="D100:BO100" si="275">IF(OR(D99=-1,AND(IF(D$3&lt;$B100,D99+D$6,IF(D$3=$B100,1,""))&gt;$B$1,D$3&lt;$B100)),-1,IF(D$3&lt;$B100,D99+D$6,IF(D$3=$B100,1,"")))</f>
        <v>-1</v>
      </c>
      <c r="E100">
        <f t="shared" si="275"/>
        <v>-1</v>
      </c>
      <c r="F100">
        <f t="shared" si="275"/>
        <v>-1</v>
      </c>
      <c r="G100">
        <f t="shared" si="275"/>
        <v>-1</v>
      </c>
      <c r="H100">
        <f t="shared" si="275"/>
        <v>-1</v>
      </c>
      <c r="I100">
        <f t="shared" si="275"/>
        <v>-1</v>
      </c>
      <c r="J100">
        <f t="shared" si="275"/>
        <v>-1</v>
      </c>
      <c r="K100">
        <f t="shared" si="275"/>
        <v>-1</v>
      </c>
      <c r="L100">
        <f t="shared" si="275"/>
        <v>61.900000000000098</v>
      </c>
      <c r="M100">
        <f t="shared" si="275"/>
        <v>58.400000000000084</v>
      </c>
      <c r="N100">
        <f t="shared" si="275"/>
        <v>54.90000000000007</v>
      </c>
      <c r="O100">
        <f t="shared" si="275"/>
        <v>-1</v>
      </c>
      <c r="P100">
        <f t="shared" si="275"/>
        <v>-1</v>
      </c>
      <c r="Q100">
        <f t="shared" si="275"/>
        <v>-1</v>
      </c>
      <c r="R100">
        <f t="shared" si="275"/>
        <v>-1</v>
      </c>
      <c r="S100">
        <f t="shared" si="275"/>
        <v>-1</v>
      </c>
      <c r="T100">
        <f t="shared" si="275"/>
        <v>-1</v>
      </c>
      <c r="U100">
        <f t="shared" si="275"/>
        <v>-1</v>
      </c>
      <c r="V100">
        <f t="shared" si="275"/>
        <v>-1</v>
      </c>
      <c r="W100">
        <f t="shared" si="275"/>
        <v>-1</v>
      </c>
      <c r="X100">
        <f t="shared" si="275"/>
        <v>-1</v>
      </c>
      <c r="Y100">
        <f t="shared" si="275"/>
        <v>-1</v>
      </c>
      <c r="Z100">
        <f t="shared" si="275"/>
        <v>-1</v>
      </c>
      <c r="AA100">
        <f t="shared" si="275"/>
        <v>-1</v>
      </c>
      <c r="AB100">
        <f t="shared" si="275"/>
        <v>-1</v>
      </c>
      <c r="AC100">
        <f t="shared" si="275"/>
        <v>-1</v>
      </c>
      <c r="AD100">
        <f t="shared" si="275"/>
        <v>-1</v>
      </c>
      <c r="AE100">
        <f t="shared" si="275"/>
        <v>-1</v>
      </c>
      <c r="AF100">
        <f t="shared" si="275"/>
        <v>-1</v>
      </c>
      <c r="AG100">
        <f t="shared" si="275"/>
        <v>-1</v>
      </c>
      <c r="AH100">
        <f t="shared" si="275"/>
        <v>-1</v>
      </c>
      <c r="AI100">
        <f t="shared" si="275"/>
        <v>53.800000000000082</v>
      </c>
      <c r="AJ100">
        <f t="shared" si="275"/>
        <v>51.400000000000077</v>
      </c>
      <c r="AK100">
        <f t="shared" si="275"/>
        <v>49.000000000000071</v>
      </c>
      <c r="AL100">
        <f t="shared" si="275"/>
        <v>46.600000000000065</v>
      </c>
      <c r="AM100">
        <f t="shared" si="275"/>
        <v>-1</v>
      </c>
      <c r="AN100">
        <f t="shared" si="275"/>
        <v>-1</v>
      </c>
      <c r="AO100">
        <f t="shared" si="275"/>
        <v>75</v>
      </c>
      <c r="AP100">
        <f t="shared" si="275"/>
        <v>-1</v>
      </c>
      <c r="AQ100">
        <f t="shared" si="275"/>
        <v>-1</v>
      </c>
      <c r="AR100">
        <f t="shared" si="275"/>
        <v>-1</v>
      </c>
      <c r="AS100">
        <f t="shared" si="275"/>
        <v>-1</v>
      </c>
      <c r="AT100">
        <f t="shared" si="275"/>
        <v>-1</v>
      </c>
      <c r="AU100">
        <f t="shared" si="275"/>
        <v>-1</v>
      </c>
      <c r="AV100">
        <f t="shared" si="275"/>
        <v>-1</v>
      </c>
      <c r="AW100">
        <f t="shared" si="275"/>
        <v>-1</v>
      </c>
      <c r="AX100">
        <f t="shared" si="275"/>
        <v>-1</v>
      </c>
      <c r="AY100">
        <f t="shared" si="275"/>
        <v>-1</v>
      </c>
      <c r="AZ100">
        <f t="shared" si="275"/>
        <v>-1</v>
      </c>
      <c r="BA100">
        <f t="shared" si="275"/>
        <v>-1</v>
      </c>
      <c r="BB100">
        <f t="shared" si="275"/>
        <v>-1</v>
      </c>
      <c r="BC100">
        <f t="shared" si="275"/>
        <v>-1</v>
      </c>
      <c r="BD100">
        <f t="shared" si="275"/>
        <v>-1</v>
      </c>
      <c r="BE100">
        <f t="shared" si="275"/>
        <v>-1</v>
      </c>
      <c r="BF100">
        <f t="shared" si="275"/>
        <v>-1</v>
      </c>
      <c r="BG100">
        <f t="shared" si="275"/>
        <v>-1</v>
      </c>
      <c r="BH100">
        <f t="shared" si="275"/>
        <v>-1</v>
      </c>
      <c r="BI100">
        <f t="shared" si="275"/>
        <v>-1</v>
      </c>
      <c r="BJ100">
        <f t="shared" si="275"/>
        <v>-1</v>
      </c>
      <c r="BK100">
        <f t="shared" si="275"/>
        <v>-1</v>
      </c>
      <c r="BL100">
        <f t="shared" si="275"/>
        <v>73</v>
      </c>
      <c r="BM100">
        <f t="shared" si="275"/>
        <v>-1</v>
      </c>
      <c r="BN100">
        <f t="shared" si="275"/>
        <v>-1</v>
      </c>
      <c r="BO100">
        <f t="shared" si="275"/>
        <v>-1</v>
      </c>
      <c r="BP100">
        <f t="shared" ref="BP100:EA100" si="276">IF(OR(BP99=-1,AND(IF(BP$3&lt;$B100,BP99+BP$6,IF(BP$3=$B100,1,""))&gt;$B$1,BP$3&lt;$B100)),-1,IF(BP$3&lt;$B100,BP99+BP$6,IF(BP$3=$B100,1,"")))</f>
        <v>-1</v>
      </c>
      <c r="BQ100">
        <f t="shared" si="276"/>
        <v>-1</v>
      </c>
      <c r="BR100">
        <f t="shared" si="276"/>
        <v>-1</v>
      </c>
      <c r="BS100">
        <f t="shared" si="276"/>
        <v>-1</v>
      </c>
      <c r="BT100">
        <f t="shared" si="276"/>
        <v>-1</v>
      </c>
      <c r="BU100">
        <f t="shared" si="276"/>
        <v>52.60000000000008</v>
      </c>
      <c r="BV100">
        <f t="shared" si="276"/>
        <v>49.000000000000071</v>
      </c>
      <c r="BW100">
        <f t="shared" si="276"/>
        <v>45.400000000000063</v>
      </c>
      <c r="BX100">
        <f t="shared" si="276"/>
        <v>41.800000000000054</v>
      </c>
      <c r="BY100">
        <f t="shared" si="276"/>
        <v>38.200000000000045</v>
      </c>
      <c r="BZ100">
        <f t="shared" si="276"/>
        <v>34.600000000000037</v>
      </c>
      <c r="CA100">
        <f t="shared" si="276"/>
        <v>31.000000000000028</v>
      </c>
      <c r="CB100">
        <f t="shared" si="276"/>
        <v>27.40000000000002</v>
      </c>
      <c r="CC100">
        <f t="shared" si="276"/>
        <v>23.800000000000011</v>
      </c>
      <c r="CD100">
        <f t="shared" si="276"/>
        <v>20.200000000000003</v>
      </c>
      <c r="CE100">
        <f t="shared" si="276"/>
        <v>16.599999999999994</v>
      </c>
      <c r="CF100">
        <f t="shared" si="276"/>
        <v>12.999999999999995</v>
      </c>
      <c r="CG100">
        <f t="shared" si="276"/>
        <v>9.3999999999999968</v>
      </c>
      <c r="CH100">
        <f t="shared" si="276"/>
        <v>5.7999999999999989</v>
      </c>
      <c r="CI100">
        <f t="shared" si="276"/>
        <v>2.2000000000000002</v>
      </c>
      <c r="CJ100" t="str">
        <f t="shared" si="276"/>
        <v/>
      </c>
      <c r="CK100" t="str">
        <f t="shared" si="276"/>
        <v/>
      </c>
      <c r="CL100" t="str">
        <f t="shared" si="276"/>
        <v/>
      </c>
      <c r="CM100" t="str">
        <f t="shared" si="276"/>
        <v/>
      </c>
      <c r="CN100" t="str">
        <f t="shared" si="276"/>
        <v/>
      </c>
      <c r="CO100">
        <f t="shared" si="276"/>
        <v>34</v>
      </c>
      <c r="CP100">
        <f t="shared" si="276"/>
        <v>21</v>
      </c>
      <c r="CQ100">
        <f t="shared" si="276"/>
        <v>-1</v>
      </c>
      <c r="CR100">
        <f t="shared" si="276"/>
        <v>-1</v>
      </c>
      <c r="CS100">
        <f t="shared" si="276"/>
        <v>-1</v>
      </c>
      <c r="CT100">
        <f t="shared" si="276"/>
        <v>-1</v>
      </c>
      <c r="CU100">
        <f t="shared" si="276"/>
        <v>-1</v>
      </c>
      <c r="CV100">
        <f t="shared" si="276"/>
        <v>-1</v>
      </c>
      <c r="CW100">
        <f t="shared" si="276"/>
        <v>-1</v>
      </c>
      <c r="CX100">
        <f t="shared" si="276"/>
        <v>-1</v>
      </c>
      <c r="CY100">
        <f t="shared" si="276"/>
        <v>-1</v>
      </c>
      <c r="CZ100">
        <f t="shared" si="276"/>
        <v>-1</v>
      </c>
      <c r="DA100">
        <f t="shared" si="276"/>
        <v>-1</v>
      </c>
      <c r="DB100">
        <f t="shared" si="276"/>
        <v>-1</v>
      </c>
      <c r="DC100">
        <f t="shared" si="276"/>
        <v>-1</v>
      </c>
      <c r="DD100">
        <f t="shared" si="276"/>
        <v>-1</v>
      </c>
      <c r="DE100">
        <f t="shared" si="276"/>
        <v>-1</v>
      </c>
      <c r="DF100">
        <f t="shared" si="276"/>
        <v>-1</v>
      </c>
      <c r="DG100">
        <f t="shared" si="276"/>
        <v>-1</v>
      </c>
      <c r="DH100">
        <f t="shared" si="276"/>
        <v>-1</v>
      </c>
      <c r="DI100">
        <f t="shared" si="276"/>
        <v>-1</v>
      </c>
      <c r="DJ100">
        <f t="shared" si="276"/>
        <v>-1</v>
      </c>
      <c r="DK100">
        <f t="shared" si="276"/>
        <v>-1</v>
      </c>
      <c r="DL100">
        <f t="shared" si="276"/>
        <v>-1</v>
      </c>
      <c r="DM100">
        <f t="shared" si="276"/>
        <v>-1</v>
      </c>
      <c r="DN100">
        <f t="shared" si="276"/>
        <v>-1</v>
      </c>
      <c r="DO100">
        <f t="shared" si="276"/>
        <v>-1</v>
      </c>
      <c r="DP100">
        <f t="shared" si="276"/>
        <v>-1</v>
      </c>
      <c r="DQ100">
        <f t="shared" si="276"/>
        <v>-1</v>
      </c>
      <c r="DR100">
        <f t="shared" si="276"/>
        <v>-1</v>
      </c>
      <c r="DS100">
        <f t="shared" si="276"/>
        <v>-1</v>
      </c>
      <c r="DT100">
        <f t="shared" si="276"/>
        <v>-1</v>
      </c>
      <c r="DU100">
        <f t="shared" si="276"/>
        <v>75</v>
      </c>
      <c r="DV100">
        <f t="shared" si="276"/>
        <v>69</v>
      </c>
      <c r="DW100">
        <f t="shared" si="276"/>
        <v>63</v>
      </c>
      <c r="DX100">
        <f t="shared" si="276"/>
        <v>57</v>
      </c>
      <c r="DY100">
        <f t="shared" si="276"/>
        <v>-1</v>
      </c>
      <c r="DZ100">
        <f t="shared" si="276"/>
        <v>-1</v>
      </c>
      <c r="EA100">
        <f t="shared" si="276"/>
        <v>-1</v>
      </c>
      <c r="EB100">
        <f t="shared" ref="EB100:EO100" si="277">IF(OR(EB99=-1,AND(IF(EB$3&lt;$B100,EB99+EB$6,IF(EB$3=$B100,1,""))&gt;$B$1,EB$3&lt;$B100)),-1,IF(EB$3&lt;$B100,EB99+EB$6,IF(EB$3=$B100,1,"")))</f>
        <v>-1</v>
      </c>
      <c r="EC100">
        <f t="shared" si="277"/>
        <v>-1</v>
      </c>
      <c r="ED100">
        <f t="shared" si="277"/>
        <v>-1</v>
      </c>
      <c r="EE100">
        <f t="shared" si="277"/>
        <v>-1</v>
      </c>
      <c r="EF100">
        <f t="shared" si="277"/>
        <v>-1</v>
      </c>
      <c r="EG100">
        <f t="shared" si="277"/>
        <v>-1</v>
      </c>
      <c r="EH100">
        <f t="shared" si="277"/>
        <v>-1</v>
      </c>
      <c r="EI100">
        <f t="shared" si="277"/>
        <v>-1</v>
      </c>
      <c r="EJ100">
        <f t="shared" si="277"/>
        <v>-1</v>
      </c>
      <c r="EK100">
        <f t="shared" si="277"/>
        <v>-1</v>
      </c>
      <c r="EL100">
        <f t="shared" si="277"/>
        <v>-1</v>
      </c>
      <c r="EM100">
        <f t="shared" si="277"/>
        <v>-1</v>
      </c>
      <c r="EN100">
        <f t="shared" si="277"/>
        <v>-1</v>
      </c>
      <c r="EO100">
        <f t="shared" si="277"/>
        <v>-1</v>
      </c>
    </row>
    <row r="101" spans="1:145" x14ac:dyDescent="0.15">
      <c r="A101" t="e">
        <f t="shared" si="193"/>
        <v>#N/A</v>
      </c>
      <c r="B101" s="218">
        <v>93</v>
      </c>
      <c r="C101">
        <f t="shared" si="193"/>
        <v>-1</v>
      </c>
      <c r="D101">
        <f t="shared" ref="D101:BO101" si="278">IF(OR(D100=-1,AND(IF(D$3&lt;$B101,D100+D$6,IF(D$3=$B101,1,""))&gt;$B$1,D$3&lt;$B101)),-1,IF(D$3&lt;$B101,D100+D$6,IF(D$3=$B101,1,"")))</f>
        <v>-1</v>
      </c>
      <c r="E101">
        <f t="shared" si="278"/>
        <v>-1</v>
      </c>
      <c r="F101">
        <f t="shared" si="278"/>
        <v>-1</v>
      </c>
      <c r="G101">
        <f t="shared" si="278"/>
        <v>-1</v>
      </c>
      <c r="H101">
        <f t="shared" si="278"/>
        <v>-1</v>
      </c>
      <c r="I101">
        <f t="shared" si="278"/>
        <v>-1</v>
      </c>
      <c r="J101">
        <f t="shared" si="278"/>
        <v>-1</v>
      </c>
      <c r="K101">
        <f t="shared" si="278"/>
        <v>-1</v>
      </c>
      <c r="L101">
        <f t="shared" si="278"/>
        <v>62.600000000000101</v>
      </c>
      <c r="M101">
        <f t="shared" si="278"/>
        <v>59.100000000000087</v>
      </c>
      <c r="N101">
        <f t="shared" si="278"/>
        <v>55.600000000000072</v>
      </c>
      <c r="O101">
        <f t="shared" si="278"/>
        <v>-1</v>
      </c>
      <c r="P101">
        <f t="shared" si="278"/>
        <v>-1</v>
      </c>
      <c r="Q101">
        <f t="shared" si="278"/>
        <v>-1</v>
      </c>
      <c r="R101">
        <f t="shared" si="278"/>
        <v>-1</v>
      </c>
      <c r="S101">
        <f t="shared" si="278"/>
        <v>-1</v>
      </c>
      <c r="T101">
        <f t="shared" si="278"/>
        <v>-1</v>
      </c>
      <c r="U101">
        <f t="shared" si="278"/>
        <v>-1</v>
      </c>
      <c r="V101">
        <f t="shared" si="278"/>
        <v>-1</v>
      </c>
      <c r="W101">
        <f t="shared" si="278"/>
        <v>-1</v>
      </c>
      <c r="X101">
        <f t="shared" si="278"/>
        <v>-1</v>
      </c>
      <c r="Y101">
        <f t="shared" si="278"/>
        <v>-1</v>
      </c>
      <c r="Z101">
        <f t="shared" si="278"/>
        <v>-1</v>
      </c>
      <c r="AA101">
        <f t="shared" si="278"/>
        <v>-1</v>
      </c>
      <c r="AB101">
        <f t="shared" si="278"/>
        <v>-1</v>
      </c>
      <c r="AC101">
        <f t="shared" si="278"/>
        <v>-1</v>
      </c>
      <c r="AD101">
        <f t="shared" si="278"/>
        <v>-1</v>
      </c>
      <c r="AE101">
        <f t="shared" si="278"/>
        <v>-1</v>
      </c>
      <c r="AF101">
        <f t="shared" si="278"/>
        <v>-1</v>
      </c>
      <c r="AG101">
        <f t="shared" si="278"/>
        <v>-1</v>
      </c>
      <c r="AH101">
        <f t="shared" si="278"/>
        <v>-1</v>
      </c>
      <c r="AI101">
        <f t="shared" si="278"/>
        <v>54.400000000000084</v>
      </c>
      <c r="AJ101">
        <f t="shared" si="278"/>
        <v>52.000000000000078</v>
      </c>
      <c r="AK101">
        <f t="shared" si="278"/>
        <v>49.600000000000072</v>
      </c>
      <c r="AL101">
        <f t="shared" si="278"/>
        <v>47.200000000000067</v>
      </c>
      <c r="AM101">
        <f t="shared" si="278"/>
        <v>-1</v>
      </c>
      <c r="AN101">
        <f t="shared" si="278"/>
        <v>-1</v>
      </c>
      <c r="AO101">
        <f t="shared" si="278"/>
        <v>-1</v>
      </c>
      <c r="AP101">
        <f t="shared" si="278"/>
        <v>-1</v>
      </c>
      <c r="AQ101">
        <f t="shared" si="278"/>
        <v>-1</v>
      </c>
      <c r="AR101">
        <f t="shared" si="278"/>
        <v>-1</v>
      </c>
      <c r="AS101">
        <f t="shared" si="278"/>
        <v>-1</v>
      </c>
      <c r="AT101">
        <f t="shared" si="278"/>
        <v>-1</v>
      </c>
      <c r="AU101">
        <f t="shared" si="278"/>
        <v>-1</v>
      </c>
      <c r="AV101">
        <f t="shared" si="278"/>
        <v>-1</v>
      </c>
      <c r="AW101">
        <f t="shared" si="278"/>
        <v>-1</v>
      </c>
      <c r="AX101">
        <f t="shared" si="278"/>
        <v>-1</v>
      </c>
      <c r="AY101">
        <f t="shared" si="278"/>
        <v>-1</v>
      </c>
      <c r="AZ101">
        <f t="shared" si="278"/>
        <v>-1</v>
      </c>
      <c r="BA101">
        <f t="shared" si="278"/>
        <v>-1</v>
      </c>
      <c r="BB101">
        <f t="shared" si="278"/>
        <v>-1</v>
      </c>
      <c r="BC101">
        <f t="shared" si="278"/>
        <v>-1</v>
      </c>
      <c r="BD101">
        <f t="shared" si="278"/>
        <v>-1</v>
      </c>
      <c r="BE101">
        <f t="shared" si="278"/>
        <v>-1</v>
      </c>
      <c r="BF101">
        <f t="shared" si="278"/>
        <v>-1</v>
      </c>
      <c r="BG101">
        <f t="shared" si="278"/>
        <v>-1</v>
      </c>
      <c r="BH101">
        <f t="shared" si="278"/>
        <v>-1</v>
      </c>
      <c r="BI101">
        <f t="shared" si="278"/>
        <v>-1</v>
      </c>
      <c r="BJ101">
        <f t="shared" si="278"/>
        <v>-1</v>
      </c>
      <c r="BK101">
        <f t="shared" si="278"/>
        <v>-1</v>
      </c>
      <c r="BL101">
        <f t="shared" si="278"/>
        <v>74</v>
      </c>
      <c r="BM101">
        <f t="shared" si="278"/>
        <v>-1</v>
      </c>
      <c r="BN101">
        <f t="shared" si="278"/>
        <v>-1</v>
      </c>
      <c r="BO101">
        <f t="shared" si="278"/>
        <v>-1</v>
      </c>
      <c r="BP101">
        <f t="shared" ref="BP101:EA101" si="279">IF(OR(BP100=-1,AND(IF(BP$3&lt;$B101,BP100+BP$6,IF(BP$3=$B101,1,""))&gt;$B$1,BP$3&lt;$B101)),-1,IF(BP$3&lt;$B101,BP100+BP$6,IF(BP$3=$B101,1,"")))</f>
        <v>-1</v>
      </c>
      <c r="BQ101">
        <f t="shared" si="279"/>
        <v>-1</v>
      </c>
      <c r="BR101">
        <f t="shared" si="279"/>
        <v>-1</v>
      </c>
      <c r="BS101">
        <f t="shared" si="279"/>
        <v>-1</v>
      </c>
      <c r="BT101">
        <f t="shared" si="279"/>
        <v>-1</v>
      </c>
      <c r="BU101">
        <f t="shared" si="279"/>
        <v>53.200000000000081</v>
      </c>
      <c r="BV101">
        <f t="shared" si="279"/>
        <v>49.600000000000072</v>
      </c>
      <c r="BW101">
        <f t="shared" si="279"/>
        <v>46.000000000000064</v>
      </c>
      <c r="BX101">
        <f t="shared" si="279"/>
        <v>42.400000000000055</v>
      </c>
      <c r="BY101">
        <f t="shared" si="279"/>
        <v>38.800000000000047</v>
      </c>
      <c r="BZ101">
        <f t="shared" si="279"/>
        <v>35.200000000000038</v>
      </c>
      <c r="CA101">
        <f t="shared" si="279"/>
        <v>31.60000000000003</v>
      </c>
      <c r="CB101">
        <f t="shared" si="279"/>
        <v>28.000000000000021</v>
      </c>
      <c r="CC101">
        <f t="shared" si="279"/>
        <v>24.400000000000013</v>
      </c>
      <c r="CD101">
        <f t="shared" si="279"/>
        <v>20.800000000000004</v>
      </c>
      <c r="CE101">
        <f t="shared" si="279"/>
        <v>17.199999999999996</v>
      </c>
      <c r="CF101">
        <f t="shared" si="279"/>
        <v>13.599999999999994</v>
      </c>
      <c r="CG101">
        <f t="shared" si="279"/>
        <v>9.9999999999999964</v>
      </c>
      <c r="CH101">
        <f t="shared" si="279"/>
        <v>6.3999999999999986</v>
      </c>
      <c r="CI101">
        <f t="shared" si="279"/>
        <v>2.8000000000000003</v>
      </c>
      <c r="CJ101" t="str">
        <f t="shared" si="279"/>
        <v/>
      </c>
      <c r="CK101" t="str">
        <f t="shared" si="279"/>
        <v/>
      </c>
      <c r="CL101" t="str">
        <f t="shared" si="279"/>
        <v/>
      </c>
      <c r="CM101" t="str">
        <f t="shared" si="279"/>
        <v/>
      </c>
      <c r="CN101" t="str">
        <f t="shared" si="279"/>
        <v/>
      </c>
      <c r="CO101">
        <f t="shared" si="279"/>
        <v>34.5</v>
      </c>
      <c r="CP101">
        <f t="shared" si="279"/>
        <v>21.5</v>
      </c>
      <c r="CQ101">
        <f t="shared" si="279"/>
        <v>-1</v>
      </c>
      <c r="CR101">
        <f t="shared" si="279"/>
        <v>-1</v>
      </c>
      <c r="CS101">
        <f t="shared" si="279"/>
        <v>-1</v>
      </c>
      <c r="CT101">
        <f t="shared" si="279"/>
        <v>-1</v>
      </c>
      <c r="CU101">
        <f t="shared" si="279"/>
        <v>-1</v>
      </c>
      <c r="CV101">
        <f t="shared" si="279"/>
        <v>-1</v>
      </c>
      <c r="CW101">
        <f t="shared" si="279"/>
        <v>-1</v>
      </c>
      <c r="CX101">
        <f t="shared" si="279"/>
        <v>-1</v>
      </c>
      <c r="CY101">
        <f t="shared" si="279"/>
        <v>-1</v>
      </c>
      <c r="CZ101">
        <f t="shared" si="279"/>
        <v>-1</v>
      </c>
      <c r="DA101">
        <f t="shared" si="279"/>
        <v>-1</v>
      </c>
      <c r="DB101">
        <f t="shared" si="279"/>
        <v>-1</v>
      </c>
      <c r="DC101">
        <f t="shared" si="279"/>
        <v>-1</v>
      </c>
      <c r="DD101">
        <f t="shared" si="279"/>
        <v>-1</v>
      </c>
      <c r="DE101">
        <f t="shared" si="279"/>
        <v>-1</v>
      </c>
      <c r="DF101">
        <f t="shared" si="279"/>
        <v>-1</v>
      </c>
      <c r="DG101">
        <f t="shared" si="279"/>
        <v>-1</v>
      </c>
      <c r="DH101">
        <f t="shared" si="279"/>
        <v>-1</v>
      </c>
      <c r="DI101">
        <f t="shared" si="279"/>
        <v>-1</v>
      </c>
      <c r="DJ101">
        <f t="shared" si="279"/>
        <v>-1</v>
      </c>
      <c r="DK101">
        <f t="shared" si="279"/>
        <v>-1</v>
      </c>
      <c r="DL101">
        <f t="shared" si="279"/>
        <v>-1</v>
      </c>
      <c r="DM101">
        <f t="shared" si="279"/>
        <v>-1</v>
      </c>
      <c r="DN101">
        <f t="shared" si="279"/>
        <v>-1</v>
      </c>
      <c r="DO101">
        <f t="shared" si="279"/>
        <v>-1</v>
      </c>
      <c r="DP101">
        <f t="shared" si="279"/>
        <v>-1</v>
      </c>
      <c r="DQ101">
        <f t="shared" si="279"/>
        <v>-1</v>
      </c>
      <c r="DR101">
        <f t="shared" si="279"/>
        <v>-1</v>
      </c>
      <c r="DS101">
        <f t="shared" si="279"/>
        <v>-1</v>
      </c>
      <c r="DT101">
        <f t="shared" si="279"/>
        <v>-1</v>
      </c>
      <c r="DU101">
        <f t="shared" si="279"/>
        <v>-1</v>
      </c>
      <c r="DV101">
        <f t="shared" si="279"/>
        <v>70</v>
      </c>
      <c r="DW101">
        <f t="shared" si="279"/>
        <v>64</v>
      </c>
      <c r="DX101">
        <f t="shared" si="279"/>
        <v>58</v>
      </c>
      <c r="DY101">
        <f t="shared" si="279"/>
        <v>-1</v>
      </c>
      <c r="DZ101">
        <f t="shared" si="279"/>
        <v>-1</v>
      </c>
      <c r="EA101">
        <f t="shared" si="279"/>
        <v>-1</v>
      </c>
      <c r="EB101">
        <f t="shared" ref="EB101:EO101" si="280">IF(OR(EB100=-1,AND(IF(EB$3&lt;$B101,EB100+EB$6,IF(EB$3=$B101,1,""))&gt;$B$1,EB$3&lt;$B101)),-1,IF(EB$3&lt;$B101,EB100+EB$6,IF(EB$3=$B101,1,"")))</f>
        <v>-1</v>
      </c>
      <c r="EC101">
        <f t="shared" si="280"/>
        <v>-1</v>
      </c>
      <c r="ED101">
        <f t="shared" si="280"/>
        <v>-1</v>
      </c>
      <c r="EE101">
        <f t="shared" si="280"/>
        <v>-1</v>
      </c>
      <c r="EF101">
        <f t="shared" si="280"/>
        <v>-1</v>
      </c>
      <c r="EG101">
        <f t="shared" si="280"/>
        <v>-1</v>
      </c>
      <c r="EH101">
        <f t="shared" si="280"/>
        <v>-1</v>
      </c>
      <c r="EI101">
        <f t="shared" si="280"/>
        <v>-1</v>
      </c>
      <c r="EJ101">
        <f t="shared" si="280"/>
        <v>-1</v>
      </c>
      <c r="EK101">
        <f t="shared" si="280"/>
        <v>-1</v>
      </c>
      <c r="EL101">
        <f t="shared" si="280"/>
        <v>-1</v>
      </c>
      <c r="EM101">
        <f t="shared" si="280"/>
        <v>-1</v>
      </c>
      <c r="EN101">
        <f t="shared" si="280"/>
        <v>-1</v>
      </c>
      <c r="EO101">
        <f t="shared" si="280"/>
        <v>-1</v>
      </c>
    </row>
    <row r="102" spans="1:145" x14ac:dyDescent="0.15">
      <c r="A102" t="e">
        <f t="shared" si="193"/>
        <v>#N/A</v>
      </c>
      <c r="B102" s="218">
        <v>94</v>
      </c>
      <c r="C102">
        <f t="shared" si="193"/>
        <v>-1</v>
      </c>
      <c r="D102">
        <f t="shared" ref="D102:BO102" si="281">IF(OR(D101=-1,AND(IF(D$3&lt;$B102,D101+D$6,IF(D$3=$B102,1,""))&gt;$B$1,D$3&lt;$B102)),-1,IF(D$3&lt;$B102,D101+D$6,IF(D$3=$B102,1,"")))</f>
        <v>-1</v>
      </c>
      <c r="E102">
        <f t="shared" si="281"/>
        <v>-1</v>
      </c>
      <c r="F102">
        <f t="shared" si="281"/>
        <v>-1</v>
      </c>
      <c r="G102">
        <f t="shared" si="281"/>
        <v>-1</v>
      </c>
      <c r="H102">
        <f t="shared" si="281"/>
        <v>-1</v>
      </c>
      <c r="I102">
        <f t="shared" si="281"/>
        <v>-1</v>
      </c>
      <c r="J102">
        <f t="shared" si="281"/>
        <v>-1</v>
      </c>
      <c r="K102">
        <f t="shared" si="281"/>
        <v>-1</v>
      </c>
      <c r="L102">
        <f t="shared" si="281"/>
        <v>63.300000000000104</v>
      </c>
      <c r="M102">
        <f t="shared" si="281"/>
        <v>59.80000000000009</v>
      </c>
      <c r="N102">
        <f t="shared" si="281"/>
        <v>56.300000000000075</v>
      </c>
      <c r="O102">
        <f t="shared" si="281"/>
        <v>-1</v>
      </c>
      <c r="P102">
        <f t="shared" si="281"/>
        <v>-1</v>
      </c>
      <c r="Q102">
        <f t="shared" si="281"/>
        <v>-1</v>
      </c>
      <c r="R102">
        <f t="shared" si="281"/>
        <v>-1</v>
      </c>
      <c r="S102">
        <f t="shared" si="281"/>
        <v>-1</v>
      </c>
      <c r="T102">
        <f t="shared" si="281"/>
        <v>-1</v>
      </c>
      <c r="U102">
        <f t="shared" si="281"/>
        <v>-1</v>
      </c>
      <c r="V102">
        <f t="shared" si="281"/>
        <v>-1</v>
      </c>
      <c r="W102">
        <f t="shared" si="281"/>
        <v>-1</v>
      </c>
      <c r="X102">
        <f t="shared" si="281"/>
        <v>-1</v>
      </c>
      <c r="Y102">
        <f t="shared" si="281"/>
        <v>-1</v>
      </c>
      <c r="Z102">
        <f t="shared" si="281"/>
        <v>-1</v>
      </c>
      <c r="AA102">
        <f t="shared" si="281"/>
        <v>-1</v>
      </c>
      <c r="AB102">
        <f t="shared" si="281"/>
        <v>-1</v>
      </c>
      <c r="AC102">
        <f t="shared" si="281"/>
        <v>-1</v>
      </c>
      <c r="AD102">
        <f t="shared" si="281"/>
        <v>-1</v>
      </c>
      <c r="AE102">
        <f t="shared" si="281"/>
        <v>-1</v>
      </c>
      <c r="AF102">
        <f t="shared" si="281"/>
        <v>-1</v>
      </c>
      <c r="AG102">
        <f t="shared" si="281"/>
        <v>-1</v>
      </c>
      <c r="AH102">
        <f t="shared" si="281"/>
        <v>-1</v>
      </c>
      <c r="AI102">
        <f t="shared" si="281"/>
        <v>55.000000000000085</v>
      </c>
      <c r="AJ102">
        <f t="shared" si="281"/>
        <v>52.60000000000008</v>
      </c>
      <c r="AK102">
        <f t="shared" si="281"/>
        <v>50.200000000000074</v>
      </c>
      <c r="AL102">
        <f t="shared" si="281"/>
        <v>47.800000000000068</v>
      </c>
      <c r="AM102">
        <f t="shared" si="281"/>
        <v>-1</v>
      </c>
      <c r="AN102">
        <f t="shared" si="281"/>
        <v>-1</v>
      </c>
      <c r="AO102">
        <f t="shared" si="281"/>
        <v>-1</v>
      </c>
      <c r="AP102">
        <f t="shared" si="281"/>
        <v>-1</v>
      </c>
      <c r="AQ102">
        <f t="shared" si="281"/>
        <v>-1</v>
      </c>
      <c r="AR102">
        <f t="shared" si="281"/>
        <v>-1</v>
      </c>
      <c r="AS102">
        <f t="shared" si="281"/>
        <v>-1</v>
      </c>
      <c r="AT102">
        <f t="shared" si="281"/>
        <v>-1</v>
      </c>
      <c r="AU102">
        <f t="shared" si="281"/>
        <v>-1</v>
      </c>
      <c r="AV102">
        <f t="shared" si="281"/>
        <v>-1</v>
      </c>
      <c r="AW102">
        <f t="shared" si="281"/>
        <v>-1</v>
      </c>
      <c r="AX102">
        <f t="shared" si="281"/>
        <v>-1</v>
      </c>
      <c r="AY102">
        <f t="shared" si="281"/>
        <v>-1</v>
      </c>
      <c r="AZ102">
        <f t="shared" si="281"/>
        <v>-1</v>
      </c>
      <c r="BA102">
        <f t="shared" si="281"/>
        <v>-1</v>
      </c>
      <c r="BB102">
        <f t="shared" si="281"/>
        <v>-1</v>
      </c>
      <c r="BC102">
        <f t="shared" si="281"/>
        <v>-1</v>
      </c>
      <c r="BD102">
        <f t="shared" si="281"/>
        <v>-1</v>
      </c>
      <c r="BE102">
        <f t="shared" si="281"/>
        <v>-1</v>
      </c>
      <c r="BF102">
        <f t="shared" si="281"/>
        <v>-1</v>
      </c>
      <c r="BG102">
        <f t="shared" si="281"/>
        <v>-1</v>
      </c>
      <c r="BH102">
        <f t="shared" si="281"/>
        <v>-1</v>
      </c>
      <c r="BI102">
        <f t="shared" si="281"/>
        <v>-1</v>
      </c>
      <c r="BJ102">
        <f t="shared" si="281"/>
        <v>-1</v>
      </c>
      <c r="BK102">
        <f t="shared" si="281"/>
        <v>-1</v>
      </c>
      <c r="BL102">
        <f t="shared" si="281"/>
        <v>75</v>
      </c>
      <c r="BM102">
        <f t="shared" si="281"/>
        <v>-1</v>
      </c>
      <c r="BN102">
        <f t="shared" si="281"/>
        <v>-1</v>
      </c>
      <c r="BO102">
        <f t="shared" si="281"/>
        <v>-1</v>
      </c>
      <c r="BP102">
        <f t="shared" ref="BP102:EA102" si="282">IF(OR(BP101=-1,AND(IF(BP$3&lt;$B102,BP101+BP$6,IF(BP$3=$B102,1,""))&gt;$B$1,BP$3&lt;$B102)),-1,IF(BP$3&lt;$B102,BP101+BP$6,IF(BP$3=$B102,1,"")))</f>
        <v>-1</v>
      </c>
      <c r="BQ102">
        <f t="shared" si="282"/>
        <v>-1</v>
      </c>
      <c r="BR102">
        <f t="shared" si="282"/>
        <v>-1</v>
      </c>
      <c r="BS102">
        <f t="shared" si="282"/>
        <v>-1</v>
      </c>
      <c r="BT102">
        <f t="shared" si="282"/>
        <v>-1</v>
      </c>
      <c r="BU102">
        <f t="shared" si="282"/>
        <v>53.800000000000082</v>
      </c>
      <c r="BV102">
        <f t="shared" si="282"/>
        <v>50.200000000000074</v>
      </c>
      <c r="BW102">
        <f t="shared" si="282"/>
        <v>46.600000000000065</v>
      </c>
      <c r="BX102">
        <f t="shared" si="282"/>
        <v>43.000000000000057</v>
      </c>
      <c r="BY102">
        <f t="shared" si="282"/>
        <v>39.400000000000048</v>
      </c>
      <c r="BZ102">
        <f t="shared" si="282"/>
        <v>35.80000000000004</v>
      </c>
      <c r="CA102">
        <f t="shared" si="282"/>
        <v>32.200000000000031</v>
      </c>
      <c r="CB102">
        <f t="shared" si="282"/>
        <v>28.600000000000023</v>
      </c>
      <c r="CC102">
        <f t="shared" si="282"/>
        <v>25.000000000000014</v>
      </c>
      <c r="CD102">
        <f t="shared" si="282"/>
        <v>21.400000000000006</v>
      </c>
      <c r="CE102">
        <f t="shared" si="282"/>
        <v>17.799999999999997</v>
      </c>
      <c r="CF102">
        <f t="shared" si="282"/>
        <v>14.199999999999994</v>
      </c>
      <c r="CG102">
        <f t="shared" si="282"/>
        <v>10.599999999999996</v>
      </c>
      <c r="CH102">
        <f t="shared" si="282"/>
        <v>6.9999999999999982</v>
      </c>
      <c r="CI102">
        <f t="shared" si="282"/>
        <v>3.4000000000000004</v>
      </c>
      <c r="CJ102" t="str">
        <f t="shared" si="282"/>
        <v/>
      </c>
      <c r="CK102" t="str">
        <f t="shared" si="282"/>
        <v/>
      </c>
      <c r="CL102" t="str">
        <f t="shared" si="282"/>
        <v/>
      </c>
      <c r="CM102" t="str">
        <f t="shared" si="282"/>
        <v/>
      </c>
      <c r="CN102" t="str">
        <f t="shared" si="282"/>
        <v/>
      </c>
      <c r="CO102">
        <f t="shared" si="282"/>
        <v>35</v>
      </c>
      <c r="CP102">
        <f t="shared" si="282"/>
        <v>22</v>
      </c>
      <c r="CQ102">
        <f t="shared" si="282"/>
        <v>-1</v>
      </c>
      <c r="CR102">
        <f t="shared" si="282"/>
        <v>-1</v>
      </c>
      <c r="CS102">
        <f t="shared" si="282"/>
        <v>-1</v>
      </c>
      <c r="CT102">
        <f t="shared" si="282"/>
        <v>-1</v>
      </c>
      <c r="CU102">
        <f t="shared" si="282"/>
        <v>-1</v>
      </c>
      <c r="CV102">
        <f t="shared" si="282"/>
        <v>-1</v>
      </c>
      <c r="CW102">
        <f t="shared" si="282"/>
        <v>-1</v>
      </c>
      <c r="CX102">
        <f t="shared" si="282"/>
        <v>-1</v>
      </c>
      <c r="CY102">
        <f t="shared" si="282"/>
        <v>-1</v>
      </c>
      <c r="CZ102">
        <f t="shared" si="282"/>
        <v>-1</v>
      </c>
      <c r="DA102">
        <f t="shared" si="282"/>
        <v>-1</v>
      </c>
      <c r="DB102">
        <f t="shared" si="282"/>
        <v>-1</v>
      </c>
      <c r="DC102">
        <f t="shared" si="282"/>
        <v>-1</v>
      </c>
      <c r="DD102">
        <f t="shared" si="282"/>
        <v>-1</v>
      </c>
      <c r="DE102">
        <f t="shared" si="282"/>
        <v>-1</v>
      </c>
      <c r="DF102">
        <f t="shared" si="282"/>
        <v>-1</v>
      </c>
      <c r="DG102">
        <f t="shared" si="282"/>
        <v>-1</v>
      </c>
      <c r="DH102">
        <f t="shared" si="282"/>
        <v>-1</v>
      </c>
      <c r="DI102">
        <f t="shared" si="282"/>
        <v>-1</v>
      </c>
      <c r="DJ102">
        <f t="shared" si="282"/>
        <v>-1</v>
      </c>
      <c r="DK102">
        <f t="shared" si="282"/>
        <v>-1</v>
      </c>
      <c r="DL102">
        <f t="shared" si="282"/>
        <v>-1</v>
      </c>
      <c r="DM102">
        <f t="shared" si="282"/>
        <v>-1</v>
      </c>
      <c r="DN102">
        <f t="shared" si="282"/>
        <v>-1</v>
      </c>
      <c r="DO102">
        <f t="shared" si="282"/>
        <v>-1</v>
      </c>
      <c r="DP102">
        <f t="shared" si="282"/>
        <v>-1</v>
      </c>
      <c r="DQ102">
        <f t="shared" si="282"/>
        <v>-1</v>
      </c>
      <c r="DR102">
        <f t="shared" si="282"/>
        <v>-1</v>
      </c>
      <c r="DS102">
        <f t="shared" si="282"/>
        <v>-1</v>
      </c>
      <c r="DT102">
        <f t="shared" si="282"/>
        <v>-1</v>
      </c>
      <c r="DU102">
        <f t="shared" si="282"/>
        <v>-1</v>
      </c>
      <c r="DV102">
        <f t="shared" si="282"/>
        <v>71</v>
      </c>
      <c r="DW102">
        <f t="shared" si="282"/>
        <v>65</v>
      </c>
      <c r="DX102">
        <f t="shared" si="282"/>
        <v>59</v>
      </c>
      <c r="DY102">
        <f t="shared" si="282"/>
        <v>-1</v>
      </c>
      <c r="DZ102">
        <f t="shared" si="282"/>
        <v>-1</v>
      </c>
      <c r="EA102">
        <f t="shared" si="282"/>
        <v>-1</v>
      </c>
      <c r="EB102">
        <f t="shared" ref="EB102:EO102" si="283">IF(OR(EB101=-1,AND(IF(EB$3&lt;$B102,EB101+EB$6,IF(EB$3=$B102,1,""))&gt;$B$1,EB$3&lt;$B102)),-1,IF(EB$3&lt;$B102,EB101+EB$6,IF(EB$3=$B102,1,"")))</f>
        <v>-1</v>
      </c>
      <c r="EC102">
        <f t="shared" si="283"/>
        <v>-1</v>
      </c>
      <c r="ED102">
        <f t="shared" si="283"/>
        <v>-1</v>
      </c>
      <c r="EE102">
        <f t="shared" si="283"/>
        <v>-1</v>
      </c>
      <c r="EF102">
        <f t="shared" si="283"/>
        <v>-1</v>
      </c>
      <c r="EG102">
        <f t="shared" si="283"/>
        <v>-1</v>
      </c>
      <c r="EH102">
        <f t="shared" si="283"/>
        <v>-1</v>
      </c>
      <c r="EI102">
        <f t="shared" si="283"/>
        <v>-1</v>
      </c>
      <c r="EJ102">
        <f t="shared" si="283"/>
        <v>-1</v>
      </c>
      <c r="EK102">
        <f t="shared" si="283"/>
        <v>-1</v>
      </c>
      <c r="EL102">
        <f t="shared" si="283"/>
        <v>-1</v>
      </c>
      <c r="EM102">
        <f t="shared" si="283"/>
        <v>-1</v>
      </c>
      <c r="EN102">
        <f t="shared" si="283"/>
        <v>-1</v>
      </c>
      <c r="EO102">
        <f t="shared" si="283"/>
        <v>-1</v>
      </c>
    </row>
    <row r="103" spans="1:145" x14ac:dyDescent="0.15">
      <c r="A103" t="e">
        <f t="shared" si="193"/>
        <v>#N/A</v>
      </c>
      <c r="B103" s="218">
        <v>95</v>
      </c>
      <c r="C103">
        <f t="shared" si="193"/>
        <v>-1</v>
      </c>
      <c r="D103">
        <f t="shared" ref="D103:BO103" si="284">IF(OR(D102=-1,AND(IF(D$3&lt;$B103,D102+D$6,IF(D$3=$B103,1,""))&gt;$B$1,D$3&lt;$B103)),-1,IF(D$3&lt;$B103,D102+D$6,IF(D$3=$B103,1,"")))</f>
        <v>-1</v>
      </c>
      <c r="E103">
        <f t="shared" si="284"/>
        <v>-1</v>
      </c>
      <c r="F103">
        <f t="shared" si="284"/>
        <v>-1</v>
      </c>
      <c r="G103">
        <f t="shared" si="284"/>
        <v>-1</v>
      </c>
      <c r="H103">
        <f t="shared" si="284"/>
        <v>-1</v>
      </c>
      <c r="I103">
        <f t="shared" si="284"/>
        <v>-1</v>
      </c>
      <c r="J103">
        <f t="shared" si="284"/>
        <v>-1</v>
      </c>
      <c r="K103">
        <f t="shared" si="284"/>
        <v>-1</v>
      </c>
      <c r="L103">
        <f t="shared" si="284"/>
        <v>64.000000000000099</v>
      </c>
      <c r="M103">
        <f t="shared" si="284"/>
        <v>60.500000000000092</v>
      </c>
      <c r="N103">
        <f t="shared" si="284"/>
        <v>57.000000000000078</v>
      </c>
      <c r="O103">
        <f t="shared" si="284"/>
        <v>-1</v>
      </c>
      <c r="P103">
        <f t="shared" si="284"/>
        <v>-1</v>
      </c>
      <c r="Q103">
        <f t="shared" si="284"/>
        <v>-1</v>
      </c>
      <c r="R103">
        <f t="shared" si="284"/>
        <v>-1</v>
      </c>
      <c r="S103">
        <f t="shared" si="284"/>
        <v>-1</v>
      </c>
      <c r="T103">
        <f t="shared" si="284"/>
        <v>-1</v>
      </c>
      <c r="U103">
        <f t="shared" si="284"/>
        <v>-1</v>
      </c>
      <c r="V103">
        <f t="shared" si="284"/>
        <v>-1</v>
      </c>
      <c r="W103">
        <f t="shared" si="284"/>
        <v>-1</v>
      </c>
      <c r="X103">
        <f t="shared" si="284"/>
        <v>-1</v>
      </c>
      <c r="Y103">
        <f t="shared" si="284"/>
        <v>-1</v>
      </c>
      <c r="Z103">
        <f t="shared" si="284"/>
        <v>-1</v>
      </c>
      <c r="AA103">
        <f t="shared" si="284"/>
        <v>-1</v>
      </c>
      <c r="AB103">
        <f t="shared" si="284"/>
        <v>-1</v>
      </c>
      <c r="AC103">
        <f t="shared" si="284"/>
        <v>-1</v>
      </c>
      <c r="AD103">
        <f t="shared" si="284"/>
        <v>-1</v>
      </c>
      <c r="AE103">
        <f t="shared" si="284"/>
        <v>-1</v>
      </c>
      <c r="AF103">
        <f t="shared" si="284"/>
        <v>-1</v>
      </c>
      <c r="AG103">
        <f t="shared" si="284"/>
        <v>-1</v>
      </c>
      <c r="AH103">
        <f t="shared" si="284"/>
        <v>-1</v>
      </c>
      <c r="AI103">
        <f t="shared" si="284"/>
        <v>55.600000000000087</v>
      </c>
      <c r="AJ103">
        <f t="shared" si="284"/>
        <v>53.200000000000081</v>
      </c>
      <c r="AK103">
        <f t="shared" si="284"/>
        <v>50.800000000000075</v>
      </c>
      <c r="AL103">
        <f t="shared" si="284"/>
        <v>48.40000000000007</v>
      </c>
      <c r="AM103">
        <f t="shared" si="284"/>
        <v>-1</v>
      </c>
      <c r="AN103">
        <f t="shared" si="284"/>
        <v>-1</v>
      </c>
      <c r="AO103">
        <f t="shared" si="284"/>
        <v>-1</v>
      </c>
      <c r="AP103">
        <f t="shared" si="284"/>
        <v>-1</v>
      </c>
      <c r="AQ103">
        <f t="shared" si="284"/>
        <v>-1</v>
      </c>
      <c r="AR103">
        <f t="shared" si="284"/>
        <v>-1</v>
      </c>
      <c r="AS103">
        <f t="shared" si="284"/>
        <v>-1</v>
      </c>
      <c r="AT103">
        <f t="shared" si="284"/>
        <v>-1</v>
      </c>
      <c r="AU103">
        <f t="shared" si="284"/>
        <v>-1</v>
      </c>
      <c r="AV103">
        <f t="shared" si="284"/>
        <v>-1</v>
      </c>
      <c r="AW103">
        <f t="shared" si="284"/>
        <v>-1</v>
      </c>
      <c r="AX103">
        <f t="shared" si="284"/>
        <v>-1</v>
      </c>
      <c r="AY103">
        <f t="shared" si="284"/>
        <v>-1</v>
      </c>
      <c r="AZ103">
        <f t="shared" si="284"/>
        <v>-1</v>
      </c>
      <c r="BA103">
        <f t="shared" si="284"/>
        <v>-1</v>
      </c>
      <c r="BB103">
        <f t="shared" si="284"/>
        <v>-1</v>
      </c>
      <c r="BC103">
        <f t="shared" si="284"/>
        <v>-1</v>
      </c>
      <c r="BD103">
        <f t="shared" si="284"/>
        <v>-1</v>
      </c>
      <c r="BE103">
        <f t="shared" si="284"/>
        <v>-1</v>
      </c>
      <c r="BF103">
        <f t="shared" si="284"/>
        <v>-1</v>
      </c>
      <c r="BG103">
        <f t="shared" si="284"/>
        <v>-1</v>
      </c>
      <c r="BH103">
        <f t="shared" si="284"/>
        <v>-1</v>
      </c>
      <c r="BI103">
        <f t="shared" si="284"/>
        <v>-1</v>
      </c>
      <c r="BJ103">
        <f t="shared" si="284"/>
        <v>-1</v>
      </c>
      <c r="BK103">
        <f t="shared" si="284"/>
        <v>-1</v>
      </c>
      <c r="BL103">
        <f t="shared" si="284"/>
        <v>-1</v>
      </c>
      <c r="BM103">
        <f t="shared" si="284"/>
        <v>-1</v>
      </c>
      <c r="BN103">
        <f t="shared" si="284"/>
        <v>-1</v>
      </c>
      <c r="BO103">
        <f t="shared" si="284"/>
        <v>-1</v>
      </c>
      <c r="BP103">
        <f t="shared" ref="BP103:EA103" si="285">IF(OR(BP102=-1,AND(IF(BP$3&lt;$B103,BP102+BP$6,IF(BP$3=$B103,1,""))&gt;$B$1,BP$3&lt;$B103)),-1,IF(BP$3&lt;$B103,BP102+BP$6,IF(BP$3=$B103,1,"")))</f>
        <v>-1</v>
      </c>
      <c r="BQ103">
        <f t="shared" si="285"/>
        <v>-1</v>
      </c>
      <c r="BR103">
        <f t="shared" si="285"/>
        <v>-1</v>
      </c>
      <c r="BS103">
        <f t="shared" si="285"/>
        <v>-1</v>
      </c>
      <c r="BT103">
        <f t="shared" si="285"/>
        <v>-1</v>
      </c>
      <c r="BU103">
        <f t="shared" si="285"/>
        <v>54.400000000000084</v>
      </c>
      <c r="BV103">
        <f t="shared" si="285"/>
        <v>50.800000000000075</v>
      </c>
      <c r="BW103">
        <f t="shared" si="285"/>
        <v>47.200000000000067</v>
      </c>
      <c r="BX103">
        <f t="shared" si="285"/>
        <v>43.600000000000058</v>
      </c>
      <c r="BY103">
        <f t="shared" si="285"/>
        <v>40.00000000000005</v>
      </c>
      <c r="BZ103">
        <f t="shared" si="285"/>
        <v>36.400000000000041</v>
      </c>
      <c r="CA103">
        <f t="shared" si="285"/>
        <v>32.800000000000033</v>
      </c>
      <c r="CB103">
        <f t="shared" si="285"/>
        <v>29.200000000000024</v>
      </c>
      <c r="CC103">
        <f t="shared" si="285"/>
        <v>25.600000000000016</v>
      </c>
      <c r="CD103">
        <f t="shared" si="285"/>
        <v>22.000000000000007</v>
      </c>
      <c r="CE103">
        <f t="shared" si="285"/>
        <v>18.399999999999999</v>
      </c>
      <c r="CF103">
        <f t="shared" si="285"/>
        <v>14.799999999999994</v>
      </c>
      <c r="CG103">
        <f t="shared" si="285"/>
        <v>11.199999999999996</v>
      </c>
      <c r="CH103">
        <f t="shared" si="285"/>
        <v>7.5999999999999979</v>
      </c>
      <c r="CI103">
        <f t="shared" si="285"/>
        <v>4</v>
      </c>
      <c r="CJ103" t="str">
        <f t="shared" si="285"/>
        <v/>
      </c>
      <c r="CK103" t="str">
        <f t="shared" si="285"/>
        <v/>
      </c>
      <c r="CL103" t="str">
        <f t="shared" si="285"/>
        <v/>
      </c>
      <c r="CM103" t="str">
        <f t="shared" si="285"/>
        <v/>
      </c>
      <c r="CN103" t="str">
        <f t="shared" si="285"/>
        <v/>
      </c>
      <c r="CO103">
        <f t="shared" si="285"/>
        <v>35.5</v>
      </c>
      <c r="CP103">
        <f t="shared" si="285"/>
        <v>22.5</v>
      </c>
      <c r="CQ103">
        <f t="shared" si="285"/>
        <v>-1</v>
      </c>
      <c r="CR103">
        <f t="shared" si="285"/>
        <v>-1</v>
      </c>
      <c r="CS103">
        <f t="shared" si="285"/>
        <v>-1</v>
      </c>
      <c r="CT103">
        <f t="shared" si="285"/>
        <v>-1</v>
      </c>
      <c r="CU103">
        <f t="shared" si="285"/>
        <v>-1</v>
      </c>
      <c r="CV103">
        <f t="shared" si="285"/>
        <v>-1</v>
      </c>
      <c r="CW103">
        <f t="shared" si="285"/>
        <v>-1</v>
      </c>
      <c r="CX103">
        <f t="shared" si="285"/>
        <v>-1</v>
      </c>
      <c r="CY103">
        <f t="shared" si="285"/>
        <v>-1</v>
      </c>
      <c r="CZ103">
        <f t="shared" si="285"/>
        <v>-1</v>
      </c>
      <c r="DA103">
        <f t="shared" si="285"/>
        <v>-1</v>
      </c>
      <c r="DB103">
        <f t="shared" si="285"/>
        <v>-1</v>
      </c>
      <c r="DC103">
        <f t="shared" si="285"/>
        <v>-1</v>
      </c>
      <c r="DD103">
        <f t="shared" si="285"/>
        <v>-1</v>
      </c>
      <c r="DE103">
        <f t="shared" si="285"/>
        <v>-1</v>
      </c>
      <c r="DF103">
        <f t="shared" si="285"/>
        <v>-1</v>
      </c>
      <c r="DG103">
        <f t="shared" si="285"/>
        <v>-1</v>
      </c>
      <c r="DH103">
        <f t="shared" si="285"/>
        <v>-1</v>
      </c>
      <c r="DI103">
        <f t="shared" si="285"/>
        <v>-1</v>
      </c>
      <c r="DJ103">
        <f t="shared" si="285"/>
        <v>-1</v>
      </c>
      <c r="DK103">
        <f t="shared" si="285"/>
        <v>-1</v>
      </c>
      <c r="DL103">
        <f t="shared" si="285"/>
        <v>-1</v>
      </c>
      <c r="DM103">
        <f t="shared" si="285"/>
        <v>-1</v>
      </c>
      <c r="DN103">
        <f t="shared" si="285"/>
        <v>-1</v>
      </c>
      <c r="DO103">
        <f t="shared" si="285"/>
        <v>-1</v>
      </c>
      <c r="DP103">
        <f t="shared" si="285"/>
        <v>-1</v>
      </c>
      <c r="DQ103">
        <f t="shared" si="285"/>
        <v>-1</v>
      </c>
      <c r="DR103">
        <f t="shared" si="285"/>
        <v>-1</v>
      </c>
      <c r="DS103">
        <f t="shared" si="285"/>
        <v>-1</v>
      </c>
      <c r="DT103">
        <f t="shared" si="285"/>
        <v>-1</v>
      </c>
      <c r="DU103">
        <f t="shared" si="285"/>
        <v>-1</v>
      </c>
      <c r="DV103">
        <f t="shared" si="285"/>
        <v>72</v>
      </c>
      <c r="DW103">
        <f t="shared" si="285"/>
        <v>66</v>
      </c>
      <c r="DX103">
        <f t="shared" si="285"/>
        <v>60</v>
      </c>
      <c r="DY103">
        <f t="shared" si="285"/>
        <v>-1</v>
      </c>
      <c r="DZ103">
        <f t="shared" si="285"/>
        <v>-1</v>
      </c>
      <c r="EA103">
        <f t="shared" si="285"/>
        <v>-1</v>
      </c>
      <c r="EB103">
        <f t="shared" ref="EB103:EO103" si="286">IF(OR(EB102=-1,AND(IF(EB$3&lt;$B103,EB102+EB$6,IF(EB$3=$B103,1,""))&gt;$B$1,EB$3&lt;$B103)),-1,IF(EB$3&lt;$B103,EB102+EB$6,IF(EB$3=$B103,1,"")))</f>
        <v>-1</v>
      </c>
      <c r="EC103">
        <f t="shared" si="286"/>
        <v>-1</v>
      </c>
      <c r="ED103">
        <f t="shared" si="286"/>
        <v>-1</v>
      </c>
      <c r="EE103">
        <f t="shared" si="286"/>
        <v>-1</v>
      </c>
      <c r="EF103">
        <f t="shared" si="286"/>
        <v>-1</v>
      </c>
      <c r="EG103">
        <f t="shared" si="286"/>
        <v>-1</v>
      </c>
      <c r="EH103">
        <f t="shared" si="286"/>
        <v>-1</v>
      </c>
      <c r="EI103">
        <f t="shared" si="286"/>
        <v>-1</v>
      </c>
      <c r="EJ103">
        <f t="shared" si="286"/>
        <v>-1</v>
      </c>
      <c r="EK103">
        <f t="shared" si="286"/>
        <v>-1</v>
      </c>
      <c r="EL103">
        <f t="shared" si="286"/>
        <v>-1</v>
      </c>
      <c r="EM103">
        <f t="shared" si="286"/>
        <v>-1</v>
      </c>
      <c r="EN103">
        <f t="shared" si="286"/>
        <v>-1</v>
      </c>
      <c r="EO103">
        <f t="shared" si="286"/>
        <v>-1</v>
      </c>
    </row>
    <row r="104" spans="1:145" x14ac:dyDescent="0.15">
      <c r="A104" t="e">
        <f t="shared" si="193"/>
        <v>#N/A</v>
      </c>
      <c r="B104" s="218">
        <v>96</v>
      </c>
      <c r="C104">
        <f t="shared" si="193"/>
        <v>-1</v>
      </c>
      <c r="D104">
        <f t="shared" ref="D104:BO104" si="287">IF(OR(D103=-1,AND(IF(D$3&lt;$B104,D103+D$6,IF(D$3=$B104,1,""))&gt;$B$1,D$3&lt;$B104)),-1,IF(D$3&lt;$B104,D103+D$6,IF(D$3=$B104,1,"")))</f>
        <v>-1</v>
      </c>
      <c r="E104">
        <f t="shared" si="287"/>
        <v>-1</v>
      </c>
      <c r="F104">
        <f t="shared" si="287"/>
        <v>-1</v>
      </c>
      <c r="G104">
        <f t="shared" si="287"/>
        <v>-1</v>
      </c>
      <c r="H104">
        <f t="shared" si="287"/>
        <v>-1</v>
      </c>
      <c r="I104">
        <f t="shared" si="287"/>
        <v>-1</v>
      </c>
      <c r="J104">
        <f t="shared" si="287"/>
        <v>-1</v>
      </c>
      <c r="K104">
        <f t="shared" si="287"/>
        <v>-1</v>
      </c>
      <c r="L104">
        <f t="shared" si="287"/>
        <v>64.700000000000102</v>
      </c>
      <c r="M104">
        <f t="shared" si="287"/>
        <v>61.200000000000095</v>
      </c>
      <c r="N104">
        <f t="shared" si="287"/>
        <v>57.700000000000081</v>
      </c>
      <c r="O104">
        <f t="shared" si="287"/>
        <v>-1</v>
      </c>
      <c r="P104">
        <f t="shared" si="287"/>
        <v>-1</v>
      </c>
      <c r="Q104">
        <f t="shared" si="287"/>
        <v>-1</v>
      </c>
      <c r="R104">
        <f t="shared" si="287"/>
        <v>-1</v>
      </c>
      <c r="S104">
        <f t="shared" si="287"/>
        <v>-1</v>
      </c>
      <c r="T104">
        <f t="shared" si="287"/>
        <v>-1</v>
      </c>
      <c r="U104">
        <f t="shared" si="287"/>
        <v>-1</v>
      </c>
      <c r="V104">
        <f t="shared" si="287"/>
        <v>-1</v>
      </c>
      <c r="W104">
        <f t="shared" si="287"/>
        <v>-1</v>
      </c>
      <c r="X104">
        <f t="shared" si="287"/>
        <v>-1</v>
      </c>
      <c r="Y104">
        <f t="shared" si="287"/>
        <v>-1</v>
      </c>
      <c r="Z104">
        <f t="shared" si="287"/>
        <v>-1</v>
      </c>
      <c r="AA104">
        <f t="shared" si="287"/>
        <v>-1</v>
      </c>
      <c r="AB104">
        <f t="shared" si="287"/>
        <v>-1</v>
      </c>
      <c r="AC104">
        <f t="shared" si="287"/>
        <v>-1</v>
      </c>
      <c r="AD104">
        <f t="shared" si="287"/>
        <v>-1</v>
      </c>
      <c r="AE104">
        <f t="shared" si="287"/>
        <v>-1</v>
      </c>
      <c r="AF104">
        <f t="shared" si="287"/>
        <v>-1</v>
      </c>
      <c r="AG104">
        <f t="shared" si="287"/>
        <v>-1</v>
      </c>
      <c r="AH104">
        <f t="shared" si="287"/>
        <v>-1</v>
      </c>
      <c r="AI104">
        <f t="shared" si="287"/>
        <v>56.200000000000088</v>
      </c>
      <c r="AJ104">
        <f t="shared" si="287"/>
        <v>53.800000000000082</v>
      </c>
      <c r="AK104">
        <f t="shared" si="287"/>
        <v>51.400000000000077</v>
      </c>
      <c r="AL104">
        <f t="shared" si="287"/>
        <v>49.000000000000071</v>
      </c>
      <c r="AM104">
        <f t="shared" si="287"/>
        <v>-1</v>
      </c>
      <c r="AN104">
        <f t="shared" si="287"/>
        <v>-1</v>
      </c>
      <c r="AO104">
        <f t="shared" si="287"/>
        <v>-1</v>
      </c>
      <c r="AP104">
        <f t="shared" si="287"/>
        <v>-1</v>
      </c>
      <c r="AQ104">
        <f t="shared" si="287"/>
        <v>-1</v>
      </c>
      <c r="AR104">
        <f t="shared" si="287"/>
        <v>-1</v>
      </c>
      <c r="AS104">
        <f t="shared" si="287"/>
        <v>-1</v>
      </c>
      <c r="AT104">
        <f t="shared" si="287"/>
        <v>-1</v>
      </c>
      <c r="AU104">
        <f t="shared" si="287"/>
        <v>-1</v>
      </c>
      <c r="AV104">
        <f t="shared" si="287"/>
        <v>-1</v>
      </c>
      <c r="AW104">
        <f t="shared" si="287"/>
        <v>-1</v>
      </c>
      <c r="AX104">
        <f t="shared" si="287"/>
        <v>-1</v>
      </c>
      <c r="AY104">
        <f t="shared" si="287"/>
        <v>-1</v>
      </c>
      <c r="AZ104">
        <f t="shared" si="287"/>
        <v>-1</v>
      </c>
      <c r="BA104">
        <f t="shared" si="287"/>
        <v>-1</v>
      </c>
      <c r="BB104">
        <f t="shared" si="287"/>
        <v>-1</v>
      </c>
      <c r="BC104">
        <f t="shared" si="287"/>
        <v>-1</v>
      </c>
      <c r="BD104">
        <f t="shared" si="287"/>
        <v>-1</v>
      </c>
      <c r="BE104">
        <f t="shared" si="287"/>
        <v>-1</v>
      </c>
      <c r="BF104">
        <f t="shared" si="287"/>
        <v>-1</v>
      </c>
      <c r="BG104">
        <f t="shared" si="287"/>
        <v>-1</v>
      </c>
      <c r="BH104">
        <f t="shared" si="287"/>
        <v>-1</v>
      </c>
      <c r="BI104">
        <f t="shared" si="287"/>
        <v>-1</v>
      </c>
      <c r="BJ104">
        <f t="shared" si="287"/>
        <v>-1</v>
      </c>
      <c r="BK104">
        <f t="shared" si="287"/>
        <v>-1</v>
      </c>
      <c r="BL104">
        <f t="shared" si="287"/>
        <v>-1</v>
      </c>
      <c r="BM104">
        <f t="shared" si="287"/>
        <v>-1</v>
      </c>
      <c r="BN104">
        <f t="shared" si="287"/>
        <v>-1</v>
      </c>
      <c r="BO104">
        <f t="shared" si="287"/>
        <v>-1</v>
      </c>
      <c r="BP104">
        <f t="shared" ref="BP104:EA104" si="288">IF(OR(BP103=-1,AND(IF(BP$3&lt;$B104,BP103+BP$6,IF(BP$3=$B104,1,""))&gt;$B$1,BP$3&lt;$B104)),-1,IF(BP$3&lt;$B104,BP103+BP$6,IF(BP$3=$B104,1,"")))</f>
        <v>-1</v>
      </c>
      <c r="BQ104">
        <f t="shared" si="288"/>
        <v>-1</v>
      </c>
      <c r="BR104">
        <f t="shared" si="288"/>
        <v>-1</v>
      </c>
      <c r="BS104">
        <f t="shared" si="288"/>
        <v>-1</v>
      </c>
      <c r="BT104">
        <f t="shared" si="288"/>
        <v>-1</v>
      </c>
      <c r="BU104">
        <f t="shared" si="288"/>
        <v>55.000000000000085</v>
      </c>
      <c r="BV104">
        <f t="shared" si="288"/>
        <v>51.400000000000077</v>
      </c>
      <c r="BW104">
        <f t="shared" si="288"/>
        <v>47.800000000000068</v>
      </c>
      <c r="BX104">
        <f t="shared" si="288"/>
        <v>44.20000000000006</v>
      </c>
      <c r="BY104">
        <f t="shared" si="288"/>
        <v>40.600000000000051</v>
      </c>
      <c r="BZ104">
        <f t="shared" si="288"/>
        <v>37.000000000000043</v>
      </c>
      <c r="CA104">
        <f t="shared" si="288"/>
        <v>33.400000000000034</v>
      </c>
      <c r="CB104">
        <f t="shared" si="288"/>
        <v>29.800000000000026</v>
      </c>
      <c r="CC104">
        <f t="shared" si="288"/>
        <v>26.200000000000017</v>
      </c>
      <c r="CD104">
        <f t="shared" si="288"/>
        <v>22.600000000000009</v>
      </c>
      <c r="CE104">
        <f t="shared" si="288"/>
        <v>19</v>
      </c>
      <c r="CF104">
        <f t="shared" si="288"/>
        <v>15.399999999999993</v>
      </c>
      <c r="CG104">
        <f t="shared" si="288"/>
        <v>11.799999999999995</v>
      </c>
      <c r="CH104">
        <f t="shared" si="288"/>
        <v>8.1999999999999975</v>
      </c>
      <c r="CI104">
        <f t="shared" si="288"/>
        <v>4.5999999999999996</v>
      </c>
      <c r="CJ104">
        <f t="shared" si="288"/>
        <v>1</v>
      </c>
      <c r="CK104" t="str">
        <f t="shared" si="288"/>
        <v/>
      </c>
      <c r="CL104" t="str">
        <f t="shared" si="288"/>
        <v/>
      </c>
      <c r="CM104" t="str">
        <f t="shared" si="288"/>
        <v/>
      </c>
      <c r="CN104" t="str">
        <f t="shared" si="288"/>
        <v/>
      </c>
      <c r="CO104">
        <f t="shared" si="288"/>
        <v>36</v>
      </c>
      <c r="CP104">
        <f t="shared" si="288"/>
        <v>23</v>
      </c>
      <c r="CQ104">
        <f t="shared" si="288"/>
        <v>-1</v>
      </c>
      <c r="CR104">
        <f t="shared" si="288"/>
        <v>-1</v>
      </c>
      <c r="CS104">
        <f t="shared" si="288"/>
        <v>-1</v>
      </c>
      <c r="CT104">
        <f t="shared" si="288"/>
        <v>-1</v>
      </c>
      <c r="CU104">
        <f t="shared" si="288"/>
        <v>-1</v>
      </c>
      <c r="CV104">
        <f t="shared" si="288"/>
        <v>-1</v>
      </c>
      <c r="CW104">
        <f t="shared" si="288"/>
        <v>-1</v>
      </c>
      <c r="CX104">
        <f t="shared" si="288"/>
        <v>-1</v>
      </c>
      <c r="CY104">
        <f t="shared" si="288"/>
        <v>-1</v>
      </c>
      <c r="CZ104">
        <f t="shared" si="288"/>
        <v>-1</v>
      </c>
      <c r="DA104">
        <f t="shared" si="288"/>
        <v>-1</v>
      </c>
      <c r="DB104">
        <f t="shared" si="288"/>
        <v>-1</v>
      </c>
      <c r="DC104">
        <f t="shared" si="288"/>
        <v>-1</v>
      </c>
      <c r="DD104">
        <f t="shared" si="288"/>
        <v>-1</v>
      </c>
      <c r="DE104">
        <f t="shared" si="288"/>
        <v>-1</v>
      </c>
      <c r="DF104">
        <f t="shared" si="288"/>
        <v>-1</v>
      </c>
      <c r="DG104">
        <f t="shared" si="288"/>
        <v>-1</v>
      </c>
      <c r="DH104">
        <f t="shared" si="288"/>
        <v>-1</v>
      </c>
      <c r="DI104">
        <f t="shared" si="288"/>
        <v>-1</v>
      </c>
      <c r="DJ104">
        <f t="shared" si="288"/>
        <v>-1</v>
      </c>
      <c r="DK104">
        <f t="shared" si="288"/>
        <v>-1</v>
      </c>
      <c r="DL104">
        <f t="shared" si="288"/>
        <v>-1</v>
      </c>
      <c r="DM104">
        <f t="shared" si="288"/>
        <v>-1</v>
      </c>
      <c r="DN104">
        <f t="shared" si="288"/>
        <v>-1</v>
      </c>
      <c r="DO104">
        <f t="shared" si="288"/>
        <v>-1</v>
      </c>
      <c r="DP104">
        <f t="shared" si="288"/>
        <v>-1</v>
      </c>
      <c r="DQ104">
        <f t="shared" si="288"/>
        <v>-1</v>
      </c>
      <c r="DR104">
        <f t="shared" si="288"/>
        <v>-1</v>
      </c>
      <c r="DS104">
        <f t="shared" si="288"/>
        <v>-1</v>
      </c>
      <c r="DT104">
        <f t="shared" si="288"/>
        <v>-1</v>
      </c>
      <c r="DU104">
        <f t="shared" si="288"/>
        <v>-1</v>
      </c>
      <c r="DV104">
        <f t="shared" si="288"/>
        <v>73</v>
      </c>
      <c r="DW104">
        <f t="shared" si="288"/>
        <v>67</v>
      </c>
      <c r="DX104">
        <f t="shared" si="288"/>
        <v>61</v>
      </c>
      <c r="DY104">
        <f t="shared" si="288"/>
        <v>-1</v>
      </c>
      <c r="DZ104">
        <f t="shared" si="288"/>
        <v>-1</v>
      </c>
      <c r="EA104">
        <f t="shared" si="288"/>
        <v>-1</v>
      </c>
      <c r="EB104">
        <f t="shared" ref="EB104:EO104" si="289">IF(OR(EB103=-1,AND(IF(EB$3&lt;$B104,EB103+EB$6,IF(EB$3=$B104,1,""))&gt;$B$1,EB$3&lt;$B104)),-1,IF(EB$3&lt;$B104,EB103+EB$6,IF(EB$3=$B104,1,"")))</f>
        <v>-1</v>
      </c>
      <c r="EC104">
        <f t="shared" si="289"/>
        <v>-1</v>
      </c>
      <c r="ED104">
        <f t="shared" si="289"/>
        <v>-1</v>
      </c>
      <c r="EE104">
        <f t="shared" si="289"/>
        <v>-1</v>
      </c>
      <c r="EF104">
        <f t="shared" si="289"/>
        <v>-1</v>
      </c>
      <c r="EG104">
        <f t="shared" si="289"/>
        <v>-1</v>
      </c>
      <c r="EH104">
        <f t="shared" si="289"/>
        <v>-1</v>
      </c>
      <c r="EI104">
        <f t="shared" si="289"/>
        <v>-1</v>
      </c>
      <c r="EJ104">
        <f t="shared" si="289"/>
        <v>-1</v>
      </c>
      <c r="EK104">
        <f t="shared" si="289"/>
        <v>-1</v>
      </c>
      <c r="EL104">
        <f t="shared" si="289"/>
        <v>-1</v>
      </c>
      <c r="EM104">
        <f t="shared" si="289"/>
        <v>-1</v>
      </c>
      <c r="EN104">
        <f t="shared" si="289"/>
        <v>-1</v>
      </c>
      <c r="EO104">
        <f t="shared" si="289"/>
        <v>-1</v>
      </c>
    </row>
    <row r="105" spans="1:145" x14ac:dyDescent="0.15">
      <c r="A105" t="e">
        <f t="shared" si="193"/>
        <v>#N/A</v>
      </c>
      <c r="B105" s="218">
        <v>97</v>
      </c>
      <c r="C105">
        <f t="shared" si="193"/>
        <v>-1</v>
      </c>
      <c r="D105">
        <f t="shared" ref="D105:BO105" si="290">IF(OR(D104=-1,AND(IF(D$3&lt;$B105,D104+D$6,IF(D$3=$B105,1,""))&gt;$B$1,D$3&lt;$B105)),-1,IF(D$3&lt;$B105,D104+D$6,IF(D$3=$B105,1,"")))</f>
        <v>-1</v>
      </c>
      <c r="E105">
        <f t="shared" si="290"/>
        <v>-1</v>
      </c>
      <c r="F105">
        <f t="shared" si="290"/>
        <v>-1</v>
      </c>
      <c r="G105">
        <f t="shared" si="290"/>
        <v>-1</v>
      </c>
      <c r="H105">
        <f t="shared" si="290"/>
        <v>-1</v>
      </c>
      <c r="I105">
        <f t="shared" si="290"/>
        <v>-1</v>
      </c>
      <c r="J105">
        <f t="shared" si="290"/>
        <v>-1</v>
      </c>
      <c r="K105">
        <f t="shared" si="290"/>
        <v>-1</v>
      </c>
      <c r="L105">
        <f t="shared" si="290"/>
        <v>65.400000000000105</v>
      </c>
      <c r="M105">
        <f t="shared" si="290"/>
        <v>61.900000000000098</v>
      </c>
      <c r="N105">
        <f t="shared" si="290"/>
        <v>58.400000000000084</v>
      </c>
      <c r="O105">
        <f t="shared" si="290"/>
        <v>-1</v>
      </c>
      <c r="P105">
        <f t="shared" si="290"/>
        <v>-1</v>
      </c>
      <c r="Q105">
        <f t="shared" si="290"/>
        <v>-1</v>
      </c>
      <c r="R105">
        <f t="shared" si="290"/>
        <v>-1</v>
      </c>
      <c r="S105">
        <f t="shared" si="290"/>
        <v>-1</v>
      </c>
      <c r="T105">
        <f t="shared" si="290"/>
        <v>-1</v>
      </c>
      <c r="U105">
        <f t="shared" si="290"/>
        <v>-1</v>
      </c>
      <c r="V105">
        <f t="shared" si="290"/>
        <v>-1</v>
      </c>
      <c r="W105">
        <f t="shared" si="290"/>
        <v>-1</v>
      </c>
      <c r="X105">
        <f t="shared" si="290"/>
        <v>-1</v>
      </c>
      <c r="Y105">
        <f t="shared" si="290"/>
        <v>-1</v>
      </c>
      <c r="Z105">
        <f t="shared" si="290"/>
        <v>-1</v>
      </c>
      <c r="AA105">
        <f t="shared" si="290"/>
        <v>-1</v>
      </c>
      <c r="AB105">
        <f t="shared" si="290"/>
        <v>-1</v>
      </c>
      <c r="AC105">
        <f t="shared" si="290"/>
        <v>-1</v>
      </c>
      <c r="AD105">
        <f t="shared" si="290"/>
        <v>-1</v>
      </c>
      <c r="AE105">
        <f t="shared" si="290"/>
        <v>-1</v>
      </c>
      <c r="AF105">
        <f t="shared" si="290"/>
        <v>-1</v>
      </c>
      <c r="AG105">
        <f t="shared" si="290"/>
        <v>-1</v>
      </c>
      <c r="AH105">
        <f t="shared" si="290"/>
        <v>-1</v>
      </c>
      <c r="AI105">
        <f t="shared" si="290"/>
        <v>56.80000000000009</v>
      </c>
      <c r="AJ105">
        <f t="shared" si="290"/>
        <v>54.400000000000084</v>
      </c>
      <c r="AK105">
        <f t="shared" si="290"/>
        <v>52.000000000000078</v>
      </c>
      <c r="AL105">
        <f t="shared" si="290"/>
        <v>49.600000000000072</v>
      </c>
      <c r="AM105">
        <f t="shared" si="290"/>
        <v>-1</v>
      </c>
      <c r="AN105">
        <f t="shared" si="290"/>
        <v>-1</v>
      </c>
      <c r="AO105">
        <f t="shared" si="290"/>
        <v>-1</v>
      </c>
      <c r="AP105">
        <f t="shared" si="290"/>
        <v>-1</v>
      </c>
      <c r="AQ105">
        <f t="shared" si="290"/>
        <v>-1</v>
      </c>
      <c r="AR105">
        <f t="shared" si="290"/>
        <v>-1</v>
      </c>
      <c r="AS105">
        <f t="shared" si="290"/>
        <v>-1</v>
      </c>
      <c r="AT105">
        <f t="shared" si="290"/>
        <v>-1</v>
      </c>
      <c r="AU105">
        <f t="shared" si="290"/>
        <v>-1</v>
      </c>
      <c r="AV105">
        <f t="shared" si="290"/>
        <v>-1</v>
      </c>
      <c r="AW105">
        <f t="shared" si="290"/>
        <v>-1</v>
      </c>
      <c r="AX105">
        <f t="shared" si="290"/>
        <v>-1</v>
      </c>
      <c r="AY105">
        <f t="shared" si="290"/>
        <v>-1</v>
      </c>
      <c r="AZ105">
        <f t="shared" si="290"/>
        <v>-1</v>
      </c>
      <c r="BA105">
        <f t="shared" si="290"/>
        <v>-1</v>
      </c>
      <c r="BB105">
        <f t="shared" si="290"/>
        <v>-1</v>
      </c>
      <c r="BC105">
        <f t="shared" si="290"/>
        <v>-1</v>
      </c>
      <c r="BD105">
        <f t="shared" si="290"/>
        <v>-1</v>
      </c>
      <c r="BE105">
        <f t="shared" si="290"/>
        <v>-1</v>
      </c>
      <c r="BF105">
        <f t="shared" si="290"/>
        <v>-1</v>
      </c>
      <c r="BG105">
        <f t="shared" si="290"/>
        <v>-1</v>
      </c>
      <c r="BH105">
        <f t="shared" si="290"/>
        <v>-1</v>
      </c>
      <c r="BI105">
        <f t="shared" si="290"/>
        <v>-1</v>
      </c>
      <c r="BJ105">
        <f t="shared" si="290"/>
        <v>-1</v>
      </c>
      <c r="BK105">
        <f t="shared" si="290"/>
        <v>-1</v>
      </c>
      <c r="BL105">
        <f t="shared" si="290"/>
        <v>-1</v>
      </c>
      <c r="BM105">
        <f t="shared" si="290"/>
        <v>-1</v>
      </c>
      <c r="BN105">
        <f t="shared" si="290"/>
        <v>-1</v>
      </c>
      <c r="BO105">
        <f t="shared" si="290"/>
        <v>-1</v>
      </c>
      <c r="BP105">
        <f t="shared" ref="BP105:EA105" si="291">IF(OR(BP104=-1,AND(IF(BP$3&lt;$B105,BP104+BP$6,IF(BP$3=$B105,1,""))&gt;$B$1,BP$3&lt;$B105)),-1,IF(BP$3&lt;$B105,BP104+BP$6,IF(BP$3=$B105,1,"")))</f>
        <v>-1</v>
      </c>
      <c r="BQ105">
        <f t="shared" si="291"/>
        <v>-1</v>
      </c>
      <c r="BR105">
        <f t="shared" si="291"/>
        <v>-1</v>
      </c>
      <c r="BS105">
        <f t="shared" si="291"/>
        <v>-1</v>
      </c>
      <c r="BT105">
        <f t="shared" si="291"/>
        <v>-1</v>
      </c>
      <c r="BU105">
        <f t="shared" si="291"/>
        <v>55.600000000000087</v>
      </c>
      <c r="BV105">
        <f t="shared" si="291"/>
        <v>52.000000000000078</v>
      </c>
      <c r="BW105">
        <f t="shared" si="291"/>
        <v>48.40000000000007</v>
      </c>
      <c r="BX105">
        <f t="shared" si="291"/>
        <v>44.800000000000061</v>
      </c>
      <c r="BY105">
        <f t="shared" si="291"/>
        <v>41.200000000000053</v>
      </c>
      <c r="BZ105">
        <f t="shared" si="291"/>
        <v>37.600000000000044</v>
      </c>
      <c r="CA105">
        <f t="shared" si="291"/>
        <v>34.000000000000036</v>
      </c>
      <c r="CB105">
        <f t="shared" si="291"/>
        <v>30.400000000000027</v>
      </c>
      <c r="CC105">
        <f t="shared" si="291"/>
        <v>26.800000000000018</v>
      </c>
      <c r="CD105">
        <f t="shared" si="291"/>
        <v>23.20000000000001</v>
      </c>
      <c r="CE105">
        <f t="shared" si="291"/>
        <v>19.600000000000001</v>
      </c>
      <c r="CF105">
        <f t="shared" si="291"/>
        <v>15.999999999999993</v>
      </c>
      <c r="CG105">
        <f t="shared" si="291"/>
        <v>12.399999999999995</v>
      </c>
      <c r="CH105">
        <f t="shared" si="291"/>
        <v>8.7999999999999972</v>
      </c>
      <c r="CI105">
        <f t="shared" si="291"/>
        <v>5.1999999999999993</v>
      </c>
      <c r="CJ105">
        <f t="shared" si="291"/>
        <v>1.6</v>
      </c>
      <c r="CK105" t="str">
        <f t="shared" si="291"/>
        <v/>
      </c>
      <c r="CL105" t="str">
        <f t="shared" si="291"/>
        <v/>
      </c>
      <c r="CM105" t="str">
        <f t="shared" si="291"/>
        <v/>
      </c>
      <c r="CN105" t="str">
        <f t="shared" si="291"/>
        <v/>
      </c>
      <c r="CO105">
        <f t="shared" si="291"/>
        <v>36.5</v>
      </c>
      <c r="CP105">
        <f t="shared" si="291"/>
        <v>23.5</v>
      </c>
      <c r="CQ105">
        <f t="shared" si="291"/>
        <v>-1</v>
      </c>
      <c r="CR105">
        <f t="shared" si="291"/>
        <v>-1</v>
      </c>
      <c r="CS105">
        <f t="shared" si="291"/>
        <v>-1</v>
      </c>
      <c r="CT105">
        <f t="shared" si="291"/>
        <v>-1</v>
      </c>
      <c r="CU105">
        <f t="shared" si="291"/>
        <v>-1</v>
      </c>
      <c r="CV105">
        <f t="shared" si="291"/>
        <v>-1</v>
      </c>
      <c r="CW105">
        <f t="shared" si="291"/>
        <v>-1</v>
      </c>
      <c r="CX105">
        <f t="shared" si="291"/>
        <v>-1</v>
      </c>
      <c r="CY105">
        <f t="shared" si="291"/>
        <v>-1</v>
      </c>
      <c r="CZ105">
        <f t="shared" si="291"/>
        <v>-1</v>
      </c>
      <c r="DA105">
        <f t="shared" si="291"/>
        <v>-1</v>
      </c>
      <c r="DB105">
        <f t="shared" si="291"/>
        <v>-1</v>
      </c>
      <c r="DC105">
        <f t="shared" si="291"/>
        <v>-1</v>
      </c>
      <c r="DD105">
        <f t="shared" si="291"/>
        <v>-1</v>
      </c>
      <c r="DE105">
        <f t="shared" si="291"/>
        <v>-1</v>
      </c>
      <c r="DF105">
        <f t="shared" si="291"/>
        <v>-1</v>
      </c>
      <c r="DG105">
        <f t="shared" si="291"/>
        <v>-1</v>
      </c>
      <c r="DH105">
        <f t="shared" si="291"/>
        <v>-1</v>
      </c>
      <c r="DI105">
        <f t="shared" si="291"/>
        <v>-1</v>
      </c>
      <c r="DJ105">
        <f t="shared" si="291"/>
        <v>-1</v>
      </c>
      <c r="DK105">
        <f t="shared" si="291"/>
        <v>-1</v>
      </c>
      <c r="DL105">
        <f t="shared" si="291"/>
        <v>-1</v>
      </c>
      <c r="DM105">
        <f t="shared" si="291"/>
        <v>-1</v>
      </c>
      <c r="DN105">
        <f t="shared" si="291"/>
        <v>-1</v>
      </c>
      <c r="DO105">
        <f t="shared" si="291"/>
        <v>-1</v>
      </c>
      <c r="DP105">
        <f t="shared" si="291"/>
        <v>-1</v>
      </c>
      <c r="DQ105">
        <f t="shared" si="291"/>
        <v>-1</v>
      </c>
      <c r="DR105">
        <f t="shared" si="291"/>
        <v>-1</v>
      </c>
      <c r="DS105">
        <f t="shared" si="291"/>
        <v>-1</v>
      </c>
      <c r="DT105">
        <f t="shared" si="291"/>
        <v>-1</v>
      </c>
      <c r="DU105">
        <f t="shared" si="291"/>
        <v>-1</v>
      </c>
      <c r="DV105">
        <f t="shared" si="291"/>
        <v>74</v>
      </c>
      <c r="DW105">
        <f t="shared" si="291"/>
        <v>68</v>
      </c>
      <c r="DX105">
        <f t="shared" si="291"/>
        <v>62</v>
      </c>
      <c r="DY105">
        <f t="shared" si="291"/>
        <v>-1</v>
      </c>
      <c r="DZ105">
        <f t="shared" si="291"/>
        <v>-1</v>
      </c>
      <c r="EA105">
        <f t="shared" si="291"/>
        <v>-1</v>
      </c>
      <c r="EB105">
        <f t="shared" ref="EB105:EO105" si="292">IF(OR(EB104=-1,AND(IF(EB$3&lt;$B105,EB104+EB$6,IF(EB$3=$B105,1,""))&gt;$B$1,EB$3&lt;$B105)),-1,IF(EB$3&lt;$B105,EB104+EB$6,IF(EB$3=$B105,1,"")))</f>
        <v>-1</v>
      </c>
      <c r="EC105">
        <f t="shared" si="292"/>
        <v>-1</v>
      </c>
      <c r="ED105">
        <f t="shared" si="292"/>
        <v>-1</v>
      </c>
      <c r="EE105">
        <f t="shared" si="292"/>
        <v>-1</v>
      </c>
      <c r="EF105">
        <f t="shared" si="292"/>
        <v>-1</v>
      </c>
      <c r="EG105">
        <f t="shared" si="292"/>
        <v>-1</v>
      </c>
      <c r="EH105">
        <f t="shared" si="292"/>
        <v>-1</v>
      </c>
      <c r="EI105">
        <f t="shared" si="292"/>
        <v>-1</v>
      </c>
      <c r="EJ105">
        <f t="shared" si="292"/>
        <v>-1</v>
      </c>
      <c r="EK105">
        <f t="shared" si="292"/>
        <v>-1</v>
      </c>
      <c r="EL105">
        <f t="shared" si="292"/>
        <v>-1</v>
      </c>
      <c r="EM105">
        <f t="shared" si="292"/>
        <v>-1</v>
      </c>
      <c r="EN105">
        <f t="shared" si="292"/>
        <v>-1</v>
      </c>
      <c r="EO105">
        <f t="shared" si="292"/>
        <v>-1</v>
      </c>
    </row>
    <row r="106" spans="1:145" x14ac:dyDescent="0.15">
      <c r="A106" t="e">
        <f t="shared" si="193"/>
        <v>#N/A</v>
      </c>
      <c r="B106" s="218">
        <v>98</v>
      </c>
      <c r="C106">
        <f t="shared" si="193"/>
        <v>-1</v>
      </c>
      <c r="D106">
        <f t="shared" ref="D106:BO106" si="293">IF(OR(D105=-1,AND(IF(D$3&lt;$B106,D105+D$6,IF(D$3=$B106,1,""))&gt;$B$1,D$3&lt;$B106)),-1,IF(D$3&lt;$B106,D105+D$6,IF(D$3=$B106,1,"")))</f>
        <v>-1</v>
      </c>
      <c r="E106">
        <f t="shared" si="293"/>
        <v>-1</v>
      </c>
      <c r="F106">
        <f t="shared" si="293"/>
        <v>-1</v>
      </c>
      <c r="G106">
        <f t="shared" si="293"/>
        <v>-1</v>
      </c>
      <c r="H106">
        <f t="shared" si="293"/>
        <v>-1</v>
      </c>
      <c r="I106">
        <f t="shared" si="293"/>
        <v>-1</v>
      </c>
      <c r="J106">
        <f t="shared" si="293"/>
        <v>-1</v>
      </c>
      <c r="K106">
        <f t="shared" si="293"/>
        <v>-1</v>
      </c>
      <c r="L106">
        <f t="shared" si="293"/>
        <v>66.100000000000108</v>
      </c>
      <c r="M106">
        <f t="shared" si="293"/>
        <v>62.600000000000101</v>
      </c>
      <c r="N106">
        <f t="shared" si="293"/>
        <v>59.100000000000087</v>
      </c>
      <c r="O106">
        <f t="shared" si="293"/>
        <v>-1</v>
      </c>
      <c r="P106">
        <f t="shared" si="293"/>
        <v>-1</v>
      </c>
      <c r="Q106">
        <f t="shared" si="293"/>
        <v>-1</v>
      </c>
      <c r="R106">
        <f t="shared" si="293"/>
        <v>-1</v>
      </c>
      <c r="S106">
        <f t="shared" si="293"/>
        <v>-1</v>
      </c>
      <c r="T106">
        <f t="shared" si="293"/>
        <v>-1</v>
      </c>
      <c r="U106">
        <f t="shared" si="293"/>
        <v>-1</v>
      </c>
      <c r="V106">
        <f t="shared" si="293"/>
        <v>-1</v>
      </c>
      <c r="W106">
        <f t="shared" si="293"/>
        <v>-1</v>
      </c>
      <c r="X106">
        <f t="shared" si="293"/>
        <v>-1</v>
      </c>
      <c r="Y106">
        <f t="shared" si="293"/>
        <v>-1</v>
      </c>
      <c r="Z106">
        <f t="shared" si="293"/>
        <v>-1</v>
      </c>
      <c r="AA106">
        <f t="shared" si="293"/>
        <v>-1</v>
      </c>
      <c r="AB106">
        <f t="shared" si="293"/>
        <v>-1</v>
      </c>
      <c r="AC106">
        <f t="shared" si="293"/>
        <v>-1</v>
      </c>
      <c r="AD106">
        <f t="shared" si="293"/>
        <v>-1</v>
      </c>
      <c r="AE106">
        <f t="shared" si="293"/>
        <v>-1</v>
      </c>
      <c r="AF106">
        <f t="shared" si="293"/>
        <v>-1</v>
      </c>
      <c r="AG106">
        <f t="shared" si="293"/>
        <v>-1</v>
      </c>
      <c r="AH106">
        <f t="shared" si="293"/>
        <v>-1</v>
      </c>
      <c r="AI106">
        <f t="shared" si="293"/>
        <v>57.400000000000091</v>
      </c>
      <c r="AJ106">
        <f t="shared" si="293"/>
        <v>55.000000000000085</v>
      </c>
      <c r="AK106">
        <f t="shared" si="293"/>
        <v>52.60000000000008</v>
      </c>
      <c r="AL106">
        <f t="shared" si="293"/>
        <v>50.200000000000074</v>
      </c>
      <c r="AM106">
        <f t="shared" si="293"/>
        <v>-1</v>
      </c>
      <c r="AN106">
        <f t="shared" si="293"/>
        <v>-1</v>
      </c>
      <c r="AO106">
        <f t="shared" si="293"/>
        <v>-1</v>
      </c>
      <c r="AP106">
        <f t="shared" si="293"/>
        <v>-1</v>
      </c>
      <c r="AQ106">
        <f t="shared" si="293"/>
        <v>-1</v>
      </c>
      <c r="AR106">
        <f t="shared" si="293"/>
        <v>-1</v>
      </c>
      <c r="AS106">
        <f t="shared" si="293"/>
        <v>-1</v>
      </c>
      <c r="AT106">
        <f t="shared" si="293"/>
        <v>-1</v>
      </c>
      <c r="AU106">
        <f t="shared" si="293"/>
        <v>-1</v>
      </c>
      <c r="AV106">
        <f t="shared" si="293"/>
        <v>-1</v>
      </c>
      <c r="AW106">
        <f t="shared" si="293"/>
        <v>-1</v>
      </c>
      <c r="AX106">
        <f t="shared" si="293"/>
        <v>-1</v>
      </c>
      <c r="AY106">
        <f t="shared" si="293"/>
        <v>-1</v>
      </c>
      <c r="AZ106">
        <f t="shared" si="293"/>
        <v>-1</v>
      </c>
      <c r="BA106">
        <f t="shared" si="293"/>
        <v>-1</v>
      </c>
      <c r="BB106">
        <f t="shared" si="293"/>
        <v>-1</v>
      </c>
      <c r="BC106">
        <f t="shared" si="293"/>
        <v>-1</v>
      </c>
      <c r="BD106">
        <f t="shared" si="293"/>
        <v>-1</v>
      </c>
      <c r="BE106">
        <f t="shared" si="293"/>
        <v>-1</v>
      </c>
      <c r="BF106">
        <f t="shared" si="293"/>
        <v>-1</v>
      </c>
      <c r="BG106">
        <f t="shared" si="293"/>
        <v>-1</v>
      </c>
      <c r="BH106">
        <f t="shared" si="293"/>
        <v>-1</v>
      </c>
      <c r="BI106">
        <f t="shared" si="293"/>
        <v>-1</v>
      </c>
      <c r="BJ106">
        <f t="shared" si="293"/>
        <v>-1</v>
      </c>
      <c r="BK106">
        <f t="shared" si="293"/>
        <v>-1</v>
      </c>
      <c r="BL106">
        <f t="shared" si="293"/>
        <v>-1</v>
      </c>
      <c r="BM106">
        <f t="shared" si="293"/>
        <v>-1</v>
      </c>
      <c r="BN106">
        <f t="shared" si="293"/>
        <v>-1</v>
      </c>
      <c r="BO106">
        <f t="shared" si="293"/>
        <v>-1</v>
      </c>
      <c r="BP106">
        <f t="shared" ref="BP106:EA106" si="294">IF(OR(BP105=-1,AND(IF(BP$3&lt;$B106,BP105+BP$6,IF(BP$3=$B106,1,""))&gt;$B$1,BP$3&lt;$B106)),-1,IF(BP$3&lt;$B106,BP105+BP$6,IF(BP$3=$B106,1,"")))</f>
        <v>-1</v>
      </c>
      <c r="BQ106">
        <f t="shared" si="294"/>
        <v>-1</v>
      </c>
      <c r="BR106">
        <f t="shared" si="294"/>
        <v>-1</v>
      </c>
      <c r="BS106">
        <f t="shared" si="294"/>
        <v>-1</v>
      </c>
      <c r="BT106">
        <f t="shared" si="294"/>
        <v>-1</v>
      </c>
      <c r="BU106">
        <f t="shared" si="294"/>
        <v>56.200000000000088</v>
      </c>
      <c r="BV106">
        <f t="shared" si="294"/>
        <v>52.60000000000008</v>
      </c>
      <c r="BW106">
        <f t="shared" si="294"/>
        <v>49.000000000000071</v>
      </c>
      <c r="BX106">
        <f t="shared" si="294"/>
        <v>45.400000000000063</v>
      </c>
      <c r="BY106">
        <f t="shared" si="294"/>
        <v>41.800000000000054</v>
      </c>
      <c r="BZ106">
        <f t="shared" si="294"/>
        <v>38.200000000000045</v>
      </c>
      <c r="CA106">
        <f t="shared" si="294"/>
        <v>34.600000000000037</v>
      </c>
      <c r="CB106">
        <f t="shared" si="294"/>
        <v>31.000000000000028</v>
      </c>
      <c r="CC106">
        <f t="shared" si="294"/>
        <v>27.40000000000002</v>
      </c>
      <c r="CD106">
        <f t="shared" si="294"/>
        <v>23.800000000000011</v>
      </c>
      <c r="CE106">
        <f t="shared" si="294"/>
        <v>20.200000000000003</v>
      </c>
      <c r="CF106">
        <f t="shared" si="294"/>
        <v>16.599999999999994</v>
      </c>
      <c r="CG106">
        <f t="shared" si="294"/>
        <v>12.999999999999995</v>
      </c>
      <c r="CH106">
        <f t="shared" si="294"/>
        <v>9.3999999999999968</v>
      </c>
      <c r="CI106">
        <f t="shared" si="294"/>
        <v>5.7999999999999989</v>
      </c>
      <c r="CJ106">
        <f t="shared" si="294"/>
        <v>2.2000000000000002</v>
      </c>
      <c r="CK106" t="str">
        <f t="shared" si="294"/>
        <v/>
      </c>
      <c r="CL106" t="str">
        <f t="shared" si="294"/>
        <v/>
      </c>
      <c r="CM106" t="str">
        <f t="shared" si="294"/>
        <v/>
      </c>
      <c r="CN106" t="str">
        <f t="shared" si="294"/>
        <v/>
      </c>
      <c r="CO106">
        <f t="shared" si="294"/>
        <v>37</v>
      </c>
      <c r="CP106">
        <f t="shared" si="294"/>
        <v>24</v>
      </c>
      <c r="CQ106">
        <f t="shared" si="294"/>
        <v>-1</v>
      </c>
      <c r="CR106">
        <f t="shared" si="294"/>
        <v>-1</v>
      </c>
      <c r="CS106">
        <f t="shared" si="294"/>
        <v>-1</v>
      </c>
      <c r="CT106">
        <f t="shared" si="294"/>
        <v>-1</v>
      </c>
      <c r="CU106">
        <f t="shared" si="294"/>
        <v>-1</v>
      </c>
      <c r="CV106">
        <f t="shared" si="294"/>
        <v>-1</v>
      </c>
      <c r="CW106">
        <f t="shared" si="294"/>
        <v>-1</v>
      </c>
      <c r="CX106">
        <f t="shared" si="294"/>
        <v>-1</v>
      </c>
      <c r="CY106">
        <f t="shared" si="294"/>
        <v>-1</v>
      </c>
      <c r="CZ106">
        <f t="shared" si="294"/>
        <v>-1</v>
      </c>
      <c r="DA106">
        <f t="shared" si="294"/>
        <v>-1</v>
      </c>
      <c r="DB106">
        <f t="shared" si="294"/>
        <v>-1</v>
      </c>
      <c r="DC106">
        <f t="shared" si="294"/>
        <v>-1</v>
      </c>
      <c r="DD106">
        <f t="shared" si="294"/>
        <v>-1</v>
      </c>
      <c r="DE106">
        <f t="shared" si="294"/>
        <v>-1</v>
      </c>
      <c r="DF106">
        <f t="shared" si="294"/>
        <v>-1</v>
      </c>
      <c r="DG106">
        <f t="shared" si="294"/>
        <v>-1</v>
      </c>
      <c r="DH106">
        <f t="shared" si="294"/>
        <v>-1</v>
      </c>
      <c r="DI106">
        <f t="shared" si="294"/>
        <v>-1</v>
      </c>
      <c r="DJ106">
        <f t="shared" si="294"/>
        <v>-1</v>
      </c>
      <c r="DK106">
        <f t="shared" si="294"/>
        <v>-1</v>
      </c>
      <c r="DL106">
        <f t="shared" si="294"/>
        <v>-1</v>
      </c>
      <c r="DM106">
        <f t="shared" si="294"/>
        <v>-1</v>
      </c>
      <c r="DN106">
        <f t="shared" si="294"/>
        <v>-1</v>
      </c>
      <c r="DO106">
        <f t="shared" si="294"/>
        <v>-1</v>
      </c>
      <c r="DP106">
        <f t="shared" si="294"/>
        <v>-1</v>
      </c>
      <c r="DQ106">
        <f t="shared" si="294"/>
        <v>-1</v>
      </c>
      <c r="DR106">
        <f t="shared" si="294"/>
        <v>-1</v>
      </c>
      <c r="DS106">
        <f t="shared" si="294"/>
        <v>-1</v>
      </c>
      <c r="DT106">
        <f t="shared" si="294"/>
        <v>-1</v>
      </c>
      <c r="DU106">
        <f t="shared" si="294"/>
        <v>-1</v>
      </c>
      <c r="DV106">
        <f t="shared" si="294"/>
        <v>75</v>
      </c>
      <c r="DW106">
        <f t="shared" si="294"/>
        <v>69</v>
      </c>
      <c r="DX106">
        <f t="shared" si="294"/>
        <v>63</v>
      </c>
      <c r="DY106">
        <f t="shared" si="294"/>
        <v>-1</v>
      </c>
      <c r="DZ106">
        <f t="shared" si="294"/>
        <v>-1</v>
      </c>
      <c r="EA106">
        <f t="shared" si="294"/>
        <v>-1</v>
      </c>
      <c r="EB106">
        <f t="shared" ref="EB106:EO106" si="295">IF(OR(EB105=-1,AND(IF(EB$3&lt;$B106,EB105+EB$6,IF(EB$3=$B106,1,""))&gt;$B$1,EB$3&lt;$B106)),-1,IF(EB$3&lt;$B106,EB105+EB$6,IF(EB$3=$B106,1,"")))</f>
        <v>-1</v>
      </c>
      <c r="EC106">
        <f t="shared" si="295"/>
        <v>-1</v>
      </c>
      <c r="ED106">
        <f t="shared" si="295"/>
        <v>-1</v>
      </c>
      <c r="EE106">
        <f t="shared" si="295"/>
        <v>-1</v>
      </c>
      <c r="EF106">
        <f t="shared" si="295"/>
        <v>-1</v>
      </c>
      <c r="EG106">
        <f t="shared" si="295"/>
        <v>-1</v>
      </c>
      <c r="EH106">
        <f t="shared" si="295"/>
        <v>-1</v>
      </c>
      <c r="EI106">
        <f t="shared" si="295"/>
        <v>-1</v>
      </c>
      <c r="EJ106">
        <f t="shared" si="295"/>
        <v>-1</v>
      </c>
      <c r="EK106">
        <f t="shared" si="295"/>
        <v>-1</v>
      </c>
      <c r="EL106">
        <f t="shared" si="295"/>
        <v>-1</v>
      </c>
      <c r="EM106">
        <f t="shared" si="295"/>
        <v>-1</v>
      </c>
      <c r="EN106">
        <f t="shared" si="295"/>
        <v>-1</v>
      </c>
      <c r="EO106">
        <f t="shared" si="295"/>
        <v>-1</v>
      </c>
    </row>
    <row r="107" spans="1:145" x14ac:dyDescent="0.15">
      <c r="A107" t="e">
        <f t="shared" si="193"/>
        <v>#N/A</v>
      </c>
      <c r="B107" s="218">
        <v>99</v>
      </c>
      <c r="C107">
        <f t="shared" si="193"/>
        <v>-1</v>
      </c>
      <c r="D107">
        <f t="shared" ref="D107:BO107" si="296">IF(OR(D106=-1,AND(IF(D$3&lt;$B107,D106+D$6,IF(D$3=$B107,1,""))&gt;$B$1,D$3&lt;$B107)),-1,IF(D$3&lt;$B107,D106+D$6,IF(D$3=$B107,1,"")))</f>
        <v>-1</v>
      </c>
      <c r="E107">
        <f t="shared" si="296"/>
        <v>-1</v>
      </c>
      <c r="F107">
        <f t="shared" si="296"/>
        <v>-1</v>
      </c>
      <c r="G107">
        <f t="shared" si="296"/>
        <v>-1</v>
      </c>
      <c r="H107">
        <f t="shared" si="296"/>
        <v>-1</v>
      </c>
      <c r="I107">
        <f t="shared" si="296"/>
        <v>-1</v>
      </c>
      <c r="J107">
        <f t="shared" si="296"/>
        <v>-1</v>
      </c>
      <c r="K107">
        <f t="shared" si="296"/>
        <v>-1</v>
      </c>
      <c r="L107">
        <f t="shared" si="296"/>
        <v>66.800000000000111</v>
      </c>
      <c r="M107">
        <f t="shared" si="296"/>
        <v>63.300000000000104</v>
      </c>
      <c r="N107">
        <f t="shared" si="296"/>
        <v>59.80000000000009</v>
      </c>
      <c r="O107">
        <f t="shared" si="296"/>
        <v>-1</v>
      </c>
      <c r="P107">
        <f t="shared" si="296"/>
        <v>-1</v>
      </c>
      <c r="Q107">
        <f t="shared" si="296"/>
        <v>-1</v>
      </c>
      <c r="R107">
        <f t="shared" si="296"/>
        <v>-1</v>
      </c>
      <c r="S107">
        <f t="shared" si="296"/>
        <v>-1</v>
      </c>
      <c r="T107">
        <f t="shared" si="296"/>
        <v>-1</v>
      </c>
      <c r="U107">
        <f t="shared" si="296"/>
        <v>-1</v>
      </c>
      <c r="V107">
        <f t="shared" si="296"/>
        <v>-1</v>
      </c>
      <c r="W107">
        <f t="shared" si="296"/>
        <v>-1</v>
      </c>
      <c r="X107">
        <f t="shared" si="296"/>
        <v>-1</v>
      </c>
      <c r="Y107">
        <f t="shared" si="296"/>
        <v>-1</v>
      </c>
      <c r="Z107">
        <f t="shared" si="296"/>
        <v>-1</v>
      </c>
      <c r="AA107">
        <f t="shared" si="296"/>
        <v>-1</v>
      </c>
      <c r="AB107">
        <f t="shared" si="296"/>
        <v>-1</v>
      </c>
      <c r="AC107">
        <f t="shared" si="296"/>
        <v>-1</v>
      </c>
      <c r="AD107">
        <f t="shared" si="296"/>
        <v>-1</v>
      </c>
      <c r="AE107">
        <f t="shared" si="296"/>
        <v>-1</v>
      </c>
      <c r="AF107">
        <f t="shared" si="296"/>
        <v>-1</v>
      </c>
      <c r="AG107">
        <f t="shared" si="296"/>
        <v>-1</v>
      </c>
      <c r="AH107">
        <f t="shared" si="296"/>
        <v>-1</v>
      </c>
      <c r="AI107">
        <f t="shared" si="296"/>
        <v>58.000000000000092</v>
      </c>
      <c r="AJ107">
        <f t="shared" si="296"/>
        <v>55.600000000000087</v>
      </c>
      <c r="AK107">
        <f t="shared" si="296"/>
        <v>53.200000000000081</v>
      </c>
      <c r="AL107">
        <f t="shared" si="296"/>
        <v>50.800000000000075</v>
      </c>
      <c r="AM107">
        <f t="shared" si="296"/>
        <v>-1</v>
      </c>
      <c r="AN107">
        <f t="shared" si="296"/>
        <v>-1</v>
      </c>
      <c r="AO107">
        <f t="shared" si="296"/>
        <v>-1</v>
      </c>
      <c r="AP107">
        <f t="shared" si="296"/>
        <v>-1</v>
      </c>
      <c r="AQ107">
        <f t="shared" si="296"/>
        <v>-1</v>
      </c>
      <c r="AR107">
        <f t="shared" si="296"/>
        <v>-1</v>
      </c>
      <c r="AS107">
        <f t="shared" si="296"/>
        <v>-1</v>
      </c>
      <c r="AT107">
        <f t="shared" si="296"/>
        <v>-1</v>
      </c>
      <c r="AU107">
        <f t="shared" si="296"/>
        <v>-1</v>
      </c>
      <c r="AV107">
        <f t="shared" si="296"/>
        <v>-1</v>
      </c>
      <c r="AW107">
        <f t="shared" si="296"/>
        <v>-1</v>
      </c>
      <c r="AX107">
        <f t="shared" si="296"/>
        <v>-1</v>
      </c>
      <c r="AY107">
        <f t="shared" si="296"/>
        <v>-1</v>
      </c>
      <c r="AZ107">
        <f t="shared" si="296"/>
        <v>-1</v>
      </c>
      <c r="BA107">
        <f t="shared" si="296"/>
        <v>-1</v>
      </c>
      <c r="BB107">
        <f t="shared" si="296"/>
        <v>-1</v>
      </c>
      <c r="BC107">
        <f t="shared" si="296"/>
        <v>-1</v>
      </c>
      <c r="BD107">
        <f t="shared" si="296"/>
        <v>-1</v>
      </c>
      <c r="BE107">
        <f t="shared" si="296"/>
        <v>-1</v>
      </c>
      <c r="BF107">
        <f t="shared" si="296"/>
        <v>-1</v>
      </c>
      <c r="BG107">
        <f t="shared" si="296"/>
        <v>-1</v>
      </c>
      <c r="BH107">
        <f t="shared" si="296"/>
        <v>-1</v>
      </c>
      <c r="BI107">
        <f t="shared" si="296"/>
        <v>-1</v>
      </c>
      <c r="BJ107">
        <f t="shared" si="296"/>
        <v>-1</v>
      </c>
      <c r="BK107">
        <f t="shared" si="296"/>
        <v>-1</v>
      </c>
      <c r="BL107">
        <f t="shared" si="296"/>
        <v>-1</v>
      </c>
      <c r="BM107">
        <f t="shared" si="296"/>
        <v>-1</v>
      </c>
      <c r="BN107">
        <f t="shared" si="296"/>
        <v>-1</v>
      </c>
      <c r="BO107">
        <f t="shared" si="296"/>
        <v>-1</v>
      </c>
      <c r="BP107">
        <f t="shared" ref="BP107:EA107" si="297">IF(OR(BP106=-1,AND(IF(BP$3&lt;$B107,BP106+BP$6,IF(BP$3=$B107,1,""))&gt;$B$1,BP$3&lt;$B107)),-1,IF(BP$3&lt;$B107,BP106+BP$6,IF(BP$3=$B107,1,"")))</f>
        <v>-1</v>
      </c>
      <c r="BQ107">
        <f t="shared" si="297"/>
        <v>-1</v>
      </c>
      <c r="BR107">
        <f t="shared" si="297"/>
        <v>-1</v>
      </c>
      <c r="BS107">
        <f t="shared" si="297"/>
        <v>-1</v>
      </c>
      <c r="BT107">
        <f t="shared" si="297"/>
        <v>-1</v>
      </c>
      <c r="BU107">
        <f t="shared" si="297"/>
        <v>56.80000000000009</v>
      </c>
      <c r="BV107">
        <f t="shared" si="297"/>
        <v>53.200000000000081</v>
      </c>
      <c r="BW107">
        <f t="shared" si="297"/>
        <v>49.600000000000072</v>
      </c>
      <c r="BX107">
        <f t="shared" si="297"/>
        <v>46.000000000000064</v>
      </c>
      <c r="BY107">
        <f t="shared" si="297"/>
        <v>42.400000000000055</v>
      </c>
      <c r="BZ107">
        <f t="shared" si="297"/>
        <v>38.800000000000047</v>
      </c>
      <c r="CA107">
        <f t="shared" si="297"/>
        <v>35.200000000000038</v>
      </c>
      <c r="CB107">
        <f t="shared" si="297"/>
        <v>31.60000000000003</v>
      </c>
      <c r="CC107">
        <f t="shared" si="297"/>
        <v>28.000000000000021</v>
      </c>
      <c r="CD107">
        <f t="shared" si="297"/>
        <v>24.400000000000013</v>
      </c>
      <c r="CE107">
        <f t="shared" si="297"/>
        <v>20.800000000000004</v>
      </c>
      <c r="CF107">
        <f t="shared" si="297"/>
        <v>17.199999999999996</v>
      </c>
      <c r="CG107">
        <f t="shared" si="297"/>
        <v>13.599999999999994</v>
      </c>
      <c r="CH107">
        <f t="shared" si="297"/>
        <v>9.9999999999999964</v>
      </c>
      <c r="CI107">
        <f t="shared" si="297"/>
        <v>6.3999999999999986</v>
      </c>
      <c r="CJ107">
        <f t="shared" si="297"/>
        <v>2.8000000000000003</v>
      </c>
      <c r="CK107" t="str">
        <f t="shared" si="297"/>
        <v/>
      </c>
      <c r="CL107" t="str">
        <f t="shared" si="297"/>
        <v/>
      </c>
      <c r="CM107" t="str">
        <f t="shared" si="297"/>
        <v/>
      </c>
      <c r="CN107" t="str">
        <f t="shared" si="297"/>
        <v/>
      </c>
      <c r="CO107">
        <f t="shared" si="297"/>
        <v>37.5</v>
      </c>
      <c r="CP107">
        <f t="shared" si="297"/>
        <v>24.5</v>
      </c>
      <c r="CQ107">
        <f t="shared" si="297"/>
        <v>-1</v>
      </c>
      <c r="CR107">
        <f t="shared" si="297"/>
        <v>-1</v>
      </c>
      <c r="CS107">
        <f t="shared" si="297"/>
        <v>-1</v>
      </c>
      <c r="CT107">
        <f t="shared" si="297"/>
        <v>-1</v>
      </c>
      <c r="CU107">
        <f t="shared" si="297"/>
        <v>-1</v>
      </c>
      <c r="CV107">
        <f t="shared" si="297"/>
        <v>-1</v>
      </c>
      <c r="CW107">
        <f t="shared" si="297"/>
        <v>-1</v>
      </c>
      <c r="CX107">
        <f t="shared" si="297"/>
        <v>-1</v>
      </c>
      <c r="CY107">
        <f t="shared" si="297"/>
        <v>-1</v>
      </c>
      <c r="CZ107">
        <f t="shared" si="297"/>
        <v>-1</v>
      </c>
      <c r="DA107">
        <f t="shared" si="297"/>
        <v>-1</v>
      </c>
      <c r="DB107">
        <f t="shared" si="297"/>
        <v>-1</v>
      </c>
      <c r="DC107">
        <f t="shared" si="297"/>
        <v>-1</v>
      </c>
      <c r="DD107">
        <f t="shared" si="297"/>
        <v>-1</v>
      </c>
      <c r="DE107">
        <f t="shared" si="297"/>
        <v>-1</v>
      </c>
      <c r="DF107">
        <f t="shared" si="297"/>
        <v>-1</v>
      </c>
      <c r="DG107">
        <f t="shared" si="297"/>
        <v>-1</v>
      </c>
      <c r="DH107">
        <f t="shared" si="297"/>
        <v>-1</v>
      </c>
      <c r="DI107">
        <f t="shared" si="297"/>
        <v>-1</v>
      </c>
      <c r="DJ107">
        <f t="shared" si="297"/>
        <v>-1</v>
      </c>
      <c r="DK107">
        <f t="shared" si="297"/>
        <v>-1</v>
      </c>
      <c r="DL107">
        <f t="shared" si="297"/>
        <v>-1</v>
      </c>
      <c r="DM107">
        <f t="shared" si="297"/>
        <v>-1</v>
      </c>
      <c r="DN107">
        <f t="shared" si="297"/>
        <v>-1</v>
      </c>
      <c r="DO107">
        <f t="shared" si="297"/>
        <v>-1</v>
      </c>
      <c r="DP107">
        <f t="shared" si="297"/>
        <v>-1</v>
      </c>
      <c r="DQ107">
        <f t="shared" si="297"/>
        <v>-1</v>
      </c>
      <c r="DR107">
        <f t="shared" si="297"/>
        <v>-1</v>
      </c>
      <c r="DS107">
        <f t="shared" si="297"/>
        <v>-1</v>
      </c>
      <c r="DT107">
        <f t="shared" si="297"/>
        <v>-1</v>
      </c>
      <c r="DU107">
        <f t="shared" si="297"/>
        <v>-1</v>
      </c>
      <c r="DV107">
        <f t="shared" si="297"/>
        <v>-1</v>
      </c>
      <c r="DW107">
        <f t="shared" si="297"/>
        <v>70</v>
      </c>
      <c r="DX107">
        <f t="shared" si="297"/>
        <v>64</v>
      </c>
      <c r="DY107">
        <f t="shared" si="297"/>
        <v>-1</v>
      </c>
      <c r="DZ107">
        <f t="shared" si="297"/>
        <v>-1</v>
      </c>
      <c r="EA107">
        <f t="shared" si="297"/>
        <v>-1</v>
      </c>
      <c r="EB107">
        <f t="shared" ref="EB107:EO107" si="298">IF(OR(EB106=-1,AND(IF(EB$3&lt;$B107,EB106+EB$6,IF(EB$3=$B107,1,""))&gt;$B$1,EB$3&lt;$B107)),-1,IF(EB$3&lt;$B107,EB106+EB$6,IF(EB$3=$B107,1,"")))</f>
        <v>-1</v>
      </c>
      <c r="EC107">
        <f t="shared" si="298"/>
        <v>-1</v>
      </c>
      <c r="ED107">
        <f t="shared" si="298"/>
        <v>-1</v>
      </c>
      <c r="EE107">
        <f t="shared" si="298"/>
        <v>-1</v>
      </c>
      <c r="EF107">
        <f t="shared" si="298"/>
        <v>-1</v>
      </c>
      <c r="EG107">
        <f t="shared" si="298"/>
        <v>-1</v>
      </c>
      <c r="EH107">
        <f t="shared" si="298"/>
        <v>-1</v>
      </c>
      <c r="EI107">
        <f t="shared" si="298"/>
        <v>-1</v>
      </c>
      <c r="EJ107">
        <f t="shared" si="298"/>
        <v>-1</v>
      </c>
      <c r="EK107">
        <f t="shared" si="298"/>
        <v>-1</v>
      </c>
      <c r="EL107">
        <f t="shared" si="298"/>
        <v>-1</v>
      </c>
      <c r="EM107">
        <f t="shared" si="298"/>
        <v>-1</v>
      </c>
      <c r="EN107">
        <f t="shared" si="298"/>
        <v>-1</v>
      </c>
      <c r="EO107">
        <f t="shared" si="298"/>
        <v>-1</v>
      </c>
    </row>
    <row r="108" spans="1:145" x14ac:dyDescent="0.15">
      <c r="A108" t="e">
        <f t="shared" si="193"/>
        <v>#N/A</v>
      </c>
      <c r="B108" s="218">
        <v>100</v>
      </c>
      <c r="C108">
        <f t="shared" si="193"/>
        <v>-1</v>
      </c>
      <c r="D108">
        <f t="shared" ref="D108:BO108" si="299">IF(OR(D107=-1,AND(IF(D$3&lt;$B108,D107+D$6,IF(D$3=$B108,1,""))&gt;$B$1,D$3&lt;$B108)),-1,IF(D$3&lt;$B108,D107+D$6,IF(D$3=$B108,1,"")))</f>
        <v>-1</v>
      </c>
      <c r="E108">
        <f t="shared" si="299"/>
        <v>-1</v>
      </c>
      <c r="F108">
        <f t="shared" si="299"/>
        <v>-1</v>
      </c>
      <c r="G108">
        <f t="shared" si="299"/>
        <v>-1</v>
      </c>
      <c r="H108">
        <f t="shared" si="299"/>
        <v>-1</v>
      </c>
      <c r="I108">
        <f t="shared" si="299"/>
        <v>-1</v>
      </c>
      <c r="J108">
        <f t="shared" si="299"/>
        <v>-1</v>
      </c>
      <c r="K108">
        <f t="shared" si="299"/>
        <v>-1</v>
      </c>
      <c r="L108">
        <f t="shared" si="299"/>
        <v>67.500000000000114</v>
      </c>
      <c r="M108">
        <f t="shared" si="299"/>
        <v>64.000000000000099</v>
      </c>
      <c r="N108">
        <f t="shared" si="299"/>
        <v>60.500000000000092</v>
      </c>
      <c r="O108">
        <f t="shared" si="299"/>
        <v>-1</v>
      </c>
      <c r="P108">
        <f t="shared" si="299"/>
        <v>-1</v>
      </c>
      <c r="Q108">
        <f t="shared" si="299"/>
        <v>-1</v>
      </c>
      <c r="R108">
        <f t="shared" si="299"/>
        <v>-1</v>
      </c>
      <c r="S108">
        <f t="shared" si="299"/>
        <v>-1</v>
      </c>
      <c r="T108">
        <f t="shared" si="299"/>
        <v>-1</v>
      </c>
      <c r="U108">
        <f t="shared" si="299"/>
        <v>-1</v>
      </c>
      <c r="V108">
        <f t="shared" si="299"/>
        <v>-1</v>
      </c>
      <c r="W108">
        <f t="shared" si="299"/>
        <v>-1</v>
      </c>
      <c r="X108">
        <f t="shared" si="299"/>
        <v>-1</v>
      </c>
      <c r="Y108">
        <f t="shared" si="299"/>
        <v>-1</v>
      </c>
      <c r="Z108">
        <f t="shared" si="299"/>
        <v>-1</v>
      </c>
      <c r="AA108">
        <f t="shared" si="299"/>
        <v>-1</v>
      </c>
      <c r="AB108">
        <f t="shared" si="299"/>
        <v>-1</v>
      </c>
      <c r="AC108">
        <f t="shared" si="299"/>
        <v>-1</v>
      </c>
      <c r="AD108">
        <f t="shared" si="299"/>
        <v>-1</v>
      </c>
      <c r="AE108">
        <f t="shared" si="299"/>
        <v>-1</v>
      </c>
      <c r="AF108">
        <f t="shared" si="299"/>
        <v>-1</v>
      </c>
      <c r="AG108">
        <f t="shared" si="299"/>
        <v>-1</v>
      </c>
      <c r="AH108">
        <f t="shared" si="299"/>
        <v>-1</v>
      </c>
      <c r="AI108">
        <f t="shared" si="299"/>
        <v>58.600000000000094</v>
      </c>
      <c r="AJ108">
        <f t="shared" si="299"/>
        <v>56.200000000000088</v>
      </c>
      <c r="AK108">
        <f t="shared" si="299"/>
        <v>53.800000000000082</v>
      </c>
      <c r="AL108">
        <f t="shared" si="299"/>
        <v>51.400000000000077</v>
      </c>
      <c r="AM108">
        <f t="shared" si="299"/>
        <v>-1</v>
      </c>
      <c r="AN108">
        <f t="shared" si="299"/>
        <v>-1</v>
      </c>
      <c r="AO108">
        <f t="shared" si="299"/>
        <v>-1</v>
      </c>
      <c r="AP108">
        <f t="shared" si="299"/>
        <v>-1</v>
      </c>
      <c r="AQ108">
        <f t="shared" si="299"/>
        <v>-1</v>
      </c>
      <c r="AR108">
        <f t="shared" si="299"/>
        <v>-1</v>
      </c>
      <c r="AS108">
        <f t="shared" si="299"/>
        <v>-1</v>
      </c>
      <c r="AT108">
        <f t="shared" si="299"/>
        <v>-1</v>
      </c>
      <c r="AU108">
        <f t="shared" si="299"/>
        <v>-1</v>
      </c>
      <c r="AV108">
        <f t="shared" si="299"/>
        <v>-1</v>
      </c>
      <c r="AW108">
        <f t="shared" si="299"/>
        <v>-1</v>
      </c>
      <c r="AX108">
        <f t="shared" si="299"/>
        <v>-1</v>
      </c>
      <c r="AY108">
        <f t="shared" si="299"/>
        <v>-1</v>
      </c>
      <c r="AZ108">
        <f t="shared" si="299"/>
        <v>-1</v>
      </c>
      <c r="BA108">
        <f t="shared" si="299"/>
        <v>-1</v>
      </c>
      <c r="BB108">
        <f t="shared" si="299"/>
        <v>-1</v>
      </c>
      <c r="BC108">
        <f t="shared" si="299"/>
        <v>-1</v>
      </c>
      <c r="BD108">
        <f t="shared" si="299"/>
        <v>-1</v>
      </c>
      <c r="BE108">
        <f t="shared" si="299"/>
        <v>-1</v>
      </c>
      <c r="BF108">
        <f t="shared" si="299"/>
        <v>-1</v>
      </c>
      <c r="BG108">
        <f t="shared" si="299"/>
        <v>-1</v>
      </c>
      <c r="BH108">
        <f t="shared" si="299"/>
        <v>-1</v>
      </c>
      <c r="BI108">
        <f t="shared" si="299"/>
        <v>-1</v>
      </c>
      <c r="BJ108">
        <f t="shared" si="299"/>
        <v>-1</v>
      </c>
      <c r="BK108">
        <f t="shared" si="299"/>
        <v>-1</v>
      </c>
      <c r="BL108">
        <f t="shared" si="299"/>
        <v>-1</v>
      </c>
      <c r="BM108">
        <f t="shared" si="299"/>
        <v>-1</v>
      </c>
      <c r="BN108">
        <f t="shared" si="299"/>
        <v>-1</v>
      </c>
      <c r="BO108">
        <f t="shared" si="299"/>
        <v>-1</v>
      </c>
      <c r="BP108">
        <f t="shared" ref="BP108:EA108" si="300">IF(OR(BP107=-1,AND(IF(BP$3&lt;$B108,BP107+BP$6,IF(BP$3=$B108,1,""))&gt;$B$1,BP$3&lt;$B108)),-1,IF(BP$3&lt;$B108,BP107+BP$6,IF(BP$3=$B108,1,"")))</f>
        <v>-1</v>
      </c>
      <c r="BQ108">
        <f t="shared" si="300"/>
        <v>-1</v>
      </c>
      <c r="BR108">
        <f t="shared" si="300"/>
        <v>-1</v>
      </c>
      <c r="BS108">
        <f t="shared" si="300"/>
        <v>-1</v>
      </c>
      <c r="BT108">
        <f t="shared" si="300"/>
        <v>-1</v>
      </c>
      <c r="BU108">
        <f t="shared" si="300"/>
        <v>57.400000000000091</v>
      </c>
      <c r="BV108">
        <f t="shared" si="300"/>
        <v>53.800000000000082</v>
      </c>
      <c r="BW108">
        <f t="shared" si="300"/>
        <v>50.200000000000074</v>
      </c>
      <c r="BX108">
        <f t="shared" si="300"/>
        <v>46.600000000000065</v>
      </c>
      <c r="BY108">
        <f t="shared" si="300"/>
        <v>43.000000000000057</v>
      </c>
      <c r="BZ108">
        <f t="shared" si="300"/>
        <v>39.400000000000048</v>
      </c>
      <c r="CA108">
        <f t="shared" si="300"/>
        <v>35.80000000000004</v>
      </c>
      <c r="CB108">
        <f t="shared" si="300"/>
        <v>32.200000000000031</v>
      </c>
      <c r="CC108">
        <f t="shared" si="300"/>
        <v>28.600000000000023</v>
      </c>
      <c r="CD108">
        <f t="shared" si="300"/>
        <v>25.000000000000014</v>
      </c>
      <c r="CE108">
        <f t="shared" si="300"/>
        <v>21.400000000000006</v>
      </c>
      <c r="CF108">
        <f t="shared" si="300"/>
        <v>17.799999999999997</v>
      </c>
      <c r="CG108">
        <f t="shared" si="300"/>
        <v>14.199999999999994</v>
      </c>
      <c r="CH108">
        <f t="shared" si="300"/>
        <v>10.599999999999996</v>
      </c>
      <c r="CI108">
        <f t="shared" si="300"/>
        <v>6.9999999999999982</v>
      </c>
      <c r="CJ108">
        <f t="shared" si="300"/>
        <v>3.4000000000000004</v>
      </c>
      <c r="CK108" t="str">
        <f t="shared" si="300"/>
        <v/>
      </c>
      <c r="CL108" t="str">
        <f t="shared" si="300"/>
        <v/>
      </c>
      <c r="CM108" t="str">
        <f t="shared" si="300"/>
        <v/>
      </c>
      <c r="CN108" t="str">
        <f t="shared" si="300"/>
        <v/>
      </c>
      <c r="CO108">
        <f t="shared" si="300"/>
        <v>38</v>
      </c>
      <c r="CP108">
        <f t="shared" si="300"/>
        <v>25</v>
      </c>
      <c r="CQ108">
        <f t="shared" si="300"/>
        <v>-1</v>
      </c>
      <c r="CR108">
        <f t="shared" si="300"/>
        <v>-1</v>
      </c>
      <c r="CS108">
        <f t="shared" si="300"/>
        <v>-1</v>
      </c>
      <c r="CT108">
        <f t="shared" si="300"/>
        <v>-1</v>
      </c>
      <c r="CU108">
        <f t="shared" si="300"/>
        <v>-1</v>
      </c>
      <c r="CV108">
        <f t="shared" si="300"/>
        <v>-1</v>
      </c>
      <c r="CW108">
        <f t="shared" si="300"/>
        <v>-1</v>
      </c>
      <c r="CX108">
        <f t="shared" si="300"/>
        <v>-1</v>
      </c>
      <c r="CY108">
        <f t="shared" si="300"/>
        <v>-1</v>
      </c>
      <c r="CZ108">
        <f t="shared" si="300"/>
        <v>-1</v>
      </c>
      <c r="DA108">
        <f t="shared" si="300"/>
        <v>-1</v>
      </c>
      <c r="DB108">
        <f t="shared" si="300"/>
        <v>-1</v>
      </c>
      <c r="DC108">
        <f t="shared" si="300"/>
        <v>-1</v>
      </c>
      <c r="DD108">
        <f t="shared" si="300"/>
        <v>-1</v>
      </c>
      <c r="DE108">
        <f t="shared" si="300"/>
        <v>-1</v>
      </c>
      <c r="DF108">
        <f t="shared" si="300"/>
        <v>-1</v>
      </c>
      <c r="DG108">
        <f t="shared" si="300"/>
        <v>-1</v>
      </c>
      <c r="DH108">
        <f t="shared" si="300"/>
        <v>-1</v>
      </c>
      <c r="DI108">
        <f t="shared" si="300"/>
        <v>-1</v>
      </c>
      <c r="DJ108">
        <f t="shared" si="300"/>
        <v>-1</v>
      </c>
      <c r="DK108">
        <f t="shared" si="300"/>
        <v>-1</v>
      </c>
      <c r="DL108">
        <f t="shared" si="300"/>
        <v>-1</v>
      </c>
      <c r="DM108">
        <f t="shared" si="300"/>
        <v>-1</v>
      </c>
      <c r="DN108">
        <f t="shared" si="300"/>
        <v>-1</v>
      </c>
      <c r="DO108">
        <f t="shared" si="300"/>
        <v>-1</v>
      </c>
      <c r="DP108">
        <f t="shared" si="300"/>
        <v>-1</v>
      </c>
      <c r="DQ108">
        <f t="shared" si="300"/>
        <v>-1</v>
      </c>
      <c r="DR108">
        <f t="shared" si="300"/>
        <v>-1</v>
      </c>
      <c r="DS108">
        <f t="shared" si="300"/>
        <v>-1</v>
      </c>
      <c r="DT108">
        <f t="shared" si="300"/>
        <v>-1</v>
      </c>
      <c r="DU108">
        <f t="shared" si="300"/>
        <v>-1</v>
      </c>
      <c r="DV108">
        <f t="shared" si="300"/>
        <v>-1</v>
      </c>
      <c r="DW108">
        <f t="shared" si="300"/>
        <v>71</v>
      </c>
      <c r="DX108">
        <f t="shared" si="300"/>
        <v>65</v>
      </c>
      <c r="DY108">
        <f t="shared" si="300"/>
        <v>-1</v>
      </c>
      <c r="DZ108">
        <f t="shared" si="300"/>
        <v>-1</v>
      </c>
      <c r="EA108">
        <f t="shared" si="300"/>
        <v>-1</v>
      </c>
      <c r="EB108">
        <f t="shared" ref="EB108:EO108" si="301">IF(OR(EB107=-1,AND(IF(EB$3&lt;$B108,EB107+EB$6,IF(EB$3=$B108,1,""))&gt;$B$1,EB$3&lt;$B108)),-1,IF(EB$3&lt;$B108,EB107+EB$6,IF(EB$3=$B108,1,"")))</f>
        <v>-1</v>
      </c>
      <c r="EC108">
        <f t="shared" si="301"/>
        <v>-1</v>
      </c>
      <c r="ED108">
        <f t="shared" si="301"/>
        <v>-1</v>
      </c>
      <c r="EE108">
        <f t="shared" si="301"/>
        <v>-1</v>
      </c>
      <c r="EF108">
        <f t="shared" si="301"/>
        <v>-1</v>
      </c>
      <c r="EG108">
        <f t="shared" si="301"/>
        <v>-1</v>
      </c>
      <c r="EH108">
        <f t="shared" si="301"/>
        <v>-1</v>
      </c>
      <c r="EI108">
        <f t="shared" si="301"/>
        <v>-1</v>
      </c>
      <c r="EJ108">
        <f t="shared" si="301"/>
        <v>-1</v>
      </c>
      <c r="EK108">
        <f t="shared" si="301"/>
        <v>-1</v>
      </c>
      <c r="EL108">
        <f t="shared" si="301"/>
        <v>-1</v>
      </c>
      <c r="EM108">
        <f t="shared" si="301"/>
        <v>-1</v>
      </c>
      <c r="EN108">
        <f t="shared" si="301"/>
        <v>-1</v>
      </c>
      <c r="EO108">
        <f t="shared" si="301"/>
        <v>-1</v>
      </c>
    </row>
    <row r="109" spans="1:145" x14ac:dyDescent="0.15">
      <c r="A109" t="e">
        <f t="shared" si="193"/>
        <v>#N/A</v>
      </c>
      <c r="B109" s="218">
        <v>101</v>
      </c>
      <c r="C109">
        <f t="shared" si="193"/>
        <v>-1</v>
      </c>
      <c r="D109">
        <f t="shared" ref="D109:BO109" si="302">IF(OR(D108=-1,AND(IF(D$3&lt;$B109,D108+D$6,IF(D$3=$B109,1,""))&gt;$B$1,D$3&lt;$B109)),-1,IF(D$3&lt;$B109,D108+D$6,IF(D$3=$B109,1,"")))</f>
        <v>-1</v>
      </c>
      <c r="E109">
        <f t="shared" si="302"/>
        <v>-1</v>
      </c>
      <c r="F109">
        <f t="shared" si="302"/>
        <v>-1</v>
      </c>
      <c r="G109">
        <f t="shared" si="302"/>
        <v>-1</v>
      </c>
      <c r="H109">
        <f t="shared" si="302"/>
        <v>-1</v>
      </c>
      <c r="I109">
        <f t="shared" si="302"/>
        <v>-1</v>
      </c>
      <c r="J109">
        <f t="shared" si="302"/>
        <v>-1</v>
      </c>
      <c r="K109">
        <f t="shared" si="302"/>
        <v>-1</v>
      </c>
      <c r="L109">
        <f t="shared" si="302"/>
        <v>68.200000000000117</v>
      </c>
      <c r="M109">
        <f t="shared" si="302"/>
        <v>64.700000000000102</v>
      </c>
      <c r="N109">
        <f t="shared" si="302"/>
        <v>61.200000000000095</v>
      </c>
      <c r="O109">
        <f t="shared" si="302"/>
        <v>-1</v>
      </c>
      <c r="P109">
        <f t="shared" si="302"/>
        <v>-1</v>
      </c>
      <c r="Q109">
        <f t="shared" si="302"/>
        <v>-1</v>
      </c>
      <c r="R109">
        <f t="shared" si="302"/>
        <v>-1</v>
      </c>
      <c r="S109">
        <f t="shared" si="302"/>
        <v>-1</v>
      </c>
      <c r="T109">
        <f t="shared" si="302"/>
        <v>-1</v>
      </c>
      <c r="U109">
        <f t="shared" si="302"/>
        <v>-1</v>
      </c>
      <c r="V109">
        <f t="shared" si="302"/>
        <v>-1</v>
      </c>
      <c r="W109">
        <f t="shared" si="302"/>
        <v>-1</v>
      </c>
      <c r="X109">
        <f t="shared" si="302"/>
        <v>-1</v>
      </c>
      <c r="Y109">
        <f t="shared" si="302"/>
        <v>-1</v>
      </c>
      <c r="Z109">
        <f t="shared" si="302"/>
        <v>-1</v>
      </c>
      <c r="AA109">
        <f t="shared" si="302"/>
        <v>-1</v>
      </c>
      <c r="AB109">
        <f t="shared" si="302"/>
        <v>-1</v>
      </c>
      <c r="AC109">
        <f t="shared" si="302"/>
        <v>-1</v>
      </c>
      <c r="AD109">
        <f t="shared" si="302"/>
        <v>-1</v>
      </c>
      <c r="AE109">
        <f t="shared" si="302"/>
        <v>-1</v>
      </c>
      <c r="AF109">
        <f t="shared" si="302"/>
        <v>-1</v>
      </c>
      <c r="AG109">
        <f t="shared" si="302"/>
        <v>-1</v>
      </c>
      <c r="AH109">
        <f t="shared" si="302"/>
        <v>-1</v>
      </c>
      <c r="AI109">
        <f t="shared" si="302"/>
        <v>59.200000000000095</v>
      </c>
      <c r="AJ109">
        <f t="shared" si="302"/>
        <v>56.80000000000009</v>
      </c>
      <c r="AK109">
        <f t="shared" si="302"/>
        <v>54.400000000000084</v>
      </c>
      <c r="AL109">
        <f t="shared" si="302"/>
        <v>52.000000000000078</v>
      </c>
      <c r="AM109">
        <f t="shared" si="302"/>
        <v>-1</v>
      </c>
      <c r="AN109">
        <f t="shared" si="302"/>
        <v>-1</v>
      </c>
      <c r="AO109">
        <f t="shared" si="302"/>
        <v>-1</v>
      </c>
      <c r="AP109">
        <f t="shared" si="302"/>
        <v>-1</v>
      </c>
      <c r="AQ109">
        <f t="shared" si="302"/>
        <v>-1</v>
      </c>
      <c r="AR109">
        <f t="shared" si="302"/>
        <v>-1</v>
      </c>
      <c r="AS109">
        <f t="shared" si="302"/>
        <v>-1</v>
      </c>
      <c r="AT109">
        <f t="shared" si="302"/>
        <v>-1</v>
      </c>
      <c r="AU109">
        <f t="shared" si="302"/>
        <v>-1</v>
      </c>
      <c r="AV109">
        <f t="shared" si="302"/>
        <v>-1</v>
      </c>
      <c r="AW109">
        <f t="shared" si="302"/>
        <v>-1</v>
      </c>
      <c r="AX109">
        <f t="shared" si="302"/>
        <v>-1</v>
      </c>
      <c r="AY109">
        <f t="shared" si="302"/>
        <v>-1</v>
      </c>
      <c r="AZ109">
        <f t="shared" si="302"/>
        <v>-1</v>
      </c>
      <c r="BA109">
        <f t="shared" si="302"/>
        <v>-1</v>
      </c>
      <c r="BB109">
        <f t="shared" si="302"/>
        <v>-1</v>
      </c>
      <c r="BC109">
        <f t="shared" si="302"/>
        <v>-1</v>
      </c>
      <c r="BD109">
        <f t="shared" si="302"/>
        <v>-1</v>
      </c>
      <c r="BE109">
        <f t="shared" si="302"/>
        <v>-1</v>
      </c>
      <c r="BF109">
        <f t="shared" si="302"/>
        <v>-1</v>
      </c>
      <c r="BG109">
        <f t="shared" si="302"/>
        <v>-1</v>
      </c>
      <c r="BH109">
        <f t="shared" si="302"/>
        <v>-1</v>
      </c>
      <c r="BI109">
        <f t="shared" si="302"/>
        <v>-1</v>
      </c>
      <c r="BJ109">
        <f t="shared" si="302"/>
        <v>-1</v>
      </c>
      <c r="BK109">
        <f t="shared" si="302"/>
        <v>-1</v>
      </c>
      <c r="BL109">
        <f t="shared" si="302"/>
        <v>-1</v>
      </c>
      <c r="BM109">
        <f t="shared" si="302"/>
        <v>-1</v>
      </c>
      <c r="BN109">
        <f t="shared" si="302"/>
        <v>-1</v>
      </c>
      <c r="BO109">
        <f t="shared" si="302"/>
        <v>-1</v>
      </c>
      <c r="BP109">
        <f t="shared" ref="BP109:EA109" si="303">IF(OR(BP108=-1,AND(IF(BP$3&lt;$B109,BP108+BP$6,IF(BP$3=$B109,1,""))&gt;$B$1,BP$3&lt;$B109)),-1,IF(BP$3&lt;$B109,BP108+BP$6,IF(BP$3=$B109,1,"")))</f>
        <v>-1</v>
      </c>
      <c r="BQ109">
        <f t="shared" si="303"/>
        <v>-1</v>
      </c>
      <c r="BR109">
        <f t="shared" si="303"/>
        <v>-1</v>
      </c>
      <c r="BS109">
        <f t="shared" si="303"/>
        <v>-1</v>
      </c>
      <c r="BT109">
        <f t="shared" si="303"/>
        <v>-1</v>
      </c>
      <c r="BU109">
        <f t="shared" si="303"/>
        <v>58.000000000000092</v>
      </c>
      <c r="BV109">
        <f t="shared" si="303"/>
        <v>54.400000000000084</v>
      </c>
      <c r="BW109">
        <f t="shared" si="303"/>
        <v>50.800000000000075</v>
      </c>
      <c r="BX109">
        <f t="shared" si="303"/>
        <v>47.200000000000067</v>
      </c>
      <c r="BY109">
        <f t="shared" si="303"/>
        <v>43.600000000000058</v>
      </c>
      <c r="BZ109">
        <f t="shared" si="303"/>
        <v>40.00000000000005</v>
      </c>
      <c r="CA109">
        <f t="shared" si="303"/>
        <v>36.400000000000041</v>
      </c>
      <c r="CB109">
        <f t="shared" si="303"/>
        <v>32.800000000000033</v>
      </c>
      <c r="CC109">
        <f t="shared" si="303"/>
        <v>29.200000000000024</v>
      </c>
      <c r="CD109">
        <f t="shared" si="303"/>
        <v>25.600000000000016</v>
      </c>
      <c r="CE109">
        <f t="shared" si="303"/>
        <v>22.000000000000007</v>
      </c>
      <c r="CF109">
        <f t="shared" si="303"/>
        <v>18.399999999999999</v>
      </c>
      <c r="CG109">
        <f t="shared" si="303"/>
        <v>14.799999999999994</v>
      </c>
      <c r="CH109">
        <f t="shared" si="303"/>
        <v>11.199999999999996</v>
      </c>
      <c r="CI109">
        <f t="shared" si="303"/>
        <v>7.5999999999999979</v>
      </c>
      <c r="CJ109">
        <f t="shared" si="303"/>
        <v>4</v>
      </c>
      <c r="CK109" t="str">
        <f t="shared" si="303"/>
        <v/>
      </c>
      <c r="CL109" t="str">
        <f t="shared" si="303"/>
        <v/>
      </c>
      <c r="CM109" t="str">
        <f t="shared" si="303"/>
        <v/>
      </c>
      <c r="CN109" t="str">
        <f t="shared" si="303"/>
        <v/>
      </c>
      <c r="CO109">
        <f t="shared" si="303"/>
        <v>38.5</v>
      </c>
      <c r="CP109">
        <f t="shared" si="303"/>
        <v>25.5</v>
      </c>
      <c r="CQ109">
        <f t="shared" si="303"/>
        <v>-1</v>
      </c>
      <c r="CR109">
        <f t="shared" si="303"/>
        <v>-1</v>
      </c>
      <c r="CS109">
        <f t="shared" si="303"/>
        <v>-1</v>
      </c>
      <c r="CT109">
        <f t="shared" si="303"/>
        <v>-1</v>
      </c>
      <c r="CU109">
        <f t="shared" si="303"/>
        <v>-1</v>
      </c>
      <c r="CV109">
        <f t="shared" si="303"/>
        <v>-1</v>
      </c>
      <c r="CW109">
        <f t="shared" si="303"/>
        <v>-1</v>
      </c>
      <c r="CX109">
        <f t="shared" si="303"/>
        <v>-1</v>
      </c>
      <c r="CY109">
        <f t="shared" si="303"/>
        <v>-1</v>
      </c>
      <c r="CZ109">
        <f t="shared" si="303"/>
        <v>-1</v>
      </c>
      <c r="DA109">
        <f t="shared" si="303"/>
        <v>-1</v>
      </c>
      <c r="DB109">
        <f t="shared" si="303"/>
        <v>-1</v>
      </c>
      <c r="DC109">
        <f t="shared" si="303"/>
        <v>-1</v>
      </c>
      <c r="DD109">
        <f t="shared" si="303"/>
        <v>-1</v>
      </c>
      <c r="DE109">
        <f t="shared" si="303"/>
        <v>-1</v>
      </c>
      <c r="DF109">
        <f t="shared" si="303"/>
        <v>-1</v>
      </c>
      <c r="DG109">
        <f t="shared" si="303"/>
        <v>-1</v>
      </c>
      <c r="DH109">
        <f t="shared" si="303"/>
        <v>-1</v>
      </c>
      <c r="DI109">
        <f t="shared" si="303"/>
        <v>-1</v>
      </c>
      <c r="DJ109">
        <f t="shared" si="303"/>
        <v>-1</v>
      </c>
      <c r="DK109">
        <f t="shared" si="303"/>
        <v>-1</v>
      </c>
      <c r="DL109">
        <f t="shared" si="303"/>
        <v>-1</v>
      </c>
      <c r="DM109">
        <f t="shared" si="303"/>
        <v>-1</v>
      </c>
      <c r="DN109">
        <f t="shared" si="303"/>
        <v>-1</v>
      </c>
      <c r="DO109">
        <f t="shared" si="303"/>
        <v>-1</v>
      </c>
      <c r="DP109">
        <f t="shared" si="303"/>
        <v>-1</v>
      </c>
      <c r="DQ109">
        <f t="shared" si="303"/>
        <v>-1</v>
      </c>
      <c r="DR109">
        <f t="shared" si="303"/>
        <v>-1</v>
      </c>
      <c r="DS109">
        <f t="shared" si="303"/>
        <v>-1</v>
      </c>
      <c r="DT109">
        <f t="shared" si="303"/>
        <v>-1</v>
      </c>
      <c r="DU109">
        <f t="shared" si="303"/>
        <v>-1</v>
      </c>
      <c r="DV109">
        <f t="shared" si="303"/>
        <v>-1</v>
      </c>
      <c r="DW109">
        <f t="shared" si="303"/>
        <v>72</v>
      </c>
      <c r="DX109">
        <f t="shared" si="303"/>
        <v>66</v>
      </c>
      <c r="DY109">
        <f t="shared" si="303"/>
        <v>-1</v>
      </c>
      <c r="DZ109">
        <f t="shared" si="303"/>
        <v>-1</v>
      </c>
      <c r="EA109">
        <f t="shared" si="303"/>
        <v>-1</v>
      </c>
      <c r="EB109">
        <f t="shared" ref="EB109:EO109" si="304">IF(OR(EB108=-1,AND(IF(EB$3&lt;$B109,EB108+EB$6,IF(EB$3=$B109,1,""))&gt;$B$1,EB$3&lt;$B109)),-1,IF(EB$3&lt;$B109,EB108+EB$6,IF(EB$3=$B109,1,"")))</f>
        <v>-1</v>
      </c>
      <c r="EC109">
        <f t="shared" si="304"/>
        <v>-1</v>
      </c>
      <c r="ED109">
        <f t="shared" si="304"/>
        <v>-1</v>
      </c>
      <c r="EE109">
        <f t="shared" si="304"/>
        <v>-1</v>
      </c>
      <c r="EF109">
        <f t="shared" si="304"/>
        <v>-1</v>
      </c>
      <c r="EG109">
        <f t="shared" si="304"/>
        <v>-1</v>
      </c>
      <c r="EH109">
        <f t="shared" si="304"/>
        <v>-1</v>
      </c>
      <c r="EI109">
        <f t="shared" si="304"/>
        <v>-1</v>
      </c>
      <c r="EJ109">
        <f t="shared" si="304"/>
        <v>-1</v>
      </c>
      <c r="EK109">
        <f t="shared" si="304"/>
        <v>-1</v>
      </c>
      <c r="EL109">
        <f t="shared" si="304"/>
        <v>-1</v>
      </c>
      <c r="EM109">
        <f t="shared" si="304"/>
        <v>-1</v>
      </c>
      <c r="EN109">
        <f t="shared" si="304"/>
        <v>-1</v>
      </c>
      <c r="EO109">
        <f t="shared" si="304"/>
        <v>-1</v>
      </c>
    </row>
    <row r="110" spans="1:145" x14ac:dyDescent="0.15">
      <c r="A110" t="e">
        <f t="shared" si="193"/>
        <v>#N/A</v>
      </c>
      <c r="B110" s="218">
        <v>102</v>
      </c>
      <c r="C110">
        <f t="shared" si="193"/>
        <v>-1</v>
      </c>
      <c r="D110">
        <f t="shared" ref="D110:BO110" si="305">IF(OR(D109=-1,AND(IF(D$3&lt;$B110,D109+D$6,IF(D$3=$B110,1,""))&gt;$B$1,D$3&lt;$B110)),-1,IF(D$3&lt;$B110,D109+D$6,IF(D$3=$B110,1,"")))</f>
        <v>-1</v>
      </c>
      <c r="E110">
        <f t="shared" si="305"/>
        <v>-1</v>
      </c>
      <c r="F110">
        <f t="shared" si="305"/>
        <v>-1</v>
      </c>
      <c r="G110">
        <f t="shared" si="305"/>
        <v>-1</v>
      </c>
      <c r="H110">
        <f t="shared" si="305"/>
        <v>-1</v>
      </c>
      <c r="I110">
        <f t="shared" si="305"/>
        <v>-1</v>
      </c>
      <c r="J110">
        <f t="shared" si="305"/>
        <v>-1</v>
      </c>
      <c r="K110">
        <f t="shared" si="305"/>
        <v>-1</v>
      </c>
      <c r="L110">
        <f t="shared" si="305"/>
        <v>68.900000000000119</v>
      </c>
      <c r="M110">
        <f t="shared" si="305"/>
        <v>65.400000000000105</v>
      </c>
      <c r="N110">
        <f t="shared" si="305"/>
        <v>61.900000000000098</v>
      </c>
      <c r="O110">
        <f t="shared" si="305"/>
        <v>-1</v>
      </c>
      <c r="P110">
        <f t="shared" si="305"/>
        <v>-1</v>
      </c>
      <c r="Q110">
        <f t="shared" si="305"/>
        <v>-1</v>
      </c>
      <c r="R110">
        <f t="shared" si="305"/>
        <v>-1</v>
      </c>
      <c r="S110">
        <f t="shared" si="305"/>
        <v>-1</v>
      </c>
      <c r="T110">
        <f t="shared" si="305"/>
        <v>-1</v>
      </c>
      <c r="U110">
        <f t="shared" si="305"/>
        <v>-1</v>
      </c>
      <c r="V110">
        <f t="shared" si="305"/>
        <v>-1</v>
      </c>
      <c r="W110">
        <f t="shared" si="305"/>
        <v>-1</v>
      </c>
      <c r="X110">
        <f t="shared" si="305"/>
        <v>-1</v>
      </c>
      <c r="Y110">
        <f t="shared" si="305"/>
        <v>-1</v>
      </c>
      <c r="Z110">
        <f t="shared" si="305"/>
        <v>-1</v>
      </c>
      <c r="AA110">
        <f t="shared" si="305"/>
        <v>-1</v>
      </c>
      <c r="AB110">
        <f t="shared" si="305"/>
        <v>-1</v>
      </c>
      <c r="AC110">
        <f t="shared" si="305"/>
        <v>-1</v>
      </c>
      <c r="AD110">
        <f t="shared" si="305"/>
        <v>-1</v>
      </c>
      <c r="AE110">
        <f t="shared" si="305"/>
        <v>-1</v>
      </c>
      <c r="AF110">
        <f t="shared" si="305"/>
        <v>-1</v>
      </c>
      <c r="AG110">
        <f t="shared" si="305"/>
        <v>-1</v>
      </c>
      <c r="AH110">
        <f t="shared" si="305"/>
        <v>-1</v>
      </c>
      <c r="AI110">
        <f t="shared" si="305"/>
        <v>59.800000000000097</v>
      </c>
      <c r="AJ110">
        <f t="shared" si="305"/>
        <v>57.400000000000091</v>
      </c>
      <c r="AK110">
        <f t="shared" si="305"/>
        <v>55.000000000000085</v>
      </c>
      <c r="AL110">
        <f t="shared" si="305"/>
        <v>52.60000000000008</v>
      </c>
      <c r="AM110">
        <f t="shared" si="305"/>
        <v>-1</v>
      </c>
      <c r="AN110">
        <f t="shared" si="305"/>
        <v>-1</v>
      </c>
      <c r="AO110">
        <f t="shared" si="305"/>
        <v>-1</v>
      </c>
      <c r="AP110">
        <f t="shared" si="305"/>
        <v>-1</v>
      </c>
      <c r="AQ110">
        <f t="shared" si="305"/>
        <v>-1</v>
      </c>
      <c r="AR110">
        <f t="shared" si="305"/>
        <v>-1</v>
      </c>
      <c r="AS110">
        <f t="shared" si="305"/>
        <v>-1</v>
      </c>
      <c r="AT110">
        <f t="shared" si="305"/>
        <v>-1</v>
      </c>
      <c r="AU110">
        <f t="shared" si="305"/>
        <v>-1</v>
      </c>
      <c r="AV110">
        <f t="shared" si="305"/>
        <v>-1</v>
      </c>
      <c r="AW110">
        <f t="shared" si="305"/>
        <v>-1</v>
      </c>
      <c r="AX110">
        <f t="shared" si="305"/>
        <v>-1</v>
      </c>
      <c r="AY110">
        <f t="shared" si="305"/>
        <v>-1</v>
      </c>
      <c r="AZ110">
        <f t="shared" si="305"/>
        <v>-1</v>
      </c>
      <c r="BA110">
        <f t="shared" si="305"/>
        <v>-1</v>
      </c>
      <c r="BB110">
        <f t="shared" si="305"/>
        <v>-1</v>
      </c>
      <c r="BC110">
        <f t="shared" si="305"/>
        <v>-1</v>
      </c>
      <c r="BD110">
        <f t="shared" si="305"/>
        <v>-1</v>
      </c>
      <c r="BE110">
        <f t="shared" si="305"/>
        <v>-1</v>
      </c>
      <c r="BF110">
        <f t="shared" si="305"/>
        <v>-1</v>
      </c>
      <c r="BG110">
        <f t="shared" si="305"/>
        <v>-1</v>
      </c>
      <c r="BH110">
        <f t="shared" si="305"/>
        <v>-1</v>
      </c>
      <c r="BI110">
        <f t="shared" si="305"/>
        <v>-1</v>
      </c>
      <c r="BJ110">
        <f t="shared" si="305"/>
        <v>-1</v>
      </c>
      <c r="BK110">
        <f t="shared" si="305"/>
        <v>-1</v>
      </c>
      <c r="BL110">
        <f t="shared" si="305"/>
        <v>-1</v>
      </c>
      <c r="BM110">
        <f t="shared" si="305"/>
        <v>-1</v>
      </c>
      <c r="BN110">
        <f t="shared" si="305"/>
        <v>-1</v>
      </c>
      <c r="BO110">
        <f t="shared" si="305"/>
        <v>-1</v>
      </c>
      <c r="BP110">
        <f t="shared" ref="BP110:EA110" si="306">IF(OR(BP109=-1,AND(IF(BP$3&lt;$B110,BP109+BP$6,IF(BP$3=$B110,1,""))&gt;$B$1,BP$3&lt;$B110)),-1,IF(BP$3&lt;$B110,BP109+BP$6,IF(BP$3=$B110,1,"")))</f>
        <v>-1</v>
      </c>
      <c r="BQ110">
        <f t="shared" si="306"/>
        <v>-1</v>
      </c>
      <c r="BR110">
        <f t="shared" si="306"/>
        <v>-1</v>
      </c>
      <c r="BS110">
        <f t="shared" si="306"/>
        <v>-1</v>
      </c>
      <c r="BT110">
        <f t="shared" si="306"/>
        <v>-1</v>
      </c>
      <c r="BU110">
        <f t="shared" si="306"/>
        <v>58.600000000000094</v>
      </c>
      <c r="BV110">
        <f t="shared" si="306"/>
        <v>55.000000000000085</v>
      </c>
      <c r="BW110">
        <f t="shared" si="306"/>
        <v>51.400000000000077</v>
      </c>
      <c r="BX110">
        <f t="shared" si="306"/>
        <v>47.800000000000068</v>
      </c>
      <c r="BY110">
        <f t="shared" si="306"/>
        <v>44.20000000000006</v>
      </c>
      <c r="BZ110">
        <f t="shared" si="306"/>
        <v>40.600000000000051</v>
      </c>
      <c r="CA110">
        <f t="shared" si="306"/>
        <v>37.000000000000043</v>
      </c>
      <c r="CB110">
        <f t="shared" si="306"/>
        <v>33.400000000000034</v>
      </c>
      <c r="CC110">
        <f t="shared" si="306"/>
        <v>29.800000000000026</v>
      </c>
      <c r="CD110">
        <f t="shared" si="306"/>
        <v>26.200000000000017</v>
      </c>
      <c r="CE110">
        <f t="shared" si="306"/>
        <v>22.600000000000009</v>
      </c>
      <c r="CF110">
        <f t="shared" si="306"/>
        <v>19</v>
      </c>
      <c r="CG110">
        <f t="shared" si="306"/>
        <v>15.399999999999993</v>
      </c>
      <c r="CH110">
        <f t="shared" si="306"/>
        <v>11.799999999999995</v>
      </c>
      <c r="CI110">
        <f t="shared" si="306"/>
        <v>8.1999999999999975</v>
      </c>
      <c r="CJ110">
        <f t="shared" si="306"/>
        <v>4.5999999999999996</v>
      </c>
      <c r="CK110">
        <f t="shared" si="306"/>
        <v>1</v>
      </c>
      <c r="CL110" t="str">
        <f t="shared" si="306"/>
        <v/>
      </c>
      <c r="CM110" t="str">
        <f t="shared" si="306"/>
        <v/>
      </c>
      <c r="CN110" t="str">
        <f t="shared" si="306"/>
        <v/>
      </c>
      <c r="CO110">
        <f t="shared" si="306"/>
        <v>39</v>
      </c>
      <c r="CP110">
        <f t="shared" si="306"/>
        <v>26</v>
      </c>
      <c r="CQ110">
        <f t="shared" si="306"/>
        <v>-1</v>
      </c>
      <c r="CR110">
        <f t="shared" si="306"/>
        <v>-1</v>
      </c>
      <c r="CS110">
        <f t="shared" si="306"/>
        <v>-1</v>
      </c>
      <c r="CT110">
        <f t="shared" si="306"/>
        <v>-1</v>
      </c>
      <c r="CU110">
        <f t="shared" si="306"/>
        <v>-1</v>
      </c>
      <c r="CV110">
        <f t="shared" si="306"/>
        <v>-1</v>
      </c>
      <c r="CW110">
        <f t="shared" si="306"/>
        <v>-1</v>
      </c>
      <c r="CX110">
        <f t="shared" si="306"/>
        <v>-1</v>
      </c>
      <c r="CY110">
        <f t="shared" si="306"/>
        <v>-1</v>
      </c>
      <c r="CZ110">
        <f t="shared" si="306"/>
        <v>-1</v>
      </c>
      <c r="DA110">
        <f t="shared" si="306"/>
        <v>-1</v>
      </c>
      <c r="DB110">
        <f t="shared" si="306"/>
        <v>-1</v>
      </c>
      <c r="DC110">
        <f t="shared" si="306"/>
        <v>-1</v>
      </c>
      <c r="DD110">
        <f t="shared" si="306"/>
        <v>-1</v>
      </c>
      <c r="DE110">
        <f t="shared" si="306"/>
        <v>-1</v>
      </c>
      <c r="DF110">
        <f t="shared" si="306"/>
        <v>-1</v>
      </c>
      <c r="DG110">
        <f t="shared" si="306"/>
        <v>-1</v>
      </c>
      <c r="DH110">
        <f t="shared" si="306"/>
        <v>-1</v>
      </c>
      <c r="DI110">
        <f t="shared" si="306"/>
        <v>-1</v>
      </c>
      <c r="DJ110">
        <f t="shared" si="306"/>
        <v>-1</v>
      </c>
      <c r="DK110">
        <f t="shared" si="306"/>
        <v>-1</v>
      </c>
      <c r="DL110">
        <f t="shared" si="306"/>
        <v>-1</v>
      </c>
      <c r="DM110">
        <f t="shared" si="306"/>
        <v>-1</v>
      </c>
      <c r="DN110">
        <f t="shared" si="306"/>
        <v>-1</v>
      </c>
      <c r="DO110">
        <f t="shared" si="306"/>
        <v>-1</v>
      </c>
      <c r="DP110">
        <f t="shared" si="306"/>
        <v>-1</v>
      </c>
      <c r="DQ110">
        <f t="shared" si="306"/>
        <v>-1</v>
      </c>
      <c r="DR110">
        <f t="shared" si="306"/>
        <v>-1</v>
      </c>
      <c r="DS110">
        <f t="shared" si="306"/>
        <v>-1</v>
      </c>
      <c r="DT110">
        <f t="shared" si="306"/>
        <v>-1</v>
      </c>
      <c r="DU110">
        <f t="shared" si="306"/>
        <v>-1</v>
      </c>
      <c r="DV110">
        <f t="shared" si="306"/>
        <v>-1</v>
      </c>
      <c r="DW110">
        <f t="shared" si="306"/>
        <v>73</v>
      </c>
      <c r="DX110">
        <f t="shared" si="306"/>
        <v>67</v>
      </c>
      <c r="DY110">
        <f t="shared" si="306"/>
        <v>-1</v>
      </c>
      <c r="DZ110">
        <f t="shared" si="306"/>
        <v>-1</v>
      </c>
      <c r="EA110">
        <f t="shared" si="306"/>
        <v>-1</v>
      </c>
      <c r="EB110">
        <f t="shared" ref="EB110:EO110" si="307">IF(OR(EB109=-1,AND(IF(EB$3&lt;$B110,EB109+EB$6,IF(EB$3=$B110,1,""))&gt;$B$1,EB$3&lt;$B110)),-1,IF(EB$3&lt;$B110,EB109+EB$6,IF(EB$3=$B110,1,"")))</f>
        <v>-1</v>
      </c>
      <c r="EC110">
        <f t="shared" si="307"/>
        <v>-1</v>
      </c>
      <c r="ED110">
        <f t="shared" si="307"/>
        <v>-1</v>
      </c>
      <c r="EE110">
        <f t="shared" si="307"/>
        <v>-1</v>
      </c>
      <c r="EF110">
        <f t="shared" si="307"/>
        <v>-1</v>
      </c>
      <c r="EG110">
        <f t="shared" si="307"/>
        <v>-1</v>
      </c>
      <c r="EH110">
        <f t="shared" si="307"/>
        <v>-1</v>
      </c>
      <c r="EI110">
        <f t="shared" si="307"/>
        <v>-1</v>
      </c>
      <c r="EJ110">
        <f t="shared" si="307"/>
        <v>-1</v>
      </c>
      <c r="EK110">
        <f t="shared" si="307"/>
        <v>-1</v>
      </c>
      <c r="EL110">
        <f t="shared" si="307"/>
        <v>-1</v>
      </c>
      <c r="EM110">
        <f t="shared" si="307"/>
        <v>-1</v>
      </c>
      <c r="EN110">
        <f t="shared" si="307"/>
        <v>-1</v>
      </c>
      <c r="EO110">
        <f t="shared" si="307"/>
        <v>-1</v>
      </c>
    </row>
    <row r="111" spans="1:145" x14ac:dyDescent="0.15">
      <c r="A111" t="e">
        <f t="shared" si="193"/>
        <v>#N/A</v>
      </c>
      <c r="B111" s="218">
        <v>103</v>
      </c>
      <c r="C111">
        <f t="shared" si="193"/>
        <v>-1</v>
      </c>
      <c r="D111">
        <f t="shared" ref="D111:BO111" si="308">IF(OR(D110=-1,AND(IF(D$3&lt;$B111,D110+D$6,IF(D$3=$B111,1,""))&gt;$B$1,D$3&lt;$B111)),-1,IF(D$3&lt;$B111,D110+D$6,IF(D$3=$B111,1,"")))</f>
        <v>-1</v>
      </c>
      <c r="E111">
        <f t="shared" si="308"/>
        <v>-1</v>
      </c>
      <c r="F111">
        <f t="shared" si="308"/>
        <v>-1</v>
      </c>
      <c r="G111">
        <f t="shared" si="308"/>
        <v>-1</v>
      </c>
      <c r="H111">
        <f t="shared" si="308"/>
        <v>-1</v>
      </c>
      <c r="I111">
        <f t="shared" si="308"/>
        <v>-1</v>
      </c>
      <c r="J111">
        <f t="shared" si="308"/>
        <v>-1</v>
      </c>
      <c r="K111">
        <f t="shared" si="308"/>
        <v>-1</v>
      </c>
      <c r="L111">
        <f t="shared" si="308"/>
        <v>69.600000000000122</v>
      </c>
      <c r="M111">
        <f t="shared" si="308"/>
        <v>66.100000000000108</v>
      </c>
      <c r="N111">
        <f t="shared" si="308"/>
        <v>62.600000000000101</v>
      </c>
      <c r="O111">
        <f t="shared" si="308"/>
        <v>-1</v>
      </c>
      <c r="P111">
        <f t="shared" si="308"/>
        <v>-1</v>
      </c>
      <c r="Q111">
        <f t="shared" si="308"/>
        <v>-1</v>
      </c>
      <c r="R111">
        <f t="shared" si="308"/>
        <v>-1</v>
      </c>
      <c r="S111">
        <f t="shared" si="308"/>
        <v>-1</v>
      </c>
      <c r="T111">
        <f t="shared" si="308"/>
        <v>-1</v>
      </c>
      <c r="U111">
        <f t="shared" si="308"/>
        <v>-1</v>
      </c>
      <c r="V111">
        <f t="shared" si="308"/>
        <v>-1</v>
      </c>
      <c r="W111">
        <f t="shared" si="308"/>
        <v>-1</v>
      </c>
      <c r="X111">
        <f t="shared" si="308"/>
        <v>-1</v>
      </c>
      <c r="Y111">
        <f t="shared" si="308"/>
        <v>-1</v>
      </c>
      <c r="Z111">
        <f t="shared" si="308"/>
        <v>-1</v>
      </c>
      <c r="AA111">
        <f t="shared" si="308"/>
        <v>-1</v>
      </c>
      <c r="AB111">
        <f t="shared" si="308"/>
        <v>-1</v>
      </c>
      <c r="AC111">
        <f t="shared" si="308"/>
        <v>-1</v>
      </c>
      <c r="AD111">
        <f t="shared" si="308"/>
        <v>-1</v>
      </c>
      <c r="AE111">
        <f t="shared" si="308"/>
        <v>-1</v>
      </c>
      <c r="AF111">
        <f t="shared" si="308"/>
        <v>-1</v>
      </c>
      <c r="AG111">
        <f t="shared" si="308"/>
        <v>-1</v>
      </c>
      <c r="AH111">
        <f t="shared" si="308"/>
        <v>-1</v>
      </c>
      <c r="AI111">
        <f t="shared" si="308"/>
        <v>60.400000000000098</v>
      </c>
      <c r="AJ111">
        <f t="shared" si="308"/>
        <v>58.000000000000092</v>
      </c>
      <c r="AK111">
        <f t="shared" si="308"/>
        <v>55.600000000000087</v>
      </c>
      <c r="AL111">
        <f t="shared" si="308"/>
        <v>53.200000000000081</v>
      </c>
      <c r="AM111">
        <f t="shared" si="308"/>
        <v>-1</v>
      </c>
      <c r="AN111">
        <f t="shared" si="308"/>
        <v>-1</v>
      </c>
      <c r="AO111">
        <f t="shared" si="308"/>
        <v>-1</v>
      </c>
      <c r="AP111">
        <f t="shared" si="308"/>
        <v>-1</v>
      </c>
      <c r="AQ111">
        <f t="shared" si="308"/>
        <v>-1</v>
      </c>
      <c r="AR111">
        <f t="shared" si="308"/>
        <v>-1</v>
      </c>
      <c r="AS111">
        <f t="shared" si="308"/>
        <v>-1</v>
      </c>
      <c r="AT111">
        <f t="shared" si="308"/>
        <v>-1</v>
      </c>
      <c r="AU111">
        <f t="shared" si="308"/>
        <v>-1</v>
      </c>
      <c r="AV111">
        <f t="shared" si="308"/>
        <v>-1</v>
      </c>
      <c r="AW111">
        <f t="shared" si="308"/>
        <v>-1</v>
      </c>
      <c r="AX111">
        <f t="shared" si="308"/>
        <v>-1</v>
      </c>
      <c r="AY111">
        <f t="shared" si="308"/>
        <v>-1</v>
      </c>
      <c r="AZ111">
        <f t="shared" si="308"/>
        <v>-1</v>
      </c>
      <c r="BA111">
        <f t="shared" si="308"/>
        <v>-1</v>
      </c>
      <c r="BB111">
        <f t="shared" si="308"/>
        <v>-1</v>
      </c>
      <c r="BC111">
        <f t="shared" si="308"/>
        <v>-1</v>
      </c>
      <c r="BD111">
        <f t="shared" si="308"/>
        <v>-1</v>
      </c>
      <c r="BE111">
        <f t="shared" si="308"/>
        <v>-1</v>
      </c>
      <c r="BF111">
        <f t="shared" si="308"/>
        <v>-1</v>
      </c>
      <c r="BG111">
        <f t="shared" si="308"/>
        <v>-1</v>
      </c>
      <c r="BH111">
        <f t="shared" si="308"/>
        <v>-1</v>
      </c>
      <c r="BI111">
        <f t="shared" si="308"/>
        <v>-1</v>
      </c>
      <c r="BJ111">
        <f t="shared" si="308"/>
        <v>-1</v>
      </c>
      <c r="BK111">
        <f t="shared" si="308"/>
        <v>-1</v>
      </c>
      <c r="BL111">
        <f t="shared" si="308"/>
        <v>-1</v>
      </c>
      <c r="BM111">
        <f t="shared" si="308"/>
        <v>-1</v>
      </c>
      <c r="BN111">
        <f t="shared" si="308"/>
        <v>-1</v>
      </c>
      <c r="BO111">
        <f t="shared" si="308"/>
        <v>-1</v>
      </c>
      <c r="BP111">
        <f t="shared" ref="BP111:EA111" si="309">IF(OR(BP110=-1,AND(IF(BP$3&lt;$B111,BP110+BP$6,IF(BP$3=$B111,1,""))&gt;$B$1,BP$3&lt;$B111)),-1,IF(BP$3&lt;$B111,BP110+BP$6,IF(BP$3=$B111,1,"")))</f>
        <v>-1</v>
      </c>
      <c r="BQ111">
        <f t="shared" si="309"/>
        <v>-1</v>
      </c>
      <c r="BR111">
        <f t="shared" si="309"/>
        <v>-1</v>
      </c>
      <c r="BS111">
        <f t="shared" si="309"/>
        <v>-1</v>
      </c>
      <c r="BT111">
        <f t="shared" si="309"/>
        <v>-1</v>
      </c>
      <c r="BU111">
        <f t="shared" si="309"/>
        <v>59.200000000000095</v>
      </c>
      <c r="BV111">
        <f t="shared" si="309"/>
        <v>55.600000000000087</v>
      </c>
      <c r="BW111">
        <f t="shared" si="309"/>
        <v>52.000000000000078</v>
      </c>
      <c r="BX111">
        <f t="shared" si="309"/>
        <v>48.40000000000007</v>
      </c>
      <c r="BY111">
        <f t="shared" si="309"/>
        <v>44.800000000000061</v>
      </c>
      <c r="BZ111">
        <f t="shared" si="309"/>
        <v>41.200000000000053</v>
      </c>
      <c r="CA111">
        <f t="shared" si="309"/>
        <v>37.600000000000044</v>
      </c>
      <c r="CB111">
        <f t="shared" si="309"/>
        <v>34.000000000000036</v>
      </c>
      <c r="CC111">
        <f t="shared" si="309"/>
        <v>30.400000000000027</v>
      </c>
      <c r="CD111">
        <f t="shared" si="309"/>
        <v>26.800000000000018</v>
      </c>
      <c r="CE111">
        <f t="shared" si="309"/>
        <v>23.20000000000001</v>
      </c>
      <c r="CF111">
        <f t="shared" si="309"/>
        <v>19.600000000000001</v>
      </c>
      <c r="CG111">
        <f t="shared" si="309"/>
        <v>15.999999999999993</v>
      </c>
      <c r="CH111">
        <f t="shared" si="309"/>
        <v>12.399999999999995</v>
      </c>
      <c r="CI111">
        <f t="shared" si="309"/>
        <v>8.7999999999999972</v>
      </c>
      <c r="CJ111">
        <f t="shared" si="309"/>
        <v>5.1999999999999993</v>
      </c>
      <c r="CK111">
        <f t="shared" si="309"/>
        <v>1.6</v>
      </c>
      <c r="CL111" t="str">
        <f t="shared" si="309"/>
        <v/>
      </c>
      <c r="CM111" t="str">
        <f t="shared" si="309"/>
        <v/>
      </c>
      <c r="CN111" t="str">
        <f t="shared" si="309"/>
        <v/>
      </c>
      <c r="CO111">
        <f t="shared" si="309"/>
        <v>39.5</v>
      </c>
      <c r="CP111">
        <f t="shared" si="309"/>
        <v>26.5</v>
      </c>
      <c r="CQ111">
        <f t="shared" si="309"/>
        <v>-1</v>
      </c>
      <c r="CR111">
        <f t="shared" si="309"/>
        <v>-1</v>
      </c>
      <c r="CS111">
        <f t="shared" si="309"/>
        <v>-1</v>
      </c>
      <c r="CT111">
        <f t="shared" si="309"/>
        <v>-1</v>
      </c>
      <c r="CU111">
        <f t="shared" si="309"/>
        <v>-1</v>
      </c>
      <c r="CV111">
        <f t="shared" si="309"/>
        <v>-1</v>
      </c>
      <c r="CW111">
        <f t="shared" si="309"/>
        <v>-1</v>
      </c>
      <c r="CX111">
        <f t="shared" si="309"/>
        <v>-1</v>
      </c>
      <c r="CY111">
        <f t="shared" si="309"/>
        <v>-1</v>
      </c>
      <c r="CZ111">
        <f t="shared" si="309"/>
        <v>-1</v>
      </c>
      <c r="DA111">
        <f t="shared" si="309"/>
        <v>-1</v>
      </c>
      <c r="DB111">
        <f t="shared" si="309"/>
        <v>-1</v>
      </c>
      <c r="DC111">
        <f t="shared" si="309"/>
        <v>-1</v>
      </c>
      <c r="DD111">
        <f t="shared" si="309"/>
        <v>-1</v>
      </c>
      <c r="DE111">
        <f t="shared" si="309"/>
        <v>-1</v>
      </c>
      <c r="DF111">
        <f t="shared" si="309"/>
        <v>-1</v>
      </c>
      <c r="DG111">
        <f t="shared" si="309"/>
        <v>-1</v>
      </c>
      <c r="DH111">
        <f t="shared" si="309"/>
        <v>-1</v>
      </c>
      <c r="DI111">
        <f t="shared" si="309"/>
        <v>-1</v>
      </c>
      <c r="DJ111">
        <f t="shared" si="309"/>
        <v>-1</v>
      </c>
      <c r="DK111">
        <f t="shared" si="309"/>
        <v>-1</v>
      </c>
      <c r="DL111">
        <f t="shared" si="309"/>
        <v>-1</v>
      </c>
      <c r="DM111">
        <f t="shared" si="309"/>
        <v>-1</v>
      </c>
      <c r="DN111">
        <f t="shared" si="309"/>
        <v>-1</v>
      </c>
      <c r="DO111">
        <f t="shared" si="309"/>
        <v>-1</v>
      </c>
      <c r="DP111">
        <f t="shared" si="309"/>
        <v>-1</v>
      </c>
      <c r="DQ111">
        <f t="shared" si="309"/>
        <v>-1</v>
      </c>
      <c r="DR111">
        <f t="shared" si="309"/>
        <v>-1</v>
      </c>
      <c r="DS111">
        <f t="shared" si="309"/>
        <v>-1</v>
      </c>
      <c r="DT111">
        <f t="shared" si="309"/>
        <v>-1</v>
      </c>
      <c r="DU111">
        <f t="shared" si="309"/>
        <v>-1</v>
      </c>
      <c r="DV111">
        <f t="shared" si="309"/>
        <v>-1</v>
      </c>
      <c r="DW111">
        <f t="shared" si="309"/>
        <v>74</v>
      </c>
      <c r="DX111">
        <f t="shared" si="309"/>
        <v>68</v>
      </c>
      <c r="DY111">
        <f t="shared" si="309"/>
        <v>-1</v>
      </c>
      <c r="DZ111">
        <f t="shared" si="309"/>
        <v>-1</v>
      </c>
      <c r="EA111">
        <f t="shared" si="309"/>
        <v>-1</v>
      </c>
      <c r="EB111">
        <f t="shared" ref="EB111:EO111" si="310">IF(OR(EB110=-1,AND(IF(EB$3&lt;$B111,EB110+EB$6,IF(EB$3=$B111,1,""))&gt;$B$1,EB$3&lt;$B111)),-1,IF(EB$3&lt;$B111,EB110+EB$6,IF(EB$3=$B111,1,"")))</f>
        <v>-1</v>
      </c>
      <c r="EC111">
        <f t="shared" si="310"/>
        <v>-1</v>
      </c>
      <c r="ED111">
        <f t="shared" si="310"/>
        <v>-1</v>
      </c>
      <c r="EE111">
        <f t="shared" si="310"/>
        <v>-1</v>
      </c>
      <c r="EF111">
        <f t="shared" si="310"/>
        <v>-1</v>
      </c>
      <c r="EG111">
        <f t="shared" si="310"/>
        <v>-1</v>
      </c>
      <c r="EH111">
        <f t="shared" si="310"/>
        <v>-1</v>
      </c>
      <c r="EI111">
        <f t="shared" si="310"/>
        <v>-1</v>
      </c>
      <c r="EJ111">
        <f t="shared" si="310"/>
        <v>-1</v>
      </c>
      <c r="EK111">
        <f t="shared" si="310"/>
        <v>-1</v>
      </c>
      <c r="EL111">
        <f t="shared" si="310"/>
        <v>-1</v>
      </c>
      <c r="EM111">
        <f t="shared" si="310"/>
        <v>-1</v>
      </c>
      <c r="EN111">
        <f t="shared" si="310"/>
        <v>-1</v>
      </c>
      <c r="EO111">
        <f t="shared" si="310"/>
        <v>-1</v>
      </c>
    </row>
    <row r="112" spans="1:145" x14ac:dyDescent="0.15">
      <c r="A112" t="e">
        <f t="shared" si="193"/>
        <v>#N/A</v>
      </c>
      <c r="B112" s="218">
        <v>104</v>
      </c>
      <c r="C112">
        <f t="shared" si="193"/>
        <v>-1</v>
      </c>
      <c r="D112">
        <f t="shared" ref="D112:BO112" si="311">IF(OR(D111=-1,AND(IF(D$3&lt;$B112,D111+D$6,IF(D$3=$B112,1,""))&gt;$B$1,D$3&lt;$B112)),-1,IF(D$3&lt;$B112,D111+D$6,IF(D$3=$B112,1,"")))</f>
        <v>-1</v>
      </c>
      <c r="E112">
        <f t="shared" si="311"/>
        <v>-1</v>
      </c>
      <c r="F112">
        <f t="shared" si="311"/>
        <v>-1</v>
      </c>
      <c r="G112">
        <f t="shared" si="311"/>
        <v>-1</v>
      </c>
      <c r="H112">
        <f t="shared" si="311"/>
        <v>-1</v>
      </c>
      <c r="I112">
        <f t="shared" si="311"/>
        <v>-1</v>
      </c>
      <c r="J112">
        <f t="shared" si="311"/>
        <v>-1</v>
      </c>
      <c r="K112">
        <f t="shared" si="311"/>
        <v>-1</v>
      </c>
      <c r="L112">
        <f t="shared" si="311"/>
        <v>70.300000000000125</v>
      </c>
      <c r="M112">
        <f t="shared" si="311"/>
        <v>66.800000000000111</v>
      </c>
      <c r="N112">
        <f t="shared" si="311"/>
        <v>63.300000000000104</v>
      </c>
      <c r="O112">
        <f t="shared" si="311"/>
        <v>-1</v>
      </c>
      <c r="P112">
        <f t="shared" si="311"/>
        <v>-1</v>
      </c>
      <c r="Q112">
        <f t="shared" si="311"/>
        <v>-1</v>
      </c>
      <c r="R112">
        <f t="shared" si="311"/>
        <v>-1</v>
      </c>
      <c r="S112">
        <f t="shared" si="311"/>
        <v>-1</v>
      </c>
      <c r="T112">
        <f t="shared" si="311"/>
        <v>-1</v>
      </c>
      <c r="U112">
        <f t="shared" si="311"/>
        <v>-1</v>
      </c>
      <c r="V112">
        <f t="shared" si="311"/>
        <v>-1</v>
      </c>
      <c r="W112">
        <f t="shared" si="311"/>
        <v>-1</v>
      </c>
      <c r="X112">
        <f t="shared" si="311"/>
        <v>-1</v>
      </c>
      <c r="Y112">
        <f t="shared" si="311"/>
        <v>-1</v>
      </c>
      <c r="Z112">
        <f t="shared" si="311"/>
        <v>-1</v>
      </c>
      <c r="AA112">
        <f t="shared" si="311"/>
        <v>-1</v>
      </c>
      <c r="AB112">
        <f t="shared" si="311"/>
        <v>-1</v>
      </c>
      <c r="AC112">
        <f t="shared" si="311"/>
        <v>-1</v>
      </c>
      <c r="AD112">
        <f t="shared" si="311"/>
        <v>-1</v>
      </c>
      <c r="AE112">
        <f t="shared" si="311"/>
        <v>-1</v>
      </c>
      <c r="AF112">
        <f t="shared" si="311"/>
        <v>-1</v>
      </c>
      <c r="AG112">
        <f t="shared" si="311"/>
        <v>-1</v>
      </c>
      <c r="AH112">
        <f t="shared" si="311"/>
        <v>-1</v>
      </c>
      <c r="AI112">
        <f t="shared" si="311"/>
        <v>61.000000000000099</v>
      </c>
      <c r="AJ112">
        <f t="shared" si="311"/>
        <v>58.600000000000094</v>
      </c>
      <c r="AK112">
        <f t="shared" si="311"/>
        <v>56.200000000000088</v>
      </c>
      <c r="AL112">
        <f t="shared" si="311"/>
        <v>53.800000000000082</v>
      </c>
      <c r="AM112">
        <f t="shared" si="311"/>
        <v>-1</v>
      </c>
      <c r="AN112">
        <f t="shared" si="311"/>
        <v>-1</v>
      </c>
      <c r="AO112">
        <f t="shared" si="311"/>
        <v>-1</v>
      </c>
      <c r="AP112">
        <f t="shared" si="311"/>
        <v>-1</v>
      </c>
      <c r="AQ112">
        <f t="shared" si="311"/>
        <v>-1</v>
      </c>
      <c r="AR112">
        <f t="shared" si="311"/>
        <v>-1</v>
      </c>
      <c r="AS112">
        <f t="shared" si="311"/>
        <v>-1</v>
      </c>
      <c r="AT112">
        <f t="shared" si="311"/>
        <v>-1</v>
      </c>
      <c r="AU112">
        <f t="shared" si="311"/>
        <v>-1</v>
      </c>
      <c r="AV112">
        <f t="shared" si="311"/>
        <v>-1</v>
      </c>
      <c r="AW112">
        <f t="shared" si="311"/>
        <v>-1</v>
      </c>
      <c r="AX112">
        <f t="shared" si="311"/>
        <v>-1</v>
      </c>
      <c r="AY112">
        <f t="shared" si="311"/>
        <v>-1</v>
      </c>
      <c r="AZ112">
        <f t="shared" si="311"/>
        <v>-1</v>
      </c>
      <c r="BA112">
        <f t="shared" si="311"/>
        <v>-1</v>
      </c>
      <c r="BB112">
        <f t="shared" si="311"/>
        <v>-1</v>
      </c>
      <c r="BC112">
        <f t="shared" si="311"/>
        <v>-1</v>
      </c>
      <c r="BD112">
        <f t="shared" si="311"/>
        <v>-1</v>
      </c>
      <c r="BE112">
        <f t="shared" si="311"/>
        <v>-1</v>
      </c>
      <c r="BF112">
        <f t="shared" si="311"/>
        <v>-1</v>
      </c>
      <c r="BG112">
        <f t="shared" si="311"/>
        <v>-1</v>
      </c>
      <c r="BH112">
        <f t="shared" si="311"/>
        <v>-1</v>
      </c>
      <c r="BI112">
        <f t="shared" si="311"/>
        <v>-1</v>
      </c>
      <c r="BJ112">
        <f t="shared" si="311"/>
        <v>-1</v>
      </c>
      <c r="BK112">
        <f t="shared" si="311"/>
        <v>-1</v>
      </c>
      <c r="BL112">
        <f t="shared" si="311"/>
        <v>-1</v>
      </c>
      <c r="BM112">
        <f t="shared" si="311"/>
        <v>-1</v>
      </c>
      <c r="BN112">
        <f t="shared" si="311"/>
        <v>-1</v>
      </c>
      <c r="BO112">
        <f t="shared" si="311"/>
        <v>-1</v>
      </c>
      <c r="BP112">
        <f t="shared" ref="BP112:EA112" si="312">IF(OR(BP111=-1,AND(IF(BP$3&lt;$B112,BP111+BP$6,IF(BP$3=$B112,1,""))&gt;$B$1,BP$3&lt;$B112)),-1,IF(BP$3&lt;$B112,BP111+BP$6,IF(BP$3=$B112,1,"")))</f>
        <v>-1</v>
      </c>
      <c r="BQ112">
        <f t="shared" si="312"/>
        <v>-1</v>
      </c>
      <c r="BR112">
        <f t="shared" si="312"/>
        <v>-1</v>
      </c>
      <c r="BS112">
        <f t="shared" si="312"/>
        <v>-1</v>
      </c>
      <c r="BT112">
        <f t="shared" si="312"/>
        <v>-1</v>
      </c>
      <c r="BU112">
        <f t="shared" si="312"/>
        <v>59.800000000000097</v>
      </c>
      <c r="BV112">
        <f t="shared" si="312"/>
        <v>56.200000000000088</v>
      </c>
      <c r="BW112">
        <f t="shared" si="312"/>
        <v>52.60000000000008</v>
      </c>
      <c r="BX112">
        <f t="shared" si="312"/>
        <v>49.000000000000071</v>
      </c>
      <c r="BY112">
        <f t="shared" si="312"/>
        <v>45.400000000000063</v>
      </c>
      <c r="BZ112">
        <f t="shared" si="312"/>
        <v>41.800000000000054</v>
      </c>
      <c r="CA112">
        <f t="shared" si="312"/>
        <v>38.200000000000045</v>
      </c>
      <c r="CB112">
        <f t="shared" si="312"/>
        <v>34.600000000000037</v>
      </c>
      <c r="CC112">
        <f t="shared" si="312"/>
        <v>31.000000000000028</v>
      </c>
      <c r="CD112">
        <f t="shared" si="312"/>
        <v>27.40000000000002</v>
      </c>
      <c r="CE112">
        <f t="shared" si="312"/>
        <v>23.800000000000011</v>
      </c>
      <c r="CF112">
        <f t="shared" si="312"/>
        <v>20.200000000000003</v>
      </c>
      <c r="CG112">
        <f t="shared" si="312"/>
        <v>16.599999999999994</v>
      </c>
      <c r="CH112">
        <f t="shared" si="312"/>
        <v>12.999999999999995</v>
      </c>
      <c r="CI112">
        <f t="shared" si="312"/>
        <v>9.3999999999999968</v>
      </c>
      <c r="CJ112">
        <f t="shared" si="312"/>
        <v>5.7999999999999989</v>
      </c>
      <c r="CK112">
        <f t="shared" si="312"/>
        <v>2.2000000000000002</v>
      </c>
      <c r="CL112" t="str">
        <f t="shared" si="312"/>
        <v/>
      </c>
      <c r="CM112" t="str">
        <f t="shared" si="312"/>
        <v/>
      </c>
      <c r="CN112" t="str">
        <f t="shared" si="312"/>
        <v/>
      </c>
      <c r="CO112">
        <f t="shared" si="312"/>
        <v>40</v>
      </c>
      <c r="CP112">
        <f t="shared" si="312"/>
        <v>27</v>
      </c>
      <c r="CQ112">
        <f t="shared" si="312"/>
        <v>-1</v>
      </c>
      <c r="CR112">
        <f t="shared" si="312"/>
        <v>-1</v>
      </c>
      <c r="CS112">
        <f t="shared" si="312"/>
        <v>-1</v>
      </c>
      <c r="CT112">
        <f t="shared" si="312"/>
        <v>-1</v>
      </c>
      <c r="CU112">
        <f t="shared" si="312"/>
        <v>-1</v>
      </c>
      <c r="CV112">
        <f t="shared" si="312"/>
        <v>-1</v>
      </c>
      <c r="CW112">
        <f t="shared" si="312"/>
        <v>-1</v>
      </c>
      <c r="CX112">
        <f t="shared" si="312"/>
        <v>-1</v>
      </c>
      <c r="CY112">
        <f t="shared" si="312"/>
        <v>-1</v>
      </c>
      <c r="CZ112">
        <f t="shared" si="312"/>
        <v>-1</v>
      </c>
      <c r="DA112">
        <f t="shared" si="312"/>
        <v>-1</v>
      </c>
      <c r="DB112">
        <f t="shared" si="312"/>
        <v>-1</v>
      </c>
      <c r="DC112">
        <f t="shared" si="312"/>
        <v>-1</v>
      </c>
      <c r="DD112">
        <f t="shared" si="312"/>
        <v>-1</v>
      </c>
      <c r="DE112">
        <f t="shared" si="312"/>
        <v>-1</v>
      </c>
      <c r="DF112">
        <f t="shared" si="312"/>
        <v>-1</v>
      </c>
      <c r="DG112">
        <f t="shared" si="312"/>
        <v>-1</v>
      </c>
      <c r="DH112">
        <f t="shared" si="312"/>
        <v>-1</v>
      </c>
      <c r="DI112">
        <f t="shared" si="312"/>
        <v>-1</v>
      </c>
      <c r="DJ112">
        <f t="shared" si="312"/>
        <v>-1</v>
      </c>
      <c r="DK112">
        <f t="shared" si="312"/>
        <v>-1</v>
      </c>
      <c r="DL112">
        <f t="shared" si="312"/>
        <v>-1</v>
      </c>
      <c r="DM112">
        <f t="shared" si="312"/>
        <v>-1</v>
      </c>
      <c r="DN112">
        <f t="shared" si="312"/>
        <v>-1</v>
      </c>
      <c r="DO112">
        <f t="shared" si="312"/>
        <v>-1</v>
      </c>
      <c r="DP112">
        <f t="shared" si="312"/>
        <v>-1</v>
      </c>
      <c r="DQ112">
        <f t="shared" si="312"/>
        <v>-1</v>
      </c>
      <c r="DR112">
        <f t="shared" si="312"/>
        <v>-1</v>
      </c>
      <c r="DS112">
        <f t="shared" si="312"/>
        <v>-1</v>
      </c>
      <c r="DT112">
        <f t="shared" si="312"/>
        <v>-1</v>
      </c>
      <c r="DU112">
        <f t="shared" si="312"/>
        <v>-1</v>
      </c>
      <c r="DV112">
        <f t="shared" si="312"/>
        <v>-1</v>
      </c>
      <c r="DW112">
        <f t="shared" si="312"/>
        <v>75</v>
      </c>
      <c r="DX112">
        <f t="shared" si="312"/>
        <v>69</v>
      </c>
      <c r="DY112">
        <f t="shared" si="312"/>
        <v>-1</v>
      </c>
      <c r="DZ112">
        <f t="shared" si="312"/>
        <v>-1</v>
      </c>
      <c r="EA112">
        <f t="shared" si="312"/>
        <v>-1</v>
      </c>
      <c r="EB112">
        <f t="shared" ref="EB112:EO112" si="313">IF(OR(EB111=-1,AND(IF(EB$3&lt;$B112,EB111+EB$6,IF(EB$3=$B112,1,""))&gt;$B$1,EB$3&lt;$B112)),-1,IF(EB$3&lt;$B112,EB111+EB$6,IF(EB$3=$B112,1,"")))</f>
        <v>-1</v>
      </c>
      <c r="EC112">
        <f t="shared" si="313"/>
        <v>-1</v>
      </c>
      <c r="ED112">
        <f t="shared" si="313"/>
        <v>-1</v>
      </c>
      <c r="EE112">
        <f t="shared" si="313"/>
        <v>-1</v>
      </c>
      <c r="EF112">
        <f t="shared" si="313"/>
        <v>-1</v>
      </c>
      <c r="EG112">
        <f t="shared" si="313"/>
        <v>-1</v>
      </c>
      <c r="EH112">
        <f t="shared" si="313"/>
        <v>-1</v>
      </c>
      <c r="EI112">
        <f t="shared" si="313"/>
        <v>-1</v>
      </c>
      <c r="EJ112">
        <f t="shared" si="313"/>
        <v>-1</v>
      </c>
      <c r="EK112">
        <f t="shared" si="313"/>
        <v>-1</v>
      </c>
      <c r="EL112">
        <f t="shared" si="313"/>
        <v>-1</v>
      </c>
      <c r="EM112">
        <f t="shared" si="313"/>
        <v>-1</v>
      </c>
      <c r="EN112">
        <f t="shared" si="313"/>
        <v>-1</v>
      </c>
      <c r="EO112">
        <f t="shared" si="313"/>
        <v>-1</v>
      </c>
    </row>
    <row r="113" spans="1:145" x14ac:dyDescent="0.15">
      <c r="A113" t="e">
        <f t="shared" si="193"/>
        <v>#N/A</v>
      </c>
      <c r="B113" s="218">
        <v>105</v>
      </c>
      <c r="C113">
        <f t="shared" si="193"/>
        <v>-1</v>
      </c>
      <c r="D113">
        <f t="shared" ref="D113:BO113" si="314">IF(OR(D112=-1,AND(IF(D$3&lt;$B113,D112+D$6,IF(D$3=$B113,1,""))&gt;$B$1,D$3&lt;$B113)),-1,IF(D$3&lt;$B113,D112+D$6,IF(D$3=$B113,1,"")))</f>
        <v>-1</v>
      </c>
      <c r="E113">
        <f t="shared" si="314"/>
        <v>-1</v>
      </c>
      <c r="F113">
        <f t="shared" si="314"/>
        <v>-1</v>
      </c>
      <c r="G113">
        <f t="shared" si="314"/>
        <v>-1</v>
      </c>
      <c r="H113">
        <f t="shared" si="314"/>
        <v>-1</v>
      </c>
      <c r="I113">
        <f t="shared" si="314"/>
        <v>-1</v>
      </c>
      <c r="J113">
        <f t="shared" si="314"/>
        <v>-1</v>
      </c>
      <c r="K113">
        <f t="shared" si="314"/>
        <v>-1</v>
      </c>
      <c r="L113">
        <f t="shared" si="314"/>
        <v>71.000000000000128</v>
      </c>
      <c r="M113">
        <f t="shared" si="314"/>
        <v>67.500000000000114</v>
      </c>
      <c r="N113">
        <f t="shared" si="314"/>
        <v>64.000000000000099</v>
      </c>
      <c r="O113">
        <f t="shared" si="314"/>
        <v>-1</v>
      </c>
      <c r="P113">
        <f t="shared" si="314"/>
        <v>-1</v>
      </c>
      <c r="Q113">
        <f t="shared" si="314"/>
        <v>-1</v>
      </c>
      <c r="R113">
        <f t="shared" si="314"/>
        <v>-1</v>
      </c>
      <c r="S113">
        <f t="shared" si="314"/>
        <v>-1</v>
      </c>
      <c r="T113">
        <f t="shared" si="314"/>
        <v>-1</v>
      </c>
      <c r="U113">
        <f t="shared" si="314"/>
        <v>-1</v>
      </c>
      <c r="V113">
        <f t="shared" si="314"/>
        <v>-1</v>
      </c>
      <c r="W113">
        <f t="shared" si="314"/>
        <v>-1</v>
      </c>
      <c r="X113">
        <f t="shared" si="314"/>
        <v>-1</v>
      </c>
      <c r="Y113">
        <f t="shared" si="314"/>
        <v>-1</v>
      </c>
      <c r="Z113">
        <f t="shared" si="314"/>
        <v>-1</v>
      </c>
      <c r="AA113">
        <f t="shared" si="314"/>
        <v>-1</v>
      </c>
      <c r="AB113">
        <f t="shared" si="314"/>
        <v>-1</v>
      </c>
      <c r="AC113">
        <f t="shared" si="314"/>
        <v>-1</v>
      </c>
      <c r="AD113">
        <f t="shared" si="314"/>
        <v>-1</v>
      </c>
      <c r="AE113">
        <f t="shared" si="314"/>
        <v>-1</v>
      </c>
      <c r="AF113">
        <f t="shared" si="314"/>
        <v>-1</v>
      </c>
      <c r="AG113">
        <f t="shared" si="314"/>
        <v>-1</v>
      </c>
      <c r="AH113">
        <f t="shared" si="314"/>
        <v>-1</v>
      </c>
      <c r="AI113">
        <f t="shared" si="314"/>
        <v>61.600000000000101</v>
      </c>
      <c r="AJ113">
        <f t="shared" si="314"/>
        <v>59.200000000000095</v>
      </c>
      <c r="AK113">
        <f t="shared" si="314"/>
        <v>56.80000000000009</v>
      </c>
      <c r="AL113">
        <f t="shared" si="314"/>
        <v>54.400000000000084</v>
      </c>
      <c r="AM113">
        <f t="shared" si="314"/>
        <v>-1</v>
      </c>
      <c r="AN113">
        <f t="shared" si="314"/>
        <v>-1</v>
      </c>
      <c r="AO113">
        <f t="shared" si="314"/>
        <v>-1</v>
      </c>
      <c r="AP113">
        <f t="shared" si="314"/>
        <v>-1</v>
      </c>
      <c r="AQ113">
        <f t="shared" si="314"/>
        <v>-1</v>
      </c>
      <c r="AR113">
        <f t="shared" si="314"/>
        <v>-1</v>
      </c>
      <c r="AS113">
        <f t="shared" si="314"/>
        <v>-1</v>
      </c>
      <c r="AT113">
        <f t="shared" si="314"/>
        <v>-1</v>
      </c>
      <c r="AU113">
        <f t="shared" si="314"/>
        <v>-1</v>
      </c>
      <c r="AV113">
        <f t="shared" si="314"/>
        <v>-1</v>
      </c>
      <c r="AW113">
        <f t="shared" si="314"/>
        <v>-1</v>
      </c>
      <c r="AX113">
        <f t="shared" si="314"/>
        <v>-1</v>
      </c>
      <c r="AY113">
        <f t="shared" si="314"/>
        <v>-1</v>
      </c>
      <c r="AZ113">
        <f t="shared" si="314"/>
        <v>-1</v>
      </c>
      <c r="BA113">
        <f t="shared" si="314"/>
        <v>-1</v>
      </c>
      <c r="BB113">
        <f t="shared" si="314"/>
        <v>-1</v>
      </c>
      <c r="BC113">
        <f t="shared" si="314"/>
        <v>-1</v>
      </c>
      <c r="BD113">
        <f t="shared" si="314"/>
        <v>-1</v>
      </c>
      <c r="BE113">
        <f t="shared" si="314"/>
        <v>-1</v>
      </c>
      <c r="BF113">
        <f t="shared" si="314"/>
        <v>-1</v>
      </c>
      <c r="BG113">
        <f t="shared" si="314"/>
        <v>-1</v>
      </c>
      <c r="BH113">
        <f t="shared" si="314"/>
        <v>-1</v>
      </c>
      <c r="BI113">
        <f t="shared" si="314"/>
        <v>-1</v>
      </c>
      <c r="BJ113">
        <f t="shared" si="314"/>
        <v>-1</v>
      </c>
      <c r="BK113">
        <f t="shared" si="314"/>
        <v>-1</v>
      </c>
      <c r="BL113">
        <f t="shared" si="314"/>
        <v>-1</v>
      </c>
      <c r="BM113">
        <f t="shared" si="314"/>
        <v>-1</v>
      </c>
      <c r="BN113">
        <f t="shared" si="314"/>
        <v>-1</v>
      </c>
      <c r="BO113">
        <f t="shared" si="314"/>
        <v>-1</v>
      </c>
      <c r="BP113">
        <f t="shared" ref="BP113:EA113" si="315">IF(OR(BP112=-1,AND(IF(BP$3&lt;$B113,BP112+BP$6,IF(BP$3=$B113,1,""))&gt;$B$1,BP$3&lt;$B113)),-1,IF(BP$3&lt;$B113,BP112+BP$6,IF(BP$3=$B113,1,"")))</f>
        <v>-1</v>
      </c>
      <c r="BQ113">
        <f t="shared" si="315"/>
        <v>-1</v>
      </c>
      <c r="BR113">
        <f t="shared" si="315"/>
        <v>-1</v>
      </c>
      <c r="BS113">
        <f t="shared" si="315"/>
        <v>-1</v>
      </c>
      <c r="BT113">
        <f t="shared" si="315"/>
        <v>-1</v>
      </c>
      <c r="BU113">
        <f t="shared" si="315"/>
        <v>60.400000000000098</v>
      </c>
      <c r="BV113">
        <f t="shared" si="315"/>
        <v>56.80000000000009</v>
      </c>
      <c r="BW113">
        <f t="shared" si="315"/>
        <v>53.200000000000081</v>
      </c>
      <c r="BX113">
        <f t="shared" si="315"/>
        <v>49.600000000000072</v>
      </c>
      <c r="BY113">
        <f t="shared" si="315"/>
        <v>46.000000000000064</v>
      </c>
      <c r="BZ113">
        <f t="shared" si="315"/>
        <v>42.400000000000055</v>
      </c>
      <c r="CA113">
        <f t="shared" si="315"/>
        <v>38.800000000000047</v>
      </c>
      <c r="CB113">
        <f t="shared" si="315"/>
        <v>35.200000000000038</v>
      </c>
      <c r="CC113">
        <f t="shared" si="315"/>
        <v>31.60000000000003</v>
      </c>
      <c r="CD113">
        <f t="shared" si="315"/>
        <v>28.000000000000021</v>
      </c>
      <c r="CE113">
        <f t="shared" si="315"/>
        <v>24.400000000000013</v>
      </c>
      <c r="CF113">
        <f t="shared" si="315"/>
        <v>20.800000000000004</v>
      </c>
      <c r="CG113">
        <f t="shared" si="315"/>
        <v>17.199999999999996</v>
      </c>
      <c r="CH113">
        <f t="shared" si="315"/>
        <v>13.599999999999994</v>
      </c>
      <c r="CI113">
        <f t="shared" si="315"/>
        <v>9.9999999999999964</v>
      </c>
      <c r="CJ113">
        <f t="shared" si="315"/>
        <v>6.3999999999999986</v>
      </c>
      <c r="CK113">
        <f t="shared" si="315"/>
        <v>2.8000000000000003</v>
      </c>
      <c r="CL113" t="str">
        <f t="shared" si="315"/>
        <v/>
      </c>
      <c r="CM113" t="str">
        <f t="shared" si="315"/>
        <v/>
      </c>
      <c r="CN113" t="str">
        <f t="shared" si="315"/>
        <v/>
      </c>
      <c r="CO113">
        <f t="shared" si="315"/>
        <v>40.5</v>
      </c>
      <c r="CP113">
        <f t="shared" si="315"/>
        <v>27.5</v>
      </c>
      <c r="CQ113">
        <f t="shared" si="315"/>
        <v>-1</v>
      </c>
      <c r="CR113">
        <f t="shared" si="315"/>
        <v>-1</v>
      </c>
      <c r="CS113">
        <f t="shared" si="315"/>
        <v>-1</v>
      </c>
      <c r="CT113">
        <f t="shared" si="315"/>
        <v>-1</v>
      </c>
      <c r="CU113">
        <f t="shared" si="315"/>
        <v>-1</v>
      </c>
      <c r="CV113">
        <f t="shared" si="315"/>
        <v>-1</v>
      </c>
      <c r="CW113">
        <f t="shared" si="315"/>
        <v>-1</v>
      </c>
      <c r="CX113">
        <f t="shared" si="315"/>
        <v>-1</v>
      </c>
      <c r="CY113">
        <f t="shared" si="315"/>
        <v>-1</v>
      </c>
      <c r="CZ113">
        <f t="shared" si="315"/>
        <v>-1</v>
      </c>
      <c r="DA113">
        <f t="shared" si="315"/>
        <v>-1</v>
      </c>
      <c r="DB113">
        <f t="shared" si="315"/>
        <v>-1</v>
      </c>
      <c r="DC113">
        <f t="shared" si="315"/>
        <v>-1</v>
      </c>
      <c r="DD113">
        <f t="shared" si="315"/>
        <v>-1</v>
      </c>
      <c r="DE113">
        <f t="shared" si="315"/>
        <v>-1</v>
      </c>
      <c r="DF113">
        <f t="shared" si="315"/>
        <v>-1</v>
      </c>
      <c r="DG113">
        <f t="shared" si="315"/>
        <v>-1</v>
      </c>
      <c r="DH113">
        <f t="shared" si="315"/>
        <v>-1</v>
      </c>
      <c r="DI113">
        <f t="shared" si="315"/>
        <v>-1</v>
      </c>
      <c r="DJ113">
        <f t="shared" si="315"/>
        <v>-1</v>
      </c>
      <c r="DK113">
        <f t="shared" si="315"/>
        <v>-1</v>
      </c>
      <c r="DL113">
        <f t="shared" si="315"/>
        <v>-1</v>
      </c>
      <c r="DM113">
        <f t="shared" si="315"/>
        <v>-1</v>
      </c>
      <c r="DN113">
        <f t="shared" si="315"/>
        <v>-1</v>
      </c>
      <c r="DO113">
        <f t="shared" si="315"/>
        <v>-1</v>
      </c>
      <c r="DP113">
        <f t="shared" si="315"/>
        <v>-1</v>
      </c>
      <c r="DQ113">
        <f t="shared" si="315"/>
        <v>-1</v>
      </c>
      <c r="DR113">
        <f t="shared" si="315"/>
        <v>-1</v>
      </c>
      <c r="DS113">
        <f t="shared" si="315"/>
        <v>-1</v>
      </c>
      <c r="DT113">
        <f t="shared" si="315"/>
        <v>-1</v>
      </c>
      <c r="DU113">
        <f t="shared" si="315"/>
        <v>-1</v>
      </c>
      <c r="DV113">
        <f t="shared" si="315"/>
        <v>-1</v>
      </c>
      <c r="DW113">
        <f t="shared" si="315"/>
        <v>-1</v>
      </c>
      <c r="DX113">
        <f t="shared" si="315"/>
        <v>70</v>
      </c>
      <c r="DY113">
        <f t="shared" si="315"/>
        <v>-1</v>
      </c>
      <c r="DZ113">
        <f t="shared" si="315"/>
        <v>-1</v>
      </c>
      <c r="EA113">
        <f t="shared" si="315"/>
        <v>-1</v>
      </c>
      <c r="EB113">
        <f t="shared" ref="EB113:EO113" si="316">IF(OR(EB112=-1,AND(IF(EB$3&lt;$B113,EB112+EB$6,IF(EB$3=$B113,1,""))&gt;$B$1,EB$3&lt;$B113)),-1,IF(EB$3&lt;$B113,EB112+EB$6,IF(EB$3=$B113,1,"")))</f>
        <v>-1</v>
      </c>
      <c r="EC113">
        <f t="shared" si="316"/>
        <v>-1</v>
      </c>
      <c r="ED113">
        <f t="shared" si="316"/>
        <v>-1</v>
      </c>
      <c r="EE113">
        <f t="shared" si="316"/>
        <v>-1</v>
      </c>
      <c r="EF113">
        <f t="shared" si="316"/>
        <v>-1</v>
      </c>
      <c r="EG113">
        <f t="shared" si="316"/>
        <v>-1</v>
      </c>
      <c r="EH113">
        <f t="shared" si="316"/>
        <v>-1</v>
      </c>
      <c r="EI113">
        <f t="shared" si="316"/>
        <v>-1</v>
      </c>
      <c r="EJ113">
        <f t="shared" si="316"/>
        <v>-1</v>
      </c>
      <c r="EK113">
        <f t="shared" si="316"/>
        <v>-1</v>
      </c>
      <c r="EL113">
        <f t="shared" si="316"/>
        <v>-1</v>
      </c>
      <c r="EM113">
        <f t="shared" si="316"/>
        <v>-1</v>
      </c>
      <c r="EN113">
        <f t="shared" si="316"/>
        <v>-1</v>
      </c>
      <c r="EO113">
        <f t="shared" si="316"/>
        <v>-1</v>
      </c>
    </row>
    <row r="114" spans="1:145" x14ac:dyDescent="0.15">
      <c r="A114" t="e">
        <f t="shared" si="193"/>
        <v>#N/A</v>
      </c>
      <c r="B114" s="218">
        <v>106</v>
      </c>
      <c r="C114">
        <f t="shared" si="193"/>
        <v>-1</v>
      </c>
      <c r="D114">
        <f t="shared" ref="D114:BO114" si="317">IF(OR(D113=-1,AND(IF(D$3&lt;$B114,D113+D$6,IF(D$3=$B114,1,""))&gt;$B$1,D$3&lt;$B114)),-1,IF(D$3&lt;$B114,D113+D$6,IF(D$3=$B114,1,"")))</f>
        <v>-1</v>
      </c>
      <c r="E114">
        <f t="shared" si="317"/>
        <v>-1</v>
      </c>
      <c r="F114">
        <f t="shared" si="317"/>
        <v>-1</v>
      </c>
      <c r="G114">
        <f t="shared" si="317"/>
        <v>-1</v>
      </c>
      <c r="H114">
        <f t="shared" si="317"/>
        <v>-1</v>
      </c>
      <c r="I114">
        <f t="shared" si="317"/>
        <v>-1</v>
      </c>
      <c r="J114">
        <f t="shared" si="317"/>
        <v>-1</v>
      </c>
      <c r="K114">
        <f t="shared" si="317"/>
        <v>-1</v>
      </c>
      <c r="L114">
        <f t="shared" si="317"/>
        <v>71.700000000000131</v>
      </c>
      <c r="M114">
        <f t="shared" si="317"/>
        <v>68.200000000000117</v>
      </c>
      <c r="N114">
        <f t="shared" si="317"/>
        <v>64.700000000000102</v>
      </c>
      <c r="O114">
        <f t="shared" si="317"/>
        <v>-1</v>
      </c>
      <c r="P114">
        <f t="shared" si="317"/>
        <v>-1</v>
      </c>
      <c r="Q114">
        <f t="shared" si="317"/>
        <v>-1</v>
      </c>
      <c r="R114">
        <f t="shared" si="317"/>
        <v>-1</v>
      </c>
      <c r="S114">
        <f t="shared" si="317"/>
        <v>-1</v>
      </c>
      <c r="T114">
        <f t="shared" si="317"/>
        <v>-1</v>
      </c>
      <c r="U114">
        <f t="shared" si="317"/>
        <v>-1</v>
      </c>
      <c r="V114">
        <f t="shared" si="317"/>
        <v>-1</v>
      </c>
      <c r="W114">
        <f t="shared" si="317"/>
        <v>-1</v>
      </c>
      <c r="X114">
        <f t="shared" si="317"/>
        <v>-1</v>
      </c>
      <c r="Y114">
        <f t="shared" si="317"/>
        <v>-1</v>
      </c>
      <c r="Z114">
        <f t="shared" si="317"/>
        <v>-1</v>
      </c>
      <c r="AA114">
        <f t="shared" si="317"/>
        <v>-1</v>
      </c>
      <c r="AB114">
        <f t="shared" si="317"/>
        <v>-1</v>
      </c>
      <c r="AC114">
        <f t="shared" si="317"/>
        <v>-1</v>
      </c>
      <c r="AD114">
        <f t="shared" si="317"/>
        <v>-1</v>
      </c>
      <c r="AE114">
        <f t="shared" si="317"/>
        <v>-1</v>
      </c>
      <c r="AF114">
        <f t="shared" si="317"/>
        <v>-1</v>
      </c>
      <c r="AG114">
        <f t="shared" si="317"/>
        <v>-1</v>
      </c>
      <c r="AH114">
        <f t="shared" si="317"/>
        <v>-1</v>
      </c>
      <c r="AI114">
        <f t="shared" si="317"/>
        <v>62.200000000000102</v>
      </c>
      <c r="AJ114">
        <f t="shared" si="317"/>
        <v>59.800000000000097</v>
      </c>
      <c r="AK114">
        <f t="shared" si="317"/>
        <v>57.400000000000091</v>
      </c>
      <c r="AL114">
        <f t="shared" si="317"/>
        <v>55.000000000000085</v>
      </c>
      <c r="AM114">
        <f t="shared" si="317"/>
        <v>-1</v>
      </c>
      <c r="AN114">
        <f t="shared" si="317"/>
        <v>-1</v>
      </c>
      <c r="AO114">
        <f t="shared" si="317"/>
        <v>-1</v>
      </c>
      <c r="AP114">
        <f t="shared" si="317"/>
        <v>-1</v>
      </c>
      <c r="AQ114">
        <f t="shared" si="317"/>
        <v>-1</v>
      </c>
      <c r="AR114">
        <f t="shared" si="317"/>
        <v>-1</v>
      </c>
      <c r="AS114">
        <f t="shared" si="317"/>
        <v>-1</v>
      </c>
      <c r="AT114">
        <f t="shared" si="317"/>
        <v>-1</v>
      </c>
      <c r="AU114">
        <f t="shared" si="317"/>
        <v>-1</v>
      </c>
      <c r="AV114">
        <f t="shared" si="317"/>
        <v>-1</v>
      </c>
      <c r="AW114">
        <f t="shared" si="317"/>
        <v>-1</v>
      </c>
      <c r="AX114">
        <f t="shared" si="317"/>
        <v>-1</v>
      </c>
      <c r="AY114">
        <f t="shared" si="317"/>
        <v>-1</v>
      </c>
      <c r="AZ114">
        <f t="shared" si="317"/>
        <v>-1</v>
      </c>
      <c r="BA114">
        <f t="shared" si="317"/>
        <v>-1</v>
      </c>
      <c r="BB114">
        <f t="shared" si="317"/>
        <v>-1</v>
      </c>
      <c r="BC114">
        <f t="shared" si="317"/>
        <v>-1</v>
      </c>
      <c r="BD114">
        <f t="shared" si="317"/>
        <v>-1</v>
      </c>
      <c r="BE114">
        <f t="shared" si="317"/>
        <v>-1</v>
      </c>
      <c r="BF114">
        <f t="shared" si="317"/>
        <v>-1</v>
      </c>
      <c r="BG114">
        <f t="shared" si="317"/>
        <v>-1</v>
      </c>
      <c r="BH114">
        <f t="shared" si="317"/>
        <v>-1</v>
      </c>
      <c r="BI114">
        <f t="shared" si="317"/>
        <v>-1</v>
      </c>
      <c r="BJ114">
        <f t="shared" si="317"/>
        <v>-1</v>
      </c>
      <c r="BK114">
        <f t="shared" si="317"/>
        <v>-1</v>
      </c>
      <c r="BL114">
        <f t="shared" si="317"/>
        <v>-1</v>
      </c>
      <c r="BM114">
        <f t="shared" si="317"/>
        <v>-1</v>
      </c>
      <c r="BN114">
        <f t="shared" si="317"/>
        <v>-1</v>
      </c>
      <c r="BO114">
        <f t="shared" si="317"/>
        <v>-1</v>
      </c>
      <c r="BP114">
        <f t="shared" ref="BP114:EA114" si="318">IF(OR(BP113=-1,AND(IF(BP$3&lt;$B114,BP113+BP$6,IF(BP$3=$B114,1,""))&gt;$B$1,BP$3&lt;$B114)),-1,IF(BP$3&lt;$B114,BP113+BP$6,IF(BP$3=$B114,1,"")))</f>
        <v>-1</v>
      </c>
      <c r="BQ114">
        <f t="shared" si="318"/>
        <v>-1</v>
      </c>
      <c r="BR114">
        <f t="shared" si="318"/>
        <v>-1</v>
      </c>
      <c r="BS114">
        <f t="shared" si="318"/>
        <v>-1</v>
      </c>
      <c r="BT114">
        <f t="shared" si="318"/>
        <v>-1</v>
      </c>
      <c r="BU114">
        <f t="shared" si="318"/>
        <v>61.000000000000099</v>
      </c>
      <c r="BV114">
        <f t="shared" si="318"/>
        <v>57.400000000000091</v>
      </c>
      <c r="BW114">
        <f t="shared" si="318"/>
        <v>53.800000000000082</v>
      </c>
      <c r="BX114">
        <f t="shared" si="318"/>
        <v>50.200000000000074</v>
      </c>
      <c r="BY114">
        <f t="shared" si="318"/>
        <v>46.600000000000065</v>
      </c>
      <c r="BZ114">
        <f t="shared" si="318"/>
        <v>43.000000000000057</v>
      </c>
      <c r="CA114">
        <f t="shared" si="318"/>
        <v>39.400000000000048</v>
      </c>
      <c r="CB114">
        <f t="shared" si="318"/>
        <v>35.80000000000004</v>
      </c>
      <c r="CC114">
        <f t="shared" si="318"/>
        <v>32.200000000000031</v>
      </c>
      <c r="CD114">
        <f t="shared" si="318"/>
        <v>28.600000000000023</v>
      </c>
      <c r="CE114">
        <f t="shared" si="318"/>
        <v>25.000000000000014</v>
      </c>
      <c r="CF114">
        <f t="shared" si="318"/>
        <v>21.400000000000006</v>
      </c>
      <c r="CG114">
        <f t="shared" si="318"/>
        <v>17.799999999999997</v>
      </c>
      <c r="CH114">
        <f t="shared" si="318"/>
        <v>14.199999999999994</v>
      </c>
      <c r="CI114">
        <f t="shared" si="318"/>
        <v>10.599999999999996</v>
      </c>
      <c r="CJ114">
        <f t="shared" si="318"/>
        <v>6.9999999999999982</v>
      </c>
      <c r="CK114">
        <f t="shared" si="318"/>
        <v>3.4000000000000004</v>
      </c>
      <c r="CL114" t="str">
        <f t="shared" si="318"/>
        <v/>
      </c>
      <c r="CM114" t="str">
        <f t="shared" si="318"/>
        <v/>
      </c>
      <c r="CN114" t="str">
        <f t="shared" si="318"/>
        <v/>
      </c>
      <c r="CO114">
        <f t="shared" si="318"/>
        <v>41</v>
      </c>
      <c r="CP114">
        <f t="shared" si="318"/>
        <v>28</v>
      </c>
      <c r="CQ114">
        <f t="shared" si="318"/>
        <v>-1</v>
      </c>
      <c r="CR114">
        <f t="shared" si="318"/>
        <v>-1</v>
      </c>
      <c r="CS114">
        <f t="shared" si="318"/>
        <v>-1</v>
      </c>
      <c r="CT114">
        <f t="shared" si="318"/>
        <v>-1</v>
      </c>
      <c r="CU114">
        <f t="shared" si="318"/>
        <v>-1</v>
      </c>
      <c r="CV114">
        <f t="shared" si="318"/>
        <v>-1</v>
      </c>
      <c r="CW114">
        <f t="shared" si="318"/>
        <v>-1</v>
      </c>
      <c r="CX114">
        <f t="shared" si="318"/>
        <v>-1</v>
      </c>
      <c r="CY114">
        <f t="shared" si="318"/>
        <v>-1</v>
      </c>
      <c r="CZ114">
        <f t="shared" si="318"/>
        <v>-1</v>
      </c>
      <c r="DA114">
        <f t="shared" si="318"/>
        <v>-1</v>
      </c>
      <c r="DB114">
        <f t="shared" si="318"/>
        <v>-1</v>
      </c>
      <c r="DC114">
        <f t="shared" si="318"/>
        <v>-1</v>
      </c>
      <c r="DD114">
        <f t="shared" si="318"/>
        <v>-1</v>
      </c>
      <c r="DE114">
        <f t="shared" si="318"/>
        <v>-1</v>
      </c>
      <c r="DF114">
        <f t="shared" si="318"/>
        <v>-1</v>
      </c>
      <c r="DG114">
        <f t="shared" si="318"/>
        <v>-1</v>
      </c>
      <c r="DH114">
        <f t="shared" si="318"/>
        <v>-1</v>
      </c>
      <c r="DI114">
        <f t="shared" si="318"/>
        <v>-1</v>
      </c>
      <c r="DJ114">
        <f t="shared" si="318"/>
        <v>-1</v>
      </c>
      <c r="DK114">
        <f t="shared" si="318"/>
        <v>-1</v>
      </c>
      <c r="DL114">
        <f t="shared" si="318"/>
        <v>-1</v>
      </c>
      <c r="DM114">
        <f t="shared" si="318"/>
        <v>-1</v>
      </c>
      <c r="DN114">
        <f t="shared" si="318"/>
        <v>-1</v>
      </c>
      <c r="DO114">
        <f t="shared" si="318"/>
        <v>-1</v>
      </c>
      <c r="DP114">
        <f t="shared" si="318"/>
        <v>-1</v>
      </c>
      <c r="DQ114">
        <f t="shared" si="318"/>
        <v>-1</v>
      </c>
      <c r="DR114">
        <f t="shared" si="318"/>
        <v>-1</v>
      </c>
      <c r="DS114">
        <f t="shared" si="318"/>
        <v>-1</v>
      </c>
      <c r="DT114">
        <f t="shared" si="318"/>
        <v>-1</v>
      </c>
      <c r="DU114">
        <f t="shared" si="318"/>
        <v>-1</v>
      </c>
      <c r="DV114">
        <f t="shared" si="318"/>
        <v>-1</v>
      </c>
      <c r="DW114">
        <f t="shared" si="318"/>
        <v>-1</v>
      </c>
      <c r="DX114">
        <f t="shared" si="318"/>
        <v>71</v>
      </c>
      <c r="DY114">
        <f t="shared" si="318"/>
        <v>-1</v>
      </c>
      <c r="DZ114">
        <f t="shared" si="318"/>
        <v>-1</v>
      </c>
      <c r="EA114">
        <f t="shared" si="318"/>
        <v>-1</v>
      </c>
      <c r="EB114">
        <f t="shared" ref="EB114:EO114" si="319">IF(OR(EB113=-1,AND(IF(EB$3&lt;$B114,EB113+EB$6,IF(EB$3=$B114,1,""))&gt;$B$1,EB$3&lt;$B114)),-1,IF(EB$3&lt;$B114,EB113+EB$6,IF(EB$3=$B114,1,"")))</f>
        <v>-1</v>
      </c>
      <c r="EC114">
        <f t="shared" si="319"/>
        <v>-1</v>
      </c>
      <c r="ED114">
        <f t="shared" si="319"/>
        <v>-1</v>
      </c>
      <c r="EE114">
        <f t="shared" si="319"/>
        <v>-1</v>
      </c>
      <c r="EF114">
        <f t="shared" si="319"/>
        <v>-1</v>
      </c>
      <c r="EG114">
        <f t="shared" si="319"/>
        <v>-1</v>
      </c>
      <c r="EH114">
        <f t="shared" si="319"/>
        <v>-1</v>
      </c>
      <c r="EI114">
        <f t="shared" si="319"/>
        <v>-1</v>
      </c>
      <c r="EJ114">
        <f t="shared" si="319"/>
        <v>-1</v>
      </c>
      <c r="EK114">
        <f t="shared" si="319"/>
        <v>-1</v>
      </c>
      <c r="EL114">
        <f t="shared" si="319"/>
        <v>-1</v>
      </c>
      <c r="EM114">
        <f t="shared" si="319"/>
        <v>-1</v>
      </c>
      <c r="EN114">
        <f t="shared" si="319"/>
        <v>-1</v>
      </c>
      <c r="EO114">
        <f t="shared" si="319"/>
        <v>-1</v>
      </c>
    </row>
    <row r="115" spans="1:145" x14ac:dyDescent="0.15">
      <c r="A115" t="e">
        <f t="shared" si="193"/>
        <v>#N/A</v>
      </c>
      <c r="B115" s="218">
        <v>107</v>
      </c>
      <c r="C115">
        <f t="shared" si="193"/>
        <v>-1</v>
      </c>
      <c r="D115">
        <f t="shared" ref="D115:BO115" si="320">IF(OR(D114=-1,AND(IF(D$3&lt;$B115,D114+D$6,IF(D$3=$B115,1,""))&gt;$B$1,D$3&lt;$B115)),-1,IF(D$3&lt;$B115,D114+D$6,IF(D$3=$B115,1,"")))</f>
        <v>-1</v>
      </c>
      <c r="E115">
        <f t="shared" si="320"/>
        <v>-1</v>
      </c>
      <c r="F115">
        <f t="shared" si="320"/>
        <v>-1</v>
      </c>
      <c r="G115">
        <f t="shared" si="320"/>
        <v>-1</v>
      </c>
      <c r="H115">
        <f t="shared" si="320"/>
        <v>-1</v>
      </c>
      <c r="I115">
        <f t="shared" si="320"/>
        <v>-1</v>
      </c>
      <c r="J115">
        <f t="shared" si="320"/>
        <v>-1</v>
      </c>
      <c r="K115">
        <f t="shared" si="320"/>
        <v>-1</v>
      </c>
      <c r="L115">
        <f t="shared" si="320"/>
        <v>72.400000000000134</v>
      </c>
      <c r="M115">
        <f t="shared" si="320"/>
        <v>68.900000000000119</v>
      </c>
      <c r="N115">
        <f t="shared" si="320"/>
        <v>65.400000000000105</v>
      </c>
      <c r="O115">
        <f t="shared" si="320"/>
        <v>-1</v>
      </c>
      <c r="P115">
        <f t="shared" si="320"/>
        <v>-1</v>
      </c>
      <c r="Q115">
        <f t="shared" si="320"/>
        <v>-1</v>
      </c>
      <c r="R115">
        <f t="shared" si="320"/>
        <v>-1</v>
      </c>
      <c r="S115">
        <f t="shared" si="320"/>
        <v>-1</v>
      </c>
      <c r="T115">
        <f t="shared" si="320"/>
        <v>-1</v>
      </c>
      <c r="U115">
        <f t="shared" si="320"/>
        <v>-1</v>
      </c>
      <c r="V115">
        <f t="shared" si="320"/>
        <v>-1</v>
      </c>
      <c r="W115">
        <f t="shared" si="320"/>
        <v>-1</v>
      </c>
      <c r="X115">
        <f t="shared" si="320"/>
        <v>-1</v>
      </c>
      <c r="Y115">
        <f t="shared" si="320"/>
        <v>-1</v>
      </c>
      <c r="Z115">
        <f t="shared" si="320"/>
        <v>-1</v>
      </c>
      <c r="AA115">
        <f t="shared" si="320"/>
        <v>-1</v>
      </c>
      <c r="AB115">
        <f t="shared" si="320"/>
        <v>-1</v>
      </c>
      <c r="AC115">
        <f t="shared" si="320"/>
        <v>-1</v>
      </c>
      <c r="AD115">
        <f t="shared" si="320"/>
        <v>-1</v>
      </c>
      <c r="AE115">
        <f t="shared" si="320"/>
        <v>-1</v>
      </c>
      <c r="AF115">
        <f t="shared" si="320"/>
        <v>-1</v>
      </c>
      <c r="AG115">
        <f t="shared" si="320"/>
        <v>-1</v>
      </c>
      <c r="AH115">
        <f t="shared" si="320"/>
        <v>-1</v>
      </c>
      <c r="AI115">
        <f t="shared" si="320"/>
        <v>62.800000000000104</v>
      </c>
      <c r="AJ115">
        <f t="shared" si="320"/>
        <v>60.400000000000098</v>
      </c>
      <c r="AK115">
        <f t="shared" si="320"/>
        <v>58.000000000000092</v>
      </c>
      <c r="AL115">
        <f t="shared" si="320"/>
        <v>55.600000000000087</v>
      </c>
      <c r="AM115">
        <f t="shared" si="320"/>
        <v>-1</v>
      </c>
      <c r="AN115">
        <f t="shared" si="320"/>
        <v>-1</v>
      </c>
      <c r="AO115">
        <f t="shared" si="320"/>
        <v>-1</v>
      </c>
      <c r="AP115">
        <f t="shared" si="320"/>
        <v>-1</v>
      </c>
      <c r="AQ115">
        <f t="shared" si="320"/>
        <v>-1</v>
      </c>
      <c r="AR115">
        <f t="shared" si="320"/>
        <v>-1</v>
      </c>
      <c r="AS115">
        <f t="shared" si="320"/>
        <v>-1</v>
      </c>
      <c r="AT115">
        <f t="shared" si="320"/>
        <v>-1</v>
      </c>
      <c r="AU115">
        <f t="shared" si="320"/>
        <v>-1</v>
      </c>
      <c r="AV115">
        <f t="shared" si="320"/>
        <v>-1</v>
      </c>
      <c r="AW115">
        <f t="shared" si="320"/>
        <v>-1</v>
      </c>
      <c r="AX115">
        <f t="shared" si="320"/>
        <v>-1</v>
      </c>
      <c r="AY115">
        <f t="shared" si="320"/>
        <v>-1</v>
      </c>
      <c r="AZ115">
        <f t="shared" si="320"/>
        <v>-1</v>
      </c>
      <c r="BA115">
        <f t="shared" si="320"/>
        <v>-1</v>
      </c>
      <c r="BB115">
        <f t="shared" si="320"/>
        <v>-1</v>
      </c>
      <c r="BC115">
        <f t="shared" si="320"/>
        <v>-1</v>
      </c>
      <c r="BD115">
        <f t="shared" si="320"/>
        <v>-1</v>
      </c>
      <c r="BE115">
        <f t="shared" si="320"/>
        <v>-1</v>
      </c>
      <c r="BF115">
        <f t="shared" si="320"/>
        <v>-1</v>
      </c>
      <c r="BG115">
        <f t="shared" si="320"/>
        <v>-1</v>
      </c>
      <c r="BH115">
        <f t="shared" si="320"/>
        <v>-1</v>
      </c>
      <c r="BI115">
        <f t="shared" si="320"/>
        <v>-1</v>
      </c>
      <c r="BJ115">
        <f t="shared" si="320"/>
        <v>-1</v>
      </c>
      <c r="BK115">
        <f t="shared" si="320"/>
        <v>-1</v>
      </c>
      <c r="BL115">
        <f t="shared" si="320"/>
        <v>-1</v>
      </c>
      <c r="BM115">
        <f t="shared" si="320"/>
        <v>-1</v>
      </c>
      <c r="BN115">
        <f t="shared" si="320"/>
        <v>-1</v>
      </c>
      <c r="BO115">
        <f t="shared" si="320"/>
        <v>-1</v>
      </c>
      <c r="BP115">
        <f t="shared" ref="BP115:EA115" si="321">IF(OR(BP114=-1,AND(IF(BP$3&lt;$B115,BP114+BP$6,IF(BP$3=$B115,1,""))&gt;$B$1,BP$3&lt;$B115)),-1,IF(BP$3&lt;$B115,BP114+BP$6,IF(BP$3=$B115,1,"")))</f>
        <v>-1</v>
      </c>
      <c r="BQ115">
        <f t="shared" si="321"/>
        <v>-1</v>
      </c>
      <c r="BR115">
        <f t="shared" si="321"/>
        <v>-1</v>
      </c>
      <c r="BS115">
        <f t="shared" si="321"/>
        <v>-1</v>
      </c>
      <c r="BT115">
        <f t="shared" si="321"/>
        <v>-1</v>
      </c>
      <c r="BU115">
        <f t="shared" si="321"/>
        <v>61.600000000000101</v>
      </c>
      <c r="BV115">
        <f t="shared" si="321"/>
        <v>58.000000000000092</v>
      </c>
      <c r="BW115">
        <f t="shared" si="321"/>
        <v>54.400000000000084</v>
      </c>
      <c r="BX115">
        <f t="shared" si="321"/>
        <v>50.800000000000075</v>
      </c>
      <c r="BY115">
        <f t="shared" si="321"/>
        <v>47.200000000000067</v>
      </c>
      <c r="BZ115">
        <f t="shared" si="321"/>
        <v>43.600000000000058</v>
      </c>
      <c r="CA115">
        <f t="shared" si="321"/>
        <v>40.00000000000005</v>
      </c>
      <c r="CB115">
        <f t="shared" si="321"/>
        <v>36.400000000000041</v>
      </c>
      <c r="CC115">
        <f t="shared" si="321"/>
        <v>32.800000000000033</v>
      </c>
      <c r="CD115">
        <f t="shared" si="321"/>
        <v>29.200000000000024</v>
      </c>
      <c r="CE115">
        <f t="shared" si="321"/>
        <v>25.600000000000016</v>
      </c>
      <c r="CF115">
        <f t="shared" si="321"/>
        <v>22.000000000000007</v>
      </c>
      <c r="CG115">
        <f t="shared" si="321"/>
        <v>18.399999999999999</v>
      </c>
      <c r="CH115">
        <f t="shared" si="321"/>
        <v>14.799999999999994</v>
      </c>
      <c r="CI115">
        <f t="shared" si="321"/>
        <v>11.199999999999996</v>
      </c>
      <c r="CJ115">
        <f t="shared" si="321"/>
        <v>7.5999999999999979</v>
      </c>
      <c r="CK115">
        <f t="shared" si="321"/>
        <v>4</v>
      </c>
      <c r="CL115" t="str">
        <f t="shared" si="321"/>
        <v/>
      </c>
      <c r="CM115" t="str">
        <f t="shared" si="321"/>
        <v/>
      </c>
      <c r="CN115" t="str">
        <f t="shared" si="321"/>
        <v/>
      </c>
      <c r="CO115">
        <f t="shared" si="321"/>
        <v>41.5</v>
      </c>
      <c r="CP115">
        <f t="shared" si="321"/>
        <v>28.5</v>
      </c>
      <c r="CQ115">
        <f t="shared" si="321"/>
        <v>-1</v>
      </c>
      <c r="CR115">
        <f t="shared" si="321"/>
        <v>-1</v>
      </c>
      <c r="CS115">
        <f t="shared" si="321"/>
        <v>-1</v>
      </c>
      <c r="CT115">
        <f t="shared" si="321"/>
        <v>-1</v>
      </c>
      <c r="CU115">
        <f t="shared" si="321"/>
        <v>-1</v>
      </c>
      <c r="CV115">
        <f t="shared" si="321"/>
        <v>-1</v>
      </c>
      <c r="CW115">
        <f t="shared" si="321"/>
        <v>-1</v>
      </c>
      <c r="CX115">
        <f t="shared" si="321"/>
        <v>-1</v>
      </c>
      <c r="CY115">
        <f t="shared" si="321"/>
        <v>-1</v>
      </c>
      <c r="CZ115">
        <f t="shared" si="321"/>
        <v>-1</v>
      </c>
      <c r="DA115">
        <f t="shared" si="321"/>
        <v>-1</v>
      </c>
      <c r="DB115">
        <f t="shared" si="321"/>
        <v>-1</v>
      </c>
      <c r="DC115">
        <f t="shared" si="321"/>
        <v>-1</v>
      </c>
      <c r="DD115">
        <f t="shared" si="321"/>
        <v>-1</v>
      </c>
      <c r="DE115">
        <f t="shared" si="321"/>
        <v>-1</v>
      </c>
      <c r="DF115">
        <f t="shared" si="321"/>
        <v>-1</v>
      </c>
      <c r="DG115">
        <f t="shared" si="321"/>
        <v>-1</v>
      </c>
      <c r="DH115">
        <f t="shared" si="321"/>
        <v>-1</v>
      </c>
      <c r="DI115">
        <f t="shared" si="321"/>
        <v>-1</v>
      </c>
      <c r="DJ115">
        <f t="shared" si="321"/>
        <v>-1</v>
      </c>
      <c r="DK115">
        <f t="shared" si="321"/>
        <v>-1</v>
      </c>
      <c r="DL115">
        <f t="shared" si="321"/>
        <v>-1</v>
      </c>
      <c r="DM115">
        <f t="shared" si="321"/>
        <v>-1</v>
      </c>
      <c r="DN115">
        <f t="shared" si="321"/>
        <v>-1</v>
      </c>
      <c r="DO115">
        <f t="shared" si="321"/>
        <v>-1</v>
      </c>
      <c r="DP115">
        <f t="shared" si="321"/>
        <v>-1</v>
      </c>
      <c r="DQ115">
        <f t="shared" si="321"/>
        <v>-1</v>
      </c>
      <c r="DR115">
        <f t="shared" si="321"/>
        <v>-1</v>
      </c>
      <c r="DS115">
        <f t="shared" si="321"/>
        <v>-1</v>
      </c>
      <c r="DT115">
        <f t="shared" si="321"/>
        <v>-1</v>
      </c>
      <c r="DU115">
        <f t="shared" si="321"/>
        <v>-1</v>
      </c>
      <c r="DV115">
        <f t="shared" si="321"/>
        <v>-1</v>
      </c>
      <c r="DW115">
        <f t="shared" si="321"/>
        <v>-1</v>
      </c>
      <c r="DX115">
        <f t="shared" si="321"/>
        <v>72</v>
      </c>
      <c r="DY115">
        <f t="shared" si="321"/>
        <v>-1</v>
      </c>
      <c r="DZ115">
        <f t="shared" si="321"/>
        <v>-1</v>
      </c>
      <c r="EA115">
        <f t="shared" si="321"/>
        <v>-1</v>
      </c>
      <c r="EB115">
        <f t="shared" ref="EB115:EO115" si="322">IF(OR(EB114=-1,AND(IF(EB$3&lt;$B115,EB114+EB$6,IF(EB$3=$B115,1,""))&gt;$B$1,EB$3&lt;$B115)),-1,IF(EB$3&lt;$B115,EB114+EB$6,IF(EB$3=$B115,1,"")))</f>
        <v>-1</v>
      </c>
      <c r="EC115">
        <f t="shared" si="322"/>
        <v>-1</v>
      </c>
      <c r="ED115">
        <f t="shared" si="322"/>
        <v>-1</v>
      </c>
      <c r="EE115">
        <f t="shared" si="322"/>
        <v>-1</v>
      </c>
      <c r="EF115">
        <f t="shared" si="322"/>
        <v>-1</v>
      </c>
      <c r="EG115">
        <f t="shared" si="322"/>
        <v>-1</v>
      </c>
      <c r="EH115">
        <f t="shared" si="322"/>
        <v>-1</v>
      </c>
      <c r="EI115">
        <f t="shared" si="322"/>
        <v>-1</v>
      </c>
      <c r="EJ115">
        <f t="shared" si="322"/>
        <v>-1</v>
      </c>
      <c r="EK115">
        <f t="shared" si="322"/>
        <v>-1</v>
      </c>
      <c r="EL115">
        <f t="shared" si="322"/>
        <v>-1</v>
      </c>
      <c r="EM115">
        <f t="shared" si="322"/>
        <v>-1</v>
      </c>
      <c r="EN115">
        <f t="shared" si="322"/>
        <v>-1</v>
      </c>
      <c r="EO115">
        <f t="shared" si="322"/>
        <v>-1</v>
      </c>
    </row>
    <row r="116" spans="1:145" x14ac:dyDescent="0.15">
      <c r="A116" t="e">
        <f t="shared" si="193"/>
        <v>#N/A</v>
      </c>
      <c r="B116" s="218">
        <v>108</v>
      </c>
      <c r="C116">
        <f t="shared" si="193"/>
        <v>-1</v>
      </c>
      <c r="D116">
        <f t="shared" ref="D116:BO116" si="323">IF(OR(D115=-1,AND(IF(D$3&lt;$B116,D115+D$6,IF(D$3=$B116,1,""))&gt;$B$1,D$3&lt;$B116)),-1,IF(D$3&lt;$B116,D115+D$6,IF(D$3=$B116,1,"")))</f>
        <v>-1</v>
      </c>
      <c r="E116">
        <f t="shared" si="323"/>
        <v>-1</v>
      </c>
      <c r="F116">
        <f t="shared" si="323"/>
        <v>-1</v>
      </c>
      <c r="G116">
        <f t="shared" si="323"/>
        <v>-1</v>
      </c>
      <c r="H116">
        <f t="shared" si="323"/>
        <v>-1</v>
      </c>
      <c r="I116">
        <f t="shared" si="323"/>
        <v>-1</v>
      </c>
      <c r="J116">
        <f t="shared" si="323"/>
        <v>-1</v>
      </c>
      <c r="K116">
        <f t="shared" si="323"/>
        <v>-1</v>
      </c>
      <c r="L116">
        <f t="shared" si="323"/>
        <v>73.100000000000136</v>
      </c>
      <c r="M116">
        <f t="shared" si="323"/>
        <v>69.600000000000122</v>
      </c>
      <c r="N116">
        <f t="shared" si="323"/>
        <v>66.100000000000108</v>
      </c>
      <c r="O116">
        <f t="shared" si="323"/>
        <v>-1</v>
      </c>
      <c r="P116">
        <f t="shared" si="323"/>
        <v>-1</v>
      </c>
      <c r="Q116">
        <f t="shared" si="323"/>
        <v>-1</v>
      </c>
      <c r="R116">
        <f t="shared" si="323"/>
        <v>-1</v>
      </c>
      <c r="S116">
        <f t="shared" si="323"/>
        <v>-1</v>
      </c>
      <c r="T116">
        <f t="shared" si="323"/>
        <v>-1</v>
      </c>
      <c r="U116">
        <f t="shared" si="323"/>
        <v>-1</v>
      </c>
      <c r="V116">
        <f t="shared" si="323"/>
        <v>-1</v>
      </c>
      <c r="W116">
        <f t="shared" si="323"/>
        <v>-1</v>
      </c>
      <c r="X116">
        <f t="shared" si="323"/>
        <v>-1</v>
      </c>
      <c r="Y116">
        <f t="shared" si="323"/>
        <v>-1</v>
      </c>
      <c r="Z116">
        <f t="shared" si="323"/>
        <v>-1</v>
      </c>
      <c r="AA116">
        <f t="shared" si="323"/>
        <v>-1</v>
      </c>
      <c r="AB116">
        <f t="shared" si="323"/>
        <v>-1</v>
      </c>
      <c r="AC116">
        <f t="shared" si="323"/>
        <v>-1</v>
      </c>
      <c r="AD116">
        <f t="shared" si="323"/>
        <v>-1</v>
      </c>
      <c r="AE116">
        <f t="shared" si="323"/>
        <v>-1</v>
      </c>
      <c r="AF116">
        <f t="shared" si="323"/>
        <v>-1</v>
      </c>
      <c r="AG116">
        <f t="shared" si="323"/>
        <v>-1</v>
      </c>
      <c r="AH116">
        <f t="shared" si="323"/>
        <v>-1</v>
      </c>
      <c r="AI116">
        <f t="shared" si="323"/>
        <v>63.400000000000105</v>
      </c>
      <c r="AJ116">
        <f t="shared" si="323"/>
        <v>61.000000000000099</v>
      </c>
      <c r="AK116">
        <f t="shared" si="323"/>
        <v>58.600000000000094</v>
      </c>
      <c r="AL116">
        <f t="shared" si="323"/>
        <v>56.200000000000088</v>
      </c>
      <c r="AM116">
        <f t="shared" si="323"/>
        <v>-1</v>
      </c>
      <c r="AN116">
        <f t="shared" si="323"/>
        <v>-1</v>
      </c>
      <c r="AO116">
        <f t="shared" si="323"/>
        <v>-1</v>
      </c>
      <c r="AP116">
        <f t="shared" si="323"/>
        <v>-1</v>
      </c>
      <c r="AQ116">
        <f t="shared" si="323"/>
        <v>-1</v>
      </c>
      <c r="AR116">
        <f t="shared" si="323"/>
        <v>-1</v>
      </c>
      <c r="AS116">
        <f t="shared" si="323"/>
        <v>-1</v>
      </c>
      <c r="AT116">
        <f t="shared" si="323"/>
        <v>-1</v>
      </c>
      <c r="AU116">
        <f t="shared" si="323"/>
        <v>-1</v>
      </c>
      <c r="AV116">
        <f t="shared" si="323"/>
        <v>-1</v>
      </c>
      <c r="AW116">
        <f t="shared" si="323"/>
        <v>-1</v>
      </c>
      <c r="AX116">
        <f t="shared" si="323"/>
        <v>-1</v>
      </c>
      <c r="AY116">
        <f t="shared" si="323"/>
        <v>-1</v>
      </c>
      <c r="AZ116">
        <f t="shared" si="323"/>
        <v>-1</v>
      </c>
      <c r="BA116">
        <f t="shared" si="323"/>
        <v>-1</v>
      </c>
      <c r="BB116">
        <f t="shared" si="323"/>
        <v>-1</v>
      </c>
      <c r="BC116">
        <f t="shared" si="323"/>
        <v>-1</v>
      </c>
      <c r="BD116">
        <f t="shared" si="323"/>
        <v>-1</v>
      </c>
      <c r="BE116">
        <f t="shared" si="323"/>
        <v>-1</v>
      </c>
      <c r="BF116">
        <f t="shared" si="323"/>
        <v>-1</v>
      </c>
      <c r="BG116">
        <f t="shared" si="323"/>
        <v>-1</v>
      </c>
      <c r="BH116">
        <f t="shared" si="323"/>
        <v>-1</v>
      </c>
      <c r="BI116">
        <f t="shared" si="323"/>
        <v>-1</v>
      </c>
      <c r="BJ116">
        <f t="shared" si="323"/>
        <v>-1</v>
      </c>
      <c r="BK116">
        <f t="shared" si="323"/>
        <v>-1</v>
      </c>
      <c r="BL116">
        <f t="shared" si="323"/>
        <v>-1</v>
      </c>
      <c r="BM116">
        <f t="shared" si="323"/>
        <v>-1</v>
      </c>
      <c r="BN116">
        <f t="shared" si="323"/>
        <v>-1</v>
      </c>
      <c r="BO116">
        <f t="shared" si="323"/>
        <v>-1</v>
      </c>
      <c r="BP116">
        <f t="shared" ref="BP116:EA116" si="324">IF(OR(BP115=-1,AND(IF(BP$3&lt;$B116,BP115+BP$6,IF(BP$3=$B116,1,""))&gt;$B$1,BP$3&lt;$B116)),-1,IF(BP$3&lt;$B116,BP115+BP$6,IF(BP$3=$B116,1,"")))</f>
        <v>-1</v>
      </c>
      <c r="BQ116">
        <f t="shared" si="324"/>
        <v>-1</v>
      </c>
      <c r="BR116">
        <f t="shared" si="324"/>
        <v>-1</v>
      </c>
      <c r="BS116">
        <f t="shared" si="324"/>
        <v>-1</v>
      </c>
      <c r="BT116">
        <f t="shared" si="324"/>
        <v>-1</v>
      </c>
      <c r="BU116">
        <f t="shared" si="324"/>
        <v>62.200000000000102</v>
      </c>
      <c r="BV116">
        <f t="shared" si="324"/>
        <v>58.600000000000094</v>
      </c>
      <c r="BW116">
        <f t="shared" si="324"/>
        <v>55.000000000000085</v>
      </c>
      <c r="BX116">
        <f t="shared" si="324"/>
        <v>51.400000000000077</v>
      </c>
      <c r="BY116">
        <f t="shared" si="324"/>
        <v>47.800000000000068</v>
      </c>
      <c r="BZ116">
        <f t="shared" si="324"/>
        <v>44.20000000000006</v>
      </c>
      <c r="CA116">
        <f t="shared" si="324"/>
        <v>40.600000000000051</v>
      </c>
      <c r="CB116">
        <f t="shared" si="324"/>
        <v>37.000000000000043</v>
      </c>
      <c r="CC116">
        <f t="shared" si="324"/>
        <v>33.400000000000034</v>
      </c>
      <c r="CD116">
        <f t="shared" si="324"/>
        <v>29.800000000000026</v>
      </c>
      <c r="CE116">
        <f t="shared" si="324"/>
        <v>26.200000000000017</v>
      </c>
      <c r="CF116">
        <f t="shared" si="324"/>
        <v>22.600000000000009</v>
      </c>
      <c r="CG116">
        <f t="shared" si="324"/>
        <v>19</v>
      </c>
      <c r="CH116">
        <f t="shared" si="324"/>
        <v>15.399999999999993</v>
      </c>
      <c r="CI116">
        <f t="shared" si="324"/>
        <v>11.799999999999995</v>
      </c>
      <c r="CJ116">
        <f t="shared" si="324"/>
        <v>8.1999999999999975</v>
      </c>
      <c r="CK116">
        <f t="shared" si="324"/>
        <v>4.5999999999999996</v>
      </c>
      <c r="CL116">
        <f t="shared" si="324"/>
        <v>1</v>
      </c>
      <c r="CM116" t="str">
        <f t="shared" si="324"/>
        <v/>
      </c>
      <c r="CN116" t="str">
        <f t="shared" si="324"/>
        <v/>
      </c>
      <c r="CO116">
        <f t="shared" si="324"/>
        <v>42</v>
      </c>
      <c r="CP116">
        <f t="shared" si="324"/>
        <v>29</v>
      </c>
      <c r="CQ116">
        <f t="shared" si="324"/>
        <v>-1</v>
      </c>
      <c r="CR116">
        <f t="shared" si="324"/>
        <v>-1</v>
      </c>
      <c r="CS116">
        <f t="shared" si="324"/>
        <v>-1</v>
      </c>
      <c r="CT116">
        <f t="shared" si="324"/>
        <v>-1</v>
      </c>
      <c r="CU116">
        <f t="shared" si="324"/>
        <v>-1</v>
      </c>
      <c r="CV116">
        <f t="shared" si="324"/>
        <v>-1</v>
      </c>
      <c r="CW116">
        <f t="shared" si="324"/>
        <v>-1</v>
      </c>
      <c r="CX116">
        <f t="shared" si="324"/>
        <v>-1</v>
      </c>
      <c r="CY116">
        <f t="shared" si="324"/>
        <v>-1</v>
      </c>
      <c r="CZ116">
        <f t="shared" si="324"/>
        <v>-1</v>
      </c>
      <c r="DA116">
        <f t="shared" si="324"/>
        <v>-1</v>
      </c>
      <c r="DB116">
        <f t="shared" si="324"/>
        <v>-1</v>
      </c>
      <c r="DC116">
        <f t="shared" si="324"/>
        <v>-1</v>
      </c>
      <c r="DD116">
        <f t="shared" si="324"/>
        <v>-1</v>
      </c>
      <c r="DE116">
        <f t="shared" si="324"/>
        <v>-1</v>
      </c>
      <c r="DF116">
        <f t="shared" si="324"/>
        <v>-1</v>
      </c>
      <c r="DG116">
        <f t="shared" si="324"/>
        <v>-1</v>
      </c>
      <c r="DH116">
        <f t="shared" si="324"/>
        <v>-1</v>
      </c>
      <c r="DI116">
        <f t="shared" si="324"/>
        <v>-1</v>
      </c>
      <c r="DJ116">
        <f t="shared" si="324"/>
        <v>-1</v>
      </c>
      <c r="DK116">
        <f t="shared" si="324"/>
        <v>-1</v>
      </c>
      <c r="DL116">
        <f t="shared" si="324"/>
        <v>-1</v>
      </c>
      <c r="DM116">
        <f t="shared" si="324"/>
        <v>-1</v>
      </c>
      <c r="DN116">
        <f t="shared" si="324"/>
        <v>-1</v>
      </c>
      <c r="DO116">
        <f t="shared" si="324"/>
        <v>-1</v>
      </c>
      <c r="DP116">
        <f t="shared" si="324"/>
        <v>-1</v>
      </c>
      <c r="DQ116">
        <f t="shared" si="324"/>
        <v>-1</v>
      </c>
      <c r="DR116">
        <f t="shared" si="324"/>
        <v>-1</v>
      </c>
      <c r="DS116">
        <f t="shared" si="324"/>
        <v>-1</v>
      </c>
      <c r="DT116">
        <f t="shared" si="324"/>
        <v>-1</v>
      </c>
      <c r="DU116">
        <f t="shared" si="324"/>
        <v>-1</v>
      </c>
      <c r="DV116">
        <f t="shared" si="324"/>
        <v>-1</v>
      </c>
      <c r="DW116">
        <f t="shared" si="324"/>
        <v>-1</v>
      </c>
      <c r="DX116">
        <f t="shared" si="324"/>
        <v>73</v>
      </c>
      <c r="DY116">
        <f t="shared" si="324"/>
        <v>-1</v>
      </c>
      <c r="DZ116">
        <f t="shared" si="324"/>
        <v>-1</v>
      </c>
      <c r="EA116">
        <f t="shared" si="324"/>
        <v>-1</v>
      </c>
      <c r="EB116">
        <f t="shared" ref="EB116:EO116" si="325">IF(OR(EB115=-1,AND(IF(EB$3&lt;$B116,EB115+EB$6,IF(EB$3=$B116,1,""))&gt;$B$1,EB$3&lt;$B116)),-1,IF(EB$3&lt;$B116,EB115+EB$6,IF(EB$3=$B116,1,"")))</f>
        <v>-1</v>
      </c>
      <c r="EC116">
        <f t="shared" si="325"/>
        <v>-1</v>
      </c>
      <c r="ED116">
        <f t="shared" si="325"/>
        <v>-1</v>
      </c>
      <c r="EE116">
        <f t="shared" si="325"/>
        <v>-1</v>
      </c>
      <c r="EF116">
        <f t="shared" si="325"/>
        <v>-1</v>
      </c>
      <c r="EG116">
        <f t="shared" si="325"/>
        <v>-1</v>
      </c>
      <c r="EH116">
        <f t="shared" si="325"/>
        <v>-1</v>
      </c>
      <c r="EI116">
        <f t="shared" si="325"/>
        <v>-1</v>
      </c>
      <c r="EJ116">
        <f t="shared" si="325"/>
        <v>-1</v>
      </c>
      <c r="EK116">
        <f t="shared" si="325"/>
        <v>-1</v>
      </c>
      <c r="EL116">
        <f t="shared" si="325"/>
        <v>-1</v>
      </c>
      <c r="EM116">
        <f t="shared" si="325"/>
        <v>-1</v>
      </c>
      <c r="EN116">
        <f t="shared" si="325"/>
        <v>-1</v>
      </c>
      <c r="EO116">
        <f t="shared" si="325"/>
        <v>-1</v>
      </c>
    </row>
    <row r="117" spans="1:145" x14ac:dyDescent="0.15">
      <c r="A117" t="e">
        <f t="shared" si="193"/>
        <v>#N/A</v>
      </c>
      <c r="B117" s="218">
        <v>109</v>
      </c>
      <c r="C117">
        <f t="shared" si="193"/>
        <v>-1</v>
      </c>
      <c r="D117">
        <f t="shared" ref="D117:BO117" si="326">IF(OR(D116=-1,AND(IF(D$3&lt;$B117,D116+D$6,IF(D$3=$B117,1,""))&gt;$B$1,D$3&lt;$B117)),-1,IF(D$3&lt;$B117,D116+D$6,IF(D$3=$B117,1,"")))</f>
        <v>-1</v>
      </c>
      <c r="E117">
        <f t="shared" si="326"/>
        <v>-1</v>
      </c>
      <c r="F117">
        <f t="shared" si="326"/>
        <v>-1</v>
      </c>
      <c r="G117">
        <f t="shared" si="326"/>
        <v>-1</v>
      </c>
      <c r="H117">
        <f t="shared" si="326"/>
        <v>-1</v>
      </c>
      <c r="I117">
        <f t="shared" si="326"/>
        <v>-1</v>
      </c>
      <c r="J117">
        <f t="shared" si="326"/>
        <v>-1</v>
      </c>
      <c r="K117">
        <f t="shared" si="326"/>
        <v>-1</v>
      </c>
      <c r="L117">
        <f t="shared" si="326"/>
        <v>73.800000000000139</v>
      </c>
      <c r="M117">
        <f t="shared" si="326"/>
        <v>70.300000000000125</v>
      </c>
      <c r="N117">
        <f t="shared" si="326"/>
        <v>66.800000000000111</v>
      </c>
      <c r="O117">
        <f t="shared" si="326"/>
        <v>-1</v>
      </c>
      <c r="P117">
        <f t="shared" si="326"/>
        <v>-1</v>
      </c>
      <c r="Q117">
        <f t="shared" si="326"/>
        <v>-1</v>
      </c>
      <c r="R117">
        <f t="shared" si="326"/>
        <v>-1</v>
      </c>
      <c r="S117">
        <f t="shared" si="326"/>
        <v>-1</v>
      </c>
      <c r="T117">
        <f t="shared" si="326"/>
        <v>-1</v>
      </c>
      <c r="U117">
        <f t="shared" si="326"/>
        <v>-1</v>
      </c>
      <c r="V117">
        <f t="shared" si="326"/>
        <v>-1</v>
      </c>
      <c r="W117">
        <f t="shared" si="326"/>
        <v>-1</v>
      </c>
      <c r="X117">
        <f t="shared" si="326"/>
        <v>-1</v>
      </c>
      <c r="Y117">
        <f t="shared" si="326"/>
        <v>-1</v>
      </c>
      <c r="Z117">
        <f t="shared" si="326"/>
        <v>-1</v>
      </c>
      <c r="AA117">
        <f t="shared" si="326"/>
        <v>-1</v>
      </c>
      <c r="AB117">
        <f t="shared" si="326"/>
        <v>-1</v>
      </c>
      <c r="AC117">
        <f t="shared" si="326"/>
        <v>-1</v>
      </c>
      <c r="AD117">
        <f t="shared" si="326"/>
        <v>-1</v>
      </c>
      <c r="AE117">
        <f t="shared" si="326"/>
        <v>-1</v>
      </c>
      <c r="AF117">
        <f t="shared" si="326"/>
        <v>-1</v>
      </c>
      <c r="AG117">
        <f t="shared" si="326"/>
        <v>-1</v>
      </c>
      <c r="AH117">
        <f t="shared" si="326"/>
        <v>-1</v>
      </c>
      <c r="AI117">
        <f t="shared" si="326"/>
        <v>64.000000000000099</v>
      </c>
      <c r="AJ117">
        <f t="shared" si="326"/>
        <v>61.600000000000101</v>
      </c>
      <c r="AK117">
        <f t="shared" si="326"/>
        <v>59.200000000000095</v>
      </c>
      <c r="AL117">
        <f t="shared" si="326"/>
        <v>56.80000000000009</v>
      </c>
      <c r="AM117">
        <f t="shared" si="326"/>
        <v>-1</v>
      </c>
      <c r="AN117">
        <f t="shared" si="326"/>
        <v>-1</v>
      </c>
      <c r="AO117">
        <f t="shared" si="326"/>
        <v>-1</v>
      </c>
      <c r="AP117">
        <f t="shared" si="326"/>
        <v>-1</v>
      </c>
      <c r="AQ117">
        <f t="shared" si="326"/>
        <v>-1</v>
      </c>
      <c r="AR117">
        <f t="shared" si="326"/>
        <v>-1</v>
      </c>
      <c r="AS117">
        <f t="shared" si="326"/>
        <v>-1</v>
      </c>
      <c r="AT117">
        <f t="shared" si="326"/>
        <v>-1</v>
      </c>
      <c r="AU117">
        <f t="shared" si="326"/>
        <v>-1</v>
      </c>
      <c r="AV117">
        <f t="shared" si="326"/>
        <v>-1</v>
      </c>
      <c r="AW117">
        <f t="shared" si="326"/>
        <v>-1</v>
      </c>
      <c r="AX117">
        <f t="shared" si="326"/>
        <v>-1</v>
      </c>
      <c r="AY117">
        <f t="shared" si="326"/>
        <v>-1</v>
      </c>
      <c r="AZ117">
        <f t="shared" si="326"/>
        <v>-1</v>
      </c>
      <c r="BA117">
        <f t="shared" si="326"/>
        <v>-1</v>
      </c>
      <c r="BB117">
        <f t="shared" si="326"/>
        <v>-1</v>
      </c>
      <c r="BC117">
        <f t="shared" si="326"/>
        <v>-1</v>
      </c>
      <c r="BD117">
        <f t="shared" si="326"/>
        <v>-1</v>
      </c>
      <c r="BE117">
        <f t="shared" si="326"/>
        <v>-1</v>
      </c>
      <c r="BF117">
        <f t="shared" si="326"/>
        <v>-1</v>
      </c>
      <c r="BG117">
        <f t="shared" si="326"/>
        <v>-1</v>
      </c>
      <c r="BH117">
        <f t="shared" si="326"/>
        <v>-1</v>
      </c>
      <c r="BI117">
        <f t="shared" si="326"/>
        <v>-1</v>
      </c>
      <c r="BJ117">
        <f t="shared" si="326"/>
        <v>-1</v>
      </c>
      <c r="BK117">
        <f t="shared" si="326"/>
        <v>-1</v>
      </c>
      <c r="BL117">
        <f t="shared" si="326"/>
        <v>-1</v>
      </c>
      <c r="BM117">
        <f t="shared" si="326"/>
        <v>-1</v>
      </c>
      <c r="BN117">
        <f t="shared" si="326"/>
        <v>-1</v>
      </c>
      <c r="BO117">
        <f t="shared" si="326"/>
        <v>-1</v>
      </c>
      <c r="BP117">
        <f t="shared" ref="BP117:EA117" si="327">IF(OR(BP116=-1,AND(IF(BP$3&lt;$B117,BP116+BP$6,IF(BP$3=$B117,1,""))&gt;$B$1,BP$3&lt;$B117)),-1,IF(BP$3&lt;$B117,BP116+BP$6,IF(BP$3=$B117,1,"")))</f>
        <v>-1</v>
      </c>
      <c r="BQ117">
        <f t="shared" si="327"/>
        <v>-1</v>
      </c>
      <c r="BR117">
        <f t="shared" si="327"/>
        <v>-1</v>
      </c>
      <c r="BS117">
        <f t="shared" si="327"/>
        <v>-1</v>
      </c>
      <c r="BT117">
        <f t="shared" si="327"/>
        <v>-1</v>
      </c>
      <c r="BU117">
        <f t="shared" si="327"/>
        <v>62.800000000000104</v>
      </c>
      <c r="BV117">
        <f t="shared" si="327"/>
        <v>59.200000000000095</v>
      </c>
      <c r="BW117">
        <f t="shared" si="327"/>
        <v>55.600000000000087</v>
      </c>
      <c r="BX117">
        <f t="shared" si="327"/>
        <v>52.000000000000078</v>
      </c>
      <c r="BY117">
        <f t="shared" si="327"/>
        <v>48.40000000000007</v>
      </c>
      <c r="BZ117">
        <f t="shared" si="327"/>
        <v>44.800000000000061</v>
      </c>
      <c r="CA117">
        <f t="shared" si="327"/>
        <v>41.200000000000053</v>
      </c>
      <c r="CB117">
        <f t="shared" si="327"/>
        <v>37.600000000000044</v>
      </c>
      <c r="CC117">
        <f t="shared" si="327"/>
        <v>34.000000000000036</v>
      </c>
      <c r="CD117">
        <f t="shared" si="327"/>
        <v>30.400000000000027</v>
      </c>
      <c r="CE117">
        <f t="shared" si="327"/>
        <v>26.800000000000018</v>
      </c>
      <c r="CF117">
        <f t="shared" si="327"/>
        <v>23.20000000000001</v>
      </c>
      <c r="CG117">
        <f t="shared" si="327"/>
        <v>19.600000000000001</v>
      </c>
      <c r="CH117">
        <f t="shared" si="327"/>
        <v>15.999999999999993</v>
      </c>
      <c r="CI117">
        <f t="shared" si="327"/>
        <v>12.399999999999995</v>
      </c>
      <c r="CJ117">
        <f t="shared" si="327"/>
        <v>8.7999999999999972</v>
      </c>
      <c r="CK117">
        <f t="shared" si="327"/>
        <v>5.1999999999999993</v>
      </c>
      <c r="CL117">
        <f t="shared" si="327"/>
        <v>1.6</v>
      </c>
      <c r="CM117" t="str">
        <f t="shared" si="327"/>
        <v/>
      </c>
      <c r="CN117" t="str">
        <f t="shared" si="327"/>
        <v/>
      </c>
      <c r="CO117">
        <f t="shared" si="327"/>
        <v>42.5</v>
      </c>
      <c r="CP117">
        <f t="shared" si="327"/>
        <v>29.5</v>
      </c>
      <c r="CQ117">
        <f t="shared" si="327"/>
        <v>-1</v>
      </c>
      <c r="CR117">
        <f t="shared" si="327"/>
        <v>-1</v>
      </c>
      <c r="CS117">
        <f t="shared" si="327"/>
        <v>-1</v>
      </c>
      <c r="CT117">
        <f t="shared" si="327"/>
        <v>-1</v>
      </c>
      <c r="CU117">
        <f t="shared" si="327"/>
        <v>-1</v>
      </c>
      <c r="CV117">
        <f t="shared" si="327"/>
        <v>-1</v>
      </c>
      <c r="CW117">
        <f t="shared" si="327"/>
        <v>-1</v>
      </c>
      <c r="CX117">
        <f t="shared" si="327"/>
        <v>-1</v>
      </c>
      <c r="CY117">
        <f t="shared" si="327"/>
        <v>-1</v>
      </c>
      <c r="CZ117">
        <f t="shared" si="327"/>
        <v>-1</v>
      </c>
      <c r="DA117">
        <f t="shared" si="327"/>
        <v>-1</v>
      </c>
      <c r="DB117">
        <f t="shared" si="327"/>
        <v>-1</v>
      </c>
      <c r="DC117">
        <f t="shared" si="327"/>
        <v>-1</v>
      </c>
      <c r="DD117">
        <f t="shared" si="327"/>
        <v>-1</v>
      </c>
      <c r="DE117">
        <f t="shared" si="327"/>
        <v>-1</v>
      </c>
      <c r="DF117">
        <f t="shared" si="327"/>
        <v>-1</v>
      </c>
      <c r="DG117">
        <f t="shared" si="327"/>
        <v>-1</v>
      </c>
      <c r="DH117">
        <f t="shared" si="327"/>
        <v>-1</v>
      </c>
      <c r="DI117">
        <f t="shared" si="327"/>
        <v>-1</v>
      </c>
      <c r="DJ117">
        <f t="shared" si="327"/>
        <v>-1</v>
      </c>
      <c r="DK117">
        <f t="shared" si="327"/>
        <v>-1</v>
      </c>
      <c r="DL117">
        <f t="shared" si="327"/>
        <v>-1</v>
      </c>
      <c r="DM117">
        <f t="shared" si="327"/>
        <v>-1</v>
      </c>
      <c r="DN117">
        <f t="shared" si="327"/>
        <v>-1</v>
      </c>
      <c r="DO117">
        <f t="shared" si="327"/>
        <v>-1</v>
      </c>
      <c r="DP117">
        <f t="shared" si="327"/>
        <v>-1</v>
      </c>
      <c r="DQ117">
        <f t="shared" si="327"/>
        <v>-1</v>
      </c>
      <c r="DR117">
        <f t="shared" si="327"/>
        <v>-1</v>
      </c>
      <c r="DS117">
        <f t="shared" si="327"/>
        <v>-1</v>
      </c>
      <c r="DT117">
        <f t="shared" si="327"/>
        <v>-1</v>
      </c>
      <c r="DU117">
        <f t="shared" si="327"/>
        <v>-1</v>
      </c>
      <c r="DV117">
        <f t="shared" si="327"/>
        <v>-1</v>
      </c>
      <c r="DW117">
        <f t="shared" si="327"/>
        <v>-1</v>
      </c>
      <c r="DX117">
        <f t="shared" si="327"/>
        <v>74</v>
      </c>
      <c r="DY117">
        <f t="shared" si="327"/>
        <v>-1</v>
      </c>
      <c r="DZ117">
        <f t="shared" si="327"/>
        <v>-1</v>
      </c>
      <c r="EA117">
        <f t="shared" si="327"/>
        <v>-1</v>
      </c>
      <c r="EB117">
        <f t="shared" ref="EB117:EO117" si="328">IF(OR(EB116=-1,AND(IF(EB$3&lt;$B117,EB116+EB$6,IF(EB$3=$B117,1,""))&gt;$B$1,EB$3&lt;$B117)),-1,IF(EB$3&lt;$B117,EB116+EB$6,IF(EB$3=$B117,1,"")))</f>
        <v>-1</v>
      </c>
      <c r="EC117">
        <f t="shared" si="328"/>
        <v>-1</v>
      </c>
      <c r="ED117">
        <f t="shared" si="328"/>
        <v>-1</v>
      </c>
      <c r="EE117">
        <f t="shared" si="328"/>
        <v>-1</v>
      </c>
      <c r="EF117">
        <f t="shared" si="328"/>
        <v>-1</v>
      </c>
      <c r="EG117">
        <f t="shared" si="328"/>
        <v>-1</v>
      </c>
      <c r="EH117">
        <f t="shared" si="328"/>
        <v>-1</v>
      </c>
      <c r="EI117">
        <f t="shared" si="328"/>
        <v>-1</v>
      </c>
      <c r="EJ117">
        <f t="shared" si="328"/>
        <v>-1</v>
      </c>
      <c r="EK117">
        <f t="shared" si="328"/>
        <v>-1</v>
      </c>
      <c r="EL117">
        <f t="shared" si="328"/>
        <v>-1</v>
      </c>
      <c r="EM117">
        <f t="shared" si="328"/>
        <v>-1</v>
      </c>
      <c r="EN117">
        <f t="shared" si="328"/>
        <v>-1</v>
      </c>
      <c r="EO117">
        <f t="shared" si="328"/>
        <v>-1</v>
      </c>
    </row>
    <row r="118" spans="1:145" x14ac:dyDescent="0.15">
      <c r="A118" t="e">
        <f t="shared" si="193"/>
        <v>#N/A</v>
      </c>
      <c r="B118" s="218">
        <v>110</v>
      </c>
      <c r="C118">
        <f t="shared" si="193"/>
        <v>-1</v>
      </c>
      <c r="D118">
        <f t="shared" ref="D118:BO118" si="329">IF(OR(D117=-1,AND(IF(D$3&lt;$B118,D117+D$6,IF(D$3=$B118,1,""))&gt;$B$1,D$3&lt;$B118)),-1,IF(D$3&lt;$B118,D117+D$6,IF(D$3=$B118,1,"")))</f>
        <v>-1</v>
      </c>
      <c r="E118">
        <f t="shared" si="329"/>
        <v>-1</v>
      </c>
      <c r="F118">
        <f t="shared" si="329"/>
        <v>-1</v>
      </c>
      <c r="G118">
        <f t="shared" si="329"/>
        <v>-1</v>
      </c>
      <c r="H118">
        <f t="shared" si="329"/>
        <v>-1</v>
      </c>
      <c r="I118">
        <f t="shared" si="329"/>
        <v>-1</v>
      </c>
      <c r="J118">
        <f t="shared" si="329"/>
        <v>-1</v>
      </c>
      <c r="K118">
        <f t="shared" si="329"/>
        <v>-1</v>
      </c>
      <c r="L118">
        <f t="shared" si="329"/>
        <v>74.500000000000142</v>
      </c>
      <c r="M118">
        <f t="shared" si="329"/>
        <v>71.000000000000128</v>
      </c>
      <c r="N118">
        <f t="shared" si="329"/>
        <v>67.500000000000114</v>
      </c>
      <c r="O118">
        <f t="shared" si="329"/>
        <v>-1</v>
      </c>
      <c r="P118">
        <f t="shared" si="329"/>
        <v>-1</v>
      </c>
      <c r="Q118">
        <f t="shared" si="329"/>
        <v>-1</v>
      </c>
      <c r="R118">
        <f t="shared" si="329"/>
        <v>-1</v>
      </c>
      <c r="S118">
        <f t="shared" si="329"/>
        <v>-1</v>
      </c>
      <c r="T118">
        <f t="shared" si="329"/>
        <v>-1</v>
      </c>
      <c r="U118">
        <f t="shared" si="329"/>
        <v>-1</v>
      </c>
      <c r="V118">
        <f t="shared" si="329"/>
        <v>-1</v>
      </c>
      <c r="W118">
        <f t="shared" si="329"/>
        <v>-1</v>
      </c>
      <c r="X118">
        <f t="shared" si="329"/>
        <v>-1</v>
      </c>
      <c r="Y118">
        <f t="shared" si="329"/>
        <v>-1</v>
      </c>
      <c r="Z118">
        <f t="shared" si="329"/>
        <v>-1</v>
      </c>
      <c r="AA118">
        <f t="shared" si="329"/>
        <v>-1</v>
      </c>
      <c r="AB118">
        <f t="shared" si="329"/>
        <v>-1</v>
      </c>
      <c r="AC118">
        <f t="shared" si="329"/>
        <v>-1</v>
      </c>
      <c r="AD118">
        <f t="shared" si="329"/>
        <v>-1</v>
      </c>
      <c r="AE118">
        <f t="shared" si="329"/>
        <v>-1</v>
      </c>
      <c r="AF118">
        <f t="shared" si="329"/>
        <v>-1</v>
      </c>
      <c r="AG118">
        <f t="shared" si="329"/>
        <v>-1</v>
      </c>
      <c r="AH118">
        <f t="shared" si="329"/>
        <v>-1</v>
      </c>
      <c r="AI118">
        <f t="shared" si="329"/>
        <v>64.600000000000094</v>
      </c>
      <c r="AJ118">
        <f t="shared" si="329"/>
        <v>62.200000000000102</v>
      </c>
      <c r="AK118">
        <f t="shared" si="329"/>
        <v>59.800000000000097</v>
      </c>
      <c r="AL118">
        <f t="shared" si="329"/>
        <v>57.400000000000091</v>
      </c>
      <c r="AM118">
        <f t="shared" si="329"/>
        <v>-1</v>
      </c>
      <c r="AN118">
        <f t="shared" si="329"/>
        <v>-1</v>
      </c>
      <c r="AO118">
        <f t="shared" si="329"/>
        <v>-1</v>
      </c>
      <c r="AP118">
        <f t="shared" si="329"/>
        <v>-1</v>
      </c>
      <c r="AQ118">
        <f t="shared" si="329"/>
        <v>-1</v>
      </c>
      <c r="AR118">
        <f t="shared" si="329"/>
        <v>-1</v>
      </c>
      <c r="AS118">
        <f t="shared" si="329"/>
        <v>-1</v>
      </c>
      <c r="AT118">
        <f t="shared" si="329"/>
        <v>-1</v>
      </c>
      <c r="AU118">
        <f t="shared" si="329"/>
        <v>-1</v>
      </c>
      <c r="AV118">
        <f t="shared" si="329"/>
        <v>-1</v>
      </c>
      <c r="AW118">
        <f t="shared" si="329"/>
        <v>-1</v>
      </c>
      <c r="AX118">
        <f t="shared" si="329"/>
        <v>-1</v>
      </c>
      <c r="AY118">
        <f t="shared" si="329"/>
        <v>-1</v>
      </c>
      <c r="AZ118">
        <f t="shared" si="329"/>
        <v>-1</v>
      </c>
      <c r="BA118">
        <f t="shared" si="329"/>
        <v>-1</v>
      </c>
      <c r="BB118">
        <f t="shared" si="329"/>
        <v>-1</v>
      </c>
      <c r="BC118">
        <f t="shared" si="329"/>
        <v>-1</v>
      </c>
      <c r="BD118">
        <f t="shared" si="329"/>
        <v>-1</v>
      </c>
      <c r="BE118">
        <f t="shared" si="329"/>
        <v>-1</v>
      </c>
      <c r="BF118">
        <f t="shared" si="329"/>
        <v>-1</v>
      </c>
      <c r="BG118">
        <f t="shared" si="329"/>
        <v>-1</v>
      </c>
      <c r="BH118">
        <f t="shared" si="329"/>
        <v>-1</v>
      </c>
      <c r="BI118">
        <f t="shared" si="329"/>
        <v>-1</v>
      </c>
      <c r="BJ118">
        <f t="shared" si="329"/>
        <v>-1</v>
      </c>
      <c r="BK118">
        <f t="shared" si="329"/>
        <v>-1</v>
      </c>
      <c r="BL118">
        <f t="shared" si="329"/>
        <v>-1</v>
      </c>
      <c r="BM118">
        <f t="shared" si="329"/>
        <v>-1</v>
      </c>
      <c r="BN118">
        <f t="shared" si="329"/>
        <v>-1</v>
      </c>
      <c r="BO118">
        <f t="shared" si="329"/>
        <v>-1</v>
      </c>
      <c r="BP118">
        <f t="shared" ref="BP118:EA118" si="330">IF(OR(BP117=-1,AND(IF(BP$3&lt;$B118,BP117+BP$6,IF(BP$3=$B118,1,""))&gt;$B$1,BP$3&lt;$B118)),-1,IF(BP$3&lt;$B118,BP117+BP$6,IF(BP$3=$B118,1,"")))</f>
        <v>-1</v>
      </c>
      <c r="BQ118">
        <f t="shared" si="330"/>
        <v>-1</v>
      </c>
      <c r="BR118">
        <f t="shared" si="330"/>
        <v>-1</v>
      </c>
      <c r="BS118">
        <f t="shared" si="330"/>
        <v>-1</v>
      </c>
      <c r="BT118">
        <f t="shared" si="330"/>
        <v>-1</v>
      </c>
      <c r="BU118">
        <f t="shared" si="330"/>
        <v>63.400000000000105</v>
      </c>
      <c r="BV118">
        <f t="shared" si="330"/>
        <v>59.800000000000097</v>
      </c>
      <c r="BW118">
        <f t="shared" si="330"/>
        <v>56.200000000000088</v>
      </c>
      <c r="BX118">
        <f t="shared" si="330"/>
        <v>52.60000000000008</v>
      </c>
      <c r="BY118">
        <f t="shared" si="330"/>
        <v>49.000000000000071</v>
      </c>
      <c r="BZ118">
        <f t="shared" si="330"/>
        <v>45.400000000000063</v>
      </c>
      <c r="CA118">
        <f t="shared" si="330"/>
        <v>41.800000000000054</v>
      </c>
      <c r="CB118">
        <f t="shared" si="330"/>
        <v>38.200000000000045</v>
      </c>
      <c r="CC118">
        <f t="shared" si="330"/>
        <v>34.600000000000037</v>
      </c>
      <c r="CD118">
        <f t="shared" si="330"/>
        <v>31.000000000000028</v>
      </c>
      <c r="CE118">
        <f t="shared" si="330"/>
        <v>27.40000000000002</v>
      </c>
      <c r="CF118">
        <f t="shared" si="330"/>
        <v>23.800000000000011</v>
      </c>
      <c r="CG118">
        <f t="shared" si="330"/>
        <v>20.200000000000003</v>
      </c>
      <c r="CH118">
        <f t="shared" si="330"/>
        <v>16.599999999999994</v>
      </c>
      <c r="CI118">
        <f t="shared" si="330"/>
        <v>12.999999999999995</v>
      </c>
      <c r="CJ118">
        <f t="shared" si="330"/>
        <v>9.3999999999999968</v>
      </c>
      <c r="CK118">
        <f t="shared" si="330"/>
        <v>5.7999999999999989</v>
      </c>
      <c r="CL118">
        <f t="shared" si="330"/>
        <v>2.2000000000000002</v>
      </c>
      <c r="CM118" t="str">
        <f t="shared" si="330"/>
        <v/>
      </c>
      <c r="CN118" t="str">
        <f t="shared" si="330"/>
        <v/>
      </c>
      <c r="CO118">
        <f t="shared" si="330"/>
        <v>43</v>
      </c>
      <c r="CP118">
        <f t="shared" si="330"/>
        <v>30</v>
      </c>
      <c r="CQ118">
        <f t="shared" si="330"/>
        <v>-1</v>
      </c>
      <c r="CR118">
        <f t="shared" si="330"/>
        <v>-1</v>
      </c>
      <c r="CS118">
        <f t="shared" si="330"/>
        <v>-1</v>
      </c>
      <c r="CT118">
        <f t="shared" si="330"/>
        <v>-1</v>
      </c>
      <c r="CU118">
        <f t="shared" si="330"/>
        <v>-1</v>
      </c>
      <c r="CV118">
        <f t="shared" si="330"/>
        <v>-1</v>
      </c>
      <c r="CW118">
        <f t="shared" si="330"/>
        <v>-1</v>
      </c>
      <c r="CX118">
        <f t="shared" si="330"/>
        <v>-1</v>
      </c>
      <c r="CY118">
        <f t="shared" si="330"/>
        <v>-1</v>
      </c>
      <c r="CZ118">
        <f t="shared" si="330"/>
        <v>-1</v>
      </c>
      <c r="DA118">
        <f t="shared" si="330"/>
        <v>-1</v>
      </c>
      <c r="DB118">
        <f t="shared" si="330"/>
        <v>-1</v>
      </c>
      <c r="DC118">
        <f t="shared" si="330"/>
        <v>-1</v>
      </c>
      <c r="DD118">
        <f t="shared" si="330"/>
        <v>-1</v>
      </c>
      <c r="DE118">
        <f t="shared" si="330"/>
        <v>-1</v>
      </c>
      <c r="DF118">
        <f t="shared" si="330"/>
        <v>-1</v>
      </c>
      <c r="DG118">
        <f t="shared" si="330"/>
        <v>-1</v>
      </c>
      <c r="DH118">
        <f t="shared" si="330"/>
        <v>-1</v>
      </c>
      <c r="DI118">
        <f t="shared" si="330"/>
        <v>-1</v>
      </c>
      <c r="DJ118">
        <f t="shared" si="330"/>
        <v>-1</v>
      </c>
      <c r="DK118">
        <f t="shared" si="330"/>
        <v>-1</v>
      </c>
      <c r="DL118">
        <f t="shared" si="330"/>
        <v>-1</v>
      </c>
      <c r="DM118">
        <f t="shared" si="330"/>
        <v>-1</v>
      </c>
      <c r="DN118">
        <f t="shared" si="330"/>
        <v>-1</v>
      </c>
      <c r="DO118">
        <f t="shared" si="330"/>
        <v>-1</v>
      </c>
      <c r="DP118">
        <f t="shared" si="330"/>
        <v>-1</v>
      </c>
      <c r="DQ118">
        <f t="shared" si="330"/>
        <v>-1</v>
      </c>
      <c r="DR118">
        <f t="shared" si="330"/>
        <v>-1</v>
      </c>
      <c r="DS118">
        <f t="shared" si="330"/>
        <v>-1</v>
      </c>
      <c r="DT118">
        <f t="shared" si="330"/>
        <v>-1</v>
      </c>
      <c r="DU118">
        <f t="shared" si="330"/>
        <v>-1</v>
      </c>
      <c r="DV118">
        <f t="shared" si="330"/>
        <v>-1</v>
      </c>
      <c r="DW118">
        <f t="shared" si="330"/>
        <v>-1</v>
      </c>
      <c r="DX118">
        <f t="shared" si="330"/>
        <v>75</v>
      </c>
      <c r="DY118">
        <f t="shared" si="330"/>
        <v>-1</v>
      </c>
      <c r="DZ118">
        <f t="shared" si="330"/>
        <v>-1</v>
      </c>
      <c r="EA118">
        <f t="shared" si="330"/>
        <v>-1</v>
      </c>
      <c r="EB118">
        <f t="shared" ref="EB118:EO118" si="331">IF(OR(EB117=-1,AND(IF(EB$3&lt;$B118,EB117+EB$6,IF(EB$3=$B118,1,""))&gt;$B$1,EB$3&lt;$B118)),-1,IF(EB$3&lt;$B118,EB117+EB$6,IF(EB$3=$B118,1,"")))</f>
        <v>-1</v>
      </c>
      <c r="EC118">
        <f t="shared" si="331"/>
        <v>-1</v>
      </c>
      <c r="ED118">
        <f t="shared" si="331"/>
        <v>-1</v>
      </c>
      <c r="EE118">
        <f t="shared" si="331"/>
        <v>-1</v>
      </c>
      <c r="EF118">
        <f t="shared" si="331"/>
        <v>-1</v>
      </c>
      <c r="EG118">
        <f t="shared" si="331"/>
        <v>-1</v>
      </c>
      <c r="EH118">
        <f t="shared" si="331"/>
        <v>-1</v>
      </c>
      <c r="EI118">
        <f t="shared" si="331"/>
        <v>-1</v>
      </c>
      <c r="EJ118">
        <f t="shared" si="331"/>
        <v>-1</v>
      </c>
      <c r="EK118">
        <f t="shared" si="331"/>
        <v>-1</v>
      </c>
      <c r="EL118">
        <f t="shared" si="331"/>
        <v>-1</v>
      </c>
      <c r="EM118">
        <f t="shared" si="331"/>
        <v>-1</v>
      </c>
      <c r="EN118">
        <f t="shared" si="331"/>
        <v>-1</v>
      </c>
      <c r="EO118">
        <f t="shared" si="331"/>
        <v>-1</v>
      </c>
    </row>
    <row r="119" spans="1:145" x14ac:dyDescent="0.15">
      <c r="A119" t="e">
        <f t="shared" si="193"/>
        <v>#N/A</v>
      </c>
      <c r="B119" s="218">
        <v>111</v>
      </c>
      <c r="C119">
        <f t="shared" si="193"/>
        <v>-1</v>
      </c>
      <c r="D119">
        <f t="shared" ref="D119:BO119" si="332">IF(OR(D118=-1,AND(IF(D$3&lt;$B119,D118+D$6,IF(D$3=$B119,1,""))&gt;$B$1,D$3&lt;$B119)),-1,IF(D$3&lt;$B119,D118+D$6,IF(D$3=$B119,1,"")))</f>
        <v>-1</v>
      </c>
      <c r="E119">
        <f t="shared" si="332"/>
        <v>-1</v>
      </c>
      <c r="F119">
        <f t="shared" si="332"/>
        <v>-1</v>
      </c>
      <c r="G119">
        <f t="shared" si="332"/>
        <v>-1</v>
      </c>
      <c r="H119">
        <f t="shared" si="332"/>
        <v>-1</v>
      </c>
      <c r="I119">
        <f t="shared" si="332"/>
        <v>-1</v>
      </c>
      <c r="J119">
        <f t="shared" si="332"/>
        <v>-1</v>
      </c>
      <c r="K119">
        <f t="shared" si="332"/>
        <v>-1</v>
      </c>
      <c r="L119">
        <f t="shared" si="332"/>
        <v>-1</v>
      </c>
      <c r="M119">
        <f t="shared" si="332"/>
        <v>71.700000000000131</v>
      </c>
      <c r="N119">
        <f t="shared" si="332"/>
        <v>68.200000000000117</v>
      </c>
      <c r="O119">
        <f t="shared" si="332"/>
        <v>-1</v>
      </c>
      <c r="P119">
        <f t="shared" si="332"/>
        <v>-1</v>
      </c>
      <c r="Q119">
        <f t="shared" si="332"/>
        <v>-1</v>
      </c>
      <c r="R119">
        <f t="shared" si="332"/>
        <v>-1</v>
      </c>
      <c r="S119">
        <f t="shared" si="332"/>
        <v>-1</v>
      </c>
      <c r="T119">
        <f t="shared" si="332"/>
        <v>-1</v>
      </c>
      <c r="U119">
        <f t="shared" si="332"/>
        <v>-1</v>
      </c>
      <c r="V119">
        <f t="shared" si="332"/>
        <v>-1</v>
      </c>
      <c r="W119">
        <f t="shared" si="332"/>
        <v>-1</v>
      </c>
      <c r="X119">
        <f t="shared" si="332"/>
        <v>-1</v>
      </c>
      <c r="Y119">
        <f t="shared" si="332"/>
        <v>-1</v>
      </c>
      <c r="Z119">
        <f t="shared" si="332"/>
        <v>-1</v>
      </c>
      <c r="AA119">
        <f t="shared" si="332"/>
        <v>-1</v>
      </c>
      <c r="AB119">
        <f t="shared" si="332"/>
        <v>-1</v>
      </c>
      <c r="AC119">
        <f t="shared" si="332"/>
        <v>-1</v>
      </c>
      <c r="AD119">
        <f t="shared" si="332"/>
        <v>-1</v>
      </c>
      <c r="AE119">
        <f t="shared" si="332"/>
        <v>-1</v>
      </c>
      <c r="AF119">
        <f t="shared" si="332"/>
        <v>-1</v>
      </c>
      <c r="AG119">
        <f t="shared" si="332"/>
        <v>-1</v>
      </c>
      <c r="AH119">
        <f t="shared" si="332"/>
        <v>-1</v>
      </c>
      <c r="AI119">
        <f t="shared" si="332"/>
        <v>65.200000000000088</v>
      </c>
      <c r="AJ119">
        <f t="shared" si="332"/>
        <v>62.800000000000104</v>
      </c>
      <c r="AK119">
        <f t="shared" si="332"/>
        <v>60.400000000000098</v>
      </c>
      <c r="AL119">
        <f t="shared" si="332"/>
        <v>58.000000000000092</v>
      </c>
      <c r="AM119">
        <f t="shared" si="332"/>
        <v>-1</v>
      </c>
      <c r="AN119">
        <f t="shared" si="332"/>
        <v>-1</v>
      </c>
      <c r="AO119">
        <f t="shared" si="332"/>
        <v>-1</v>
      </c>
      <c r="AP119">
        <f t="shared" si="332"/>
        <v>-1</v>
      </c>
      <c r="AQ119">
        <f t="shared" si="332"/>
        <v>-1</v>
      </c>
      <c r="AR119">
        <f t="shared" si="332"/>
        <v>-1</v>
      </c>
      <c r="AS119">
        <f t="shared" si="332"/>
        <v>-1</v>
      </c>
      <c r="AT119">
        <f t="shared" si="332"/>
        <v>-1</v>
      </c>
      <c r="AU119">
        <f t="shared" si="332"/>
        <v>-1</v>
      </c>
      <c r="AV119">
        <f t="shared" si="332"/>
        <v>-1</v>
      </c>
      <c r="AW119">
        <f t="shared" si="332"/>
        <v>-1</v>
      </c>
      <c r="AX119">
        <f t="shared" si="332"/>
        <v>-1</v>
      </c>
      <c r="AY119">
        <f t="shared" si="332"/>
        <v>-1</v>
      </c>
      <c r="AZ119">
        <f t="shared" si="332"/>
        <v>-1</v>
      </c>
      <c r="BA119">
        <f t="shared" si="332"/>
        <v>-1</v>
      </c>
      <c r="BB119">
        <f t="shared" si="332"/>
        <v>-1</v>
      </c>
      <c r="BC119">
        <f t="shared" si="332"/>
        <v>-1</v>
      </c>
      <c r="BD119">
        <f t="shared" si="332"/>
        <v>-1</v>
      </c>
      <c r="BE119">
        <f t="shared" si="332"/>
        <v>-1</v>
      </c>
      <c r="BF119">
        <f t="shared" si="332"/>
        <v>-1</v>
      </c>
      <c r="BG119">
        <f t="shared" si="332"/>
        <v>-1</v>
      </c>
      <c r="BH119">
        <f t="shared" si="332"/>
        <v>-1</v>
      </c>
      <c r="BI119">
        <f t="shared" si="332"/>
        <v>-1</v>
      </c>
      <c r="BJ119">
        <f t="shared" si="332"/>
        <v>-1</v>
      </c>
      <c r="BK119">
        <f t="shared" si="332"/>
        <v>-1</v>
      </c>
      <c r="BL119">
        <f t="shared" si="332"/>
        <v>-1</v>
      </c>
      <c r="BM119">
        <f t="shared" si="332"/>
        <v>-1</v>
      </c>
      <c r="BN119">
        <f t="shared" si="332"/>
        <v>-1</v>
      </c>
      <c r="BO119">
        <f t="shared" si="332"/>
        <v>-1</v>
      </c>
      <c r="BP119">
        <f t="shared" ref="BP119:EA119" si="333">IF(OR(BP118=-1,AND(IF(BP$3&lt;$B119,BP118+BP$6,IF(BP$3=$B119,1,""))&gt;$B$1,BP$3&lt;$B119)),-1,IF(BP$3&lt;$B119,BP118+BP$6,IF(BP$3=$B119,1,"")))</f>
        <v>-1</v>
      </c>
      <c r="BQ119">
        <f t="shared" si="333"/>
        <v>-1</v>
      </c>
      <c r="BR119">
        <f t="shared" si="333"/>
        <v>-1</v>
      </c>
      <c r="BS119">
        <f t="shared" si="333"/>
        <v>-1</v>
      </c>
      <c r="BT119">
        <f t="shared" si="333"/>
        <v>-1</v>
      </c>
      <c r="BU119">
        <f t="shared" si="333"/>
        <v>64.000000000000099</v>
      </c>
      <c r="BV119">
        <f t="shared" si="333"/>
        <v>60.400000000000098</v>
      </c>
      <c r="BW119">
        <f t="shared" si="333"/>
        <v>56.80000000000009</v>
      </c>
      <c r="BX119">
        <f t="shared" si="333"/>
        <v>53.200000000000081</v>
      </c>
      <c r="BY119">
        <f t="shared" si="333"/>
        <v>49.600000000000072</v>
      </c>
      <c r="BZ119">
        <f t="shared" si="333"/>
        <v>46.000000000000064</v>
      </c>
      <c r="CA119">
        <f t="shared" si="333"/>
        <v>42.400000000000055</v>
      </c>
      <c r="CB119">
        <f t="shared" si="333"/>
        <v>38.800000000000047</v>
      </c>
      <c r="CC119">
        <f t="shared" si="333"/>
        <v>35.200000000000038</v>
      </c>
      <c r="CD119">
        <f t="shared" si="333"/>
        <v>31.60000000000003</v>
      </c>
      <c r="CE119">
        <f t="shared" si="333"/>
        <v>28.000000000000021</v>
      </c>
      <c r="CF119">
        <f t="shared" si="333"/>
        <v>24.400000000000013</v>
      </c>
      <c r="CG119">
        <f t="shared" si="333"/>
        <v>20.800000000000004</v>
      </c>
      <c r="CH119">
        <f t="shared" si="333"/>
        <v>17.199999999999996</v>
      </c>
      <c r="CI119">
        <f t="shared" si="333"/>
        <v>13.599999999999994</v>
      </c>
      <c r="CJ119">
        <f t="shared" si="333"/>
        <v>9.9999999999999964</v>
      </c>
      <c r="CK119">
        <f t="shared" si="333"/>
        <v>6.3999999999999986</v>
      </c>
      <c r="CL119">
        <f t="shared" si="333"/>
        <v>2.8000000000000003</v>
      </c>
      <c r="CM119" t="str">
        <f t="shared" si="333"/>
        <v/>
      </c>
      <c r="CN119" t="str">
        <f t="shared" si="333"/>
        <v/>
      </c>
      <c r="CO119">
        <f t="shared" si="333"/>
        <v>43.5</v>
      </c>
      <c r="CP119">
        <f t="shared" si="333"/>
        <v>30.5</v>
      </c>
      <c r="CQ119">
        <f t="shared" si="333"/>
        <v>-1</v>
      </c>
      <c r="CR119">
        <f t="shared" si="333"/>
        <v>-1</v>
      </c>
      <c r="CS119">
        <f t="shared" si="333"/>
        <v>-1</v>
      </c>
      <c r="CT119">
        <f t="shared" si="333"/>
        <v>-1</v>
      </c>
      <c r="CU119">
        <f t="shared" si="333"/>
        <v>-1</v>
      </c>
      <c r="CV119">
        <f t="shared" si="333"/>
        <v>-1</v>
      </c>
      <c r="CW119">
        <f t="shared" si="333"/>
        <v>-1</v>
      </c>
      <c r="CX119">
        <f t="shared" si="333"/>
        <v>-1</v>
      </c>
      <c r="CY119">
        <f t="shared" si="333"/>
        <v>-1</v>
      </c>
      <c r="CZ119">
        <f t="shared" si="333"/>
        <v>-1</v>
      </c>
      <c r="DA119">
        <f t="shared" si="333"/>
        <v>-1</v>
      </c>
      <c r="DB119">
        <f t="shared" si="333"/>
        <v>-1</v>
      </c>
      <c r="DC119">
        <f t="shared" si="333"/>
        <v>-1</v>
      </c>
      <c r="DD119">
        <f t="shared" si="333"/>
        <v>-1</v>
      </c>
      <c r="DE119">
        <f t="shared" si="333"/>
        <v>-1</v>
      </c>
      <c r="DF119">
        <f t="shared" si="333"/>
        <v>-1</v>
      </c>
      <c r="DG119">
        <f t="shared" si="333"/>
        <v>-1</v>
      </c>
      <c r="DH119">
        <f t="shared" si="333"/>
        <v>-1</v>
      </c>
      <c r="DI119">
        <f t="shared" si="333"/>
        <v>-1</v>
      </c>
      <c r="DJ119">
        <f t="shared" si="333"/>
        <v>-1</v>
      </c>
      <c r="DK119">
        <f t="shared" si="333"/>
        <v>-1</v>
      </c>
      <c r="DL119">
        <f t="shared" si="333"/>
        <v>-1</v>
      </c>
      <c r="DM119">
        <f t="shared" si="333"/>
        <v>-1</v>
      </c>
      <c r="DN119">
        <f t="shared" si="333"/>
        <v>-1</v>
      </c>
      <c r="DO119">
        <f t="shared" si="333"/>
        <v>-1</v>
      </c>
      <c r="DP119">
        <f t="shared" si="333"/>
        <v>-1</v>
      </c>
      <c r="DQ119">
        <f t="shared" si="333"/>
        <v>-1</v>
      </c>
      <c r="DR119">
        <f t="shared" si="333"/>
        <v>-1</v>
      </c>
      <c r="DS119">
        <f t="shared" si="333"/>
        <v>-1</v>
      </c>
      <c r="DT119">
        <f t="shared" si="333"/>
        <v>-1</v>
      </c>
      <c r="DU119">
        <f t="shared" si="333"/>
        <v>-1</v>
      </c>
      <c r="DV119">
        <f t="shared" si="333"/>
        <v>-1</v>
      </c>
      <c r="DW119">
        <f t="shared" si="333"/>
        <v>-1</v>
      </c>
      <c r="DX119">
        <f t="shared" si="333"/>
        <v>-1</v>
      </c>
      <c r="DY119">
        <f t="shared" si="333"/>
        <v>-1</v>
      </c>
      <c r="DZ119">
        <f t="shared" si="333"/>
        <v>-1</v>
      </c>
      <c r="EA119">
        <f t="shared" si="333"/>
        <v>-1</v>
      </c>
      <c r="EB119">
        <f t="shared" ref="EB119:EO119" si="334">IF(OR(EB118=-1,AND(IF(EB$3&lt;$B119,EB118+EB$6,IF(EB$3=$B119,1,""))&gt;$B$1,EB$3&lt;$B119)),-1,IF(EB$3&lt;$B119,EB118+EB$6,IF(EB$3=$B119,1,"")))</f>
        <v>-1</v>
      </c>
      <c r="EC119">
        <f t="shared" si="334"/>
        <v>-1</v>
      </c>
      <c r="ED119">
        <f t="shared" si="334"/>
        <v>-1</v>
      </c>
      <c r="EE119">
        <f t="shared" si="334"/>
        <v>-1</v>
      </c>
      <c r="EF119">
        <f t="shared" si="334"/>
        <v>-1</v>
      </c>
      <c r="EG119">
        <f t="shared" si="334"/>
        <v>-1</v>
      </c>
      <c r="EH119">
        <f t="shared" si="334"/>
        <v>-1</v>
      </c>
      <c r="EI119">
        <f t="shared" si="334"/>
        <v>-1</v>
      </c>
      <c r="EJ119">
        <f t="shared" si="334"/>
        <v>-1</v>
      </c>
      <c r="EK119">
        <f t="shared" si="334"/>
        <v>-1</v>
      </c>
      <c r="EL119">
        <f t="shared" si="334"/>
        <v>-1</v>
      </c>
      <c r="EM119">
        <f t="shared" si="334"/>
        <v>-1</v>
      </c>
      <c r="EN119">
        <f t="shared" si="334"/>
        <v>-1</v>
      </c>
      <c r="EO119">
        <f t="shared" si="334"/>
        <v>-1</v>
      </c>
    </row>
    <row r="120" spans="1:145" x14ac:dyDescent="0.15">
      <c r="A120" t="e">
        <f t="shared" si="193"/>
        <v>#N/A</v>
      </c>
      <c r="B120" s="218">
        <v>112</v>
      </c>
      <c r="C120">
        <f t="shared" si="193"/>
        <v>-1</v>
      </c>
      <c r="D120">
        <f t="shared" ref="D120:BO120" si="335">IF(OR(D119=-1,AND(IF(D$3&lt;$B120,D119+D$6,IF(D$3=$B120,1,""))&gt;$B$1,D$3&lt;$B120)),-1,IF(D$3&lt;$B120,D119+D$6,IF(D$3=$B120,1,"")))</f>
        <v>-1</v>
      </c>
      <c r="E120">
        <f t="shared" si="335"/>
        <v>-1</v>
      </c>
      <c r="F120">
        <f t="shared" si="335"/>
        <v>-1</v>
      </c>
      <c r="G120">
        <f t="shared" si="335"/>
        <v>-1</v>
      </c>
      <c r="H120">
        <f t="shared" si="335"/>
        <v>-1</v>
      </c>
      <c r="I120">
        <f t="shared" si="335"/>
        <v>-1</v>
      </c>
      <c r="J120">
        <f t="shared" si="335"/>
        <v>-1</v>
      </c>
      <c r="K120">
        <f t="shared" si="335"/>
        <v>-1</v>
      </c>
      <c r="L120">
        <f t="shared" si="335"/>
        <v>-1</v>
      </c>
      <c r="M120">
        <f t="shared" si="335"/>
        <v>72.400000000000134</v>
      </c>
      <c r="N120">
        <f t="shared" si="335"/>
        <v>68.900000000000119</v>
      </c>
      <c r="O120">
        <f t="shared" si="335"/>
        <v>-1</v>
      </c>
      <c r="P120">
        <f t="shared" si="335"/>
        <v>-1</v>
      </c>
      <c r="Q120">
        <f t="shared" si="335"/>
        <v>-1</v>
      </c>
      <c r="R120">
        <f t="shared" si="335"/>
        <v>-1</v>
      </c>
      <c r="S120">
        <f t="shared" si="335"/>
        <v>-1</v>
      </c>
      <c r="T120">
        <f t="shared" si="335"/>
        <v>-1</v>
      </c>
      <c r="U120">
        <f t="shared" si="335"/>
        <v>-1</v>
      </c>
      <c r="V120">
        <f t="shared" si="335"/>
        <v>-1</v>
      </c>
      <c r="W120">
        <f t="shared" si="335"/>
        <v>-1</v>
      </c>
      <c r="X120">
        <f t="shared" si="335"/>
        <v>-1</v>
      </c>
      <c r="Y120">
        <f t="shared" si="335"/>
        <v>-1</v>
      </c>
      <c r="Z120">
        <f t="shared" si="335"/>
        <v>-1</v>
      </c>
      <c r="AA120">
        <f t="shared" si="335"/>
        <v>-1</v>
      </c>
      <c r="AB120">
        <f t="shared" si="335"/>
        <v>-1</v>
      </c>
      <c r="AC120">
        <f t="shared" si="335"/>
        <v>-1</v>
      </c>
      <c r="AD120">
        <f t="shared" si="335"/>
        <v>-1</v>
      </c>
      <c r="AE120">
        <f t="shared" si="335"/>
        <v>-1</v>
      </c>
      <c r="AF120">
        <f t="shared" si="335"/>
        <v>-1</v>
      </c>
      <c r="AG120">
        <f t="shared" si="335"/>
        <v>-1</v>
      </c>
      <c r="AH120">
        <f t="shared" si="335"/>
        <v>-1</v>
      </c>
      <c r="AI120">
        <f t="shared" si="335"/>
        <v>65.800000000000082</v>
      </c>
      <c r="AJ120">
        <f t="shared" si="335"/>
        <v>63.400000000000105</v>
      </c>
      <c r="AK120">
        <f t="shared" si="335"/>
        <v>61.000000000000099</v>
      </c>
      <c r="AL120">
        <f t="shared" si="335"/>
        <v>58.600000000000094</v>
      </c>
      <c r="AM120">
        <f t="shared" si="335"/>
        <v>-1</v>
      </c>
      <c r="AN120">
        <f t="shared" si="335"/>
        <v>-1</v>
      </c>
      <c r="AO120">
        <f t="shared" si="335"/>
        <v>-1</v>
      </c>
      <c r="AP120">
        <f t="shared" si="335"/>
        <v>-1</v>
      </c>
      <c r="AQ120">
        <f t="shared" si="335"/>
        <v>-1</v>
      </c>
      <c r="AR120">
        <f t="shared" si="335"/>
        <v>-1</v>
      </c>
      <c r="AS120">
        <f t="shared" si="335"/>
        <v>-1</v>
      </c>
      <c r="AT120">
        <f t="shared" si="335"/>
        <v>-1</v>
      </c>
      <c r="AU120">
        <f t="shared" si="335"/>
        <v>-1</v>
      </c>
      <c r="AV120">
        <f t="shared" si="335"/>
        <v>-1</v>
      </c>
      <c r="AW120">
        <f t="shared" si="335"/>
        <v>-1</v>
      </c>
      <c r="AX120">
        <f t="shared" si="335"/>
        <v>-1</v>
      </c>
      <c r="AY120">
        <f t="shared" si="335"/>
        <v>-1</v>
      </c>
      <c r="AZ120">
        <f t="shared" si="335"/>
        <v>-1</v>
      </c>
      <c r="BA120">
        <f t="shared" si="335"/>
        <v>-1</v>
      </c>
      <c r="BB120">
        <f t="shared" si="335"/>
        <v>-1</v>
      </c>
      <c r="BC120">
        <f t="shared" si="335"/>
        <v>-1</v>
      </c>
      <c r="BD120">
        <f t="shared" si="335"/>
        <v>-1</v>
      </c>
      <c r="BE120">
        <f t="shared" si="335"/>
        <v>-1</v>
      </c>
      <c r="BF120">
        <f t="shared" si="335"/>
        <v>-1</v>
      </c>
      <c r="BG120">
        <f t="shared" si="335"/>
        <v>-1</v>
      </c>
      <c r="BH120">
        <f t="shared" si="335"/>
        <v>-1</v>
      </c>
      <c r="BI120">
        <f t="shared" si="335"/>
        <v>-1</v>
      </c>
      <c r="BJ120">
        <f t="shared" si="335"/>
        <v>-1</v>
      </c>
      <c r="BK120">
        <f t="shared" si="335"/>
        <v>-1</v>
      </c>
      <c r="BL120">
        <f t="shared" si="335"/>
        <v>-1</v>
      </c>
      <c r="BM120">
        <f t="shared" si="335"/>
        <v>-1</v>
      </c>
      <c r="BN120">
        <f t="shared" si="335"/>
        <v>-1</v>
      </c>
      <c r="BO120">
        <f t="shared" si="335"/>
        <v>-1</v>
      </c>
      <c r="BP120">
        <f t="shared" ref="BP120:EA120" si="336">IF(OR(BP119=-1,AND(IF(BP$3&lt;$B120,BP119+BP$6,IF(BP$3=$B120,1,""))&gt;$B$1,BP$3&lt;$B120)),-1,IF(BP$3&lt;$B120,BP119+BP$6,IF(BP$3=$B120,1,"")))</f>
        <v>-1</v>
      </c>
      <c r="BQ120">
        <f t="shared" si="336"/>
        <v>-1</v>
      </c>
      <c r="BR120">
        <f t="shared" si="336"/>
        <v>-1</v>
      </c>
      <c r="BS120">
        <f t="shared" si="336"/>
        <v>-1</v>
      </c>
      <c r="BT120">
        <f t="shared" si="336"/>
        <v>-1</v>
      </c>
      <c r="BU120">
        <f t="shared" si="336"/>
        <v>64.600000000000094</v>
      </c>
      <c r="BV120">
        <f t="shared" si="336"/>
        <v>61.000000000000099</v>
      </c>
      <c r="BW120">
        <f t="shared" si="336"/>
        <v>57.400000000000091</v>
      </c>
      <c r="BX120">
        <f t="shared" si="336"/>
        <v>53.800000000000082</v>
      </c>
      <c r="BY120">
        <f t="shared" si="336"/>
        <v>50.200000000000074</v>
      </c>
      <c r="BZ120">
        <f t="shared" si="336"/>
        <v>46.600000000000065</v>
      </c>
      <c r="CA120">
        <f t="shared" si="336"/>
        <v>43.000000000000057</v>
      </c>
      <c r="CB120">
        <f t="shared" si="336"/>
        <v>39.400000000000048</v>
      </c>
      <c r="CC120">
        <f t="shared" si="336"/>
        <v>35.80000000000004</v>
      </c>
      <c r="CD120">
        <f t="shared" si="336"/>
        <v>32.200000000000031</v>
      </c>
      <c r="CE120">
        <f t="shared" si="336"/>
        <v>28.600000000000023</v>
      </c>
      <c r="CF120">
        <f t="shared" si="336"/>
        <v>25.000000000000014</v>
      </c>
      <c r="CG120">
        <f t="shared" si="336"/>
        <v>21.400000000000006</v>
      </c>
      <c r="CH120">
        <f t="shared" si="336"/>
        <v>17.799999999999997</v>
      </c>
      <c r="CI120">
        <f t="shared" si="336"/>
        <v>14.199999999999994</v>
      </c>
      <c r="CJ120">
        <f t="shared" si="336"/>
        <v>10.599999999999996</v>
      </c>
      <c r="CK120">
        <f t="shared" si="336"/>
        <v>6.9999999999999982</v>
      </c>
      <c r="CL120">
        <f t="shared" si="336"/>
        <v>3.4000000000000004</v>
      </c>
      <c r="CM120" t="str">
        <f t="shared" si="336"/>
        <v/>
      </c>
      <c r="CN120" t="str">
        <f t="shared" si="336"/>
        <v/>
      </c>
      <c r="CO120">
        <f t="shared" si="336"/>
        <v>44</v>
      </c>
      <c r="CP120">
        <f t="shared" si="336"/>
        <v>31</v>
      </c>
      <c r="CQ120">
        <f t="shared" si="336"/>
        <v>-1</v>
      </c>
      <c r="CR120">
        <f t="shared" si="336"/>
        <v>-1</v>
      </c>
      <c r="CS120">
        <f t="shared" si="336"/>
        <v>-1</v>
      </c>
      <c r="CT120">
        <f t="shared" si="336"/>
        <v>-1</v>
      </c>
      <c r="CU120">
        <f t="shared" si="336"/>
        <v>-1</v>
      </c>
      <c r="CV120">
        <f t="shared" si="336"/>
        <v>-1</v>
      </c>
      <c r="CW120">
        <f t="shared" si="336"/>
        <v>-1</v>
      </c>
      <c r="CX120">
        <f t="shared" si="336"/>
        <v>-1</v>
      </c>
      <c r="CY120">
        <f t="shared" si="336"/>
        <v>-1</v>
      </c>
      <c r="CZ120">
        <f t="shared" si="336"/>
        <v>-1</v>
      </c>
      <c r="DA120">
        <f t="shared" si="336"/>
        <v>-1</v>
      </c>
      <c r="DB120">
        <f t="shared" si="336"/>
        <v>-1</v>
      </c>
      <c r="DC120">
        <f t="shared" si="336"/>
        <v>-1</v>
      </c>
      <c r="DD120">
        <f t="shared" si="336"/>
        <v>-1</v>
      </c>
      <c r="DE120">
        <f t="shared" si="336"/>
        <v>-1</v>
      </c>
      <c r="DF120">
        <f t="shared" si="336"/>
        <v>-1</v>
      </c>
      <c r="DG120">
        <f t="shared" si="336"/>
        <v>-1</v>
      </c>
      <c r="DH120">
        <f t="shared" si="336"/>
        <v>-1</v>
      </c>
      <c r="DI120">
        <f t="shared" si="336"/>
        <v>-1</v>
      </c>
      <c r="DJ120">
        <f t="shared" si="336"/>
        <v>-1</v>
      </c>
      <c r="DK120">
        <f t="shared" si="336"/>
        <v>-1</v>
      </c>
      <c r="DL120">
        <f t="shared" si="336"/>
        <v>-1</v>
      </c>
      <c r="DM120">
        <f t="shared" si="336"/>
        <v>-1</v>
      </c>
      <c r="DN120">
        <f t="shared" si="336"/>
        <v>-1</v>
      </c>
      <c r="DO120">
        <f t="shared" si="336"/>
        <v>-1</v>
      </c>
      <c r="DP120">
        <f t="shared" si="336"/>
        <v>-1</v>
      </c>
      <c r="DQ120">
        <f t="shared" si="336"/>
        <v>-1</v>
      </c>
      <c r="DR120">
        <f t="shared" si="336"/>
        <v>-1</v>
      </c>
      <c r="DS120">
        <f t="shared" si="336"/>
        <v>-1</v>
      </c>
      <c r="DT120">
        <f t="shared" si="336"/>
        <v>-1</v>
      </c>
      <c r="DU120">
        <f t="shared" si="336"/>
        <v>-1</v>
      </c>
      <c r="DV120">
        <f t="shared" si="336"/>
        <v>-1</v>
      </c>
      <c r="DW120">
        <f t="shared" si="336"/>
        <v>-1</v>
      </c>
      <c r="DX120">
        <f t="shared" si="336"/>
        <v>-1</v>
      </c>
      <c r="DY120">
        <f t="shared" si="336"/>
        <v>-1</v>
      </c>
      <c r="DZ120">
        <f t="shared" si="336"/>
        <v>-1</v>
      </c>
      <c r="EA120">
        <f t="shared" si="336"/>
        <v>-1</v>
      </c>
      <c r="EB120">
        <f t="shared" ref="EB120:EO120" si="337">IF(OR(EB119=-1,AND(IF(EB$3&lt;$B120,EB119+EB$6,IF(EB$3=$B120,1,""))&gt;$B$1,EB$3&lt;$B120)),-1,IF(EB$3&lt;$B120,EB119+EB$6,IF(EB$3=$B120,1,"")))</f>
        <v>-1</v>
      </c>
      <c r="EC120">
        <f t="shared" si="337"/>
        <v>-1</v>
      </c>
      <c r="ED120">
        <f t="shared" si="337"/>
        <v>-1</v>
      </c>
      <c r="EE120">
        <f t="shared" si="337"/>
        <v>-1</v>
      </c>
      <c r="EF120">
        <f t="shared" si="337"/>
        <v>-1</v>
      </c>
      <c r="EG120">
        <f t="shared" si="337"/>
        <v>-1</v>
      </c>
      <c r="EH120">
        <f t="shared" si="337"/>
        <v>-1</v>
      </c>
      <c r="EI120">
        <f t="shared" si="337"/>
        <v>-1</v>
      </c>
      <c r="EJ120">
        <f t="shared" si="337"/>
        <v>-1</v>
      </c>
      <c r="EK120">
        <f t="shared" si="337"/>
        <v>-1</v>
      </c>
      <c r="EL120">
        <f t="shared" si="337"/>
        <v>-1</v>
      </c>
      <c r="EM120">
        <f t="shared" si="337"/>
        <v>-1</v>
      </c>
      <c r="EN120">
        <f t="shared" si="337"/>
        <v>-1</v>
      </c>
      <c r="EO120">
        <f t="shared" si="337"/>
        <v>-1</v>
      </c>
    </row>
    <row r="121" spans="1:145" x14ac:dyDescent="0.15">
      <c r="A121" t="e">
        <f t="shared" si="193"/>
        <v>#N/A</v>
      </c>
      <c r="B121" s="218">
        <v>113</v>
      </c>
      <c r="C121">
        <f t="shared" si="193"/>
        <v>-1</v>
      </c>
      <c r="D121">
        <f t="shared" ref="D121:BO121" si="338">IF(OR(D120=-1,AND(IF(D$3&lt;$B121,D120+D$6,IF(D$3=$B121,1,""))&gt;$B$1,D$3&lt;$B121)),-1,IF(D$3&lt;$B121,D120+D$6,IF(D$3=$B121,1,"")))</f>
        <v>-1</v>
      </c>
      <c r="E121">
        <f t="shared" si="338"/>
        <v>-1</v>
      </c>
      <c r="F121">
        <f t="shared" si="338"/>
        <v>-1</v>
      </c>
      <c r="G121">
        <f t="shared" si="338"/>
        <v>-1</v>
      </c>
      <c r="H121">
        <f t="shared" si="338"/>
        <v>-1</v>
      </c>
      <c r="I121">
        <f t="shared" si="338"/>
        <v>-1</v>
      </c>
      <c r="J121">
        <f t="shared" si="338"/>
        <v>-1</v>
      </c>
      <c r="K121">
        <f t="shared" si="338"/>
        <v>-1</v>
      </c>
      <c r="L121">
        <f t="shared" si="338"/>
        <v>-1</v>
      </c>
      <c r="M121">
        <f t="shared" si="338"/>
        <v>73.100000000000136</v>
      </c>
      <c r="N121">
        <f t="shared" si="338"/>
        <v>69.600000000000122</v>
      </c>
      <c r="O121">
        <f t="shared" si="338"/>
        <v>-1</v>
      </c>
      <c r="P121">
        <f t="shared" si="338"/>
        <v>-1</v>
      </c>
      <c r="Q121">
        <f t="shared" si="338"/>
        <v>-1</v>
      </c>
      <c r="R121">
        <f t="shared" si="338"/>
        <v>-1</v>
      </c>
      <c r="S121">
        <f t="shared" si="338"/>
        <v>-1</v>
      </c>
      <c r="T121">
        <f t="shared" si="338"/>
        <v>-1</v>
      </c>
      <c r="U121">
        <f t="shared" si="338"/>
        <v>-1</v>
      </c>
      <c r="V121">
        <f t="shared" si="338"/>
        <v>-1</v>
      </c>
      <c r="W121">
        <f t="shared" si="338"/>
        <v>-1</v>
      </c>
      <c r="X121">
        <f t="shared" si="338"/>
        <v>-1</v>
      </c>
      <c r="Y121">
        <f t="shared" si="338"/>
        <v>-1</v>
      </c>
      <c r="Z121">
        <f t="shared" si="338"/>
        <v>-1</v>
      </c>
      <c r="AA121">
        <f t="shared" si="338"/>
        <v>-1</v>
      </c>
      <c r="AB121">
        <f t="shared" si="338"/>
        <v>-1</v>
      </c>
      <c r="AC121">
        <f t="shared" si="338"/>
        <v>-1</v>
      </c>
      <c r="AD121">
        <f t="shared" si="338"/>
        <v>-1</v>
      </c>
      <c r="AE121">
        <f t="shared" si="338"/>
        <v>-1</v>
      </c>
      <c r="AF121">
        <f t="shared" si="338"/>
        <v>-1</v>
      </c>
      <c r="AG121">
        <f t="shared" si="338"/>
        <v>-1</v>
      </c>
      <c r="AH121">
        <f t="shared" si="338"/>
        <v>-1</v>
      </c>
      <c r="AI121">
        <f t="shared" si="338"/>
        <v>66.400000000000077</v>
      </c>
      <c r="AJ121">
        <f t="shared" si="338"/>
        <v>64.000000000000099</v>
      </c>
      <c r="AK121">
        <f t="shared" si="338"/>
        <v>61.600000000000101</v>
      </c>
      <c r="AL121">
        <f t="shared" si="338"/>
        <v>59.200000000000095</v>
      </c>
      <c r="AM121">
        <f t="shared" si="338"/>
        <v>-1</v>
      </c>
      <c r="AN121">
        <f t="shared" si="338"/>
        <v>-1</v>
      </c>
      <c r="AO121">
        <f t="shared" si="338"/>
        <v>-1</v>
      </c>
      <c r="AP121">
        <f t="shared" si="338"/>
        <v>-1</v>
      </c>
      <c r="AQ121">
        <f t="shared" si="338"/>
        <v>-1</v>
      </c>
      <c r="AR121">
        <f t="shared" si="338"/>
        <v>-1</v>
      </c>
      <c r="AS121">
        <f t="shared" si="338"/>
        <v>-1</v>
      </c>
      <c r="AT121">
        <f t="shared" si="338"/>
        <v>-1</v>
      </c>
      <c r="AU121">
        <f t="shared" si="338"/>
        <v>-1</v>
      </c>
      <c r="AV121">
        <f t="shared" si="338"/>
        <v>-1</v>
      </c>
      <c r="AW121">
        <f t="shared" si="338"/>
        <v>-1</v>
      </c>
      <c r="AX121">
        <f t="shared" si="338"/>
        <v>-1</v>
      </c>
      <c r="AY121">
        <f t="shared" si="338"/>
        <v>-1</v>
      </c>
      <c r="AZ121">
        <f t="shared" si="338"/>
        <v>-1</v>
      </c>
      <c r="BA121">
        <f t="shared" si="338"/>
        <v>-1</v>
      </c>
      <c r="BB121">
        <f t="shared" si="338"/>
        <v>-1</v>
      </c>
      <c r="BC121">
        <f t="shared" si="338"/>
        <v>-1</v>
      </c>
      <c r="BD121">
        <f t="shared" si="338"/>
        <v>-1</v>
      </c>
      <c r="BE121">
        <f t="shared" si="338"/>
        <v>-1</v>
      </c>
      <c r="BF121">
        <f t="shared" si="338"/>
        <v>-1</v>
      </c>
      <c r="BG121">
        <f t="shared" si="338"/>
        <v>-1</v>
      </c>
      <c r="BH121">
        <f t="shared" si="338"/>
        <v>-1</v>
      </c>
      <c r="BI121">
        <f t="shared" si="338"/>
        <v>-1</v>
      </c>
      <c r="BJ121">
        <f t="shared" si="338"/>
        <v>-1</v>
      </c>
      <c r="BK121">
        <f t="shared" si="338"/>
        <v>-1</v>
      </c>
      <c r="BL121">
        <f t="shared" si="338"/>
        <v>-1</v>
      </c>
      <c r="BM121">
        <f t="shared" si="338"/>
        <v>-1</v>
      </c>
      <c r="BN121">
        <f t="shared" si="338"/>
        <v>-1</v>
      </c>
      <c r="BO121">
        <f t="shared" si="338"/>
        <v>-1</v>
      </c>
      <c r="BP121">
        <f t="shared" ref="BP121:EA121" si="339">IF(OR(BP120=-1,AND(IF(BP$3&lt;$B121,BP120+BP$6,IF(BP$3=$B121,1,""))&gt;$B$1,BP$3&lt;$B121)),-1,IF(BP$3&lt;$B121,BP120+BP$6,IF(BP$3=$B121,1,"")))</f>
        <v>-1</v>
      </c>
      <c r="BQ121">
        <f t="shared" si="339"/>
        <v>-1</v>
      </c>
      <c r="BR121">
        <f t="shared" si="339"/>
        <v>-1</v>
      </c>
      <c r="BS121">
        <f t="shared" si="339"/>
        <v>-1</v>
      </c>
      <c r="BT121">
        <f t="shared" si="339"/>
        <v>-1</v>
      </c>
      <c r="BU121">
        <f t="shared" si="339"/>
        <v>65.200000000000088</v>
      </c>
      <c r="BV121">
        <f t="shared" si="339"/>
        <v>61.600000000000101</v>
      </c>
      <c r="BW121">
        <f t="shared" si="339"/>
        <v>58.000000000000092</v>
      </c>
      <c r="BX121">
        <f t="shared" si="339"/>
        <v>54.400000000000084</v>
      </c>
      <c r="BY121">
        <f t="shared" si="339"/>
        <v>50.800000000000075</v>
      </c>
      <c r="BZ121">
        <f t="shared" si="339"/>
        <v>47.200000000000067</v>
      </c>
      <c r="CA121">
        <f t="shared" si="339"/>
        <v>43.600000000000058</v>
      </c>
      <c r="CB121">
        <f t="shared" si="339"/>
        <v>40.00000000000005</v>
      </c>
      <c r="CC121">
        <f t="shared" si="339"/>
        <v>36.400000000000041</v>
      </c>
      <c r="CD121">
        <f t="shared" si="339"/>
        <v>32.800000000000033</v>
      </c>
      <c r="CE121">
        <f t="shared" si="339"/>
        <v>29.200000000000024</v>
      </c>
      <c r="CF121">
        <f t="shared" si="339"/>
        <v>25.600000000000016</v>
      </c>
      <c r="CG121">
        <f t="shared" si="339"/>
        <v>22.000000000000007</v>
      </c>
      <c r="CH121">
        <f t="shared" si="339"/>
        <v>18.399999999999999</v>
      </c>
      <c r="CI121">
        <f t="shared" si="339"/>
        <v>14.799999999999994</v>
      </c>
      <c r="CJ121">
        <f t="shared" si="339"/>
        <v>11.199999999999996</v>
      </c>
      <c r="CK121">
        <f t="shared" si="339"/>
        <v>7.5999999999999979</v>
      </c>
      <c r="CL121">
        <f t="shared" si="339"/>
        <v>4</v>
      </c>
      <c r="CM121" t="str">
        <f t="shared" si="339"/>
        <v/>
      </c>
      <c r="CN121" t="str">
        <f t="shared" si="339"/>
        <v/>
      </c>
      <c r="CO121">
        <f t="shared" si="339"/>
        <v>44.5</v>
      </c>
      <c r="CP121">
        <f t="shared" si="339"/>
        <v>31.5</v>
      </c>
      <c r="CQ121">
        <f t="shared" si="339"/>
        <v>-1</v>
      </c>
      <c r="CR121">
        <f t="shared" si="339"/>
        <v>-1</v>
      </c>
      <c r="CS121">
        <f t="shared" si="339"/>
        <v>-1</v>
      </c>
      <c r="CT121">
        <f t="shared" si="339"/>
        <v>-1</v>
      </c>
      <c r="CU121">
        <f t="shared" si="339"/>
        <v>-1</v>
      </c>
      <c r="CV121">
        <f t="shared" si="339"/>
        <v>-1</v>
      </c>
      <c r="CW121">
        <f t="shared" si="339"/>
        <v>-1</v>
      </c>
      <c r="CX121">
        <f t="shared" si="339"/>
        <v>-1</v>
      </c>
      <c r="CY121">
        <f t="shared" si="339"/>
        <v>-1</v>
      </c>
      <c r="CZ121">
        <f t="shared" si="339"/>
        <v>-1</v>
      </c>
      <c r="DA121">
        <f t="shared" si="339"/>
        <v>-1</v>
      </c>
      <c r="DB121">
        <f t="shared" si="339"/>
        <v>-1</v>
      </c>
      <c r="DC121">
        <f t="shared" si="339"/>
        <v>-1</v>
      </c>
      <c r="DD121">
        <f t="shared" si="339"/>
        <v>-1</v>
      </c>
      <c r="DE121">
        <f t="shared" si="339"/>
        <v>-1</v>
      </c>
      <c r="DF121">
        <f t="shared" si="339"/>
        <v>-1</v>
      </c>
      <c r="DG121">
        <f t="shared" si="339"/>
        <v>-1</v>
      </c>
      <c r="DH121">
        <f t="shared" si="339"/>
        <v>-1</v>
      </c>
      <c r="DI121">
        <f t="shared" si="339"/>
        <v>-1</v>
      </c>
      <c r="DJ121">
        <f t="shared" si="339"/>
        <v>-1</v>
      </c>
      <c r="DK121">
        <f t="shared" si="339"/>
        <v>-1</v>
      </c>
      <c r="DL121">
        <f t="shared" si="339"/>
        <v>-1</v>
      </c>
      <c r="DM121">
        <f t="shared" si="339"/>
        <v>-1</v>
      </c>
      <c r="DN121">
        <f t="shared" si="339"/>
        <v>-1</v>
      </c>
      <c r="DO121">
        <f t="shared" si="339"/>
        <v>-1</v>
      </c>
      <c r="DP121">
        <f t="shared" si="339"/>
        <v>-1</v>
      </c>
      <c r="DQ121">
        <f t="shared" si="339"/>
        <v>-1</v>
      </c>
      <c r="DR121">
        <f t="shared" si="339"/>
        <v>-1</v>
      </c>
      <c r="DS121">
        <f t="shared" si="339"/>
        <v>-1</v>
      </c>
      <c r="DT121">
        <f t="shared" si="339"/>
        <v>-1</v>
      </c>
      <c r="DU121">
        <f t="shared" si="339"/>
        <v>-1</v>
      </c>
      <c r="DV121">
        <f t="shared" si="339"/>
        <v>-1</v>
      </c>
      <c r="DW121">
        <f t="shared" si="339"/>
        <v>-1</v>
      </c>
      <c r="DX121">
        <f t="shared" si="339"/>
        <v>-1</v>
      </c>
      <c r="DY121">
        <f t="shared" si="339"/>
        <v>-1</v>
      </c>
      <c r="DZ121">
        <f t="shared" si="339"/>
        <v>-1</v>
      </c>
      <c r="EA121">
        <f t="shared" si="339"/>
        <v>-1</v>
      </c>
      <c r="EB121">
        <f t="shared" ref="EB121:EO121" si="340">IF(OR(EB120=-1,AND(IF(EB$3&lt;$B121,EB120+EB$6,IF(EB$3=$B121,1,""))&gt;$B$1,EB$3&lt;$B121)),-1,IF(EB$3&lt;$B121,EB120+EB$6,IF(EB$3=$B121,1,"")))</f>
        <v>-1</v>
      </c>
      <c r="EC121">
        <f t="shared" si="340"/>
        <v>-1</v>
      </c>
      <c r="ED121">
        <f t="shared" si="340"/>
        <v>-1</v>
      </c>
      <c r="EE121">
        <f t="shared" si="340"/>
        <v>-1</v>
      </c>
      <c r="EF121">
        <f t="shared" si="340"/>
        <v>-1</v>
      </c>
      <c r="EG121">
        <f t="shared" si="340"/>
        <v>-1</v>
      </c>
      <c r="EH121">
        <f t="shared" si="340"/>
        <v>-1</v>
      </c>
      <c r="EI121">
        <f t="shared" si="340"/>
        <v>-1</v>
      </c>
      <c r="EJ121">
        <f t="shared" si="340"/>
        <v>-1</v>
      </c>
      <c r="EK121">
        <f t="shared" si="340"/>
        <v>-1</v>
      </c>
      <c r="EL121">
        <f t="shared" si="340"/>
        <v>-1</v>
      </c>
      <c r="EM121">
        <f t="shared" si="340"/>
        <v>-1</v>
      </c>
      <c r="EN121">
        <f t="shared" si="340"/>
        <v>-1</v>
      </c>
      <c r="EO121">
        <f t="shared" si="340"/>
        <v>-1</v>
      </c>
    </row>
    <row r="122" spans="1:145" x14ac:dyDescent="0.15">
      <c r="A122" t="e">
        <f t="shared" si="193"/>
        <v>#N/A</v>
      </c>
      <c r="B122" s="218">
        <v>114</v>
      </c>
      <c r="C122">
        <f t="shared" si="193"/>
        <v>-1</v>
      </c>
      <c r="D122">
        <f t="shared" ref="D122:BO122" si="341">IF(OR(D121=-1,AND(IF(D$3&lt;$B122,D121+D$6,IF(D$3=$B122,1,""))&gt;$B$1,D$3&lt;$B122)),-1,IF(D$3&lt;$B122,D121+D$6,IF(D$3=$B122,1,"")))</f>
        <v>-1</v>
      </c>
      <c r="E122">
        <f t="shared" si="341"/>
        <v>-1</v>
      </c>
      <c r="F122">
        <f t="shared" si="341"/>
        <v>-1</v>
      </c>
      <c r="G122">
        <f t="shared" si="341"/>
        <v>-1</v>
      </c>
      <c r="H122">
        <f t="shared" si="341"/>
        <v>-1</v>
      </c>
      <c r="I122">
        <f t="shared" si="341"/>
        <v>-1</v>
      </c>
      <c r="J122">
        <f t="shared" si="341"/>
        <v>-1</v>
      </c>
      <c r="K122">
        <f t="shared" si="341"/>
        <v>-1</v>
      </c>
      <c r="L122">
        <f t="shared" si="341"/>
        <v>-1</v>
      </c>
      <c r="M122">
        <f t="shared" si="341"/>
        <v>73.800000000000139</v>
      </c>
      <c r="N122">
        <f t="shared" si="341"/>
        <v>70.300000000000125</v>
      </c>
      <c r="O122">
        <f t="shared" si="341"/>
        <v>-1</v>
      </c>
      <c r="P122">
        <f t="shared" si="341"/>
        <v>-1</v>
      </c>
      <c r="Q122">
        <f t="shared" si="341"/>
        <v>-1</v>
      </c>
      <c r="R122">
        <f t="shared" si="341"/>
        <v>-1</v>
      </c>
      <c r="S122">
        <f t="shared" si="341"/>
        <v>-1</v>
      </c>
      <c r="T122">
        <f t="shared" si="341"/>
        <v>-1</v>
      </c>
      <c r="U122">
        <f t="shared" si="341"/>
        <v>-1</v>
      </c>
      <c r="V122">
        <f t="shared" si="341"/>
        <v>-1</v>
      </c>
      <c r="W122">
        <f t="shared" si="341"/>
        <v>-1</v>
      </c>
      <c r="X122">
        <f t="shared" si="341"/>
        <v>-1</v>
      </c>
      <c r="Y122">
        <f t="shared" si="341"/>
        <v>-1</v>
      </c>
      <c r="Z122">
        <f t="shared" si="341"/>
        <v>-1</v>
      </c>
      <c r="AA122">
        <f t="shared" si="341"/>
        <v>-1</v>
      </c>
      <c r="AB122">
        <f t="shared" si="341"/>
        <v>-1</v>
      </c>
      <c r="AC122">
        <f t="shared" si="341"/>
        <v>-1</v>
      </c>
      <c r="AD122">
        <f t="shared" si="341"/>
        <v>-1</v>
      </c>
      <c r="AE122">
        <f t="shared" si="341"/>
        <v>-1</v>
      </c>
      <c r="AF122">
        <f t="shared" si="341"/>
        <v>-1</v>
      </c>
      <c r="AG122">
        <f t="shared" si="341"/>
        <v>-1</v>
      </c>
      <c r="AH122">
        <f t="shared" si="341"/>
        <v>-1</v>
      </c>
      <c r="AI122">
        <f t="shared" si="341"/>
        <v>67.000000000000071</v>
      </c>
      <c r="AJ122">
        <f t="shared" si="341"/>
        <v>64.600000000000094</v>
      </c>
      <c r="AK122">
        <f t="shared" si="341"/>
        <v>62.200000000000102</v>
      </c>
      <c r="AL122">
        <f t="shared" si="341"/>
        <v>59.800000000000097</v>
      </c>
      <c r="AM122">
        <f t="shared" si="341"/>
        <v>-1</v>
      </c>
      <c r="AN122">
        <f t="shared" si="341"/>
        <v>-1</v>
      </c>
      <c r="AO122">
        <f t="shared" si="341"/>
        <v>-1</v>
      </c>
      <c r="AP122">
        <f t="shared" si="341"/>
        <v>-1</v>
      </c>
      <c r="AQ122">
        <f t="shared" si="341"/>
        <v>-1</v>
      </c>
      <c r="AR122">
        <f t="shared" si="341"/>
        <v>-1</v>
      </c>
      <c r="AS122">
        <f t="shared" si="341"/>
        <v>-1</v>
      </c>
      <c r="AT122">
        <f t="shared" si="341"/>
        <v>-1</v>
      </c>
      <c r="AU122">
        <f t="shared" si="341"/>
        <v>-1</v>
      </c>
      <c r="AV122">
        <f t="shared" si="341"/>
        <v>-1</v>
      </c>
      <c r="AW122">
        <f t="shared" si="341"/>
        <v>-1</v>
      </c>
      <c r="AX122">
        <f t="shared" si="341"/>
        <v>-1</v>
      </c>
      <c r="AY122">
        <f t="shared" si="341"/>
        <v>-1</v>
      </c>
      <c r="AZ122">
        <f t="shared" si="341"/>
        <v>-1</v>
      </c>
      <c r="BA122">
        <f t="shared" si="341"/>
        <v>-1</v>
      </c>
      <c r="BB122">
        <f t="shared" si="341"/>
        <v>-1</v>
      </c>
      <c r="BC122">
        <f t="shared" si="341"/>
        <v>-1</v>
      </c>
      <c r="BD122">
        <f t="shared" si="341"/>
        <v>-1</v>
      </c>
      <c r="BE122">
        <f t="shared" si="341"/>
        <v>-1</v>
      </c>
      <c r="BF122">
        <f t="shared" si="341"/>
        <v>-1</v>
      </c>
      <c r="BG122">
        <f t="shared" si="341"/>
        <v>-1</v>
      </c>
      <c r="BH122">
        <f t="shared" si="341"/>
        <v>-1</v>
      </c>
      <c r="BI122">
        <f t="shared" si="341"/>
        <v>-1</v>
      </c>
      <c r="BJ122">
        <f t="shared" si="341"/>
        <v>-1</v>
      </c>
      <c r="BK122">
        <f t="shared" si="341"/>
        <v>-1</v>
      </c>
      <c r="BL122">
        <f t="shared" si="341"/>
        <v>-1</v>
      </c>
      <c r="BM122">
        <f t="shared" si="341"/>
        <v>-1</v>
      </c>
      <c r="BN122">
        <f t="shared" si="341"/>
        <v>-1</v>
      </c>
      <c r="BO122">
        <f t="shared" si="341"/>
        <v>-1</v>
      </c>
      <c r="BP122">
        <f t="shared" ref="BP122:EA122" si="342">IF(OR(BP121=-1,AND(IF(BP$3&lt;$B122,BP121+BP$6,IF(BP$3=$B122,1,""))&gt;$B$1,BP$3&lt;$B122)),-1,IF(BP$3&lt;$B122,BP121+BP$6,IF(BP$3=$B122,1,"")))</f>
        <v>-1</v>
      </c>
      <c r="BQ122">
        <f t="shared" si="342"/>
        <v>-1</v>
      </c>
      <c r="BR122">
        <f t="shared" si="342"/>
        <v>-1</v>
      </c>
      <c r="BS122">
        <f t="shared" si="342"/>
        <v>-1</v>
      </c>
      <c r="BT122">
        <f t="shared" si="342"/>
        <v>-1</v>
      </c>
      <c r="BU122">
        <f t="shared" si="342"/>
        <v>65.800000000000082</v>
      </c>
      <c r="BV122">
        <f t="shared" si="342"/>
        <v>62.200000000000102</v>
      </c>
      <c r="BW122">
        <f t="shared" si="342"/>
        <v>58.600000000000094</v>
      </c>
      <c r="BX122">
        <f t="shared" si="342"/>
        <v>55.000000000000085</v>
      </c>
      <c r="BY122">
        <f t="shared" si="342"/>
        <v>51.400000000000077</v>
      </c>
      <c r="BZ122">
        <f t="shared" si="342"/>
        <v>47.800000000000068</v>
      </c>
      <c r="CA122">
        <f t="shared" si="342"/>
        <v>44.20000000000006</v>
      </c>
      <c r="CB122">
        <f t="shared" si="342"/>
        <v>40.600000000000051</v>
      </c>
      <c r="CC122">
        <f t="shared" si="342"/>
        <v>37.000000000000043</v>
      </c>
      <c r="CD122">
        <f t="shared" si="342"/>
        <v>33.400000000000034</v>
      </c>
      <c r="CE122">
        <f t="shared" si="342"/>
        <v>29.800000000000026</v>
      </c>
      <c r="CF122">
        <f t="shared" si="342"/>
        <v>26.200000000000017</v>
      </c>
      <c r="CG122">
        <f t="shared" si="342"/>
        <v>22.600000000000009</v>
      </c>
      <c r="CH122">
        <f t="shared" si="342"/>
        <v>19</v>
      </c>
      <c r="CI122">
        <f t="shared" si="342"/>
        <v>15.399999999999993</v>
      </c>
      <c r="CJ122">
        <f t="shared" si="342"/>
        <v>11.799999999999995</v>
      </c>
      <c r="CK122">
        <f t="shared" si="342"/>
        <v>8.1999999999999975</v>
      </c>
      <c r="CL122">
        <f t="shared" si="342"/>
        <v>4.5999999999999996</v>
      </c>
      <c r="CM122">
        <f t="shared" si="342"/>
        <v>1</v>
      </c>
      <c r="CN122" t="str">
        <f t="shared" si="342"/>
        <v/>
      </c>
      <c r="CO122">
        <f t="shared" si="342"/>
        <v>45</v>
      </c>
      <c r="CP122">
        <f t="shared" si="342"/>
        <v>32</v>
      </c>
      <c r="CQ122">
        <f t="shared" si="342"/>
        <v>-1</v>
      </c>
      <c r="CR122">
        <f t="shared" si="342"/>
        <v>-1</v>
      </c>
      <c r="CS122">
        <f t="shared" si="342"/>
        <v>-1</v>
      </c>
      <c r="CT122">
        <f t="shared" si="342"/>
        <v>-1</v>
      </c>
      <c r="CU122">
        <f t="shared" si="342"/>
        <v>-1</v>
      </c>
      <c r="CV122">
        <f t="shared" si="342"/>
        <v>-1</v>
      </c>
      <c r="CW122">
        <f t="shared" si="342"/>
        <v>-1</v>
      </c>
      <c r="CX122">
        <f t="shared" si="342"/>
        <v>-1</v>
      </c>
      <c r="CY122">
        <f t="shared" si="342"/>
        <v>-1</v>
      </c>
      <c r="CZ122">
        <f t="shared" si="342"/>
        <v>-1</v>
      </c>
      <c r="DA122">
        <f t="shared" si="342"/>
        <v>-1</v>
      </c>
      <c r="DB122">
        <f t="shared" si="342"/>
        <v>-1</v>
      </c>
      <c r="DC122">
        <f t="shared" si="342"/>
        <v>-1</v>
      </c>
      <c r="DD122">
        <f t="shared" si="342"/>
        <v>-1</v>
      </c>
      <c r="DE122">
        <f t="shared" si="342"/>
        <v>-1</v>
      </c>
      <c r="DF122">
        <f t="shared" si="342"/>
        <v>-1</v>
      </c>
      <c r="DG122">
        <f t="shared" si="342"/>
        <v>-1</v>
      </c>
      <c r="DH122">
        <f t="shared" si="342"/>
        <v>-1</v>
      </c>
      <c r="DI122">
        <f t="shared" si="342"/>
        <v>-1</v>
      </c>
      <c r="DJ122">
        <f t="shared" si="342"/>
        <v>-1</v>
      </c>
      <c r="DK122">
        <f t="shared" si="342"/>
        <v>-1</v>
      </c>
      <c r="DL122">
        <f t="shared" si="342"/>
        <v>-1</v>
      </c>
      <c r="DM122">
        <f t="shared" si="342"/>
        <v>-1</v>
      </c>
      <c r="DN122">
        <f t="shared" si="342"/>
        <v>-1</v>
      </c>
      <c r="DO122">
        <f t="shared" si="342"/>
        <v>-1</v>
      </c>
      <c r="DP122">
        <f t="shared" si="342"/>
        <v>-1</v>
      </c>
      <c r="DQ122">
        <f t="shared" si="342"/>
        <v>-1</v>
      </c>
      <c r="DR122">
        <f t="shared" si="342"/>
        <v>-1</v>
      </c>
      <c r="DS122">
        <f t="shared" si="342"/>
        <v>-1</v>
      </c>
      <c r="DT122">
        <f t="shared" si="342"/>
        <v>-1</v>
      </c>
      <c r="DU122">
        <f t="shared" si="342"/>
        <v>-1</v>
      </c>
      <c r="DV122">
        <f t="shared" si="342"/>
        <v>-1</v>
      </c>
      <c r="DW122">
        <f t="shared" si="342"/>
        <v>-1</v>
      </c>
      <c r="DX122">
        <f t="shared" si="342"/>
        <v>-1</v>
      </c>
      <c r="DY122">
        <f t="shared" si="342"/>
        <v>-1</v>
      </c>
      <c r="DZ122">
        <f t="shared" si="342"/>
        <v>-1</v>
      </c>
      <c r="EA122">
        <f t="shared" si="342"/>
        <v>-1</v>
      </c>
      <c r="EB122">
        <f t="shared" ref="EB122:EO122" si="343">IF(OR(EB121=-1,AND(IF(EB$3&lt;$B122,EB121+EB$6,IF(EB$3=$B122,1,""))&gt;$B$1,EB$3&lt;$B122)),-1,IF(EB$3&lt;$B122,EB121+EB$6,IF(EB$3=$B122,1,"")))</f>
        <v>-1</v>
      </c>
      <c r="EC122">
        <f t="shared" si="343"/>
        <v>-1</v>
      </c>
      <c r="ED122">
        <f t="shared" si="343"/>
        <v>-1</v>
      </c>
      <c r="EE122">
        <f t="shared" si="343"/>
        <v>-1</v>
      </c>
      <c r="EF122">
        <f t="shared" si="343"/>
        <v>-1</v>
      </c>
      <c r="EG122">
        <f t="shared" si="343"/>
        <v>-1</v>
      </c>
      <c r="EH122">
        <f t="shared" si="343"/>
        <v>-1</v>
      </c>
      <c r="EI122">
        <f t="shared" si="343"/>
        <v>-1</v>
      </c>
      <c r="EJ122">
        <f t="shared" si="343"/>
        <v>-1</v>
      </c>
      <c r="EK122">
        <f t="shared" si="343"/>
        <v>-1</v>
      </c>
      <c r="EL122">
        <f t="shared" si="343"/>
        <v>-1</v>
      </c>
      <c r="EM122">
        <f t="shared" si="343"/>
        <v>-1</v>
      </c>
      <c r="EN122">
        <f t="shared" si="343"/>
        <v>-1</v>
      </c>
      <c r="EO122">
        <f t="shared" si="343"/>
        <v>-1</v>
      </c>
    </row>
    <row r="123" spans="1:145" x14ac:dyDescent="0.15">
      <c r="A123" t="e">
        <f t="shared" si="193"/>
        <v>#N/A</v>
      </c>
      <c r="B123" s="218">
        <v>115</v>
      </c>
      <c r="C123">
        <f t="shared" si="193"/>
        <v>-1</v>
      </c>
      <c r="D123">
        <f t="shared" ref="D123:BO123" si="344">IF(OR(D122=-1,AND(IF(D$3&lt;$B123,D122+D$6,IF(D$3=$B123,1,""))&gt;$B$1,D$3&lt;$B123)),-1,IF(D$3&lt;$B123,D122+D$6,IF(D$3=$B123,1,"")))</f>
        <v>-1</v>
      </c>
      <c r="E123">
        <f t="shared" si="344"/>
        <v>-1</v>
      </c>
      <c r="F123">
        <f t="shared" si="344"/>
        <v>-1</v>
      </c>
      <c r="G123">
        <f t="shared" si="344"/>
        <v>-1</v>
      </c>
      <c r="H123">
        <f t="shared" si="344"/>
        <v>-1</v>
      </c>
      <c r="I123">
        <f t="shared" si="344"/>
        <v>-1</v>
      </c>
      <c r="J123">
        <f t="shared" si="344"/>
        <v>-1</v>
      </c>
      <c r="K123">
        <f t="shared" si="344"/>
        <v>-1</v>
      </c>
      <c r="L123">
        <f t="shared" si="344"/>
        <v>-1</v>
      </c>
      <c r="M123">
        <f t="shared" si="344"/>
        <v>74.500000000000142</v>
      </c>
      <c r="N123">
        <f t="shared" si="344"/>
        <v>71.000000000000128</v>
      </c>
      <c r="O123">
        <f t="shared" si="344"/>
        <v>-1</v>
      </c>
      <c r="P123">
        <f t="shared" si="344"/>
        <v>-1</v>
      </c>
      <c r="Q123">
        <f t="shared" si="344"/>
        <v>-1</v>
      </c>
      <c r="R123">
        <f t="shared" si="344"/>
        <v>-1</v>
      </c>
      <c r="S123">
        <f t="shared" si="344"/>
        <v>-1</v>
      </c>
      <c r="T123">
        <f t="shared" si="344"/>
        <v>-1</v>
      </c>
      <c r="U123">
        <f t="shared" si="344"/>
        <v>-1</v>
      </c>
      <c r="V123">
        <f t="shared" si="344"/>
        <v>-1</v>
      </c>
      <c r="W123">
        <f t="shared" si="344"/>
        <v>-1</v>
      </c>
      <c r="X123">
        <f t="shared" si="344"/>
        <v>-1</v>
      </c>
      <c r="Y123">
        <f t="shared" si="344"/>
        <v>-1</v>
      </c>
      <c r="Z123">
        <f t="shared" si="344"/>
        <v>-1</v>
      </c>
      <c r="AA123">
        <f t="shared" si="344"/>
        <v>-1</v>
      </c>
      <c r="AB123">
        <f t="shared" si="344"/>
        <v>-1</v>
      </c>
      <c r="AC123">
        <f t="shared" si="344"/>
        <v>-1</v>
      </c>
      <c r="AD123">
        <f t="shared" si="344"/>
        <v>-1</v>
      </c>
      <c r="AE123">
        <f t="shared" si="344"/>
        <v>-1</v>
      </c>
      <c r="AF123">
        <f t="shared" si="344"/>
        <v>-1</v>
      </c>
      <c r="AG123">
        <f t="shared" si="344"/>
        <v>-1</v>
      </c>
      <c r="AH123">
        <f t="shared" si="344"/>
        <v>-1</v>
      </c>
      <c r="AI123">
        <f t="shared" si="344"/>
        <v>67.600000000000065</v>
      </c>
      <c r="AJ123">
        <f t="shared" si="344"/>
        <v>65.200000000000088</v>
      </c>
      <c r="AK123">
        <f t="shared" si="344"/>
        <v>62.800000000000104</v>
      </c>
      <c r="AL123">
        <f t="shared" si="344"/>
        <v>60.400000000000098</v>
      </c>
      <c r="AM123">
        <f t="shared" si="344"/>
        <v>-1</v>
      </c>
      <c r="AN123">
        <f t="shared" si="344"/>
        <v>-1</v>
      </c>
      <c r="AO123">
        <f t="shared" si="344"/>
        <v>-1</v>
      </c>
      <c r="AP123">
        <f t="shared" si="344"/>
        <v>-1</v>
      </c>
      <c r="AQ123">
        <f t="shared" si="344"/>
        <v>-1</v>
      </c>
      <c r="AR123">
        <f t="shared" si="344"/>
        <v>-1</v>
      </c>
      <c r="AS123">
        <f t="shared" si="344"/>
        <v>-1</v>
      </c>
      <c r="AT123">
        <f t="shared" si="344"/>
        <v>-1</v>
      </c>
      <c r="AU123">
        <f t="shared" si="344"/>
        <v>-1</v>
      </c>
      <c r="AV123">
        <f t="shared" si="344"/>
        <v>-1</v>
      </c>
      <c r="AW123">
        <f t="shared" si="344"/>
        <v>-1</v>
      </c>
      <c r="AX123">
        <f t="shared" si="344"/>
        <v>-1</v>
      </c>
      <c r="AY123">
        <f t="shared" si="344"/>
        <v>-1</v>
      </c>
      <c r="AZ123">
        <f t="shared" si="344"/>
        <v>-1</v>
      </c>
      <c r="BA123">
        <f t="shared" si="344"/>
        <v>-1</v>
      </c>
      <c r="BB123">
        <f t="shared" si="344"/>
        <v>-1</v>
      </c>
      <c r="BC123">
        <f t="shared" si="344"/>
        <v>-1</v>
      </c>
      <c r="BD123">
        <f t="shared" si="344"/>
        <v>-1</v>
      </c>
      <c r="BE123">
        <f t="shared" si="344"/>
        <v>-1</v>
      </c>
      <c r="BF123">
        <f t="shared" si="344"/>
        <v>-1</v>
      </c>
      <c r="BG123">
        <f t="shared" si="344"/>
        <v>-1</v>
      </c>
      <c r="BH123">
        <f t="shared" si="344"/>
        <v>-1</v>
      </c>
      <c r="BI123">
        <f t="shared" si="344"/>
        <v>-1</v>
      </c>
      <c r="BJ123">
        <f t="shared" si="344"/>
        <v>-1</v>
      </c>
      <c r="BK123">
        <f t="shared" si="344"/>
        <v>-1</v>
      </c>
      <c r="BL123">
        <f t="shared" si="344"/>
        <v>-1</v>
      </c>
      <c r="BM123">
        <f t="shared" si="344"/>
        <v>-1</v>
      </c>
      <c r="BN123">
        <f t="shared" si="344"/>
        <v>-1</v>
      </c>
      <c r="BO123">
        <f t="shared" si="344"/>
        <v>-1</v>
      </c>
      <c r="BP123">
        <f t="shared" ref="BP123:EA123" si="345">IF(OR(BP122=-1,AND(IF(BP$3&lt;$B123,BP122+BP$6,IF(BP$3=$B123,1,""))&gt;$B$1,BP$3&lt;$B123)),-1,IF(BP$3&lt;$B123,BP122+BP$6,IF(BP$3=$B123,1,"")))</f>
        <v>-1</v>
      </c>
      <c r="BQ123">
        <f t="shared" si="345"/>
        <v>-1</v>
      </c>
      <c r="BR123">
        <f t="shared" si="345"/>
        <v>-1</v>
      </c>
      <c r="BS123">
        <f t="shared" si="345"/>
        <v>-1</v>
      </c>
      <c r="BT123">
        <f t="shared" si="345"/>
        <v>-1</v>
      </c>
      <c r="BU123">
        <f t="shared" si="345"/>
        <v>66.400000000000077</v>
      </c>
      <c r="BV123">
        <f t="shared" si="345"/>
        <v>62.800000000000104</v>
      </c>
      <c r="BW123">
        <f t="shared" si="345"/>
        <v>59.200000000000095</v>
      </c>
      <c r="BX123">
        <f t="shared" si="345"/>
        <v>55.600000000000087</v>
      </c>
      <c r="BY123">
        <f t="shared" si="345"/>
        <v>52.000000000000078</v>
      </c>
      <c r="BZ123">
        <f t="shared" si="345"/>
        <v>48.40000000000007</v>
      </c>
      <c r="CA123">
        <f t="shared" si="345"/>
        <v>44.800000000000061</v>
      </c>
      <c r="CB123">
        <f t="shared" si="345"/>
        <v>41.200000000000053</v>
      </c>
      <c r="CC123">
        <f t="shared" si="345"/>
        <v>37.600000000000044</v>
      </c>
      <c r="CD123">
        <f t="shared" si="345"/>
        <v>34.000000000000036</v>
      </c>
      <c r="CE123">
        <f t="shared" si="345"/>
        <v>30.400000000000027</v>
      </c>
      <c r="CF123">
        <f t="shared" si="345"/>
        <v>26.800000000000018</v>
      </c>
      <c r="CG123">
        <f t="shared" si="345"/>
        <v>23.20000000000001</v>
      </c>
      <c r="CH123">
        <f t="shared" si="345"/>
        <v>19.600000000000001</v>
      </c>
      <c r="CI123">
        <f t="shared" si="345"/>
        <v>15.999999999999993</v>
      </c>
      <c r="CJ123">
        <f t="shared" si="345"/>
        <v>12.399999999999995</v>
      </c>
      <c r="CK123">
        <f t="shared" si="345"/>
        <v>8.7999999999999972</v>
      </c>
      <c r="CL123">
        <f t="shared" si="345"/>
        <v>5.1999999999999993</v>
      </c>
      <c r="CM123">
        <f t="shared" si="345"/>
        <v>1.6</v>
      </c>
      <c r="CN123" t="str">
        <f t="shared" si="345"/>
        <v/>
      </c>
      <c r="CO123">
        <f t="shared" si="345"/>
        <v>45.5</v>
      </c>
      <c r="CP123">
        <f t="shared" si="345"/>
        <v>32.5</v>
      </c>
      <c r="CQ123">
        <f t="shared" si="345"/>
        <v>-1</v>
      </c>
      <c r="CR123">
        <f t="shared" si="345"/>
        <v>-1</v>
      </c>
      <c r="CS123">
        <f t="shared" si="345"/>
        <v>-1</v>
      </c>
      <c r="CT123">
        <f t="shared" si="345"/>
        <v>-1</v>
      </c>
      <c r="CU123">
        <f t="shared" si="345"/>
        <v>-1</v>
      </c>
      <c r="CV123">
        <f t="shared" si="345"/>
        <v>-1</v>
      </c>
      <c r="CW123">
        <f t="shared" si="345"/>
        <v>-1</v>
      </c>
      <c r="CX123">
        <f t="shared" si="345"/>
        <v>-1</v>
      </c>
      <c r="CY123">
        <f t="shared" si="345"/>
        <v>-1</v>
      </c>
      <c r="CZ123">
        <f t="shared" si="345"/>
        <v>-1</v>
      </c>
      <c r="DA123">
        <f t="shared" si="345"/>
        <v>-1</v>
      </c>
      <c r="DB123">
        <f t="shared" si="345"/>
        <v>-1</v>
      </c>
      <c r="DC123">
        <f t="shared" si="345"/>
        <v>-1</v>
      </c>
      <c r="DD123">
        <f t="shared" si="345"/>
        <v>-1</v>
      </c>
      <c r="DE123">
        <f t="shared" si="345"/>
        <v>-1</v>
      </c>
      <c r="DF123">
        <f t="shared" si="345"/>
        <v>-1</v>
      </c>
      <c r="DG123">
        <f t="shared" si="345"/>
        <v>-1</v>
      </c>
      <c r="DH123">
        <f t="shared" si="345"/>
        <v>-1</v>
      </c>
      <c r="DI123">
        <f t="shared" si="345"/>
        <v>-1</v>
      </c>
      <c r="DJ123">
        <f t="shared" si="345"/>
        <v>-1</v>
      </c>
      <c r="DK123">
        <f t="shared" si="345"/>
        <v>-1</v>
      </c>
      <c r="DL123">
        <f t="shared" si="345"/>
        <v>-1</v>
      </c>
      <c r="DM123">
        <f t="shared" si="345"/>
        <v>-1</v>
      </c>
      <c r="DN123">
        <f t="shared" si="345"/>
        <v>-1</v>
      </c>
      <c r="DO123">
        <f t="shared" si="345"/>
        <v>-1</v>
      </c>
      <c r="DP123">
        <f t="shared" si="345"/>
        <v>-1</v>
      </c>
      <c r="DQ123">
        <f t="shared" si="345"/>
        <v>-1</v>
      </c>
      <c r="DR123">
        <f t="shared" si="345"/>
        <v>-1</v>
      </c>
      <c r="DS123">
        <f t="shared" si="345"/>
        <v>-1</v>
      </c>
      <c r="DT123">
        <f t="shared" si="345"/>
        <v>-1</v>
      </c>
      <c r="DU123">
        <f t="shared" si="345"/>
        <v>-1</v>
      </c>
      <c r="DV123">
        <f t="shared" si="345"/>
        <v>-1</v>
      </c>
      <c r="DW123">
        <f t="shared" si="345"/>
        <v>-1</v>
      </c>
      <c r="DX123">
        <f t="shared" si="345"/>
        <v>-1</v>
      </c>
      <c r="DY123">
        <f t="shared" si="345"/>
        <v>-1</v>
      </c>
      <c r="DZ123">
        <f t="shared" si="345"/>
        <v>-1</v>
      </c>
      <c r="EA123">
        <f t="shared" si="345"/>
        <v>-1</v>
      </c>
      <c r="EB123">
        <f t="shared" ref="EB123:EO123" si="346">IF(OR(EB122=-1,AND(IF(EB$3&lt;$B123,EB122+EB$6,IF(EB$3=$B123,1,""))&gt;$B$1,EB$3&lt;$B123)),-1,IF(EB$3&lt;$B123,EB122+EB$6,IF(EB$3=$B123,1,"")))</f>
        <v>-1</v>
      </c>
      <c r="EC123">
        <f t="shared" si="346"/>
        <v>-1</v>
      </c>
      <c r="ED123">
        <f t="shared" si="346"/>
        <v>-1</v>
      </c>
      <c r="EE123">
        <f t="shared" si="346"/>
        <v>-1</v>
      </c>
      <c r="EF123">
        <f t="shared" si="346"/>
        <v>-1</v>
      </c>
      <c r="EG123">
        <f t="shared" si="346"/>
        <v>-1</v>
      </c>
      <c r="EH123">
        <f t="shared" si="346"/>
        <v>-1</v>
      </c>
      <c r="EI123">
        <f t="shared" si="346"/>
        <v>-1</v>
      </c>
      <c r="EJ123">
        <f t="shared" si="346"/>
        <v>-1</v>
      </c>
      <c r="EK123">
        <f t="shared" si="346"/>
        <v>-1</v>
      </c>
      <c r="EL123">
        <f t="shared" si="346"/>
        <v>-1</v>
      </c>
      <c r="EM123">
        <f t="shared" si="346"/>
        <v>-1</v>
      </c>
      <c r="EN123">
        <f t="shared" si="346"/>
        <v>-1</v>
      </c>
      <c r="EO123">
        <f t="shared" si="346"/>
        <v>-1</v>
      </c>
    </row>
    <row r="124" spans="1:145" x14ac:dyDescent="0.15">
      <c r="A124" t="e">
        <f t="shared" si="193"/>
        <v>#N/A</v>
      </c>
      <c r="B124" s="218">
        <v>116</v>
      </c>
      <c r="C124">
        <f t="shared" si="193"/>
        <v>-1</v>
      </c>
      <c r="D124">
        <f t="shared" ref="D124:BO124" si="347">IF(OR(D123=-1,AND(IF(D$3&lt;$B124,D123+D$6,IF(D$3=$B124,1,""))&gt;$B$1,D$3&lt;$B124)),-1,IF(D$3&lt;$B124,D123+D$6,IF(D$3=$B124,1,"")))</f>
        <v>-1</v>
      </c>
      <c r="E124">
        <f t="shared" si="347"/>
        <v>-1</v>
      </c>
      <c r="F124">
        <f t="shared" si="347"/>
        <v>-1</v>
      </c>
      <c r="G124">
        <f t="shared" si="347"/>
        <v>-1</v>
      </c>
      <c r="H124">
        <f t="shared" si="347"/>
        <v>-1</v>
      </c>
      <c r="I124">
        <f t="shared" si="347"/>
        <v>-1</v>
      </c>
      <c r="J124">
        <f t="shared" si="347"/>
        <v>-1</v>
      </c>
      <c r="K124">
        <f t="shared" si="347"/>
        <v>-1</v>
      </c>
      <c r="L124">
        <f t="shared" si="347"/>
        <v>-1</v>
      </c>
      <c r="M124">
        <f t="shared" si="347"/>
        <v>-1</v>
      </c>
      <c r="N124">
        <f t="shared" si="347"/>
        <v>71.700000000000131</v>
      </c>
      <c r="O124">
        <f t="shared" si="347"/>
        <v>-1</v>
      </c>
      <c r="P124">
        <f t="shared" si="347"/>
        <v>-1</v>
      </c>
      <c r="Q124">
        <f t="shared" si="347"/>
        <v>-1</v>
      </c>
      <c r="R124">
        <f t="shared" si="347"/>
        <v>-1</v>
      </c>
      <c r="S124">
        <f t="shared" si="347"/>
        <v>-1</v>
      </c>
      <c r="T124">
        <f t="shared" si="347"/>
        <v>-1</v>
      </c>
      <c r="U124">
        <f t="shared" si="347"/>
        <v>-1</v>
      </c>
      <c r="V124">
        <f t="shared" si="347"/>
        <v>-1</v>
      </c>
      <c r="W124">
        <f t="shared" si="347"/>
        <v>-1</v>
      </c>
      <c r="X124">
        <f t="shared" si="347"/>
        <v>-1</v>
      </c>
      <c r="Y124">
        <f t="shared" si="347"/>
        <v>-1</v>
      </c>
      <c r="Z124">
        <f t="shared" si="347"/>
        <v>-1</v>
      </c>
      <c r="AA124">
        <f t="shared" si="347"/>
        <v>-1</v>
      </c>
      <c r="AB124">
        <f t="shared" si="347"/>
        <v>-1</v>
      </c>
      <c r="AC124">
        <f t="shared" si="347"/>
        <v>-1</v>
      </c>
      <c r="AD124">
        <f t="shared" si="347"/>
        <v>-1</v>
      </c>
      <c r="AE124">
        <f t="shared" si="347"/>
        <v>-1</v>
      </c>
      <c r="AF124">
        <f t="shared" si="347"/>
        <v>-1</v>
      </c>
      <c r="AG124">
        <f t="shared" si="347"/>
        <v>-1</v>
      </c>
      <c r="AH124">
        <f t="shared" si="347"/>
        <v>-1</v>
      </c>
      <c r="AI124">
        <f t="shared" si="347"/>
        <v>68.20000000000006</v>
      </c>
      <c r="AJ124">
        <f t="shared" si="347"/>
        <v>65.800000000000082</v>
      </c>
      <c r="AK124">
        <f t="shared" si="347"/>
        <v>63.400000000000105</v>
      </c>
      <c r="AL124">
        <f t="shared" si="347"/>
        <v>61.000000000000099</v>
      </c>
      <c r="AM124">
        <f t="shared" si="347"/>
        <v>-1</v>
      </c>
      <c r="AN124">
        <f t="shared" si="347"/>
        <v>-1</v>
      </c>
      <c r="AO124">
        <f t="shared" si="347"/>
        <v>-1</v>
      </c>
      <c r="AP124">
        <f t="shared" si="347"/>
        <v>-1</v>
      </c>
      <c r="AQ124">
        <f t="shared" si="347"/>
        <v>-1</v>
      </c>
      <c r="AR124">
        <f t="shared" si="347"/>
        <v>-1</v>
      </c>
      <c r="AS124">
        <f t="shared" si="347"/>
        <v>-1</v>
      </c>
      <c r="AT124">
        <f t="shared" si="347"/>
        <v>-1</v>
      </c>
      <c r="AU124">
        <f t="shared" si="347"/>
        <v>-1</v>
      </c>
      <c r="AV124">
        <f t="shared" si="347"/>
        <v>-1</v>
      </c>
      <c r="AW124">
        <f t="shared" si="347"/>
        <v>-1</v>
      </c>
      <c r="AX124">
        <f t="shared" si="347"/>
        <v>-1</v>
      </c>
      <c r="AY124">
        <f t="shared" si="347"/>
        <v>-1</v>
      </c>
      <c r="AZ124">
        <f t="shared" si="347"/>
        <v>-1</v>
      </c>
      <c r="BA124">
        <f t="shared" si="347"/>
        <v>-1</v>
      </c>
      <c r="BB124">
        <f t="shared" si="347"/>
        <v>-1</v>
      </c>
      <c r="BC124">
        <f t="shared" si="347"/>
        <v>-1</v>
      </c>
      <c r="BD124">
        <f t="shared" si="347"/>
        <v>-1</v>
      </c>
      <c r="BE124">
        <f t="shared" si="347"/>
        <v>-1</v>
      </c>
      <c r="BF124">
        <f t="shared" si="347"/>
        <v>-1</v>
      </c>
      <c r="BG124">
        <f t="shared" si="347"/>
        <v>-1</v>
      </c>
      <c r="BH124">
        <f t="shared" si="347"/>
        <v>-1</v>
      </c>
      <c r="BI124">
        <f t="shared" si="347"/>
        <v>-1</v>
      </c>
      <c r="BJ124">
        <f t="shared" si="347"/>
        <v>-1</v>
      </c>
      <c r="BK124">
        <f t="shared" si="347"/>
        <v>-1</v>
      </c>
      <c r="BL124">
        <f t="shared" si="347"/>
        <v>-1</v>
      </c>
      <c r="BM124">
        <f t="shared" si="347"/>
        <v>-1</v>
      </c>
      <c r="BN124">
        <f t="shared" si="347"/>
        <v>-1</v>
      </c>
      <c r="BO124">
        <f t="shared" si="347"/>
        <v>-1</v>
      </c>
      <c r="BP124">
        <f t="shared" ref="BP124:EA124" si="348">IF(OR(BP123=-1,AND(IF(BP$3&lt;$B124,BP123+BP$6,IF(BP$3=$B124,1,""))&gt;$B$1,BP$3&lt;$B124)),-1,IF(BP$3&lt;$B124,BP123+BP$6,IF(BP$3=$B124,1,"")))</f>
        <v>-1</v>
      </c>
      <c r="BQ124">
        <f t="shared" si="348"/>
        <v>-1</v>
      </c>
      <c r="BR124">
        <f t="shared" si="348"/>
        <v>-1</v>
      </c>
      <c r="BS124">
        <f t="shared" si="348"/>
        <v>-1</v>
      </c>
      <c r="BT124">
        <f t="shared" si="348"/>
        <v>-1</v>
      </c>
      <c r="BU124">
        <f t="shared" si="348"/>
        <v>67.000000000000071</v>
      </c>
      <c r="BV124">
        <f t="shared" si="348"/>
        <v>63.400000000000105</v>
      </c>
      <c r="BW124">
        <f t="shared" si="348"/>
        <v>59.800000000000097</v>
      </c>
      <c r="BX124">
        <f t="shared" si="348"/>
        <v>56.200000000000088</v>
      </c>
      <c r="BY124">
        <f t="shared" si="348"/>
        <v>52.60000000000008</v>
      </c>
      <c r="BZ124">
        <f t="shared" si="348"/>
        <v>49.000000000000071</v>
      </c>
      <c r="CA124">
        <f t="shared" si="348"/>
        <v>45.400000000000063</v>
      </c>
      <c r="CB124">
        <f t="shared" si="348"/>
        <v>41.800000000000054</v>
      </c>
      <c r="CC124">
        <f t="shared" si="348"/>
        <v>38.200000000000045</v>
      </c>
      <c r="CD124">
        <f t="shared" si="348"/>
        <v>34.600000000000037</v>
      </c>
      <c r="CE124">
        <f t="shared" si="348"/>
        <v>31.000000000000028</v>
      </c>
      <c r="CF124">
        <f t="shared" si="348"/>
        <v>27.40000000000002</v>
      </c>
      <c r="CG124">
        <f t="shared" si="348"/>
        <v>23.800000000000011</v>
      </c>
      <c r="CH124">
        <f t="shared" si="348"/>
        <v>20.200000000000003</v>
      </c>
      <c r="CI124">
        <f t="shared" si="348"/>
        <v>16.599999999999994</v>
      </c>
      <c r="CJ124">
        <f t="shared" si="348"/>
        <v>12.999999999999995</v>
      </c>
      <c r="CK124">
        <f t="shared" si="348"/>
        <v>9.3999999999999968</v>
      </c>
      <c r="CL124">
        <f t="shared" si="348"/>
        <v>5.7999999999999989</v>
      </c>
      <c r="CM124">
        <f t="shared" si="348"/>
        <v>2.2000000000000002</v>
      </c>
      <c r="CN124" t="str">
        <f t="shared" si="348"/>
        <v/>
      </c>
      <c r="CO124">
        <f t="shared" si="348"/>
        <v>46</v>
      </c>
      <c r="CP124">
        <f t="shared" si="348"/>
        <v>33</v>
      </c>
      <c r="CQ124">
        <f t="shared" si="348"/>
        <v>-1</v>
      </c>
      <c r="CR124">
        <f t="shared" si="348"/>
        <v>-1</v>
      </c>
      <c r="CS124">
        <f t="shared" si="348"/>
        <v>-1</v>
      </c>
      <c r="CT124">
        <f t="shared" si="348"/>
        <v>-1</v>
      </c>
      <c r="CU124">
        <f t="shared" si="348"/>
        <v>-1</v>
      </c>
      <c r="CV124">
        <f t="shared" si="348"/>
        <v>-1</v>
      </c>
      <c r="CW124">
        <f t="shared" si="348"/>
        <v>-1</v>
      </c>
      <c r="CX124">
        <f t="shared" si="348"/>
        <v>-1</v>
      </c>
      <c r="CY124">
        <f t="shared" si="348"/>
        <v>-1</v>
      </c>
      <c r="CZ124">
        <f t="shared" si="348"/>
        <v>-1</v>
      </c>
      <c r="DA124">
        <f t="shared" si="348"/>
        <v>-1</v>
      </c>
      <c r="DB124">
        <f t="shared" si="348"/>
        <v>-1</v>
      </c>
      <c r="DC124">
        <f t="shared" si="348"/>
        <v>-1</v>
      </c>
      <c r="DD124">
        <f t="shared" si="348"/>
        <v>-1</v>
      </c>
      <c r="DE124">
        <f t="shared" si="348"/>
        <v>-1</v>
      </c>
      <c r="DF124">
        <f t="shared" si="348"/>
        <v>-1</v>
      </c>
      <c r="DG124">
        <f t="shared" si="348"/>
        <v>-1</v>
      </c>
      <c r="DH124">
        <f t="shared" si="348"/>
        <v>-1</v>
      </c>
      <c r="DI124">
        <f t="shared" si="348"/>
        <v>-1</v>
      </c>
      <c r="DJ124">
        <f t="shared" si="348"/>
        <v>-1</v>
      </c>
      <c r="DK124">
        <f t="shared" si="348"/>
        <v>-1</v>
      </c>
      <c r="DL124">
        <f t="shared" si="348"/>
        <v>-1</v>
      </c>
      <c r="DM124">
        <f t="shared" si="348"/>
        <v>-1</v>
      </c>
      <c r="DN124">
        <f t="shared" si="348"/>
        <v>-1</v>
      </c>
      <c r="DO124">
        <f t="shared" si="348"/>
        <v>-1</v>
      </c>
      <c r="DP124">
        <f t="shared" si="348"/>
        <v>-1</v>
      </c>
      <c r="DQ124">
        <f t="shared" si="348"/>
        <v>-1</v>
      </c>
      <c r="DR124">
        <f t="shared" si="348"/>
        <v>-1</v>
      </c>
      <c r="DS124">
        <f t="shared" si="348"/>
        <v>-1</v>
      </c>
      <c r="DT124">
        <f t="shared" si="348"/>
        <v>-1</v>
      </c>
      <c r="DU124">
        <f t="shared" si="348"/>
        <v>-1</v>
      </c>
      <c r="DV124">
        <f t="shared" si="348"/>
        <v>-1</v>
      </c>
      <c r="DW124">
        <f t="shared" si="348"/>
        <v>-1</v>
      </c>
      <c r="DX124">
        <f t="shared" si="348"/>
        <v>-1</v>
      </c>
      <c r="DY124">
        <f t="shared" si="348"/>
        <v>-1</v>
      </c>
      <c r="DZ124">
        <f t="shared" si="348"/>
        <v>-1</v>
      </c>
      <c r="EA124">
        <f t="shared" si="348"/>
        <v>-1</v>
      </c>
      <c r="EB124">
        <f t="shared" ref="EB124:EO124" si="349">IF(OR(EB123=-1,AND(IF(EB$3&lt;$B124,EB123+EB$6,IF(EB$3=$B124,1,""))&gt;$B$1,EB$3&lt;$B124)),-1,IF(EB$3&lt;$B124,EB123+EB$6,IF(EB$3=$B124,1,"")))</f>
        <v>-1</v>
      </c>
      <c r="EC124">
        <f t="shared" si="349"/>
        <v>-1</v>
      </c>
      <c r="ED124">
        <f t="shared" si="349"/>
        <v>-1</v>
      </c>
      <c r="EE124">
        <f t="shared" si="349"/>
        <v>-1</v>
      </c>
      <c r="EF124">
        <f t="shared" si="349"/>
        <v>-1</v>
      </c>
      <c r="EG124">
        <f t="shared" si="349"/>
        <v>-1</v>
      </c>
      <c r="EH124">
        <f t="shared" si="349"/>
        <v>-1</v>
      </c>
      <c r="EI124">
        <f t="shared" si="349"/>
        <v>-1</v>
      </c>
      <c r="EJ124">
        <f t="shared" si="349"/>
        <v>-1</v>
      </c>
      <c r="EK124">
        <f t="shared" si="349"/>
        <v>-1</v>
      </c>
      <c r="EL124">
        <f t="shared" si="349"/>
        <v>-1</v>
      </c>
      <c r="EM124">
        <f t="shared" si="349"/>
        <v>-1</v>
      </c>
      <c r="EN124">
        <f t="shared" si="349"/>
        <v>-1</v>
      </c>
      <c r="EO124">
        <f t="shared" si="349"/>
        <v>-1</v>
      </c>
    </row>
    <row r="125" spans="1:145" x14ac:dyDescent="0.15">
      <c r="A125" t="e">
        <f t="shared" si="193"/>
        <v>#N/A</v>
      </c>
      <c r="B125" s="218">
        <v>117</v>
      </c>
      <c r="C125">
        <f t="shared" si="193"/>
        <v>-1</v>
      </c>
      <c r="D125">
        <f t="shared" ref="D125:BO125" si="350">IF(OR(D124=-1,AND(IF(D$3&lt;$B125,D124+D$6,IF(D$3=$B125,1,""))&gt;$B$1,D$3&lt;$B125)),-1,IF(D$3&lt;$B125,D124+D$6,IF(D$3=$B125,1,"")))</f>
        <v>-1</v>
      </c>
      <c r="E125">
        <f t="shared" si="350"/>
        <v>-1</v>
      </c>
      <c r="F125">
        <f t="shared" si="350"/>
        <v>-1</v>
      </c>
      <c r="G125">
        <f t="shared" si="350"/>
        <v>-1</v>
      </c>
      <c r="H125">
        <f t="shared" si="350"/>
        <v>-1</v>
      </c>
      <c r="I125">
        <f t="shared" si="350"/>
        <v>-1</v>
      </c>
      <c r="J125">
        <f t="shared" si="350"/>
        <v>-1</v>
      </c>
      <c r="K125">
        <f t="shared" si="350"/>
        <v>-1</v>
      </c>
      <c r="L125">
        <f t="shared" si="350"/>
        <v>-1</v>
      </c>
      <c r="M125">
        <f t="shared" si="350"/>
        <v>-1</v>
      </c>
      <c r="N125">
        <f t="shared" si="350"/>
        <v>72.400000000000134</v>
      </c>
      <c r="O125">
        <f t="shared" si="350"/>
        <v>-1</v>
      </c>
      <c r="P125">
        <f t="shared" si="350"/>
        <v>-1</v>
      </c>
      <c r="Q125">
        <f t="shared" si="350"/>
        <v>-1</v>
      </c>
      <c r="R125">
        <f t="shared" si="350"/>
        <v>-1</v>
      </c>
      <c r="S125">
        <f t="shared" si="350"/>
        <v>-1</v>
      </c>
      <c r="T125">
        <f t="shared" si="350"/>
        <v>-1</v>
      </c>
      <c r="U125">
        <f t="shared" si="350"/>
        <v>-1</v>
      </c>
      <c r="V125">
        <f t="shared" si="350"/>
        <v>-1</v>
      </c>
      <c r="W125">
        <f t="shared" si="350"/>
        <v>-1</v>
      </c>
      <c r="X125">
        <f t="shared" si="350"/>
        <v>-1</v>
      </c>
      <c r="Y125">
        <f t="shared" si="350"/>
        <v>-1</v>
      </c>
      <c r="Z125">
        <f t="shared" si="350"/>
        <v>-1</v>
      </c>
      <c r="AA125">
        <f t="shared" si="350"/>
        <v>-1</v>
      </c>
      <c r="AB125">
        <f t="shared" si="350"/>
        <v>-1</v>
      </c>
      <c r="AC125">
        <f t="shared" si="350"/>
        <v>-1</v>
      </c>
      <c r="AD125">
        <f t="shared" si="350"/>
        <v>-1</v>
      </c>
      <c r="AE125">
        <f t="shared" si="350"/>
        <v>-1</v>
      </c>
      <c r="AF125">
        <f t="shared" si="350"/>
        <v>-1</v>
      </c>
      <c r="AG125">
        <f t="shared" si="350"/>
        <v>-1</v>
      </c>
      <c r="AH125">
        <f t="shared" si="350"/>
        <v>-1</v>
      </c>
      <c r="AI125">
        <f t="shared" si="350"/>
        <v>68.800000000000054</v>
      </c>
      <c r="AJ125">
        <f t="shared" si="350"/>
        <v>66.400000000000077</v>
      </c>
      <c r="AK125">
        <f t="shared" si="350"/>
        <v>64.000000000000099</v>
      </c>
      <c r="AL125">
        <f t="shared" si="350"/>
        <v>61.600000000000101</v>
      </c>
      <c r="AM125">
        <f t="shared" si="350"/>
        <v>-1</v>
      </c>
      <c r="AN125">
        <f t="shared" si="350"/>
        <v>-1</v>
      </c>
      <c r="AO125">
        <f t="shared" si="350"/>
        <v>-1</v>
      </c>
      <c r="AP125">
        <f t="shared" si="350"/>
        <v>-1</v>
      </c>
      <c r="AQ125">
        <f t="shared" si="350"/>
        <v>-1</v>
      </c>
      <c r="AR125">
        <f t="shared" si="350"/>
        <v>-1</v>
      </c>
      <c r="AS125">
        <f t="shared" si="350"/>
        <v>-1</v>
      </c>
      <c r="AT125">
        <f t="shared" si="350"/>
        <v>-1</v>
      </c>
      <c r="AU125">
        <f t="shared" si="350"/>
        <v>-1</v>
      </c>
      <c r="AV125">
        <f t="shared" si="350"/>
        <v>-1</v>
      </c>
      <c r="AW125">
        <f t="shared" si="350"/>
        <v>-1</v>
      </c>
      <c r="AX125">
        <f t="shared" si="350"/>
        <v>-1</v>
      </c>
      <c r="AY125">
        <f t="shared" si="350"/>
        <v>-1</v>
      </c>
      <c r="AZ125">
        <f t="shared" si="350"/>
        <v>-1</v>
      </c>
      <c r="BA125">
        <f t="shared" si="350"/>
        <v>-1</v>
      </c>
      <c r="BB125">
        <f t="shared" si="350"/>
        <v>-1</v>
      </c>
      <c r="BC125">
        <f t="shared" si="350"/>
        <v>-1</v>
      </c>
      <c r="BD125">
        <f t="shared" si="350"/>
        <v>-1</v>
      </c>
      <c r="BE125">
        <f t="shared" si="350"/>
        <v>-1</v>
      </c>
      <c r="BF125">
        <f t="shared" si="350"/>
        <v>-1</v>
      </c>
      <c r="BG125">
        <f t="shared" si="350"/>
        <v>-1</v>
      </c>
      <c r="BH125">
        <f t="shared" si="350"/>
        <v>-1</v>
      </c>
      <c r="BI125">
        <f t="shared" si="350"/>
        <v>-1</v>
      </c>
      <c r="BJ125">
        <f t="shared" si="350"/>
        <v>-1</v>
      </c>
      <c r="BK125">
        <f t="shared" si="350"/>
        <v>-1</v>
      </c>
      <c r="BL125">
        <f t="shared" si="350"/>
        <v>-1</v>
      </c>
      <c r="BM125">
        <f t="shared" si="350"/>
        <v>-1</v>
      </c>
      <c r="BN125">
        <f t="shared" si="350"/>
        <v>-1</v>
      </c>
      <c r="BO125">
        <f t="shared" si="350"/>
        <v>-1</v>
      </c>
      <c r="BP125">
        <f t="shared" ref="BP125:EA125" si="351">IF(OR(BP124=-1,AND(IF(BP$3&lt;$B125,BP124+BP$6,IF(BP$3=$B125,1,""))&gt;$B$1,BP$3&lt;$B125)),-1,IF(BP$3&lt;$B125,BP124+BP$6,IF(BP$3=$B125,1,"")))</f>
        <v>-1</v>
      </c>
      <c r="BQ125">
        <f t="shared" si="351"/>
        <v>-1</v>
      </c>
      <c r="BR125">
        <f t="shared" si="351"/>
        <v>-1</v>
      </c>
      <c r="BS125">
        <f t="shared" si="351"/>
        <v>-1</v>
      </c>
      <c r="BT125">
        <f t="shared" si="351"/>
        <v>-1</v>
      </c>
      <c r="BU125">
        <f t="shared" si="351"/>
        <v>67.600000000000065</v>
      </c>
      <c r="BV125">
        <f t="shared" si="351"/>
        <v>64.000000000000099</v>
      </c>
      <c r="BW125">
        <f t="shared" si="351"/>
        <v>60.400000000000098</v>
      </c>
      <c r="BX125">
        <f t="shared" si="351"/>
        <v>56.80000000000009</v>
      </c>
      <c r="BY125">
        <f t="shared" si="351"/>
        <v>53.200000000000081</v>
      </c>
      <c r="BZ125">
        <f t="shared" si="351"/>
        <v>49.600000000000072</v>
      </c>
      <c r="CA125">
        <f t="shared" si="351"/>
        <v>46.000000000000064</v>
      </c>
      <c r="CB125">
        <f t="shared" si="351"/>
        <v>42.400000000000055</v>
      </c>
      <c r="CC125">
        <f t="shared" si="351"/>
        <v>38.800000000000047</v>
      </c>
      <c r="CD125">
        <f t="shared" si="351"/>
        <v>35.200000000000038</v>
      </c>
      <c r="CE125">
        <f t="shared" si="351"/>
        <v>31.60000000000003</v>
      </c>
      <c r="CF125">
        <f t="shared" si="351"/>
        <v>28.000000000000021</v>
      </c>
      <c r="CG125">
        <f t="shared" si="351"/>
        <v>24.400000000000013</v>
      </c>
      <c r="CH125">
        <f t="shared" si="351"/>
        <v>20.800000000000004</v>
      </c>
      <c r="CI125">
        <f t="shared" si="351"/>
        <v>17.199999999999996</v>
      </c>
      <c r="CJ125">
        <f t="shared" si="351"/>
        <v>13.599999999999994</v>
      </c>
      <c r="CK125">
        <f t="shared" si="351"/>
        <v>9.9999999999999964</v>
      </c>
      <c r="CL125">
        <f t="shared" si="351"/>
        <v>6.3999999999999986</v>
      </c>
      <c r="CM125">
        <f t="shared" si="351"/>
        <v>2.8000000000000003</v>
      </c>
      <c r="CN125" t="str">
        <f t="shared" si="351"/>
        <v/>
      </c>
      <c r="CO125">
        <f t="shared" si="351"/>
        <v>46.5</v>
      </c>
      <c r="CP125">
        <f t="shared" si="351"/>
        <v>33.5</v>
      </c>
      <c r="CQ125">
        <f t="shared" si="351"/>
        <v>-1</v>
      </c>
      <c r="CR125">
        <f t="shared" si="351"/>
        <v>-1</v>
      </c>
      <c r="CS125">
        <f t="shared" si="351"/>
        <v>-1</v>
      </c>
      <c r="CT125">
        <f t="shared" si="351"/>
        <v>-1</v>
      </c>
      <c r="CU125">
        <f t="shared" si="351"/>
        <v>-1</v>
      </c>
      <c r="CV125">
        <f t="shared" si="351"/>
        <v>-1</v>
      </c>
      <c r="CW125">
        <f t="shared" si="351"/>
        <v>-1</v>
      </c>
      <c r="CX125">
        <f t="shared" si="351"/>
        <v>-1</v>
      </c>
      <c r="CY125">
        <f t="shared" si="351"/>
        <v>-1</v>
      </c>
      <c r="CZ125">
        <f t="shared" si="351"/>
        <v>-1</v>
      </c>
      <c r="DA125">
        <f t="shared" si="351"/>
        <v>-1</v>
      </c>
      <c r="DB125">
        <f t="shared" si="351"/>
        <v>-1</v>
      </c>
      <c r="DC125">
        <f t="shared" si="351"/>
        <v>-1</v>
      </c>
      <c r="DD125">
        <f t="shared" si="351"/>
        <v>-1</v>
      </c>
      <c r="DE125">
        <f t="shared" si="351"/>
        <v>-1</v>
      </c>
      <c r="DF125">
        <f t="shared" si="351"/>
        <v>-1</v>
      </c>
      <c r="DG125">
        <f t="shared" si="351"/>
        <v>-1</v>
      </c>
      <c r="DH125">
        <f t="shared" si="351"/>
        <v>-1</v>
      </c>
      <c r="DI125">
        <f t="shared" si="351"/>
        <v>-1</v>
      </c>
      <c r="DJ125">
        <f t="shared" si="351"/>
        <v>-1</v>
      </c>
      <c r="DK125">
        <f t="shared" si="351"/>
        <v>-1</v>
      </c>
      <c r="DL125">
        <f t="shared" si="351"/>
        <v>-1</v>
      </c>
      <c r="DM125">
        <f t="shared" si="351"/>
        <v>-1</v>
      </c>
      <c r="DN125">
        <f t="shared" si="351"/>
        <v>-1</v>
      </c>
      <c r="DO125">
        <f t="shared" si="351"/>
        <v>-1</v>
      </c>
      <c r="DP125">
        <f t="shared" si="351"/>
        <v>-1</v>
      </c>
      <c r="DQ125">
        <f t="shared" si="351"/>
        <v>-1</v>
      </c>
      <c r="DR125">
        <f t="shared" si="351"/>
        <v>-1</v>
      </c>
      <c r="DS125">
        <f t="shared" si="351"/>
        <v>-1</v>
      </c>
      <c r="DT125">
        <f t="shared" si="351"/>
        <v>-1</v>
      </c>
      <c r="DU125">
        <f t="shared" si="351"/>
        <v>-1</v>
      </c>
      <c r="DV125">
        <f t="shared" si="351"/>
        <v>-1</v>
      </c>
      <c r="DW125">
        <f t="shared" si="351"/>
        <v>-1</v>
      </c>
      <c r="DX125">
        <f t="shared" si="351"/>
        <v>-1</v>
      </c>
      <c r="DY125">
        <f t="shared" si="351"/>
        <v>-1</v>
      </c>
      <c r="DZ125">
        <f t="shared" si="351"/>
        <v>-1</v>
      </c>
      <c r="EA125">
        <f t="shared" si="351"/>
        <v>-1</v>
      </c>
      <c r="EB125">
        <f t="shared" ref="EB125:EO125" si="352">IF(OR(EB124=-1,AND(IF(EB$3&lt;$B125,EB124+EB$6,IF(EB$3=$B125,1,""))&gt;$B$1,EB$3&lt;$B125)),-1,IF(EB$3&lt;$B125,EB124+EB$6,IF(EB$3=$B125,1,"")))</f>
        <v>-1</v>
      </c>
      <c r="EC125">
        <f t="shared" si="352"/>
        <v>-1</v>
      </c>
      <c r="ED125">
        <f t="shared" si="352"/>
        <v>-1</v>
      </c>
      <c r="EE125">
        <f t="shared" si="352"/>
        <v>-1</v>
      </c>
      <c r="EF125">
        <f t="shared" si="352"/>
        <v>-1</v>
      </c>
      <c r="EG125">
        <f t="shared" si="352"/>
        <v>-1</v>
      </c>
      <c r="EH125">
        <f t="shared" si="352"/>
        <v>-1</v>
      </c>
      <c r="EI125">
        <f t="shared" si="352"/>
        <v>-1</v>
      </c>
      <c r="EJ125">
        <f t="shared" si="352"/>
        <v>-1</v>
      </c>
      <c r="EK125">
        <f t="shared" si="352"/>
        <v>-1</v>
      </c>
      <c r="EL125">
        <f t="shared" si="352"/>
        <v>-1</v>
      </c>
      <c r="EM125">
        <f t="shared" si="352"/>
        <v>-1</v>
      </c>
      <c r="EN125">
        <f t="shared" si="352"/>
        <v>-1</v>
      </c>
      <c r="EO125">
        <f t="shared" si="352"/>
        <v>-1</v>
      </c>
    </row>
    <row r="126" spans="1:145" x14ac:dyDescent="0.15">
      <c r="A126" t="e">
        <f t="shared" si="193"/>
        <v>#N/A</v>
      </c>
      <c r="B126" s="218">
        <v>118</v>
      </c>
      <c r="C126">
        <f t="shared" si="193"/>
        <v>-1</v>
      </c>
      <c r="D126">
        <f t="shared" ref="D126:BO126" si="353">IF(OR(D125=-1,AND(IF(D$3&lt;$B126,D125+D$6,IF(D$3=$B126,1,""))&gt;$B$1,D$3&lt;$B126)),-1,IF(D$3&lt;$B126,D125+D$6,IF(D$3=$B126,1,"")))</f>
        <v>-1</v>
      </c>
      <c r="E126">
        <f t="shared" si="353"/>
        <v>-1</v>
      </c>
      <c r="F126">
        <f t="shared" si="353"/>
        <v>-1</v>
      </c>
      <c r="G126">
        <f t="shared" si="353"/>
        <v>-1</v>
      </c>
      <c r="H126">
        <f t="shared" si="353"/>
        <v>-1</v>
      </c>
      <c r="I126">
        <f t="shared" si="353"/>
        <v>-1</v>
      </c>
      <c r="J126">
        <f t="shared" si="353"/>
        <v>-1</v>
      </c>
      <c r="K126">
        <f t="shared" si="353"/>
        <v>-1</v>
      </c>
      <c r="L126">
        <f t="shared" si="353"/>
        <v>-1</v>
      </c>
      <c r="M126">
        <f t="shared" si="353"/>
        <v>-1</v>
      </c>
      <c r="N126">
        <f t="shared" si="353"/>
        <v>73.100000000000136</v>
      </c>
      <c r="O126">
        <f t="shared" si="353"/>
        <v>-1</v>
      </c>
      <c r="P126">
        <f t="shared" si="353"/>
        <v>-1</v>
      </c>
      <c r="Q126">
        <f t="shared" si="353"/>
        <v>-1</v>
      </c>
      <c r="R126">
        <f t="shared" si="353"/>
        <v>-1</v>
      </c>
      <c r="S126">
        <f t="shared" si="353"/>
        <v>-1</v>
      </c>
      <c r="T126">
        <f t="shared" si="353"/>
        <v>-1</v>
      </c>
      <c r="U126">
        <f t="shared" si="353"/>
        <v>-1</v>
      </c>
      <c r="V126">
        <f t="shared" si="353"/>
        <v>-1</v>
      </c>
      <c r="W126">
        <f t="shared" si="353"/>
        <v>-1</v>
      </c>
      <c r="X126">
        <f t="shared" si="353"/>
        <v>-1</v>
      </c>
      <c r="Y126">
        <f t="shared" si="353"/>
        <v>-1</v>
      </c>
      <c r="Z126">
        <f t="shared" si="353"/>
        <v>-1</v>
      </c>
      <c r="AA126">
        <f t="shared" si="353"/>
        <v>-1</v>
      </c>
      <c r="AB126">
        <f t="shared" si="353"/>
        <v>-1</v>
      </c>
      <c r="AC126">
        <f t="shared" si="353"/>
        <v>-1</v>
      </c>
      <c r="AD126">
        <f t="shared" si="353"/>
        <v>-1</v>
      </c>
      <c r="AE126">
        <f t="shared" si="353"/>
        <v>-1</v>
      </c>
      <c r="AF126">
        <f t="shared" si="353"/>
        <v>-1</v>
      </c>
      <c r="AG126">
        <f t="shared" si="353"/>
        <v>-1</v>
      </c>
      <c r="AH126">
        <f t="shared" si="353"/>
        <v>-1</v>
      </c>
      <c r="AI126">
        <f t="shared" si="353"/>
        <v>69.400000000000048</v>
      </c>
      <c r="AJ126">
        <f t="shared" si="353"/>
        <v>67.000000000000071</v>
      </c>
      <c r="AK126">
        <f t="shared" si="353"/>
        <v>64.600000000000094</v>
      </c>
      <c r="AL126">
        <f t="shared" si="353"/>
        <v>62.200000000000102</v>
      </c>
      <c r="AM126">
        <f t="shared" si="353"/>
        <v>-1</v>
      </c>
      <c r="AN126">
        <f t="shared" si="353"/>
        <v>-1</v>
      </c>
      <c r="AO126">
        <f t="shared" si="353"/>
        <v>-1</v>
      </c>
      <c r="AP126">
        <f t="shared" si="353"/>
        <v>-1</v>
      </c>
      <c r="AQ126">
        <f t="shared" si="353"/>
        <v>-1</v>
      </c>
      <c r="AR126">
        <f t="shared" si="353"/>
        <v>-1</v>
      </c>
      <c r="AS126">
        <f t="shared" si="353"/>
        <v>-1</v>
      </c>
      <c r="AT126">
        <f t="shared" si="353"/>
        <v>-1</v>
      </c>
      <c r="AU126">
        <f t="shared" si="353"/>
        <v>-1</v>
      </c>
      <c r="AV126">
        <f t="shared" si="353"/>
        <v>-1</v>
      </c>
      <c r="AW126">
        <f t="shared" si="353"/>
        <v>-1</v>
      </c>
      <c r="AX126">
        <f t="shared" si="353"/>
        <v>-1</v>
      </c>
      <c r="AY126">
        <f t="shared" si="353"/>
        <v>-1</v>
      </c>
      <c r="AZ126">
        <f t="shared" si="353"/>
        <v>-1</v>
      </c>
      <c r="BA126">
        <f t="shared" si="353"/>
        <v>-1</v>
      </c>
      <c r="BB126">
        <f t="shared" si="353"/>
        <v>-1</v>
      </c>
      <c r="BC126">
        <f t="shared" si="353"/>
        <v>-1</v>
      </c>
      <c r="BD126">
        <f t="shared" si="353"/>
        <v>-1</v>
      </c>
      <c r="BE126">
        <f t="shared" si="353"/>
        <v>-1</v>
      </c>
      <c r="BF126">
        <f t="shared" si="353"/>
        <v>-1</v>
      </c>
      <c r="BG126">
        <f t="shared" si="353"/>
        <v>-1</v>
      </c>
      <c r="BH126">
        <f t="shared" si="353"/>
        <v>-1</v>
      </c>
      <c r="BI126">
        <f t="shared" si="353"/>
        <v>-1</v>
      </c>
      <c r="BJ126">
        <f t="shared" si="353"/>
        <v>-1</v>
      </c>
      <c r="BK126">
        <f t="shared" si="353"/>
        <v>-1</v>
      </c>
      <c r="BL126">
        <f t="shared" si="353"/>
        <v>-1</v>
      </c>
      <c r="BM126">
        <f t="shared" si="353"/>
        <v>-1</v>
      </c>
      <c r="BN126">
        <f t="shared" si="353"/>
        <v>-1</v>
      </c>
      <c r="BO126">
        <f t="shared" si="353"/>
        <v>-1</v>
      </c>
      <c r="BP126">
        <f t="shared" ref="BP126:EA126" si="354">IF(OR(BP125=-1,AND(IF(BP$3&lt;$B126,BP125+BP$6,IF(BP$3=$B126,1,""))&gt;$B$1,BP$3&lt;$B126)),-1,IF(BP$3&lt;$B126,BP125+BP$6,IF(BP$3=$B126,1,"")))</f>
        <v>-1</v>
      </c>
      <c r="BQ126">
        <f t="shared" si="354"/>
        <v>-1</v>
      </c>
      <c r="BR126">
        <f t="shared" si="354"/>
        <v>-1</v>
      </c>
      <c r="BS126">
        <f t="shared" si="354"/>
        <v>-1</v>
      </c>
      <c r="BT126">
        <f t="shared" si="354"/>
        <v>-1</v>
      </c>
      <c r="BU126">
        <f t="shared" si="354"/>
        <v>68.20000000000006</v>
      </c>
      <c r="BV126">
        <f t="shared" si="354"/>
        <v>64.600000000000094</v>
      </c>
      <c r="BW126">
        <f t="shared" si="354"/>
        <v>61.000000000000099</v>
      </c>
      <c r="BX126">
        <f t="shared" si="354"/>
        <v>57.400000000000091</v>
      </c>
      <c r="BY126">
        <f t="shared" si="354"/>
        <v>53.800000000000082</v>
      </c>
      <c r="BZ126">
        <f t="shared" si="354"/>
        <v>50.200000000000074</v>
      </c>
      <c r="CA126">
        <f t="shared" si="354"/>
        <v>46.600000000000065</v>
      </c>
      <c r="CB126">
        <f t="shared" si="354"/>
        <v>43.000000000000057</v>
      </c>
      <c r="CC126">
        <f t="shared" si="354"/>
        <v>39.400000000000048</v>
      </c>
      <c r="CD126">
        <f t="shared" si="354"/>
        <v>35.80000000000004</v>
      </c>
      <c r="CE126">
        <f t="shared" si="354"/>
        <v>32.200000000000031</v>
      </c>
      <c r="CF126">
        <f t="shared" si="354"/>
        <v>28.600000000000023</v>
      </c>
      <c r="CG126">
        <f t="shared" si="354"/>
        <v>25.000000000000014</v>
      </c>
      <c r="CH126">
        <f t="shared" si="354"/>
        <v>21.400000000000006</v>
      </c>
      <c r="CI126">
        <f t="shared" si="354"/>
        <v>17.799999999999997</v>
      </c>
      <c r="CJ126">
        <f t="shared" si="354"/>
        <v>14.199999999999994</v>
      </c>
      <c r="CK126">
        <f t="shared" si="354"/>
        <v>10.599999999999996</v>
      </c>
      <c r="CL126">
        <f t="shared" si="354"/>
        <v>6.9999999999999982</v>
      </c>
      <c r="CM126">
        <f t="shared" si="354"/>
        <v>3.4000000000000004</v>
      </c>
      <c r="CN126" t="str">
        <f t="shared" si="354"/>
        <v/>
      </c>
      <c r="CO126">
        <f t="shared" si="354"/>
        <v>47</v>
      </c>
      <c r="CP126">
        <f t="shared" si="354"/>
        <v>34</v>
      </c>
      <c r="CQ126">
        <f t="shared" si="354"/>
        <v>-1</v>
      </c>
      <c r="CR126">
        <f t="shared" si="354"/>
        <v>-1</v>
      </c>
      <c r="CS126">
        <f t="shared" si="354"/>
        <v>-1</v>
      </c>
      <c r="CT126">
        <f t="shared" si="354"/>
        <v>-1</v>
      </c>
      <c r="CU126">
        <f t="shared" si="354"/>
        <v>-1</v>
      </c>
      <c r="CV126">
        <f t="shared" si="354"/>
        <v>-1</v>
      </c>
      <c r="CW126">
        <f t="shared" si="354"/>
        <v>-1</v>
      </c>
      <c r="CX126">
        <f t="shared" si="354"/>
        <v>-1</v>
      </c>
      <c r="CY126">
        <f t="shared" si="354"/>
        <v>-1</v>
      </c>
      <c r="CZ126">
        <f t="shared" si="354"/>
        <v>-1</v>
      </c>
      <c r="DA126">
        <f t="shared" si="354"/>
        <v>-1</v>
      </c>
      <c r="DB126">
        <f t="shared" si="354"/>
        <v>-1</v>
      </c>
      <c r="DC126">
        <f t="shared" si="354"/>
        <v>-1</v>
      </c>
      <c r="DD126">
        <f t="shared" si="354"/>
        <v>-1</v>
      </c>
      <c r="DE126">
        <f t="shared" si="354"/>
        <v>-1</v>
      </c>
      <c r="DF126">
        <f t="shared" si="354"/>
        <v>-1</v>
      </c>
      <c r="DG126">
        <f t="shared" si="354"/>
        <v>-1</v>
      </c>
      <c r="DH126">
        <f t="shared" si="354"/>
        <v>-1</v>
      </c>
      <c r="DI126">
        <f t="shared" si="354"/>
        <v>-1</v>
      </c>
      <c r="DJ126">
        <f t="shared" si="354"/>
        <v>-1</v>
      </c>
      <c r="DK126">
        <f t="shared" si="354"/>
        <v>-1</v>
      </c>
      <c r="DL126">
        <f t="shared" si="354"/>
        <v>-1</v>
      </c>
      <c r="DM126">
        <f t="shared" si="354"/>
        <v>-1</v>
      </c>
      <c r="DN126">
        <f t="shared" si="354"/>
        <v>-1</v>
      </c>
      <c r="DO126">
        <f t="shared" si="354"/>
        <v>-1</v>
      </c>
      <c r="DP126">
        <f t="shared" si="354"/>
        <v>-1</v>
      </c>
      <c r="DQ126">
        <f t="shared" si="354"/>
        <v>-1</v>
      </c>
      <c r="DR126">
        <f t="shared" si="354"/>
        <v>-1</v>
      </c>
      <c r="DS126">
        <f t="shared" si="354"/>
        <v>-1</v>
      </c>
      <c r="DT126">
        <f t="shared" si="354"/>
        <v>-1</v>
      </c>
      <c r="DU126">
        <f t="shared" si="354"/>
        <v>-1</v>
      </c>
      <c r="DV126">
        <f t="shared" si="354"/>
        <v>-1</v>
      </c>
      <c r="DW126">
        <f t="shared" si="354"/>
        <v>-1</v>
      </c>
      <c r="DX126">
        <f t="shared" si="354"/>
        <v>-1</v>
      </c>
      <c r="DY126">
        <f t="shared" si="354"/>
        <v>-1</v>
      </c>
      <c r="DZ126">
        <f t="shared" si="354"/>
        <v>-1</v>
      </c>
      <c r="EA126">
        <f t="shared" si="354"/>
        <v>-1</v>
      </c>
      <c r="EB126">
        <f t="shared" ref="EB126:EO126" si="355">IF(OR(EB125=-1,AND(IF(EB$3&lt;$B126,EB125+EB$6,IF(EB$3=$B126,1,""))&gt;$B$1,EB$3&lt;$B126)),-1,IF(EB$3&lt;$B126,EB125+EB$6,IF(EB$3=$B126,1,"")))</f>
        <v>-1</v>
      </c>
      <c r="EC126">
        <f t="shared" si="355"/>
        <v>-1</v>
      </c>
      <c r="ED126">
        <f t="shared" si="355"/>
        <v>-1</v>
      </c>
      <c r="EE126">
        <f t="shared" si="355"/>
        <v>-1</v>
      </c>
      <c r="EF126">
        <f t="shared" si="355"/>
        <v>-1</v>
      </c>
      <c r="EG126">
        <f t="shared" si="355"/>
        <v>-1</v>
      </c>
      <c r="EH126">
        <f t="shared" si="355"/>
        <v>-1</v>
      </c>
      <c r="EI126">
        <f t="shared" si="355"/>
        <v>-1</v>
      </c>
      <c r="EJ126">
        <f t="shared" si="355"/>
        <v>-1</v>
      </c>
      <c r="EK126">
        <f t="shared" si="355"/>
        <v>-1</v>
      </c>
      <c r="EL126">
        <f t="shared" si="355"/>
        <v>-1</v>
      </c>
      <c r="EM126">
        <f t="shared" si="355"/>
        <v>-1</v>
      </c>
      <c r="EN126">
        <f t="shared" si="355"/>
        <v>-1</v>
      </c>
      <c r="EO126">
        <f t="shared" si="355"/>
        <v>-1</v>
      </c>
    </row>
    <row r="127" spans="1:145" x14ac:dyDescent="0.15">
      <c r="A127" t="e">
        <f t="shared" si="193"/>
        <v>#N/A</v>
      </c>
      <c r="B127" s="218">
        <v>119</v>
      </c>
      <c r="C127">
        <f t="shared" si="193"/>
        <v>-1</v>
      </c>
      <c r="D127">
        <f t="shared" ref="D127:BO127" si="356">IF(OR(D126=-1,AND(IF(D$3&lt;$B127,D126+D$6,IF(D$3=$B127,1,""))&gt;$B$1,D$3&lt;$B127)),-1,IF(D$3&lt;$B127,D126+D$6,IF(D$3=$B127,1,"")))</f>
        <v>-1</v>
      </c>
      <c r="E127">
        <f t="shared" si="356"/>
        <v>-1</v>
      </c>
      <c r="F127">
        <f t="shared" si="356"/>
        <v>-1</v>
      </c>
      <c r="G127">
        <f t="shared" si="356"/>
        <v>-1</v>
      </c>
      <c r="H127">
        <f t="shared" si="356"/>
        <v>-1</v>
      </c>
      <c r="I127">
        <f t="shared" si="356"/>
        <v>-1</v>
      </c>
      <c r="J127">
        <f t="shared" si="356"/>
        <v>-1</v>
      </c>
      <c r="K127">
        <f t="shared" si="356"/>
        <v>-1</v>
      </c>
      <c r="L127">
        <f t="shared" si="356"/>
        <v>-1</v>
      </c>
      <c r="M127">
        <f t="shared" si="356"/>
        <v>-1</v>
      </c>
      <c r="N127">
        <f t="shared" si="356"/>
        <v>73.800000000000139</v>
      </c>
      <c r="O127">
        <f t="shared" si="356"/>
        <v>-1</v>
      </c>
      <c r="P127">
        <f t="shared" si="356"/>
        <v>-1</v>
      </c>
      <c r="Q127">
        <f t="shared" si="356"/>
        <v>-1</v>
      </c>
      <c r="R127">
        <f t="shared" si="356"/>
        <v>-1</v>
      </c>
      <c r="S127">
        <f t="shared" si="356"/>
        <v>-1</v>
      </c>
      <c r="T127">
        <f t="shared" si="356"/>
        <v>-1</v>
      </c>
      <c r="U127">
        <f t="shared" si="356"/>
        <v>-1</v>
      </c>
      <c r="V127">
        <f t="shared" si="356"/>
        <v>-1</v>
      </c>
      <c r="W127">
        <f t="shared" si="356"/>
        <v>-1</v>
      </c>
      <c r="X127">
        <f t="shared" si="356"/>
        <v>-1</v>
      </c>
      <c r="Y127">
        <f t="shared" si="356"/>
        <v>-1</v>
      </c>
      <c r="Z127">
        <f t="shared" si="356"/>
        <v>-1</v>
      </c>
      <c r="AA127">
        <f t="shared" si="356"/>
        <v>-1</v>
      </c>
      <c r="AB127">
        <f t="shared" si="356"/>
        <v>-1</v>
      </c>
      <c r="AC127">
        <f t="shared" si="356"/>
        <v>-1</v>
      </c>
      <c r="AD127">
        <f t="shared" si="356"/>
        <v>-1</v>
      </c>
      <c r="AE127">
        <f t="shared" si="356"/>
        <v>-1</v>
      </c>
      <c r="AF127">
        <f t="shared" si="356"/>
        <v>-1</v>
      </c>
      <c r="AG127">
        <f t="shared" si="356"/>
        <v>-1</v>
      </c>
      <c r="AH127">
        <f t="shared" si="356"/>
        <v>-1</v>
      </c>
      <c r="AI127">
        <f t="shared" si="356"/>
        <v>70.000000000000043</v>
      </c>
      <c r="AJ127">
        <f t="shared" si="356"/>
        <v>67.600000000000065</v>
      </c>
      <c r="AK127">
        <f t="shared" si="356"/>
        <v>65.200000000000088</v>
      </c>
      <c r="AL127">
        <f t="shared" si="356"/>
        <v>62.800000000000104</v>
      </c>
      <c r="AM127">
        <f t="shared" si="356"/>
        <v>-1</v>
      </c>
      <c r="AN127">
        <f t="shared" si="356"/>
        <v>-1</v>
      </c>
      <c r="AO127">
        <f t="shared" si="356"/>
        <v>-1</v>
      </c>
      <c r="AP127">
        <f t="shared" si="356"/>
        <v>-1</v>
      </c>
      <c r="AQ127">
        <f t="shared" si="356"/>
        <v>-1</v>
      </c>
      <c r="AR127">
        <f t="shared" si="356"/>
        <v>-1</v>
      </c>
      <c r="AS127">
        <f t="shared" si="356"/>
        <v>-1</v>
      </c>
      <c r="AT127">
        <f t="shared" si="356"/>
        <v>-1</v>
      </c>
      <c r="AU127">
        <f t="shared" si="356"/>
        <v>-1</v>
      </c>
      <c r="AV127">
        <f t="shared" si="356"/>
        <v>-1</v>
      </c>
      <c r="AW127">
        <f t="shared" si="356"/>
        <v>-1</v>
      </c>
      <c r="AX127">
        <f t="shared" si="356"/>
        <v>-1</v>
      </c>
      <c r="AY127">
        <f t="shared" si="356"/>
        <v>-1</v>
      </c>
      <c r="AZ127">
        <f t="shared" si="356"/>
        <v>-1</v>
      </c>
      <c r="BA127">
        <f t="shared" si="356"/>
        <v>-1</v>
      </c>
      <c r="BB127">
        <f t="shared" si="356"/>
        <v>-1</v>
      </c>
      <c r="BC127">
        <f t="shared" si="356"/>
        <v>-1</v>
      </c>
      <c r="BD127">
        <f t="shared" si="356"/>
        <v>-1</v>
      </c>
      <c r="BE127">
        <f t="shared" si="356"/>
        <v>-1</v>
      </c>
      <c r="BF127">
        <f t="shared" si="356"/>
        <v>-1</v>
      </c>
      <c r="BG127">
        <f t="shared" si="356"/>
        <v>-1</v>
      </c>
      <c r="BH127">
        <f t="shared" si="356"/>
        <v>-1</v>
      </c>
      <c r="BI127">
        <f t="shared" si="356"/>
        <v>-1</v>
      </c>
      <c r="BJ127">
        <f t="shared" si="356"/>
        <v>-1</v>
      </c>
      <c r="BK127">
        <f t="shared" si="356"/>
        <v>-1</v>
      </c>
      <c r="BL127">
        <f t="shared" si="356"/>
        <v>-1</v>
      </c>
      <c r="BM127">
        <f t="shared" si="356"/>
        <v>-1</v>
      </c>
      <c r="BN127">
        <f t="shared" si="356"/>
        <v>-1</v>
      </c>
      <c r="BO127">
        <f t="shared" si="356"/>
        <v>-1</v>
      </c>
      <c r="BP127">
        <f t="shared" ref="BP127:EA127" si="357">IF(OR(BP126=-1,AND(IF(BP$3&lt;$B127,BP126+BP$6,IF(BP$3=$B127,1,""))&gt;$B$1,BP$3&lt;$B127)),-1,IF(BP$3&lt;$B127,BP126+BP$6,IF(BP$3=$B127,1,"")))</f>
        <v>-1</v>
      </c>
      <c r="BQ127">
        <f t="shared" si="357"/>
        <v>-1</v>
      </c>
      <c r="BR127">
        <f t="shared" si="357"/>
        <v>-1</v>
      </c>
      <c r="BS127">
        <f t="shared" si="357"/>
        <v>-1</v>
      </c>
      <c r="BT127">
        <f t="shared" si="357"/>
        <v>-1</v>
      </c>
      <c r="BU127">
        <f t="shared" si="357"/>
        <v>68.800000000000054</v>
      </c>
      <c r="BV127">
        <f t="shared" si="357"/>
        <v>65.200000000000088</v>
      </c>
      <c r="BW127">
        <f t="shared" si="357"/>
        <v>61.600000000000101</v>
      </c>
      <c r="BX127">
        <f t="shared" si="357"/>
        <v>58.000000000000092</v>
      </c>
      <c r="BY127">
        <f t="shared" si="357"/>
        <v>54.400000000000084</v>
      </c>
      <c r="BZ127">
        <f t="shared" si="357"/>
        <v>50.800000000000075</v>
      </c>
      <c r="CA127">
        <f t="shared" si="357"/>
        <v>47.200000000000067</v>
      </c>
      <c r="CB127">
        <f t="shared" si="357"/>
        <v>43.600000000000058</v>
      </c>
      <c r="CC127">
        <f t="shared" si="357"/>
        <v>40.00000000000005</v>
      </c>
      <c r="CD127">
        <f t="shared" si="357"/>
        <v>36.400000000000041</v>
      </c>
      <c r="CE127">
        <f t="shared" si="357"/>
        <v>32.800000000000033</v>
      </c>
      <c r="CF127">
        <f t="shared" si="357"/>
        <v>29.200000000000024</v>
      </c>
      <c r="CG127">
        <f t="shared" si="357"/>
        <v>25.600000000000016</v>
      </c>
      <c r="CH127">
        <f t="shared" si="357"/>
        <v>22.000000000000007</v>
      </c>
      <c r="CI127">
        <f t="shared" si="357"/>
        <v>18.399999999999999</v>
      </c>
      <c r="CJ127">
        <f t="shared" si="357"/>
        <v>14.799999999999994</v>
      </c>
      <c r="CK127">
        <f t="shared" si="357"/>
        <v>11.199999999999996</v>
      </c>
      <c r="CL127">
        <f t="shared" si="357"/>
        <v>7.5999999999999979</v>
      </c>
      <c r="CM127">
        <f t="shared" si="357"/>
        <v>4</v>
      </c>
      <c r="CN127" t="str">
        <f t="shared" si="357"/>
        <v/>
      </c>
      <c r="CO127">
        <f t="shared" si="357"/>
        <v>47.5</v>
      </c>
      <c r="CP127">
        <f t="shared" si="357"/>
        <v>34.5</v>
      </c>
      <c r="CQ127">
        <f t="shared" si="357"/>
        <v>-1</v>
      </c>
      <c r="CR127">
        <f t="shared" si="357"/>
        <v>-1</v>
      </c>
      <c r="CS127">
        <f t="shared" si="357"/>
        <v>-1</v>
      </c>
      <c r="CT127">
        <f t="shared" si="357"/>
        <v>-1</v>
      </c>
      <c r="CU127">
        <f t="shared" si="357"/>
        <v>-1</v>
      </c>
      <c r="CV127">
        <f t="shared" si="357"/>
        <v>-1</v>
      </c>
      <c r="CW127">
        <f t="shared" si="357"/>
        <v>-1</v>
      </c>
      <c r="CX127">
        <f t="shared" si="357"/>
        <v>-1</v>
      </c>
      <c r="CY127">
        <f t="shared" si="357"/>
        <v>-1</v>
      </c>
      <c r="CZ127">
        <f t="shared" si="357"/>
        <v>-1</v>
      </c>
      <c r="DA127">
        <f t="shared" si="357"/>
        <v>-1</v>
      </c>
      <c r="DB127">
        <f t="shared" si="357"/>
        <v>-1</v>
      </c>
      <c r="DC127">
        <f t="shared" si="357"/>
        <v>-1</v>
      </c>
      <c r="DD127">
        <f t="shared" si="357"/>
        <v>-1</v>
      </c>
      <c r="DE127">
        <f t="shared" si="357"/>
        <v>-1</v>
      </c>
      <c r="DF127">
        <f t="shared" si="357"/>
        <v>-1</v>
      </c>
      <c r="DG127">
        <f t="shared" si="357"/>
        <v>-1</v>
      </c>
      <c r="DH127">
        <f t="shared" si="357"/>
        <v>-1</v>
      </c>
      <c r="DI127">
        <f t="shared" si="357"/>
        <v>-1</v>
      </c>
      <c r="DJ127">
        <f t="shared" si="357"/>
        <v>-1</v>
      </c>
      <c r="DK127">
        <f t="shared" si="357"/>
        <v>-1</v>
      </c>
      <c r="DL127">
        <f t="shared" si="357"/>
        <v>-1</v>
      </c>
      <c r="DM127">
        <f t="shared" si="357"/>
        <v>-1</v>
      </c>
      <c r="DN127">
        <f t="shared" si="357"/>
        <v>-1</v>
      </c>
      <c r="DO127">
        <f t="shared" si="357"/>
        <v>-1</v>
      </c>
      <c r="DP127">
        <f t="shared" si="357"/>
        <v>-1</v>
      </c>
      <c r="DQ127">
        <f t="shared" si="357"/>
        <v>-1</v>
      </c>
      <c r="DR127">
        <f t="shared" si="357"/>
        <v>-1</v>
      </c>
      <c r="DS127">
        <f t="shared" si="357"/>
        <v>-1</v>
      </c>
      <c r="DT127">
        <f t="shared" si="357"/>
        <v>-1</v>
      </c>
      <c r="DU127">
        <f t="shared" si="357"/>
        <v>-1</v>
      </c>
      <c r="DV127">
        <f t="shared" si="357"/>
        <v>-1</v>
      </c>
      <c r="DW127">
        <f t="shared" si="357"/>
        <v>-1</v>
      </c>
      <c r="DX127">
        <f t="shared" si="357"/>
        <v>-1</v>
      </c>
      <c r="DY127">
        <f t="shared" si="357"/>
        <v>-1</v>
      </c>
      <c r="DZ127">
        <f t="shared" si="357"/>
        <v>-1</v>
      </c>
      <c r="EA127">
        <f t="shared" si="357"/>
        <v>-1</v>
      </c>
      <c r="EB127">
        <f t="shared" ref="EB127:EO127" si="358">IF(OR(EB126=-1,AND(IF(EB$3&lt;$B127,EB126+EB$6,IF(EB$3=$B127,1,""))&gt;$B$1,EB$3&lt;$B127)),-1,IF(EB$3&lt;$B127,EB126+EB$6,IF(EB$3=$B127,1,"")))</f>
        <v>-1</v>
      </c>
      <c r="EC127">
        <f t="shared" si="358"/>
        <v>-1</v>
      </c>
      <c r="ED127">
        <f t="shared" si="358"/>
        <v>-1</v>
      </c>
      <c r="EE127">
        <f t="shared" si="358"/>
        <v>-1</v>
      </c>
      <c r="EF127">
        <f t="shared" si="358"/>
        <v>-1</v>
      </c>
      <c r="EG127">
        <f t="shared" si="358"/>
        <v>-1</v>
      </c>
      <c r="EH127">
        <f t="shared" si="358"/>
        <v>-1</v>
      </c>
      <c r="EI127">
        <f t="shared" si="358"/>
        <v>-1</v>
      </c>
      <c r="EJ127">
        <f t="shared" si="358"/>
        <v>-1</v>
      </c>
      <c r="EK127">
        <f t="shared" si="358"/>
        <v>-1</v>
      </c>
      <c r="EL127">
        <f t="shared" si="358"/>
        <v>-1</v>
      </c>
      <c r="EM127">
        <f t="shared" si="358"/>
        <v>-1</v>
      </c>
      <c r="EN127">
        <f t="shared" si="358"/>
        <v>-1</v>
      </c>
      <c r="EO127">
        <f t="shared" si="358"/>
        <v>-1</v>
      </c>
    </row>
    <row r="128" spans="1:145" x14ac:dyDescent="0.15">
      <c r="A128" t="e">
        <f t="shared" si="193"/>
        <v>#N/A</v>
      </c>
      <c r="B128" s="218">
        <v>120</v>
      </c>
      <c r="C128">
        <f t="shared" si="193"/>
        <v>-1</v>
      </c>
      <c r="D128">
        <f t="shared" ref="D128:BO128" si="359">IF(OR(D127=-1,AND(IF(D$3&lt;$B128,D127+D$6,IF(D$3=$B128,1,""))&gt;$B$1,D$3&lt;$B128)),-1,IF(D$3&lt;$B128,D127+D$6,IF(D$3=$B128,1,"")))</f>
        <v>-1</v>
      </c>
      <c r="E128">
        <f t="shared" si="359"/>
        <v>-1</v>
      </c>
      <c r="F128">
        <f t="shared" si="359"/>
        <v>-1</v>
      </c>
      <c r="G128">
        <f t="shared" si="359"/>
        <v>-1</v>
      </c>
      <c r="H128">
        <f t="shared" si="359"/>
        <v>-1</v>
      </c>
      <c r="I128">
        <f t="shared" si="359"/>
        <v>-1</v>
      </c>
      <c r="J128">
        <f t="shared" si="359"/>
        <v>-1</v>
      </c>
      <c r="K128">
        <f t="shared" si="359"/>
        <v>-1</v>
      </c>
      <c r="L128">
        <f t="shared" si="359"/>
        <v>-1</v>
      </c>
      <c r="M128">
        <f t="shared" si="359"/>
        <v>-1</v>
      </c>
      <c r="N128">
        <f t="shared" si="359"/>
        <v>74.500000000000142</v>
      </c>
      <c r="O128">
        <f t="shared" si="359"/>
        <v>-1</v>
      </c>
      <c r="P128">
        <f t="shared" si="359"/>
        <v>-1</v>
      </c>
      <c r="Q128">
        <f t="shared" si="359"/>
        <v>-1</v>
      </c>
      <c r="R128">
        <f t="shared" si="359"/>
        <v>-1</v>
      </c>
      <c r="S128">
        <f t="shared" si="359"/>
        <v>-1</v>
      </c>
      <c r="T128">
        <f t="shared" si="359"/>
        <v>-1</v>
      </c>
      <c r="U128">
        <f t="shared" si="359"/>
        <v>-1</v>
      </c>
      <c r="V128">
        <f t="shared" si="359"/>
        <v>-1</v>
      </c>
      <c r="W128">
        <f t="shared" si="359"/>
        <v>-1</v>
      </c>
      <c r="X128">
        <f t="shared" si="359"/>
        <v>-1</v>
      </c>
      <c r="Y128">
        <f t="shared" si="359"/>
        <v>-1</v>
      </c>
      <c r="Z128">
        <f t="shared" si="359"/>
        <v>-1</v>
      </c>
      <c r="AA128">
        <f t="shared" si="359"/>
        <v>-1</v>
      </c>
      <c r="AB128">
        <f t="shared" si="359"/>
        <v>-1</v>
      </c>
      <c r="AC128">
        <f t="shared" si="359"/>
        <v>-1</v>
      </c>
      <c r="AD128">
        <f t="shared" si="359"/>
        <v>-1</v>
      </c>
      <c r="AE128">
        <f t="shared" si="359"/>
        <v>-1</v>
      </c>
      <c r="AF128">
        <f t="shared" si="359"/>
        <v>-1</v>
      </c>
      <c r="AG128">
        <f t="shared" si="359"/>
        <v>-1</v>
      </c>
      <c r="AH128">
        <f t="shared" si="359"/>
        <v>-1</v>
      </c>
      <c r="AI128">
        <f t="shared" si="359"/>
        <v>70.600000000000037</v>
      </c>
      <c r="AJ128">
        <f t="shared" si="359"/>
        <v>68.20000000000006</v>
      </c>
      <c r="AK128">
        <f t="shared" si="359"/>
        <v>65.800000000000082</v>
      </c>
      <c r="AL128">
        <f t="shared" si="359"/>
        <v>63.400000000000105</v>
      </c>
      <c r="AM128">
        <f t="shared" si="359"/>
        <v>-1</v>
      </c>
      <c r="AN128">
        <f t="shared" si="359"/>
        <v>-1</v>
      </c>
      <c r="AO128">
        <f t="shared" si="359"/>
        <v>-1</v>
      </c>
      <c r="AP128">
        <f t="shared" si="359"/>
        <v>-1</v>
      </c>
      <c r="AQ128">
        <f t="shared" si="359"/>
        <v>-1</v>
      </c>
      <c r="AR128">
        <f t="shared" si="359"/>
        <v>-1</v>
      </c>
      <c r="AS128">
        <f t="shared" si="359"/>
        <v>-1</v>
      </c>
      <c r="AT128">
        <f t="shared" si="359"/>
        <v>-1</v>
      </c>
      <c r="AU128">
        <f t="shared" si="359"/>
        <v>-1</v>
      </c>
      <c r="AV128">
        <f t="shared" si="359"/>
        <v>-1</v>
      </c>
      <c r="AW128">
        <f t="shared" si="359"/>
        <v>-1</v>
      </c>
      <c r="AX128">
        <f t="shared" si="359"/>
        <v>-1</v>
      </c>
      <c r="AY128">
        <f t="shared" si="359"/>
        <v>-1</v>
      </c>
      <c r="AZ128">
        <f t="shared" si="359"/>
        <v>-1</v>
      </c>
      <c r="BA128">
        <f t="shared" si="359"/>
        <v>-1</v>
      </c>
      <c r="BB128">
        <f t="shared" si="359"/>
        <v>-1</v>
      </c>
      <c r="BC128">
        <f t="shared" si="359"/>
        <v>-1</v>
      </c>
      <c r="BD128">
        <f t="shared" si="359"/>
        <v>-1</v>
      </c>
      <c r="BE128">
        <f t="shared" si="359"/>
        <v>-1</v>
      </c>
      <c r="BF128">
        <f t="shared" si="359"/>
        <v>-1</v>
      </c>
      <c r="BG128">
        <f t="shared" si="359"/>
        <v>-1</v>
      </c>
      <c r="BH128">
        <f t="shared" si="359"/>
        <v>-1</v>
      </c>
      <c r="BI128">
        <f t="shared" si="359"/>
        <v>-1</v>
      </c>
      <c r="BJ128">
        <f t="shared" si="359"/>
        <v>-1</v>
      </c>
      <c r="BK128">
        <f t="shared" si="359"/>
        <v>-1</v>
      </c>
      <c r="BL128">
        <f t="shared" si="359"/>
        <v>-1</v>
      </c>
      <c r="BM128">
        <f t="shared" si="359"/>
        <v>-1</v>
      </c>
      <c r="BN128">
        <f t="shared" si="359"/>
        <v>-1</v>
      </c>
      <c r="BO128">
        <f t="shared" si="359"/>
        <v>-1</v>
      </c>
      <c r="BP128">
        <f t="shared" ref="BP128:EA128" si="360">IF(OR(BP127=-1,AND(IF(BP$3&lt;$B128,BP127+BP$6,IF(BP$3=$B128,1,""))&gt;$B$1,BP$3&lt;$B128)),-1,IF(BP$3&lt;$B128,BP127+BP$6,IF(BP$3=$B128,1,"")))</f>
        <v>-1</v>
      </c>
      <c r="BQ128">
        <f t="shared" si="360"/>
        <v>-1</v>
      </c>
      <c r="BR128">
        <f t="shared" si="360"/>
        <v>-1</v>
      </c>
      <c r="BS128">
        <f t="shared" si="360"/>
        <v>-1</v>
      </c>
      <c r="BT128">
        <f t="shared" si="360"/>
        <v>-1</v>
      </c>
      <c r="BU128">
        <f t="shared" si="360"/>
        <v>69.400000000000048</v>
      </c>
      <c r="BV128">
        <f t="shared" si="360"/>
        <v>65.800000000000082</v>
      </c>
      <c r="BW128">
        <f t="shared" si="360"/>
        <v>62.200000000000102</v>
      </c>
      <c r="BX128">
        <f t="shared" si="360"/>
        <v>58.600000000000094</v>
      </c>
      <c r="BY128">
        <f t="shared" si="360"/>
        <v>55.000000000000085</v>
      </c>
      <c r="BZ128">
        <f t="shared" si="360"/>
        <v>51.400000000000077</v>
      </c>
      <c r="CA128">
        <f t="shared" si="360"/>
        <v>47.800000000000068</v>
      </c>
      <c r="CB128">
        <f t="shared" si="360"/>
        <v>44.20000000000006</v>
      </c>
      <c r="CC128">
        <f t="shared" si="360"/>
        <v>40.600000000000051</v>
      </c>
      <c r="CD128">
        <f t="shared" si="360"/>
        <v>37.000000000000043</v>
      </c>
      <c r="CE128">
        <f t="shared" si="360"/>
        <v>33.400000000000034</v>
      </c>
      <c r="CF128">
        <f t="shared" si="360"/>
        <v>29.800000000000026</v>
      </c>
      <c r="CG128">
        <f t="shared" si="360"/>
        <v>26.200000000000017</v>
      </c>
      <c r="CH128">
        <f t="shared" si="360"/>
        <v>22.600000000000009</v>
      </c>
      <c r="CI128">
        <f t="shared" si="360"/>
        <v>19</v>
      </c>
      <c r="CJ128">
        <f t="shared" si="360"/>
        <v>15.399999999999993</v>
      </c>
      <c r="CK128">
        <f t="shared" si="360"/>
        <v>11.799999999999995</v>
      </c>
      <c r="CL128">
        <f t="shared" si="360"/>
        <v>8.1999999999999975</v>
      </c>
      <c r="CM128">
        <f t="shared" si="360"/>
        <v>4.5999999999999996</v>
      </c>
      <c r="CN128">
        <f t="shared" si="360"/>
        <v>1</v>
      </c>
      <c r="CO128">
        <f t="shared" si="360"/>
        <v>48</v>
      </c>
      <c r="CP128">
        <f t="shared" si="360"/>
        <v>35</v>
      </c>
      <c r="CQ128">
        <f t="shared" si="360"/>
        <v>-1</v>
      </c>
      <c r="CR128">
        <f t="shared" si="360"/>
        <v>-1</v>
      </c>
      <c r="CS128">
        <f t="shared" si="360"/>
        <v>-1</v>
      </c>
      <c r="CT128">
        <f t="shared" si="360"/>
        <v>-1</v>
      </c>
      <c r="CU128">
        <f t="shared" si="360"/>
        <v>-1</v>
      </c>
      <c r="CV128">
        <f t="shared" si="360"/>
        <v>-1</v>
      </c>
      <c r="CW128">
        <f t="shared" si="360"/>
        <v>-1</v>
      </c>
      <c r="CX128">
        <f t="shared" si="360"/>
        <v>-1</v>
      </c>
      <c r="CY128">
        <f t="shared" si="360"/>
        <v>-1</v>
      </c>
      <c r="CZ128">
        <f t="shared" si="360"/>
        <v>-1</v>
      </c>
      <c r="DA128">
        <f t="shared" si="360"/>
        <v>-1</v>
      </c>
      <c r="DB128">
        <f t="shared" si="360"/>
        <v>-1</v>
      </c>
      <c r="DC128">
        <f t="shared" si="360"/>
        <v>-1</v>
      </c>
      <c r="DD128">
        <f t="shared" si="360"/>
        <v>-1</v>
      </c>
      <c r="DE128">
        <f t="shared" si="360"/>
        <v>-1</v>
      </c>
      <c r="DF128">
        <f t="shared" si="360"/>
        <v>-1</v>
      </c>
      <c r="DG128">
        <f t="shared" si="360"/>
        <v>-1</v>
      </c>
      <c r="DH128">
        <f t="shared" si="360"/>
        <v>-1</v>
      </c>
      <c r="DI128">
        <f t="shared" si="360"/>
        <v>-1</v>
      </c>
      <c r="DJ128">
        <f t="shared" si="360"/>
        <v>-1</v>
      </c>
      <c r="DK128">
        <f t="shared" si="360"/>
        <v>-1</v>
      </c>
      <c r="DL128">
        <f t="shared" si="360"/>
        <v>-1</v>
      </c>
      <c r="DM128">
        <f t="shared" si="360"/>
        <v>-1</v>
      </c>
      <c r="DN128">
        <f t="shared" si="360"/>
        <v>-1</v>
      </c>
      <c r="DO128">
        <f t="shared" si="360"/>
        <v>-1</v>
      </c>
      <c r="DP128">
        <f t="shared" si="360"/>
        <v>-1</v>
      </c>
      <c r="DQ128">
        <f t="shared" si="360"/>
        <v>-1</v>
      </c>
      <c r="DR128">
        <f t="shared" si="360"/>
        <v>-1</v>
      </c>
      <c r="DS128">
        <f t="shared" si="360"/>
        <v>-1</v>
      </c>
      <c r="DT128">
        <f t="shared" si="360"/>
        <v>-1</v>
      </c>
      <c r="DU128">
        <f t="shared" si="360"/>
        <v>-1</v>
      </c>
      <c r="DV128">
        <f t="shared" si="360"/>
        <v>-1</v>
      </c>
      <c r="DW128">
        <f t="shared" si="360"/>
        <v>-1</v>
      </c>
      <c r="DX128">
        <f t="shared" si="360"/>
        <v>-1</v>
      </c>
      <c r="DY128">
        <f t="shared" si="360"/>
        <v>-1</v>
      </c>
      <c r="DZ128">
        <f t="shared" si="360"/>
        <v>-1</v>
      </c>
      <c r="EA128">
        <f t="shared" si="360"/>
        <v>-1</v>
      </c>
      <c r="EB128">
        <f t="shared" ref="EB128:EO128" si="361">IF(OR(EB127=-1,AND(IF(EB$3&lt;$B128,EB127+EB$6,IF(EB$3=$B128,1,""))&gt;$B$1,EB$3&lt;$B128)),-1,IF(EB$3&lt;$B128,EB127+EB$6,IF(EB$3=$B128,1,"")))</f>
        <v>-1</v>
      </c>
      <c r="EC128">
        <f t="shared" si="361"/>
        <v>-1</v>
      </c>
      <c r="ED128">
        <f t="shared" si="361"/>
        <v>-1</v>
      </c>
      <c r="EE128">
        <f t="shared" si="361"/>
        <v>-1</v>
      </c>
      <c r="EF128">
        <f t="shared" si="361"/>
        <v>-1</v>
      </c>
      <c r="EG128">
        <f t="shared" si="361"/>
        <v>-1</v>
      </c>
      <c r="EH128">
        <f t="shared" si="361"/>
        <v>-1</v>
      </c>
      <c r="EI128">
        <f t="shared" si="361"/>
        <v>-1</v>
      </c>
      <c r="EJ128">
        <f t="shared" si="361"/>
        <v>-1</v>
      </c>
      <c r="EK128">
        <f t="shared" si="361"/>
        <v>-1</v>
      </c>
      <c r="EL128">
        <f t="shared" si="361"/>
        <v>-1</v>
      </c>
      <c r="EM128">
        <f t="shared" si="361"/>
        <v>-1</v>
      </c>
      <c r="EN128">
        <f t="shared" si="361"/>
        <v>-1</v>
      </c>
      <c r="EO128">
        <f t="shared" si="361"/>
        <v>-1</v>
      </c>
    </row>
    <row r="129" spans="1:145" x14ac:dyDescent="0.15">
      <c r="A129" t="e">
        <f t="shared" si="193"/>
        <v>#N/A</v>
      </c>
      <c r="B129" s="218">
        <v>121</v>
      </c>
      <c r="C129">
        <f t="shared" si="193"/>
        <v>-1</v>
      </c>
      <c r="D129">
        <f t="shared" ref="D129:BO129" si="362">IF(OR(D128=-1,AND(IF(D$3&lt;$B129,D128+D$6,IF(D$3=$B129,1,""))&gt;$B$1,D$3&lt;$B129)),-1,IF(D$3&lt;$B129,D128+D$6,IF(D$3=$B129,1,"")))</f>
        <v>-1</v>
      </c>
      <c r="E129">
        <f t="shared" si="362"/>
        <v>-1</v>
      </c>
      <c r="F129">
        <f t="shared" si="362"/>
        <v>-1</v>
      </c>
      <c r="G129">
        <f t="shared" si="362"/>
        <v>-1</v>
      </c>
      <c r="H129">
        <f t="shared" si="362"/>
        <v>-1</v>
      </c>
      <c r="I129">
        <f t="shared" si="362"/>
        <v>-1</v>
      </c>
      <c r="J129">
        <f t="shared" si="362"/>
        <v>-1</v>
      </c>
      <c r="K129">
        <f t="shared" si="362"/>
        <v>-1</v>
      </c>
      <c r="L129">
        <f t="shared" si="362"/>
        <v>-1</v>
      </c>
      <c r="M129">
        <f t="shared" si="362"/>
        <v>-1</v>
      </c>
      <c r="N129">
        <f t="shared" si="362"/>
        <v>-1</v>
      </c>
      <c r="O129">
        <f t="shared" si="362"/>
        <v>-1</v>
      </c>
      <c r="P129">
        <f t="shared" si="362"/>
        <v>-1</v>
      </c>
      <c r="Q129">
        <f t="shared" si="362"/>
        <v>-1</v>
      </c>
      <c r="R129">
        <f t="shared" si="362"/>
        <v>-1</v>
      </c>
      <c r="S129">
        <f t="shared" si="362"/>
        <v>-1</v>
      </c>
      <c r="T129">
        <f t="shared" si="362"/>
        <v>-1</v>
      </c>
      <c r="U129">
        <f t="shared" si="362"/>
        <v>-1</v>
      </c>
      <c r="V129">
        <f t="shared" si="362"/>
        <v>-1</v>
      </c>
      <c r="W129">
        <f t="shared" si="362"/>
        <v>-1</v>
      </c>
      <c r="X129">
        <f t="shared" si="362"/>
        <v>-1</v>
      </c>
      <c r="Y129">
        <f t="shared" si="362"/>
        <v>-1</v>
      </c>
      <c r="Z129">
        <f t="shared" si="362"/>
        <v>-1</v>
      </c>
      <c r="AA129">
        <f t="shared" si="362"/>
        <v>-1</v>
      </c>
      <c r="AB129">
        <f t="shared" si="362"/>
        <v>-1</v>
      </c>
      <c r="AC129">
        <f t="shared" si="362"/>
        <v>-1</v>
      </c>
      <c r="AD129">
        <f t="shared" si="362"/>
        <v>-1</v>
      </c>
      <c r="AE129">
        <f t="shared" si="362"/>
        <v>-1</v>
      </c>
      <c r="AF129">
        <f t="shared" si="362"/>
        <v>-1</v>
      </c>
      <c r="AG129">
        <f t="shared" si="362"/>
        <v>-1</v>
      </c>
      <c r="AH129">
        <f t="shared" si="362"/>
        <v>-1</v>
      </c>
      <c r="AI129">
        <f t="shared" si="362"/>
        <v>71.200000000000031</v>
      </c>
      <c r="AJ129">
        <f t="shared" si="362"/>
        <v>68.800000000000054</v>
      </c>
      <c r="AK129">
        <f t="shared" si="362"/>
        <v>66.400000000000077</v>
      </c>
      <c r="AL129">
        <f t="shared" si="362"/>
        <v>64.000000000000099</v>
      </c>
      <c r="AM129">
        <f t="shared" si="362"/>
        <v>-1</v>
      </c>
      <c r="AN129">
        <f t="shared" si="362"/>
        <v>-1</v>
      </c>
      <c r="AO129">
        <f t="shared" si="362"/>
        <v>-1</v>
      </c>
      <c r="AP129">
        <f t="shared" si="362"/>
        <v>-1</v>
      </c>
      <c r="AQ129">
        <f t="shared" si="362"/>
        <v>-1</v>
      </c>
      <c r="AR129">
        <f t="shared" si="362"/>
        <v>-1</v>
      </c>
      <c r="AS129">
        <f t="shared" si="362"/>
        <v>-1</v>
      </c>
      <c r="AT129">
        <f t="shared" si="362"/>
        <v>-1</v>
      </c>
      <c r="AU129">
        <f t="shared" si="362"/>
        <v>-1</v>
      </c>
      <c r="AV129">
        <f t="shared" si="362"/>
        <v>-1</v>
      </c>
      <c r="AW129">
        <f t="shared" si="362"/>
        <v>-1</v>
      </c>
      <c r="AX129">
        <f t="shared" si="362"/>
        <v>-1</v>
      </c>
      <c r="AY129">
        <f t="shared" si="362"/>
        <v>-1</v>
      </c>
      <c r="AZ129">
        <f t="shared" si="362"/>
        <v>-1</v>
      </c>
      <c r="BA129">
        <f t="shared" si="362"/>
        <v>-1</v>
      </c>
      <c r="BB129">
        <f t="shared" si="362"/>
        <v>-1</v>
      </c>
      <c r="BC129">
        <f t="shared" si="362"/>
        <v>-1</v>
      </c>
      <c r="BD129">
        <f t="shared" si="362"/>
        <v>-1</v>
      </c>
      <c r="BE129">
        <f t="shared" si="362"/>
        <v>-1</v>
      </c>
      <c r="BF129">
        <f t="shared" si="362"/>
        <v>-1</v>
      </c>
      <c r="BG129">
        <f t="shared" si="362"/>
        <v>-1</v>
      </c>
      <c r="BH129">
        <f t="shared" si="362"/>
        <v>-1</v>
      </c>
      <c r="BI129">
        <f t="shared" si="362"/>
        <v>-1</v>
      </c>
      <c r="BJ129">
        <f t="shared" si="362"/>
        <v>-1</v>
      </c>
      <c r="BK129">
        <f t="shared" si="362"/>
        <v>-1</v>
      </c>
      <c r="BL129">
        <f t="shared" si="362"/>
        <v>-1</v>
      </c>
      <c r="BM129">
        <f t="shared" si="362"/>
        <v>-1</v>
      </c>
      <c r="BN129">
        <f t="shared" si="362"/>
        <v>-1</v>
      </c>
      <c r="BO129">
        <f t="shared" si="362"/>
        <v>-1</v>
      </c>
      <c r="BP129">
        <f t="shared" ref="BP129:EA129" si="363">IF(OR(BP128=-1,AND(IF(BP$3&lt;$B129,BP128+BP$6,IF(BP$3=$B129,1,""))&gt;$B$1,BP$3&lt;$B129)),-1,IF(BP$3&lt;$B129,BP128+BP$6,IF(BP$3=$B129,1,"")))</f>
        <v>-1</v>
      </c>
      <c r="BQ129">
        <f t="shared" si="363"/>
        <v>-1</v>
      </c>
      <c r="BR129">
        <f t="shared" si="363"/>
        <v>-1</v>
      </c>
      <c r="BS129">
        <f t="shared" si="363"/>
        <v>-1</v>
      </c>
      <c r="BT129">
        <f t="shared" si="363"/>
        <v>-1</v>
      </c>
      <c r="BU129">
        <f t="shared" si="363"/>
        <v>70.000000000000043</v>
      </c>
      <c r="BV129">
        <f t="shared" si="363"/>
        <v>66.400000000000077</v>
      </c>
      <c r="BW129">
        <f t="shared" si="363"/>
        <v>62.800000000000104</v>
      </c>
      <c r="BX129">
        <f t="shared" si="363"/>
        <v>59.200000000000095</v>
      </c>
      <c r="BY129">
        <f t="shared" si="363"/>
        <v>55.600000000000087</v>
      </c>
      <c r="BZ129">
        <f t="shared" si="363"/>
        <v>52.000000000000078</v>
      </c>
      <c r="CA129">
        <f t="shared" si="363"/>
        <v>48.40000000000007</v>
      </c>
      <c r="CB129">
        <f t="shared" si="363"/>
        <v>44.800000000000061</v>
      </c>
      <c r="CC129">
        <f t="shared" si="363"/>
        <v>41.200000000000053</v>
      </c>
      <c r="CD129">
        <f t="shared" si="363"/>
        <v>37.600000000000044</v>
      </c>
      <c r="CE129">
        <f t="shared" si="363"/>
        <v>34.000000000000036</v>
      </c>
      <c r="CF129">
        <f t="shared" si="363"/>
        <v>30.400000000000027</v>
      </c>
      <c r="CG129">
        <f t="shared" si="363"/>
        <v>26.800000000000018</v>
      </c>
      <c r="CH129">
        <f t="shared" si="363"/>
        <v>23.20000000000001</v>
      </c>
      <c r="CI129">
        <f t="shared" si="363"/>
        <v>19.600000000000001</v>
      </c>
      <c r="CJ129">
        <f t="shared" si="363"/>
        <v>15.999999999999993</v>
      </c>
      <c r="CK129">
        <f t="shared" si="363"/>
        <v>12.399999999999995</v>
      </c>
      <c r="CL129">
        <f t="shared" si="363"/>
        <v>8.7999999999999972</v>
      </c>
      <c r="CM129">
        <f t="shared" si="363"/>
        <v>5.1999999999999993</v>
      </c>
      <c r="CN129">
        <f t="shared" si="363"/>
        <v>1.6</v>
      </c>
      <c r="CO129">
        <f t="shared" si="363"/>
        <v>48.5</v>
      </c>
      <c r="CP129">
        <f t="shared" si="363"/>
        <v>35.5</v>
      </c>
      <c r="CQ129">
        <f t="shared" si="363"/>
        <v>-1</v>
      </c>
      <c r="CR129">
        <f t="shared" si="363"/>
        <v>-1</v>
      </c>
      <c r="CS129">
        <f t="shared" si="363"/>
        <v>-1</v>
      </c>
      <c r="CT129">
        <f t="shared" si="363"/>
        <v>-1</v>
      </c>
      <c r="CU129">
        <f t="shared" si="363"/>
        <v>-1</v>
      </c>
      <c r="CV129">
        <f t="shared" si="363"/>
        <v>-1</v>
      </c>
      <c r="CW129">
        <f t="shared" si="363"/>
        <v>-1</v>
      </c>
      <c r="CX129">
        <f t="shared" si="363"/>
        <v>-1</v>
      </c>
      <c r="CY129">
        <f t="shared" si="363"/>
        <v>-1</v>
      </c>
      <c r="CZ129">
        <f t="shared" si="363"/>
        <v>-1</v>
      </c>
      <c r="DA129">
        <f t="shared" si="363"/>
        <v>-1</v>
      </c>
      <c r="DB129">
        <f t="shared" si="363"/>
        <v>-1</v>
      </c>
      <c r="DC129">
        <f t="shared" si="363"/>
        <v>-1</v>
      </c>
      <c r="DD129">
        <f t="shared" si="363"/>
        <v>-1</v>
      </c>
      <c r="DE129">
        <f t="shared" si="363"/>
        <v>-1</v>
      </c>
      <c r="DF129">
        <f t="shared" si="363"/>
        <v>-1</v>
      </c>
      <c r="DG129">
        <f t="shared" si="363"/>
        <v>-1</v>
      </c>
      <c r="DH129">
        <f t="shared" si="363"/>
        <v>-1</v>
      </c>
      <c r="DI129">
        <f t="shared" si="363"/>
        <v>-1</v>
      </c>
      <c r="DJ129">
        <f t="shared" si="363"/>
        <v>-1</v>
      </c>
      <c r="DK129">
        <f t="shared" si="363"/>
        <v>-1</v>
      </c>
      <c r="DL129">
        <f t="shared" si="363"/>
        <v>-1</v>
      </c>
      <c r="DM129">
        <f t="shared" si="363"/>
        <v>-1</v>
      </c>
      <c r="DN129">
        <f t="shared" si="363"/>
        <v>-1</v>
      </c>
      <c r="DO129">
        <f t="shared" si="363"/>
        <v>-1</v>
      </c>
      <c r="DP129">
        <f t="shared" si="363"/>
        <v>-1</v>
      </c>
      <c r="DQ129">
        <f t="shared" si="363"/>
        <v>-1</v>
      </c>
      <c r="DR129">
        <f t="shared" si="363"/>
        <v>-1</v>
      </c>
      <c r="DS129">
        <f t="shared" si="363"/>
        <v>-1</v>
      </c>
      <c r="DT129">
        <f t="shared" si="363"/>
        <v>-1</v>
      </c>
      <c r="DU129">
        <f t="shared" si="363"/>
        <v>-1</v>
      </c>
      <c r="DV129">
        <f t="shared" si="363"/>
        <v>-1</v>
      </c>
      <c r="DW129">
        <f t="shared" si="363"/>
        <v>-1</v>
      </c>
      <c r="DX129">
        <f t="shared" si="363"/>
        <v>-1</v>
      </c>
      <c r="DY129">
        <f t="shared" si="363"/>
        <v>-1</v>
      </c>
      <c r="DZ129">
        <f t="shared" si="363"/>
        <v>-1</v>
      </c>
      <c r="EA129">
        <f t="shared" si="363"/>
        <v>-1</v>
      </c>
      <c r="EB129">
        <f t="shared" ref="EB129:EO129" si="364">IF(OR(EB128=-1,AND(IF(EB$3&lt;$B129,EB128+EB$6,IF(EB$3=$B129,1,""))&gt;$B$1,EB$3&lt;$B129)),-1,IF(EB$3&lt;$B129,EB128+EB$6,IF(EB$3=$B129,1,"")))</f>
        <v>-1</v>
      </c>
      <c r="EC129">
        <f t="shared" si="364"/>
        <v>-1</v>
      </c>
      <c r="ED129">
        <f t="shared" si="364"/>
        <v>-1</v>
      </c>
      <c r="EE129">
        <f t="shared" si="364"/>
        <v>-1</v>
      </c>
      <c r="EF129">
        <f t="shared" si="364"/>
        <v>-1</v>
      </c>
      <c r="EG129">
        <f t="shared" si="364"/>
        <v>-1</v>
      </c>
      <c r="EH129">
        <f t="shared" si="364"/>
        <v>-1</v>
      </c>
      <c r="EI129">
        <f t="shared" si="364"/>
        <v>-1</v>
      </c>
      <c r="EJ129">
        <f t="shared" si="364"/>
        <v>-1</v>
      </c>
      <c r="EK129">
        <f t="shared" si="364"/>
        <v>-1</v>
      </c>
      <c r="EL129">
        <f t="shared" si="364"/>
        <v>-1</v>
      </c>
      <c r="EM129">
        <f t="shared" si="364"/>
        <v>-1</v>
      </c>
      <c r="EN129">
        <f t="shared" si="364"/>
        <v>-1</v>
      </c>
      <c r="EO129">
        <f t="shared" si="364"/>
        <v>-1</v>
      </c>
    </row>
    <row r="130" spans="1:145" x14ac:dyDescent="0.15">
      <c r="A130" t="e">
        <f t="shared" si="193"/>
        <v>#N/A</v>
      </c>
      <c r="B130" s="218">
        <v>122</v>
      </c>
      <c r="C130">
        <f t="shared" si="193"/>
        <v>-1</v>
      </c>
      <c r="D130">
        <f t="shared" ref="D130:BO130" si="365">IF(OR(D129=-1,AND(IF(D$3&lt;$B130,D129+D$6,IF(D$3=$B130,1,""))&gt;$B$1,D$3&lt;$B130)),-1,IF(D$3&lt;$B130,D129+D$6,IF(D$3=$B130,1,"")))</f>
        <v>-1</v>
      </c>
      <c r="E130">
        <f t="shared" si="365"/>
        <v>-1</v>
      </c>
      <c r="F130">
        <f t="shared" si="365"/>
        <v>-1</v>
      </c>
      <c r="G130">
        <f t="shared" si="365"/>
        <v>-1</v>
      </c>
      <c r="H130">
        <f t="shared" si="365"/>
        <v>-1</v>
      </c>
      <c r="I130">
        <f t="shared" si="365"/>
        <v>-1</v>
      </c>
      <c r="J130">
        <f t="shared" si="365"/>
        <v>-1</v>
      </c>
      <c r="K130">
        <f t="shared" si="365"/>
        <v>-1</v>
      </c>
      <c r="L130">
        <f t="shared" si="365"/>
        <v>-1</v>
      </c>
      <c r="M130">
        <f t="shared" si="365"/>
        <v>-1</v>
      </c>
      <c r="N130">
        <f t="shared" si="365"/>
        <v>-1</v>
      </c>
      <c r="O130">
        <f t="shared" si="365"/>
        <v>-1</v>
      </c>
      <c r="P130">
        <f t="shared" si="365"/>
        <v>-1</v>
      </c>
      <c r="Q130">
        <f t="shared" si="365"/>
        <v>-1</v>
      </c>
      <c r="R130">
        <f t="shared" si="365"/>
        <v>-1</v>
      </c>
      <c r="S130">
        <f t="shared" si="365"/>
        <v>-1</v>
      </c>
      <c r="T130">
        <f t="shared" si="365"/>
        <v>-1</v>
      </c>
      <c r="U130">
        <f t="shared" si="365"/>
        <v>-1</v>
      </c>
      <c r="V130">
        <f t="shared" si="365"/>
        <v>-1</v>
      </c>
      <c r="W130">
        <f t="shared" si="365"/>
        <v>-1</v>
      </c>
      <c r="X130">
        <f t="shared" si="365"/>
        <v>-1</v>
      </c>
      <c r="Y130">
        <f t="shared" si="365"/>
        <v>-1</v>
      </c>
      <c r="Z130">
        <f t="shared" si="365"/>
        <v>-1</v>
      </c>
      <c r="AA130">
        <f t="shared" si="365"/>
        <v>-1</v>
      </c>
      <c r="AB130">
        <f t="shared" si="365"/>
        <v>-1</v>
      </c>
      <c r="AC130">
        <f t="shared" si="365"/>
        <v>-1</v>
      </c>
      <c r="AD130">
        <f t="shared" si="365"/>
        <v>-1</v>
      </c>
      <c r="AE130">
        <f t="shared" si="365"/>
        <v>-1</v>
      </c>
      <c r="AF130">
        <f t="shared" si="365"/>
        <v>-1</v>
      </c>
      <c r="AG130">
        <f t="shared" si="365"/>
        <v>-1</v>
      </c>
      <c r="AH130">
        <f t="shared" si="365"/>
        <v>-1</v>
      </c>
      <c r="AI130">
        <f t="shared" si="365"/>
        <v>71.800000000000026</v>
      </c>
      <c r="AJ130">
        <f t="shared" si="365"/>
        <v>69.400000000000048</v>
      </c>
      <c r="AK130">
        <f t="shared" si="365"/>
        <v>67.000000000000071</v>
      </c>
      <c r="AL130">
        <f t="shared" si="365"/>
        <v>64.600000000000094</v>
      </c>
      <c r="AM130">
        <f t="shared" si="365"/>
        <v>-1</v>
      </c>
      <c r="AN130">
        <f t="shared" si="365"/>
        <v>-1</v>
      </c>
      <c r="AO130">
        <f t="shared" si="365"/>
        <v>-1</v>
      </c>
      <c r="AP130">
        <f t="shared" si="365"/>
        <v>-1</v>
      </c>
      <c r="AQ130">
        <f t="shared" si="365"/>
        <v>-1</v>
      </c>
      <c r="AR130">
        <f t="shared" si="365"/>
        <v>-1</v>
      </c>
      <c r="AS130">
        <f t="shared" si="365"/>
        <v>-1</v>
      </c>
      <c r="AT130">
        <f t="shared" si="365"/>
        <v>-1</v>
      </c>
      <c r="AU130">
        <f t="shared" si="365"/>
        <v>-1</v>
      </c>
      <c r="AV130">
        <f t="shared" si="365"/>
        <v>-1</v>
      </c>
      <c r="AW130">
        <f t="shared" si="365"/>
        <v>-1</v>
      </c>
      <c r="AX130">
        <f t="shared" si="365"/>
        <v>-1</v>
      </c>
      <c r="AY130">
        <f t="shared" si="365"/>
        <v>-1</v>
      </c>
      <c r="AZ130">
        <f t="shared" si="365"/>
        <v>-1</v>
      </c>
      <c r="BA130">
        <f t="shared" si="365"/>
        <v>-1</v>
      </c>
      <c r="BB130">
        <f t="shared" si="365"/>
        <v>-1</v>
      </c>
      <c r="BC130">
        <f t="shared" si="365"/>
        <v>-1</v>
      </c>
      <c r="BD130">
        <f t="shared" si="365"/>
        <v>-1</v>
      </c>
      <c r="BE130">
        <f t="shared" si="365"/>
        <v>-1</v>
      </c>
      <c r="BF130">
        <f t="shared" si="365"/>
        <v>-1</v>
      </c>
      <c r="BG130">
        <f t="shared" si="365"/>
        <v>-1</v>
      </c>
      <c r="BH130">
        <f t="shared" si="365"/>
        <v>-1</v>
      </c>
      <c r="BI130">
        <f t="shared" si="365"/>
        <v>-1</v>
      </c>
      <c r="BJ130">
        <f t="shared" si="365"/>
        <v>-1</v>
      </c>
      <c r="BK130">
        <f t="shared" si="365"/>
        <v>-1</v>
      </c>
      <c r="BL130">
        <f t="shared" si="365"/>
        <v>-1</v>
      </c>
      <c r="BM130">
        <f t="shared" si="365"/>
        <v>-1</v>
      </c>
      <c r="BN130">
        <f t="shared" si="365"/>
        <v>-1</v>
      </c>
      <c r="BO130">
        <f t="shared" si="365"/>
        <v>-1</v>
      </c>
      <c r="BP130">
        <f t="shared" ref="BP130:EA130" si="366">IF(OR(BP129=-1,AND(IF(BP$3&lt;$B130,BP129+BP$6,IF(BP$3=$B130,1,""))&gt;$B$1,BP$3&lt;$B130)),-1,IF(BP$3&lt;$B130,BP129+BP$6,IF(BP$3=$B130,1,"")))</f>
        <v>-1</v>
      </c>
      <c r="BQ130">
        <f t="shared" si="366"/>
        <v>-1</v>
      </c>
      <c r="BR130">
        <f t="shared" si="366"/>
        <v>-1</v>
      </c>
      <c r="BS130">
        <f t="shared" si="366"/>
        <v>-1</v>
      </c>
      <c r="BT130">
        <f t="shared" si="366"/>
        <v>-1</v>
      </c>
      <c r="BU130">
        <f t="shared" si="366"/>
        <v>70.600000000000037</v>
      </c>
      <c r="BV130">
        <f t="shared" si="366"/>
        <v>67.000000000000071</v>
      </c>
      <c r="BW130">
        <f t="shared" si="366"/>
        <v>63.400000000000105</v>
      </c>
      <c r="BX130">
        <f t="shared" si="366"/>
        <v>59.800000000000097</v>
      </c>
      <c r="BY130">
        <f t="shared" si="366"/>
        <v>56.200000000000088</v>
      </c>
      <c r="BZ130">
        <f t="shared" si="366"/>
        <v>52.60000000000008</v>
      </c>
      <c r="CA130">
        <f t="shared" si="366"/>
        <v>49.000000000000071</v>
      </c>
      <c r="CB130">
        <f t="shared" si="366"/>
        <v>45.400000000000063</v>
      </c>
      <c r="CC130">
        <f t="shared" si="366"/>
        <v>41.800000000000054</v>
      </c>
      <c r="CD130">
        <f t="shared" si="366"/>
        <v>38.200000000000045</v>
      </c>
      <c r="CE130">
        <f t="shared" si="366"/>
        <v>34.600000000000037</v>
      </c>
      <c r="CF130">
        <f t="shared" si="366"/>
        <v>31.000000000000028</v>
      </c>
      <c r="CG130">
        <f t="shared" si="366"/>
        <v>27.40000000000002</v>
      </c>
      <c r="CH130">
        <f t="shared" si="366"/>
        <v>23.800000000000011</v>
      </c>
      <c r="CI130">
        <f t="shared" si="366"/>
        <v>20.200000000000003</v>
      </c>
      <c r="CJ130">
        <f t="shared" si="366"/>
        <v>16.599999999999994</v>
      </c>
      <c r="CK130">
        <f t="shared" si="366"/>
        <v>12.999999999999995</v>
      </c>
      <c r="CL130">
        <f t="shared" si="366"/>
        <v>9.3999999999999968</v>
      </c>
      <c r="CM130">
        <f t="shared" si="366"/>
        <v>5.7999999999999989</v>
      </c>
      <c r="CN130">
        <f t="shared" si="366"/>
        <v>2.2000000000000002</v>
      </c>
      <c r="CO130">
        <f t="shared" si="366"/>
        <v>49</v>
      </c>
      <c r="CP130">
        <f t="shared" si="366"/>
        <v>36</v>
      </c>
      <c r="CQ130">
        <f t="shared" si="366"/>
        <v>-1</v>
      </c>
      <c r="CR130">
        <f t="shared" si="366"/>
        <v>-1</v>
      </c>
      <c r="CS130">
        <f t="shared" si="366"/>
        <v>-1</v>
      </c>
      <c r="CT130">
        <f t="shared" si="366"/>
        <v>-1</v>
      </c>
      <c r="CU130">
        <f t="shared" si="366"/>
        <v>-1</v>
      </c>
      <c r="CV130">
        <f t="shared" si="366"/>
        <v>-1</v>
      </c>
      <c r="CW130">
        <f t="shared" si="366"/>
        <v>-1</v>
      </c>
      <c r="CX130">
        <f t="shared" si="366"/>
        <v>-1</v>
      </c>
      <c r="CY130">
        <f t="shared" si="366"/>
        <v>-1</v>
      </c>
      <c r="CZ130">
        <f t="shared" si="366"/>
        <v>-1</v>
      </c>
      <c r="DA130">
        <f t="shared" si="366"/>
        <v>-1</v>
      </c>
      <c r="DB130">
        <f t="shared" si="366"/>
        <v>-1</v>
      </c>
      <c r="DC130">
        <f t="shared" si="366"/>
        <v>-1</v>
      </c>
      <c r="DD130">
        <f t="shared" si="366"/>
        <v>-1</v>
      </c>
      <c r="DE130">
        <f t="shared" si="366"/>
        <v>-1</v>
      </c>
      <c r="DF130">
        <f t="shared" si="366"/>
        <v>-1</v>
      </c>
      <c r="DG130">
        <f t="shared" si="366"/>
        <v>-1</v>
      </c>
      <c r="DH130">
        <f t="shared" si="366"/>
        <v>-1</v>
      </c>
      <c r="DI130">
        <f t="shared" si="366"/>
        <v>-1</v>
      </c>
      <c r="DJ130">
        <f t="shared" si="366"/>
        <v>-1</v>
      </c>
      <c r="DK130">
        <f t="shared" si="366"/>
        <v>-1</v>
      </c>
      <c r="DL130">
        <f t="shared" si="366"/>
        <v>-1</v>
      </c>
      <c r="DM130">
        <f t="shared" si="366"/>
        <v>-1</v>
      </c>
      <c r="DN130">
        <f t="shared" si="366"/>
        <v>-1</v>
      </c>
      <c r="DO130">
        <f t="shared" si="366"/>
        <v>-1</v>
      </c>
      <c r="DP130">
        <f t="shared" si="366"/>
        <v>-1</v>
      </c>
      <c r="DQ130">
        <f t="shared" si="366"/>
        <v>-1</v>
      </c>
      <c r="DR130">
        <f t="shared" si="366"/>
        <v>-1</v>
      </c>
      <c r="DS130">
        <f t="shared" si="366"/>
        <v>-1</v>
      </c>
      <c r="DT130">
        <f t="shared" si="366"/>
        <v>-1</v>
      </c>
      <c r="DU130">
        <f t="shared" si="366"/>
        <v>-1</v>
      </c>
      <c r="DV130">
        <f t="shared" si="366"/>
        <v>-1</v>
      </c>
      <c r="DW130">
        <f t="shared" si="366"/>
        <v>-1</v>
      </c>
      <c r="DX130">
        <f t="shared" si="366"/>
        <v>-1</v>
      </c>
      <c r="DY130">
        <f t="shared" si="366"/>
        <v>-1</v>
      </c>
      <c r="DZ130">
        <f t="shared" si="366"/>
        <v>-1</v>
      </c>
      <c r="EA130">
        <f t="shared" si="366"/>
        <v>-1</v>
      </c>
      <c r="EB130">
        <f t="shared" ref="EB130:EO130" si="367">IF(OR(EB129=-1,AND(IF(EB$3&lt;$B130,EB129+EB$6,IF(EB$3=$B130,1,""))&gt;$B$1,EB$3&lt;$B130)),-1,IF(EB$3&lt;$B130,EB129+EB$6,IF(EB$3=$B130,1,"")))</f>
        <v>-1</v>
      </c>
      <c r="EC130">
        <f t="shared" si="367"/>
        <v>-1</v>
      </c>
      <c r="ED130">
        <f t="shared" si="367"/>
        <v>-1</v>
      </c>
      <c r="EE130">
        <f t="shared" si="367"/>
        <v>-1</v>
      </c>
      <c r="EF130">
        <f t="shared" si="367"/>
        <v>-1</v>
      </c>
      <c r="EG130">
        <f t="shared" si="367"/>
        <v>-1</v>
      </c>
      <c r="EH130">
        <f t="shared" si="367"/>
        <v>-1</v>
      </c>
      <c r="EI130">
        <f t="shared" si="367"/>
        <v>-1</v>
      </c>
      <c r="EJ130">
        <f t="shared" si="367"/>
        <v>-1</v>
      </c>
      <c r="EK130">
        <f t="shared" si="367"/>
        <v>-1</v>
      </c>
      <c r="EL130">
        <f t="shared" si="367"/>
        <v>-1</v>
      </c>
      <c r="EM130">
        <f t="shared" si="367"/>
        <v>-1</v>
      </c>
      <c r="EN130">
        <f t="shared" si="367"/>
        <v>-1</v>
      </c>
      <c r="EO130">
        <f t="shared" si="367"/>
        <v>-1</v>
      </c>
    </row>
    <row r="131" spans="1:145" x14ac:dyDescent="0.15">
      <c r="A131" t="e">
        <f t="shared" si="193"/>
        <v>#N/A</v>
      </c>
      <c r="B131" s="218">
        <v>123</v>
      </c>
      <c r="C131">
        <f t="shared" si="193"/>
        <v>-1</v>
      </c>
      <c r="D131">
        <f t="shared" ref="D131:BO131" si="368">IF(OR(D130=-1,AND(IF(D$3&lt;$B131,D130+D$6,IF(D$3=$B131,1,""))&gt;$B$1,D$3&lt;$B131)),-1,IF(D$3&lt;$B131,D130+D$6,IF(D$3=$B131,1,"")))</f>
        <v>-1</v>
      </c>
      <c r="E131">
        <f t="shared" si="368"/>
        <v>-1</v>
      </c>
      <c r="F131">
        <f t="shared" si="368"/>
        <v>-1</v>
      </c>
      <c r="G131">
        <f t="shared" si="368"/>
        <v>-1</v>
      </c>
      <c r="H131">
        <f t="shared" si="368"/>
        <v>-1</v>
      </c>
      <c r="I131">
        <f t="shared" si="368"/>
        <v>-1</v>
      </c>
      <c r="J131">
        <f t="shared" si="368"/>
        <v>-1</v>
      </c>
      <c r="K131">
        <f t="shared" si="368"/>
        <v>-1</v>
      </c>
      <c r="L131">
        <f t="shared" si="368"/>
        <v>-1</v>
      </c>
      <c r="M131">
        <f t="shared" si="368"/>
        <v>-1</v>
      </c>
      <c r="N131">
        <f t="shared" si="368"/>
        <v>-1</v>
      </c>
      <c r="O131">
        <f t="shared" si="368"/>
        <v>-1</v>
      </c>
      <c r="P131">
        <f t="shared" si="368"/>
        <v>-1</v>
      </c>
      <c r="Q131">
        <f t="shared" si="368"/>
        <v>-1</v>
      </c>
      <c r="R131">
        <f t="shared" si="368"/>
        <v>-1</v>
      </c>
      <c r="S131">
        <f t="shared" si="368"/>
        <v>-1</v>
      </c>
      <c r="T131">
        <f t="shared" si="368"/>
        <v>-1</v>
      </c>
      <c r="U131">
        <f t="shared" si="368"/>
        <v>-1</v>
      </c>
      <c r="V131">
        <f t="shared" si="368"/>
        <v>-1</v>
      </c>
      <c r="W131">
        <f t="shared" si="368"/>
        <v>-1</v>
      </c>
      <c r="X131">
        <f t="shared" si="368"/>
        <v>-1</v>
      </c>
      <c r="Y131">
        <f t="shared" si="368"/>
        <v>-1</v>
      </c>
      <c r="Z131">
        <f t="shared" si="368"/>
        <v>-1</v>
      </c>
      <c r="AA131">
        <f t="shared" si="368"/>
        <v>-1</v>
      </c>
      <c r="AB131">
        <f t="shared" si="368"/>
        <v>-1</v>
      </c>
      <c r="AC131">
        <f t="shared" si="368"/>
        <v>-1</v>
      </c>
      <c r="AD131">
        <f t="shared" si="368"/>
        <v>-1</v>
      </c>
      <c r="AE131">
        <f t="shared" si="368"/>
        <v>-1</v>
      </c>
      <c r="AF131">
        <f t="shared" si="368"/>
        <v>-1</v>
      </c>
      <c r="AG131">
        <f t="shared" si="368"/>
        <v>-1</v>
      </c>
      <c r="AH131">
        <f t="shared" si="368"/>
        <v>-1</v>
      </c>
      <c r="AI131">
        <f t="shared" si="368"/>
        <v>72.40000000000002</v>
      </c>
      <c r="AJ131">
        <f t="shared" si="368"/>
        <v>70.000000000000043</v>
      </c>
      <c r="AK131">
        <f t="shared" si="368"/>
        <v>67.600000000000065</v>
      </c>
      <c r="AL131">
        <f t="shared" si="368"/>
        <v>65.200000000000088</v>
      </c>
      <c r="AM131">
        <f t="shared" si="368"/>
        <v>-1</v>
      </c>
      <c r="AN131">
        <f t="shared" si="368"/>
        <v>-1</v>
      </c>
      <c r="AO131">
        <f t="shared" si="368"/>
        <v>-1</v>
      </c>
      <c r="AP131">
        <f t="shared" si="368"/>
        <v>-1</v>
      </c>
      <c r="AQ131">
        <f t="shared" si="368"/>
        <v>-1</v>
      </c>
      <c r="AR131">
        <f t="shared" si="368"/>
        <v>-1</v>
      </c>
      <c r="AS131">
        <f t="shared" si="368"/>
        <v>-1</v>
      </c>
      <c r="AT131">
        <f t="shared" si="368"/>
        <v>-1</v>
      </c>
      <c r="AU131">
        <f t="shared" si="368"/>
        <v>-1</v>
      </c>
      <c r="AV131">
        <f t="shared" si="368"/>
        <v>-1</v>
      </c>
      <c r="AW131">
        <f t="shared" si="368"/>
        <v>-1</v>
      </c>
      <c r="AX131">
        <f t="shared" si="368"/>
        <v>-1</v>
      </c>
      <c r="AY131">
        <f t="shared" si="368"/>
        <v>-1</v>
      </c>
      <c r="AZ131">
        <f t="shared" si="368"/>
        <v>-1</v>
      </c>
      <c r="BA131">
        <f t="shared" si="368"/>
        <v>-1</v>
      </c>
      <c r="BB131">
        <f t="shared" si="368"/>
        <v>-1</v>
      </c>
      <c r="BC131">
        <f t="shared" si="368"/>
        <v>-1</v>
      </c>
      <c r="BD131">
        <f t="shared" si="368"/>
        <v>-1</v>
      </c>
      <c r="BE131">
        <f t="shared" si="368"/>
        <v>-1</v>
      </c>
      <c r="BF131">
        <f t="shared" si="368"/>
        <v>-1</v>
      </c>
      <c r="BG131">
        <f t="shared" si="368"/>
        <v>-1</v>
      </c>
      <c r="BH131">
        <f t="shared" si="368"/>
        <v>-1</v>
      </c>
      <c r="BI131">
        <f t="shared" si="368"/>
        <v>-1</v>
      </c>
      <c r="BJ131">
        <f t="shared" si="368"/>
        <v>-1</v>
      </c>
      <c r="BK131">
        <f t="shared" si="368"/>
        <v>-1</v>
      </c>
      <c r="BL131">
        <f t="shared" si="368"/>
        <v>-1</v>
      </c>
      <c r="BM131">
        <f t="shared" si="368"/>
        <v>-1</v>
      </c>
      <c r="BN131">
        <f t="shared" si="368"/>
        <v>-1</v>
      </c>
      <c r="BO131">
        <f t="shared" si="368"/>
        <v>-1</v>
      </c>
      <c r="BP131">
        <f t="shared" ref="BP131:EA131" si="369">IF(OR(BP130=-1,AND(IF(BP$3&lt;$B131,BP130+BP$6,IF(BP$3=$B131,1,""))&gt;$B$1,BP$3&lt;$B131)),-1,IF(BP$3&lt;$B131,BP130+BP$6,IF(BP$3=$B131,1,"")))</f>
        <v>-1</v>
      </c>
      <c r="BQ131">
        <f t="shared" si="369"/>
        <v>-1</v>
      </c>
      <c r="BR131">
        <f t="shared" si="369"/>
        <v>-1</v>
      </c>
      <c r="BS131">
        <f t="shared" si="369"/>
        <v>-1</v>
      </c>
      <c r="BT131">
        <f t="shared" si="369"/>
        <v>-1</v>
      </c>
      <c r="BU131">
        <f t="shared" si="369"/>
        <v>71.200000000000031</v>
      </c>
      <c r="BV131">
        <f t="shared" si="369"/>
        <v>67.600000000000065</v>
      </c>
      <c r="BW131">
        <f t="shared" si="369"/>
        <v>64.000000000000099</v>
      </c>
      <c r="BX131">
        <f t="shared" si="369"/>
        <v>60.400000000000098</v>
      </c>
      <c r="BY131">
        <f t="shared" si="369"/>
        <v>56.80000000000009</v>
      </c>
      <c r="BZ131">
        <f t="shared" si="369"/>
        <v>53.200000000000081</v>
      </c>
      <c r="CA131">
        <f t="shared" si="369"/>
        <v>49.600000000000072</v>
      </c>
      <c r="CB131">
        <f t="shared" si="369"/>
        <v>46.000000000000064</v>
      </c>
      <c r="CC131">
        <f t="shared" si="369"/>
        <v>42.400000000000055</v>
      </c>
      <c r="CD131">
        <f t="shared" si="369"/>
        <v>38.800000000000047</v>
      </c>
      <c r="CE131">
        <f t="shared" si="369"/>
        <v>35.200000000000038</v>
      </c>
      <c r="CF131">
        <f t="shared" si="369"/>
        <v>31.60000000000003</v>
      </c>
      <c r="CG131">
        <f t="shared" si="369"/>
        <v>28.000000000000021</v>
      </c>
      <c r="CH131">
        <f t="shared" si="369"/>
        <v>24.400000000000013</v>
      </c>
      <c r="CI131">
        <f t="shared" si="369"/>
        <v>20.800000000000004</v>
      </c>
      <c r="CJ131">
        <f t="shared" si="369"/>
        <v>17.199999999999996</v>
      </c>
      <c r="CK131">
        <f t="shared" si="369"/>
        <v>13.599999999999994</v>
      </c>
      <c r="CL131">
        <f t="shared" si="369"/>
        <v>9.9999999999999964</v>
      </c>
      <c r="CM131">
        <f t="shared" si="369"/>
        <v>6.3999999999999986</v>
      </c>
      <c r="CN131">
        <f t="shared" si="369"/>
        <v>2.8000000000000003</v>
      </c>
      <c r="CO131">
        <f t="shared" si="369"/>
        <v>49.5</v>
      </c>
      <c r="CP131">
        <f t="shared" si="369"/>
        <v>36.5</v>
      </c>
      <c r="CQ131">
        <f t="shared" si="369"/>
        <v>-1</v>
      </c>
      <c r="CR131">
        <f t="shared" si="369"/>
        <v>-1</v>
      </c>
      <c r="CS131">
        <f t="shared" si="369"/>
        <v>-1</v>
      </c>
      <c r="CT131">
        <f t="shared" si="369"/>
        <v>-1</v>
      </c>
      <c r="CU131">
        <f t="shared" si="369"/>
        <v>-1</v>
      </c>
      <c r="CV131">
        <f t="shared" si="369"/>
        <v>-1</v>
      </c>
      <c r="CW131">
        <f t="shared" si="369"/>
        <v>-1</v>
      </c>
      <c r="CX131">
        <f t="shared" si="369"/>
        <v>-1</v>
      </c>
      <c r="CY131">
        <f t="shared" si="369"/>
        <v>-1</v>
      </c>
      <c r="CZ131">
        <f t="shared" si="369"/>
        <v>-1</v>
      </c>
      <c r="DA131">
        <f t="shared" si="369"/>
        <v>-1</v>
      </c>
      <c r="DB131">
        <f t="shared" si="369"/>
        <v>-1</v>
      </c>
      <c r="DC131">
        <f t="shared" si="369"/>
        <v>-1</v>
      </c>
      <c r="DD131">
        <f t="shared" si="369"/>
        <v>-1</v>
      </c>
      <c r="DE131">
        <f t="shared" si="369"/>
        <v>-1</v>
      </c>
      <c r="DF131">
        <f t="shared" si="369"/>
        <v>-1</v>
      </c>
      <c r="DG131">
        <f t="shared" si="369"/>
        <v>-1</v>
      </c>
      <c r="DH131">
        <f t="shared" si="369"/>
        <v>-1</v>
      </c>
      <c r="DI131">
        <f t="shared" si="369"/>
        <v>-1</v>
      </c>
      <c r="DJ131">
        <f t="shared" si="369"/>
        <v>-1</v>
      </c>
      <c r="DK131">
        <f t="shared" si="369"/>
        <v>-1</v>
      </c>
      <c r="DL131">
        <f t="shared" si="369"/>
        <v>-1</v>
      </c>
      <c r="DM131">
        <f t="shared" si="369"/>
        <v>-1</v>
      </c>
      <c r="DN131">
        <f t="shared" si="369"/>
        <v>-1</v>
      </c>
      <c r="DO131">
        <f t="shared" si="369"/>
        <v>-1</v>
      </c>
      <c r="DP131">
        <f t="shared" si="369"/>
        <v>-1</v>
      </c>
      <c r="DQ131">
        <f t="shared" si="369"/>
        <v>-1</v>
      </c>
      <c r="DR131">
        <f t="shared" si="369"/>
        <v>-1</v>
      </c>
      <c r="DS131">
        <f t="shared" si="369"/>
        <v>-1</v>
      </c>
      <c r="DT131">
        <f t="shared" si="369"/>
        <v>-1</v>
      </c>
      <c r="DU131">
        <f t="shared" si="369"/>
        <v>-1</v>
      </c>
      <c r="DV131">
        <f t="shared" si="369"/>
        <v>-1</v>
      </c>
      <c r="DW131">
        <f t="shared" si="369"/>
        <v>-1</v>
      </c>
      <c r="DX131">
        <f t="shared" si="369"/>
        <v>-1</v>
      </c>
      <c r="DY131">
        <f t="shared" si="369"/>
        <v>-1</v>
      </c>
      <c r="DZ131">
        <f t="shared" si="369"/>
        <v>-1</v>
      </c>
      <c r="EA131">
        <f t="shared" si="369"/>
        <v>-1</v>
      </c>
      <c r="EB131">
        <f t="shared" ref="EB131:EO131" si="370">IF(OR(EB130=-1,AND(IF(EB$3&lt;$B131,EB130+EB$6,IF(EB$3=$B131,1,""))&gt;$B$1,EB$3&lt;$B131)),-1,IF(EB$3&lt;$B131,EB130+EB$6,IF(EB$3=$B131,1,"")))</f>
        <v>-1</v>
      </c>
      <c r="EC131">
        <f t="shared" si="370"/>
        <v>-1</v>
      </c>
      <c r="ED131">
        <f t="shared" si="370"/>
        <v>-1</v>
      </c>
      <c r="EE131">
        <f t="shared" si="370"/>
        <v>-1</v>
      </c>
      <c r="EF131">
        <f t="shared" si="370"/>
        <v>-1</v>
      </c>
      <c r="EG131">
        <f t="shared" si="370"/>
        <v>-1</v>
      </c>
      <c r="EH131">
        <f t="shared" si="370"/>
        <v>-1</v>
      </c>
      <c r="EI131">
        <f t="shared" si="370"/>
        <v>-1</v>
      </c>
      <c r="EJ131">
        <f t="shared" si="370"/>
        <v>-1</v>
      </c>
      <c r="EK131">
        <f t="shared" si="370"/>
        <v>-1</v>
      </c>
      <c r="EL131">
        <f t="shared" si="370"/>
        <v>-1</v>
      </c>
      <c r="EM131">
        <f t="shared" si="370"/>
        <v>-1</v>
      </c>
      <c r="EN131">
        <f t="shared" si="370"/>
        <v>-1</v>
      </c>
      <c r="EO131">
        <f t="shared" si="370"/>
        <v>-1</v>
      </c>
    </row>
    <row r="132" spans="1:145" x14ac:dyDescent="0.15">
      <c r="A132" t="e">
        <f t="shared" si="193"/>
        <v>#N/A</v>
      </c>
      <c r="B132" s="218">
        <v>124</v>
      </c>
      <c r="C132">
        <f t="shared" si="193"/>
        <v>-1</v>
      </c>
      <c r="D132">
        <f t="shared" ref="D132:BO132" si="371">IF(OR(D131=-1,AND(IF(D$3&lt;$B132,D131+D$6,IF(D$3=$B132,1,""))&gt;$B$1,D$3&lt;$B132)),-1,IF(D$3&lt;$B132,D131+D$6,IF(D$3=$B132,1,"")))</f>
        <v>-1</v>
      </c>
      <c r="E132">
        <f t="shared" si="371"/>
        <v>-1</v>
      </c>
      <c r="F132">
        <f t="shared" si="371"/>
        <v>-1</v>
      </c>
      <c r="G132">
        <f t="shared" si="371"/>
        <v>-1</v>
      </c>
      <c r="H132">
        <f t="shared" si="371"/>
        <v>-1</v>
      </c>
      <c r="I132">
        <f t="shared" si="371"/>
        <v>-1</v>
      </c>
      <c r="J132">
        <f t="shared" si="371"/>
        <v>-1</v>
      </c>
      <c r="K132">
        <f t="shared" si="371"/>
        <v>-1</v>
      </c>
      <c r="L132">
        <f t="shared" si="371"/>
        <v>-1</v>
      </c>
      <c r="M132">
        <f t="shared" si="371"/>
        <v>-1</v>
      </c>
      <c r="N132">
        <f t="shared" si="371"/>
        <v>-1</v>
      </c>
      <c r="O132">
        <f t="shared" si="371"/>
        <v>-1</v>
      </c>
      <c r="P132">
        <f t="shared" si="371"/>
        <v>-1</v>
      </c>
      <c r="Q132">
        <f t="shared" si="371"/>
        <v>-1</v>
      </c>
      <c r="R132">
        <f t="shared" si="371"/>
        <v>-1</v>
      </c>
      <c r="S132">
        <f t="shared" si="371"/>
        <v>-1</v>
      </c>
      <c r="T132">
        <f t="shared" si="371"/>
        <v>-1</v>
      </c>
      <c r="U132">
        <f t="shared" si="371"/>
        <v>-1</v>
      </c>
      <c r="V132">
        <f t="shared" si="371"/>
        <v>-1</v>
      </c>
      <c r="W132">
        <f t="shared" si="371"/>
        <v>-1</v>
      </c>
      <c r="X132">
        <f t="shared" si="371"/>
        <v>-1</v>
      </c>
      <c r="Y132">
        <f t="shared" si="371"/>
        <v>-1</v>
      </c>
      <c r="Z132">
        <f t="shared" si="371"/>
        <v>-1</v>
      </c>
      <c r="AA132">
        <f t="shared" si="371"/>
        <v>-1</v>
      </c>
      <c r="AB132">
        <f t="shared" si="371"/>
        <v>-1</v>
      </c>
      <c r="AC132">
        <f t="shared" si="371"/>
        <v>-1</v>
      </c>
      <c r="AD132">
        <f t="shared" si="371"/>
        <v>-1</v>
      </c>
      <c r="AE132">
        <f t="shared" si="371"/>
        <v>-1</v>
      </c>
      <c r="AF132">
        <f t="shared" si="371"/>
        <v>-1</v>
      </c>
      <c r="AG132">
        <f t="shared" si="371"/>
        <v>-1</v>
      </c>
      <c r="AH132">
        <f t="shared" si="371"/>
        <v>-1</v>
      </c>
      <c r="AI132">
        <f t="shared" si="371"/>
        <v>73.000000000000014</v>
      </c>
      <c r="AJ132">
        <f t="shared" si="371"/>
        <v>70.600000000000037</v>
      </c>
      <c r="AK132">
        <f t="shared" si="371"/>
        <v>68.20000000000006</v>
      </c>
      <c r="AL132">
        <f t="shared" si="371"/>
        <v>65.800000000000082</v>
      </c>
      <c r="AM132">
        <f t="shared" si="371"/>
        <v>-1</v>
      </c>
      <c r="AN132">
        <f t="shared" si="371"/>
        <v>-1</v>
      </c>
      <c r="AO132">
        <f t="shared" si="371"/>
        <v>-1</v>
      </c>
      <c r="AP132">
        <f t="shared" si="371"/>
        <v>-1</v>
      </c>
      <c r="AQ132">
        <f t="shared" si="371"/>
        <v>-1</v>
      </c>
      <c r="AR132">
        <f t="shared" si="371"/>
        <v>-1</v>
      </c>
      <c r="AS132">
        <f t="shared" si="371"/>
        <v>-1</v>
      </c>
      <c r="AT132">
        <f t="shared" si="371"/>
        <v>-1</v>
      </c>
      <c r="AU132">
        <f t="shared" si="371"/>
        <v>-1</v>
      </c>
      <c r="AV132">
        <f t="shared" si="371"/>
        <v>-1</v>
      </c>
      <c r="AW132">
        <f t="shared" si="371"/>
        <v>-1</v>
      </c>
      <c r="AX132">
        <f t="shared" si="371"/>
        <v>-1</v>
      </c>
      <c r="AY132">
        <f t="shared" si="371"/>
        <v>-1</v>
      </c>
      <c r="AZ132">
        <f t="shared" si="371"/>
        <v>-1</v>
      </c>
      <c r="BA132">
        <f t="shared" si="371"/>
        <v>-1</v>
      </c>
      <c r="BB132">
        <f t="shared" si="371"/>
        <v>-1</v>
      </c>
      <c r="BC132">
        <f t="shared" si="371"/>
        <v>-1</v>
      </c>
      <c r="BD132">
        <f t="shared" si="371"/>
        <v>-1</v>
      </c>
      <c r="BE132">
        <f t="shared" si="371"/>
        <v>-1</v>
      </c>
      <c r="BF132">
        <f t="shared" si="371"/>
        <v>-1</v>
      </c>
      <c r="BG132">
        <f t="shared" si="371"/>
        <v>-1</v>
      </c>
      <c r="BH132">
        <f t="shared" si="371"/>
        <v>-1</v>
      </c>
      <c r="BI132">
        <f t="shared" si="371"/>
        <v>-1</v>
      </c>
      <c r="BJ132">
        <f t="shared" si="371"/>
        <v>-1</v>
      </c>
      <c r="BK132">
        <f t="shared" si="371"/>
        <v>-1</v>
      </c>
      <c r="BL132">
        <f t="shared" si="371"/>
        <v>-1</v>
      </c>
      <c r="BM132">
        <f t="shared" si="371"/>
        <v>-1</v>
      </c>
      <c r="BN132">
        <f t="shared" si="371"/>
        <v>-1</v>
      </c>
      <c r="BO132">
        <f t="shared" si="371"/>
        <v>-1</v>
      </c>
      <c r="BP132">
        <f t="shared" ref="BP132:EA132" si="372">IF(OR(BP131=-1,AND(IF(BP$3&lt;$B132,BP131+BP$6,IF(BP$3=$B132,1,""))&gt;$B$1,BP$3&lt;$B132)),-1,IF(BP$3&lt;$B132,BP131+BP$6,IF(BP$3=$B132,1,"")))</f>
        <v>-1</v>
      </c>
      <c r="BQ132">
        <f t="shared" si="372"/>
        <v>-1</v>
      </c>
      <c r="BR132">
        <f t="shared" si="372"/>
        <v>-1</v>
      </c>
      <c r="BS132">
        <f t="shared" si="372"/>
        <v>-1</v>
      </c>
      <c r="BT132">
        <f t="shared" si="372"/>
        <v>-1</v>
      </c>
      <c r="BU132">
        <f t="shared" si="372"/>
        <v>71.800000000000026</v>
      </c>
      <c r="BV132">
        <f t="shared" si="372"/>
        <v>68.20000000000006</v>
      </c>
      <c r="BW132">
        <f t="shared" si="372"/>
        <v>64.600000000000094</v>
      </c>
      <c r="BX132">
        <f t="shared" si="372"/>
        <v>61.000000000000099</v>
      </c>
      <c r="BY132">
        <f t="shared" si="372"/>
        <v>57.400000000000091</v>
      </c>
      <c r="BZ132">
        <f t="shared" si="372"/>
        <v>53.800000000000082</v>
      </c>
      <c r="CA132">
        <f t="shared" si="372"/>
        <v>50.200000000000074</v>
      </c>
      <c r="CB132">
        <f t="shared" si="372"/>
        <v>46.600000000000065</v>
      </c>
      <c r="CC132">
        <f t="shared" si="372"/>
        <v>43.000000000000057</v>
      </c>
      <c r="CD132">
        <f t="shared" si="372"/>
        <v>39.400000000000048</v>
      </c>
      <c r="CE132">
        <f t="shared" si="372"/>
        <v>35.80000000000004</v>
      </c>
      <c r="CF132">
        <f t="shared" si="372"/>
        <v>32.200000000000031</v>
      </c>
      <c r="CG132">
        <f t="shared" si="372"/>
        <v>28.600000000000023</v>
      </c>
      <c r="CH132">
        <f t="shared" si="372"/>
        <v>25.000000000000014</v>
      </c>
      <c r="CI132">
        <f t="shared" si="372"/>
        <v>21.400000000000006</v>
      </c>
      <c r="CJ132">
        <f t="shared" si="372"/>
        <v>17.799999999999997</v>
      </c>
      <c r="CK132">
        <f t="shared" si="372"/>
        <v>14.199999999999994</v>
      </c>
      <c r="CL132">
        <f t="shared" si="372"/>
        <v>10.599999999999996</v>
      </c>
      <c r="CM132">
        <f t="shared" si="372"/>
        <v>6.9999999999999982</v>
      </c>
      <c r="CN132">
        <f t="shared" si="372"/>
        <v>3.4000000000000004</v>
      </c>
      <c r="CO132">
        <f t="shared" si="372"/>
        <v>50</v>
      </c>
      <c r="CP132">
        <f t="shared" si="372"/>
        <v>37</v>
      </c>
      <c r="CQ132">
        <f t="shared" si="372"/>
        <v>-1</v>
      </c>
      <c r="CR132">
        <f t="shared" si="372"/>
        <v>-1</v>
      </c>
      <c r="CS132">
        <f t="shared" si="372"/>
        <v>-1</v>
      </c>
      <c r="CT132">
        <f t="shared" si="372"/>
        <v>-1</v>
      </c>
      <c r="CU132">
        <f t="shared" si="372"/>
        <v>-1</v>
      </c>
      <c r="CV132">
        <f t="shared" si="372"/>
        <v>-1</v>
      </c>
      <c r="CW132">
        <f t="shared" si="372"/>
        <v>-1</v>
      </c>
      <c r="CX132">
        <f t="shared" si="372"/>
        <v>-1</v>
      </c>
      <c r="CY132">
        <f t="shared" si="372"/>
        <v>-1</v>
      </c>
      <c r="CZ132">
        <f t="shared" si="372"/>
        <v>-1</v>
      </c>
      <c r="DA132">
        <f t="shared" si="372"/>
        <v>-1</v>
      </c>
      <c r="DB132">
        <f t="shared" si="372"/>
        <v>-1</v>
      </c>
      <c r="DC132">
        <f t="shared" si="372"/>
        <v>-1</v>
      </c>
      <c r="DD132">
        <f t="shared" si="372"/>
        <v>-1</v>
      </c>
      <c r="DE132">
        <f t="shared" si="372"/>
        <v>-1</v>
      </c>
      <c r="DF132">
        <f t="shared" si="372"/>
        <v>-1</v>
      </c>
      <c r="DG132">
        <f t="shared" si="372"/>
        <v>-1</v>
      </c>
      <c r="DH132">
        <f t="shared" si="372"/>
        <v>-1</v>
      </c>
      <c r="DI132">
        <f t="shared" si="372"/>
        <v>-1</v>
      </c>
      <c r="DJ132">
        <f t="shared" si="372"/>
        <v>-1</v>
      </c>
      <c r="DK132">
        <f t="shared" si="372"/>
        <v>-1</v>
      </c>
      <c r="DL132">
        <f t="shared" si="372"/>
        <v>-1</v>
      </c>
      <c r="DM132">
        <f t="shared" si="372"/>
        <v>-1</v>
      </c>
      <c r="DN132">
        <f t="shared" si="372"/>
        <v>-1</v>
      </c>
      <c r="DO132">
        <f t="shared" si="372"/>
        <v>-1</v>
      </c>
      <c r="DP132">
        <f t="shared" si="372"/>
        <v>-1</v>
      </c>
      <c r="DQ132">
        <f t="shared" si="372"/>
        <v>-1</v>
      </c>
      <c r="DR132">
        <f t="shared" si="372"/>
        <v>-1</v>
      </c>
      <c r="DS132">
        <f t="shared" si="372"/>
        <v>-1</v>
      </c>
      <c r="DT132">
        <f t="shared" si="372"/>
        <v>-1</v>
      </c>
      <c r="DU132">
        <f t="shared" si="372"/>
        <v>-1</v>
      </c>
      <c r="DV132">
        <f t="shared" si="372"/>
        <v>-1</v>
      </c>
      <c r="DW132">
        <f t="shared" si="372"/>
        <v>-1</v>
      </c>
      <c r="DX132">
        <f t="shared" si="372"/>
        <v>-1</v>
      </c>
      <c r="DY132">
        <f t="shared" si="372"/>
        <v>-1</v>
      </c>
      <c r="DZ132">
        <f t="shared" si="372"/>
        <v>-1</v>
      </c>
      <c r="EA132">
        <f t="shared" si="372"/>
        <v>-1</v>
      </c>
      <c r="EB132">
        <f t="shared" ref="EB132:EO132" si="373">IF(OR(EB131=-1,AND(IF(EB$3&lt;$B132,EB131+EB$6,IF(EB$3=$B132,1,""))&gt;$B$1,EB$3&lt;$B132)),-1,IF(EB$3&lt;$B132,EB131+EB$6,IF(EB$3=$B132,1,"")))</f>
        <v>-1</v>
      </c>
      <c r="EC132">
        <f t="shared" si="373"/>
        <v>-1</v>
      </c>
      <c r="ED132">
        <f t="shared" si="373"/>
        <v>-1</v>
      </c>
      <c r="EE132">
        <f t="shared" si="373"/>
        <v>-1</v>
      </c>
      <c r="EF132">
        <f t="shared" si="373"/>
        <v>-1</v>
      </c>
      <c r="EG132">
        <f t="shared" si="373"/>
        <v>-1</v>
      </c>
      <c r="EH132">
        <f t="shared" si="373"/>
        <v>-1</v>
      </c>
      <c r="EI132">
        <f t="shared" si="373"/>
        <v>-1</v>
      </c>
      <c r="EJ132">
        <f t="shared" si="373"/>
        <v>-1</v>
      </c>
      <c r="EK132">
        <f t="shared" si="373"/>
        <v>-1</v>
      </c>
      <c r="EL132">
        <f t="shared" si="373"/>
        <v>-1</v>
      </c>
      <c r="EM132">
        <f t="shared" si="373"/>
        <v>-1</v>
      </c>
      <c r="EN132">
        <f t="shared" si="373"/>
        <v>-1</v>
      </c>
      <c r="EO132">
        <f t="shared" si="373"/>
        <v>-1</v>
      </c>
    </row>
    <row r="133" spans="1:145" x14ac:dyDescent="0.15">
      <c r="A133" t="e">
        <f t="shared" si="193"/>
        <v>#N/A</v>
      </c>
      <c r="B133" s="218">
        <v>125</v>
      </c>
      <c r="C133">
        <f t="shared" si="193"/>
        <v>-1</v>
      </c>
      <c r="D133">
        <f t="shared" ref="D133:BO133" si="374">IF(OR(D132=-1,AND(IF(D$3&lt;$B133,D132+D$6,IF(D$3=$B133,1,""))&gt;$B$1,D$3&lt;$B133)),-1,IF(D$3&lt;$B133,D132+D$6,IF(D$3=$B133,1,"")))</f>
        <v>-1</v>
      </c>
      <c r="E133">
        <f t="shared" si="374"/>
        <v>-1</v>
      </c>
      <c r="F133">
        <f t="shared" si="374"/>
        <v>-1</v>
      </c>
      <c r="G133">
        <f t="shared" si="374"/>
        <v>-1</v>
      </c>
      <c r="H133">
        <f t="shared" si="374"/>
        <v>-1</v>
      </c>
      <c r="I133">
        <f t="shared" si="374"/>
        <v>-1</v>
      </c>
      <c r="J133">
        <f t="shared" si="374"/>
        <v>-1</v>
      </c>
      <c r="K133">
        <f t="shared" si="374"/>
        <v>-1</v>
      </c>
      <c r="L133">
        <f t="shared" si="374"/>
        <v>-1</v>
      </c>
      <c r="M133">
        <f t="shared" si="374"/>
        <v>-1</v>
      </c>
      <c r="N133">
        <f t="shared" si="374"/>
        <v>-1</v>
      </c>
      <c r="O133">
        <f t="shared" si="374"/>
        <v>-1</v>
      </c>
      <c r="P133">
        <f t="shared" si="374"/>
        <v>-1</v>
      </c>
      <c r="Q133">
        <f t="shared" si="374"/>
        <v>-1</v>
      </c>
      <c r="R133">
        <f t="shared" si="374"/>
        <v>-1</v>
      </c>
      <c r="S133">
        <f t="shared" si="374"/>
        <v>-1</v>
      </c>
      <c r="T133">
        <f t="shared" si="374"/>
        <v>-1</v>
      </c>
      <c r="U133">
        <f t="shared" si="374"/>
        <v>-1</v>
      </c>
      <c r="V133">
        <f t="shared" si="374"/>
        <v>-1</v>
      </c>
      <c r="W133">
        <f t="shared" si="374"/>
        <v>-1</v>
      </c>
      <c r="X133">
        <f t="shared" si="374"/>
        <v>-1</v>
      </c>
      <c r="Y133">
        <f t="shared" si="374"/>
        <v>-1</v>
      </c>
      <c r="Z133">
        <f t="shared" si="374"/>
        <v>-1</v>
      </c>
      <c r="AA133">
        <f t="shared" si="374"/>
        <v>-1</v>
      </c>
      <c r="AB133">
        <f t="shared" si="374"/>
        <v>-1</v>
      </c>
      <c r="AC133">
        <f t="shared" si="374"/>
        <v>-1</v>
      </c>
      <c r="AD133">
        <f t="shared" si="374"/>
        <v>-1</v>
      </c>
      <c r="AE133">
        <f t="shared" si="374"/>
        <v>-1</v>
      </c>
      <c r="AF133">
        <f t="shared" si="374"/>
        <v>-1</v>
      </c>
      <c r="AG133">
        <f t="shared" si="374"/>
        <v>-1</v>
      </c>
      <c r="AH133">
        <f t="shared" si="374"/>
        <v>-1</v>
      </c>
      <c r="AI133">
        <f t="shared" si="374"/>
        <v>73.600000000000009</v>
      </c>
      <c r="AJ133">
        <f t="shared" si="374"/>
        <v>71.200000000000031</v>
      </c>
      <c r="AK133">
        <f t="shared" si="374"/>
        <v>68.800000000000054</v>
      </c>
      <c r="AL133">
        <f t="shared" si="374"/>
        <v>66.400000000000077</v>
      </c>
      <c r="AM133">
        <f t="shared" si="374"/>
        <v>-1</v>
      </c>
      <c r="AN133">
        <f t="shared" si="374"/>
        <v>-1</v>
      </c>
      <c r="AO133">
        <f t="shared" si="374"/>
        <v>-1</v>
      </c>
      <c r="AP133">
        <f t="shared" si="374"/>
        <v>-1</v>
      </c>
      <c r="AQ133">
        <f t="shared" si="374"/>
        <v>-1</v>
      </c>
      <c r="AR133">
        <f t="shared" si="374"/>
        <v>-1</v>
      </c>
      <c r="AS133">
        <f t="shared" si="374"/>
        <v>-1</v>
      </c>
      <c r="AT133">
        <f t="shared" si="374"/>
        <v>-1</v>
      </c>
      <c r="AU133">
        <f t="shared" si="374"/>
        <v>-1</v>
      </c>
      <c r="AV133">
        <f t="shared" si="374"/>
        <v>-1</v>
      </c>
      <c r="AW133">
        <f t="shared" si="374"/>
        <v>-1</v>
      </c>
      <c r="AX133">
        <f t="shared" si="374"/>
        <v>-1</v>
      </c>
      <c r="AY133">
        <f t="shared" si="374"/>
        <v>-1</v>
      </c>
      <c r="AZ133">
        <f t="shared" si="374"/>
        <v>-1</v>
      </c>
      <c r="BA133">
        <f t="shared" si="374"/>
        <v>-1</v>
      </c>
      <c r="BB133">
        <f t="shared" si="374"/>
        <v>-1</v>
      </c>
      <c r="BC133">
        <f t="shared" si="374"/>
        <v>-1</v>
      </c>
      <c r="BD133">
        <f t="shared" si="374"/>
        <v>-1</v>
      </c>
      <c r="BE133">
        <f t="shared" si="374"/>
        <v>-1</v>
      </c>
      <c r="BF133">
        <f t="shared" si="374"/>
        <v>-1</v>
      </c>
      <c r="BG133">
        <f t="shared" si="374"/>
        <v>-1</v>
      </c>
      <c r="BH133">
        <f t="shared" si="374"/>
        <v>-1</v>
      </c>
      <c r="BI133">
        <f t="shared" si="374"/>
        <v>-1</v>
      </c>
      <c r="BJ133">
        <f t="shared" si="374"/>
        <v>-1</v>
      </c>
      <c r="BK133">
        <f t="shared" si="374"/>
        <v>-1</v>
      </c>
      <c r="BL133">
        <f t="shared" si="374"/>
        <v>-1</v>
      </c>
      <c r="BM133">
        <f t="shared" si="374"/>
        <v>-1</v>
      </c>
      <c r="BN133">
        <f t="shared" si="374"/>
        <v>-1</v>
      </c>
      <c r="BO133">
        <f t="shared" si="374"/>
        <v>-1</v>
      </c>
      <c r="BP133">
        <f t="shared" ref="BP133:EA133" si="375">IF(OR(BP132=-1,AND(IF(BP$3&lt;$B133,BP132+BP$6,IF(BP$3=$B133,1,""))&gt;$B$1,BP$3&lt;$B133)),-1,IF(BP$3&lt;$B133,BP132+BP$6,IF(BP$3=$B133,1,"")))</f>
        <v>-1</v>
      </c>
      <c r="BQ133">
        <f t="shared" si="375"/>
        <v>-1</v>
      </c>
      <c r="BR133">
        <f t="shared" si="375"/>
        <v>-1</v>
      </c>
      <c r="BS133">
        <f t="shared" si="375"/>
        <v>-1</v>
      </c>
      <c r="BT133">
        <f t="shared" si="375"/>
        <v>-1</v>
      </c>
      <c r="BU133">
        <f t="shared" si="375"/>
        <v>72.40000000000002</v>
      </c>
      <c r="BV133">
        <f t="shared" si="375"/>
        <v>68.800000000000054</v>
      </c>
      <c r="BW133">
        <f t="shared" si="375"/>
        <v>65.200000000000088</v>
      </c>
      <c r="BX133">
        <f t="shared" si="375"/>
        <v>61.600000000000101</v>
      </c>
      <c r="BY133">
        <f t="shared" si="375"/>
        <v>58.000000000000092</v>
      </c>
      <c r="BZ133">
        <f t="shared" si="375"/>
        <v>54.400000000000084</v>
      </c>
      <c r="CA133">
        <f t="shared" si="375"/>
        <v>50.800000000000075</v>
      </c>
      <c r="CB133">
        <f t="shared" si="375"/>
        <v>47.200000000000067</v>
      </c>
      <c r="CC133">
        <f t="shared" si="375"/>
        <v>43.600000000000058</v>
      </c>
      <c r="CD133">
        <f t="shared" si="375"/>
        <v>40.00000000000005</v>
      </c>
      <c r="CE133">
        <f t="shared" si="375"/>
        <v>36.400000000000041</v>
      </c>
      <c r="CF133">
        <f t="shared" si="375"/>
        <v>32.800000000000033</v>
      </c>
      <c r="CG133">
        <f t="shared" si="375"/>
        <v>29.200000000000024</v>
      </c>
      <c r="CH133">
        <f t="shared" si="375"/>
        <v>25.600000000000016</v>
      </c>
      <c r="CI133">
        <f t="shared" si="375"/>
        <v>22.000000000000007</v>
      </c>
      <c r="CJ133">
        <f t="shared" si="375"/>
        <v>18.399999999999999</v>
      </c>
      <c r="CK133">
        <f t="shared" si="375"/>
        <v>14.799999999999994</v>
      </c>
      <c r="CL133">
        <f t="shared" si="375"/>
        <v>11.199999999999996</v>
      </c>
      <c r="CM133">
        <f t="shared" si="375"/>
        <v>7.5999999999999979</v>
      </c>
      <c r="CN133">
        <f t="shared" si="375"/>
        <v>4</v>
      </c>
      <c r="CO133">
        <f t="shared" si="375"/>
        <v>50.5</v>
      </c>
      <c r="CP133">
        <f t="shared" si="375"/>
        <v>37.5</v>
      </c>
      <c r="CQ133">
        <f t="shared" si="375"/>
        <v>-1</v>
      </c>
      <c r="CR133">
        <f t="shared" si="375"/>
        <v>-1</v>
      </c>
      <c r="CS133">
        <f t="shared" si="375"/>
        <v>-1</v>
      </c>
      <c r="CT133">
        <f t="shared" si="375"/>
        <v>-1</v>
      </c>
      <c r="CU133">
        <f t="shared" si="375"/>
        <v>-1</v>
      </c>
      <c r="CV133">
        <f t="shared" si="375"/>
        <v>-1</v>
      </c>
      <c r="CW133">
        <f t="shared" si="375"/>
        <v>-1</v>
      </c>
      <c r="CX133">
        <f t="shared" si="375"/>
        <v>-1</v>
      </c>
      <c r="CY133">
        <f t="shared" si="375"/>
        <v>-1</v>
      </c>
      <c r="CZ133">
        <f t="shared" si="375"/>
        <v>-1</v>
      </c>
      <c r="DA133">
        <f t="shared" si="375"/>
        <v>-1</v>
      </c>
      <c r="DB133">
        <f t="shared" si="375"/>
        <v>-1</v>
      </c>
      <c r="DC133">
        <f t="shared" si="375"/>
        <v>-1</v>
      </c>
      <c r="DD133">
        <f t="shared" si="375"/>
        <v>-1</v>
      </c>
      <c r="DE133">
        <f t="shared" si="375"/>
        <v>-1</v>
      </c>
      <c r="DF133">
        <f t="shared" si="375"/>
        <v>-1</v>
      </c>
      <c r="DG133">
        <f t="shared" si="375"/>
        <v>-1</v>
      </c>
      <c r="DH133">
        <f t="shared" si="375"/>
        <v>-1</v>
      </c>
      <c r="DI133">
        <f t="shared" si="375"/>
        <v>-1</v>
      </c>
      <c r="DJ133">
        <f t="shared" si="375"/>
        <v>-1</v>
      </c>
      <c r="DK133">
        <f t="shared" si="375"/>
        <v>-1</v>
      </c>
      <c r="DL133">
        <f t="shared" si="375"/>
        <v>-1</v>
      </c>
      <c r="DM133">
        <f t="shared" si="375"/>
        <v>-1</v>
      </c>
      <c r="DN133">
        <f t="shared" si="375"/>
        <v>-1</v>
      </c>
      <c r="DO133">
        <f t="shared" si="375"/>
        <v>-1</v>
      </c>
      <c r="DP133">
        <f t="shared" si="375"/>
        <v>-1</v>
      </c>
      <c r="DQ133">
        <f t="shared" si="375"/>
        <v>-1</v>
      </c>
      <c r="DR133">
        <f t="shared" si="375"/>
        <v>-1</v>
      </c>
      <c r="DS133">
        <f t="shared" si="375"/>
        <v>-1</v>
      </c>
      <c r="DT133">
        <f t="shared" si="375"/>
        <v>-1</v>
      </c>
      <c r="DU133">
        <f t="shared" si="375"/>
        <v>-1</v>
      </c>
      <c r="DV133">
        <f t="shared" si="375"/>
        <v>-1</v>
      </c>
      <c r="DW133">
        <f t="shared" si="375"/>
        <v>-1</v>
      </c>
      <c r="DX133">
        <f t="shared" si="375"/>
        <v>-1</v>
      </c>
      <c r="DY133">
        <f t="shared" si="375"/>
        <v>-1</v>
      </c>
      <c r="DZ133">
        <f t="shared" si="375"/>
        <v>-1</v>
      </c>
      <c r="EA133">
        <f t="shared" si="375"/>
        <v>-1</v>
      </c>
      <c r="EB133">
        <f t="shared" ref="EB133:EO133" si="376">IF(OR(EB132=-1,AND(IF(EB$3&lt;$B133,EB132+EB$6,IF(EB$3=$B133,1,""))&gt;$B$1,EB$3&lt;$B133)),-1,IF(EB$3&lt;$B133,EB132+EB$6,IF(EB$3=$B133,1,"")))</f>
        <v>-1</v>
      </c>
      <c r="EC133">
        <f t="shared" si="376"/>
        <v>-1</v>
      </c>
      <c r="ED133">
        <f t="shared" si="376"/>
        <v>-1</v>
      </c>
      <c r="EE133">
        <f t="shared" si="376"/>
        <v>-1</v>
      </c>
      <c r="EF133">
        <f t="shared" si="376"/>
        <v>-1</v>
      </c>
      <c r="EG133">
        <f t="shared" si="376"/>
        <v>-1</v>
      </c>
      <c r="EH133">
        <f t="shared" si="376"/>
        <v>-1</v>
      </c>
      <c r="EI133">
        <f t="shared" si="376"/>
        <v>-1</v>
      </c>
      <c r="EJ133">
        <f t="shared" si="376"/>
        <v>-1</v>
      </c>
      <c r="EK133">
        <f t="shared" si="376"/>
        <v>-1</v>
      </c>
      <c r="EL133">
        <f t="shared" si="376"/>
        <v>-1</v>
      </c>
      <c r="EM133">
        <f t="shared" si="376"/>
        <v>-1</v>
      </c>
      <c r="EN133">
        <f t="shared" si="376"/>
        <v>-1</v>
      </c>
      <c r="EO133">
        <f t="shared" si="376"/>
        <v>-1</v>
      </c>
    </row>
    <row r="134" spans="1:145" x14ac:dyDescent="0.15">
      <c r="A134" t="e">
        <f t="shared" si="193"/>
        <v>#N/A</v>
      </c>
      <c r="B134" s="218">
        <v>126</v>
      </c>
      <c r="C134">
        <f t="shared" si="193"/>
        <v>-1</v>
      </c>
      <c r="D134">
        <f t="shared" ref="D134:BO134" si="377">IF(OR(D133=-1,AND(IF(D$3&lt;$B134,D133+D$6,IF(D$3=$B134,1,""))&gt;$B$1,D$3&lt;$B134)),-1,IF(D$3&lt;$B134,D133+D$6,IF(D$3=$B134,1,"")))</f>
        <v>-1</v>
      </c>
      <c r="E134">
        <f t="shared" si="377"/>
        <v>-1</v>
      </c>
      <c r="F134">
        <f t="shared" si="377"/>
        <v>-1</v>
      </c>
      <c r="G134">
        <f t="shared" si="377"/>
        <v>-1</v>
      </c>
      <c r="H134">
        <f t="shared" si="377"/>
        <v>-1</v>
      </c>
      <c r="I134">
        <f t="shared" si="377"/>
        <v>-1</v>
      </c>
      <c r="J134">
        <f t="shared" si="377"/>
        <v>-1</v>
      </c>
      <c r="K134">
        <f t="shared" si="377"/>
        <v>-1</v>
      </c>
      <c r="L134">
        <f t="shared" si="377"/>
        <v>-1</v>
      </c>
      <c r="M134">
        <f t="shared" si="377"/>
        <v>-1</v>
      </c>
      <c r="N134">
        <f t="shared" si="377"/>
        <v>-1</v>
      </c>
      <c r="O134">
        <f t="shared" si="377"/>
        <v>-1</v>
      </c>
      <c r="P134">
        <f t="shared" si="377"/>
        <v>-1</v>
      </c>
      <c r="Q134">
        <f t="shared" si="377"/>
        <v>-1</v>
      </c>
      <c r="R134">
        <f t="shared" si="377"/>
        <v>-1</v>
      </c>
      <c r="S134">
        <f t="shared" si="377"/>
        <v>-1</v>
      </c>
      <c r="T134">
        <f t="shared" si="377"/>
        <v>-1</v>
      </c>
      <c r="U134">
        <f t="shared" si="377"/>
        <v>-1</v>
      </c>
      <c r="V134">
        <f t="shared" si="377"/>
        <v>-1</v>
      </c>
      <c r="W134">
        <f t="shared" si="377"/>
        <v>-1</v>
      </c>
      <c r="X134">
        <f t="shared" si="377"/>
        <v>-1</v>
      </c>
      <c r="Y134">
        <f t="shared" si="377"/>
        <v>-1</v>
      </c>
      <c r="Z134">
        <f t="shared" si="377"/>
        <v>-1</v>
      </c>
      <c r="AA134">
        <f t="shared" si="377"/>
        <v>-1</v>
      </c>
      <c r="AB134">
        <f t="shared" si="377"/>
        <v>-1</v>
      </c>
      <c r="AC134">
        <f t="shared" si="377"/>
        <v>-1</v>
      </c>
      <c r="AD134">
        <f t="shared" si="377"/>
        <v>-1</v>
      </c>
      <c r="AE134">
        <f t="shared" si="377"/>
        <v>-1</v>
      </c>
      <c r="AF134">
        <f t="shared" si="377"/>
        <v>-1</v>
      </c>
      <c r="AG134">
        <f t="shared" si="377"/>
        <v>-1</v>
      </c>
      <c r="AH134">
        <f t="shared" si="377"/>
        <v>-1</v>
      </c>
      <c r="AI134">
        <f t="shared" si="377"/>
        <v>74.2</v>
      </c>
      <c r="AJ134">
        <f t="shared" si="377"/>
        <v>71.800000000000026</v>
      </c>
      <c r="AK134">
        <f t="shared" si="377"/>
        <v>69.400000000000048</v>
      </c>
      <c r="AL134">
        <f t="shared" si="377"/>
        <v>67.000000000000071</v>
      </c>
      <c r="AM134">
        <f t="shared" si="377"/>
        <v>-1</v>
      </c>
      <c r="AN134">
        <f t="shared" si="377"/>
        <v>-1</v>
      </c>
      <c r="AO134">
        <f t="shared" si="377"/>
        <v>-1</v>
      </c>
      <c r="AP134">
        <f t="shared" si="377"/>
        <v>-1</v>
      </c>
      <c r="AQ134">
        <f t="shared" si="377"/>
        <v>-1</v>
      </c>
      <c r="AR134">
        <f t="shared" si="377"/>
        <v>-1</v>
      </c>
      <c r="AS134">
        <f t="shared" si="377"/>
        <v>-1</v>
      </c>
      <c r="AT134">
        <f t="shared" si="377"/>
        <v>-1</v>
      </c>
      <c r="AU134">
        <f t="shared" si="377"/>
        <v>-1</v>
      </c>
      <c r="AV134">
        <f t="shared" si="377"/>
        <v>-1</v>
      </c>
      <c r="AW134">
        <f t="shared" si="377"/>
        <v>-1</v>
      </c>
      <c r="AX134">
        <f t="shared" si="377"/>
        <v>-1</v>
      </c>
      <c r="AY134">
        <f t="shared" si="377"/>
        <v>-1</v>
      </c>
      <c r="AZ134">
        <f t="shared" si="377"/>
        <v>-1</v>
      </c>
      <c r="BA134">
        <f t="shared" si="377"/>
        <v>-1</v>
      </c>
      <c r="BB134">
        <f t="shared" si="377"/>
        <v>-1</v>
      </c>
      <c r="BC134">
        <f t="shared" si="377"/>
        <v>-1</v>
      </c>
      <c r="BD134">
        <f t="shared" si="377"/>
        <v>-1</v>
      </c>
      <c r="BE134">
        <f t="shared" si="377"/>
        <v>-1</v>
      </c>
      <c r="BF134">
        <f t="shared" si="377"/>
        <v>-1</v>
      </c>
      <c r="BG134">
        <f t="shared" si="377"/>
        <v>-1</v>
      </c>
      <c r="BH134">
        <f t="shared" si="377"/>
        <v>-1</v>
      </c>
      <c r="BI134">
        <f t="shared" si="377"/>
        <v>-1</v>
      </c>
      <c r="BJ134">
        <f t="shared" si="377"/>
        <v>-1</v>
      </c>
      <c r="BK134">
        <f t="shared" si="377"/>
        <v>-1</v>
      </c>
      <c r="BL134">
        <f t="shared" si="377"/>
        <v>-1</v>
      </c>
      <c r="BM134">
        <f t="shared" si="377"/>
        <v>-1</v>
      </c>
      <c r="BN134">
        <f t="shared" si="377"/>
        <v>-1</v>
      </c>
      <c r="BO134">
        <f t="shared" si="377"/>
        <v>-1</v>
      </c>
      <c r="BP134">
        <f t="shared" ref="BP134:EA134" si="378">IF(OR(BP133=-1,AND(IF(BP$3&lt;$B134,BP133+BP$6,IF(BP$3=$B134,1,""))&gt;$B$1,BP$3&lt;$B134)),-1,IF(BP$3&lt;$B134,BP133+BP$6,IF(BP$3=$B134,1,"")))</f>
        <v>-1</v>
      </c>
      <c r="BQ134">
        <f t="shared" si="378"/>
        <v>-1</v>
      </c>
      <c r="BR134">
        <f t="shared" si="378"/>
        <v>-1</v>
      </c>
      <c r="BS134">
        <f t="shared" si="378"/>
        <v>-1</v>
      </c>
      <c r="BT134">
        <f t="shared" si="378"/>
        <v>-1</v>
      </c>
      <c r="BU134">
        <f t="shared" si="378"/>
        <v>73.000000000000014</v>
      </c>
      <c r="BV134">
        <f t="shared" si="378"/>
        <v>69.400000000000048</v>
      </c>
      <c r="BW134">
        <f t="shared" si="378"/>
        <v>65.800000000000082</v>
      </c>
      <c r="BX134">
        <f t="shared" si="378"/>
        <v>62.200000000000102</v>
      </c>
      <c r="BY134">
        <f t="shared" si="378"/>
        <v>58.600000000000094</v>
      </c>
      <c r="BZ134">
        <f t="shared" si="378"/>
        <v>55.000000000000085</v>
      </c>
      <c r="CA134">
        <f t="shared" si="378"/>
        <v>51.400000000000077</v>
      </c>
      <c r="CB134">
        <f t="shared" si="378"/>
        <v>47.800000000000068</v>
      </c>
      <c r="CC134">
        <f t="shared" si="378"/>
        <v>44.20000000000006</v>
      </c>
      <c r="CD134">
        <f t="shared" si="378"/>
        <v>40.600000000000051</v>
      </c>
      <c r="CE134">
        <f t="shared" si="378"/>
        <v>37.000000000000043</v>
      </c>
      <c r="CF134">
        <f t="shared" si="378"/>
        <v>33.400000000000034</v>
      </c>
      <c r="CG134">
        <f t="shared" si="378"/>
        <v>29.800000000000026</v>
      </c>
      <c r="CH134">
        <f t="shared" si="378"/>
        <v>26.200000000000017</v>
      </c>
      <c r="CI134">
        <f t="shared" si="378"/>
        <v>22.600000000000009</v>
      </c>
      <c r="CJ134">
        <f t="shared" si="378"/>
        <v>19</v>
      </c>
      <c r="CK134">
        <f t="shared" si="378"/>
        <v>15.399999999999993</v>
      </c>
      <c r="CL134">
        <f t="shared" si="378"/>
        <v>11.799999999999995</v>
      </c>
      <c r="CM134">
        <f t="shared" si="378"/>
        <v>8.1999999999999975</v>
      </c>
      <c r="CN134">
        <f t="shared" si="378"/>
        <v>4.5999999999999996</v>
      </c>
      <c r="CO134">
        <f t="shared" si="378"/>
        <v>51</v>
      </c>
      <c r="CP134">
        <f t="shared" si="378"/>
        <v>38</v>
      </c>
      <c r="CQ134">
        <f t="shared" si="378"/>
        <v>-1</v>
      </c>
      <c r="CR134">
        <f t="shared" si="378"/>
        <v>-1</v>
      </c>
      <c r="CS134">
        <f t="shared" si="378"/>
        <v>-1</v>
      </c>
      <c r="CT134">
        <f t="shared" si="378"/>
        <v>-1</v>
      </c>
      <c r="CU134">
        <f t="shared" si="378"/>
        <v>-1</v>
      </c>
      <c r="CV134">
        <f t="shared" si="378"/>
        <v>-1</v>
      </c>
      <c r="CW134">
        <f t="shared" si="378"/>
        <v>-1</v>
      </c>
      <c r="CX134">
        <f t="shared" si="378"/>
        <v>-1</v>
      </c>
      <c r="CY134">
        <f t="shared" si="378"/>
        <v>-1</v>
      </c>
      <c r="CZ134">
        <f t="shared" si="378"/>
        <v>-1</v>
      </c>
      <c r="DA134">
        <f t="shared" si="378"/>
        <v>-1</v>
      </c>
      <c r="DB134">
        <f t="shared" si="378"/>
        <v>-1</v>
      </c>
      <c r="DC134">
        <f t="shared" si="378"/>
        <v>-1</v>
      </c>
      <c r="DD134">
        <f t="shared" si="378"/>
        <v>-1</v>
      </c>
      <c r="DE134">
        <f t="shared" si="378"/>
        <v>-1</v>
      </c>
      <c r="DF134">
        <f t="shared" si="378"/>
        <v>-1</v>
      </c>
      <c r="DG134">
        <f t="shared" si="378"/>
        <v>-1</v>
      </c>
      <c r="DH134">
        <f t="shared" si="378"/>
        <v>-1</v>
      </c>
      <c r="DI134">
        <f t="shared" si="378"/>
        <v>-1</v>
      </c>
      <c r="DJ134">
        <f t="shared" si="378"/>
        <v>-1</v>
      </c>
      <c r="DK134">
        <f t="shared" si="378"/>
        <v>-1</v>
      </c>
      <c r="DL134">
        <f t="shared" si="378"/>
        <v>-1</v>
      </c>
      <c r="DM134">
        <f t="shared" si="378"/>
        <v>-1</v>
      </c>
      <c r="DN134">
        <f t="shared" si="378"/>
        <v>-1</v>
      </c>
      <c r="DO134">
        <f t="shared" si="378"/>
        <v>-1</v>
      </c>
      <c r="DP134">
        <f t="shared" si="378"/>
        <v>-1</v>
      </c>
      <c r="DQ134">
        <f t="shared" si="378"/>
        <v>-1</v>
      </c>
      <c r="DR134">
        <f t="shared" si="378"/>
        <v>-1</v>
      </c>
      <c r="DS134">
        <f t="shared" si="378"/>
        <v>-1</v>
      </c>
      <c r="DT134">
        <f t="shared" si="378"/>
        <v>-1</v>
      </c>
      <c r="DU134">
        <f t="shared" si="378"/>
        <v>-1</v>
      </c>
      <c r="DV134">
        <f t="shared" si="378"/>
        <v>-1</v>
      </c>
      <c r="DW134">
        <f t="shared" si="378"/>
        <v>-1</v>
      </c>
      <c r="DX134">
        <f t="shared" si="378"/>
        <v>-1</v>
      </c>
      <c r="DY134">
        <f t="shared" si="378"/>
        <v>-1</v>
      </c>
      <c r="DZ134">
        <f t="shared" si="378"/>
        <v>-1</v>
      </c>
      <c r="EA134">
        <f t="shared" si="378"/>
        <v>-1</v>
      </c>
      <c r="EB134">
        <f t="shared" ref="EB134:EO134" si="379">IF(OR(EB133=-1,AND(IF(EB$3&lt;$B134,EB133+EB$6,IF(EB$3=$B134,1,""))&gt;$B$1,EB$3&lt;$B134)),-1,IF(EB$3&lt;$B134,EB133+EB$6,IF(EB$3=$B134,1,"")))</f>
        <v>-1</v>
      </c>
      <c r="EC134">
        <f t="shared" si="379"/>
        <v>-1</v>
      </c>
      <c r="ED134">
        <f t="shared" si="379"/>
        <v>-1</v>
      </c>
      <c r="EE134">
        <f t="shared" si="379"/>
        <v>-1</v>
      </c>
      <c r="EF134">
        <f t="shared" si="379"/>
        <v>-1</v>
      </c>
      <c r="EG134">
        <f t="shared" si="379"/>
        <v>-1</v>
      </c>
      <c r="EH134">
        <f t="shared" si="379"/>
        <v>-1</v>
      </c>
      <c r="EI134">
        <f t="shared" si="379"/>
        <v>-1</v>
      </c>
      <c r="EJ134">
        <f t="shared" si="379"/>
        <v>-1</v>
      </c>
      <c r="EK134">
        <f t="shared" si="379"/>
        <v>-1</v>
      </c>
      <c r="EL134">
        <f t="shared" si="379"/>
        <v>-1</v>
      </c>
      <c r="EM134">
        <f t="shared" si="379"/>
        <v>-1</v>
      </c>
      <c r="EN134">
        <f t="shared" si="379"/>
        <v>-1</v>
      </c>
      <c r="EO134">
        <f t="shared" si="379"/>
        <v>-1</v>
      </c>
    </row>
    <row r="135" spans="1:145" x14ac:dyDescent="0.15">
      <c r="A135" t="e">
        <f t="shared" si="193"/>
        <v>#N/A</v>
      </c>
      <c r="B135" s="218">
        <v>127</v>
      </c>
      <c r="C135">
        <f t="shared" si="193"/>
        <v>-1</v>
      </c>
      <c r="D135">
        <f t="shared" ref="D135:BO135" si="380">IF(OR(D134=-1,AND(IF(D$3&lt;$B135,D134+D$6,IF(D$3=$B135,1,""))&gt;$B$1,D$3&lt;$B135)),-1,IF(D$3&lt;$B135,D134+D$6,IF(D$3=$B135,1,"")))</f>
        <v>-1</v>
      </c>
      <c r="E135">
        <f t="shared" si="380"/>
        <v>-1</v>
      </c>
      <c r="F135">
        <f t="shared" si="380"/>
        <v>-1</v>
      </c>
      <c r="G135">
        <f t="shared" si="380"/>
        <v>-1</v>
      </c>
      <c r="H135">
        <f t="shared" si="380"/>
        <v>-1</v>
      </c>
      <c r="I135">
        <f t="shared" si="380"/>
        <v>-1</v>
      </c>
      <c r="J135">
        <f t="shared" si="380"/>
        <v>-1</v>
      </c>
      <c r="K135">
        <f t="shared" si="380"/>
        <v>-1</v>
      </c>
      <c r="L135">
        <f t="shared" si="380"/>
        <v>-1</v>
      </c>
      <c r="M135">
        <f t="shared" si="380"/>
        <v>-1</v>
      </c>
      <c r="N135">
        <f t="shared" si="380"/>
        <v>-1</v>
      </c>
      <c r="O135">
        <f t="shared" si="380"/>
        <v>-1</v>
      </c>
      <c r="P135">
        <f t="shared" si="380"/>
        <v>-1</v>
      </c>
      <c r="Q135">
        <f t="shared" si="380"/>
        <v>-1</v>
      </c>
      <c r="R135">
        <f t="shared" si="380"/>
        <v>-1</v>
      </c>
      <c r="S135">
        <f t="shared" si="380"/>
        <v>-1</v>
      </c>
      <c r="T135">
        <f t="shared" si="380"/>
        <v>-1</v>
      </c>
      <c r="U135">
        <f t="shared" si="380"/>
        <v>-1</v>
      </c>
      <c r="V135">
        <f t="shared" si="380"/>
        <v>-1</v>
      </c>
      <c r="W135">
        <f t="shared" si="380"/>
        <v>-1</v>
      </c>
      <c r="X135">
        <f t="shared" si="380"/>
        <v>-1</v>
      </c>
      <c r="Y135">
        <f t="shared" si="380"/>
        <v>-1</v>
      </c>
      <c r="Z135">
        <f t="shared" si="380"/>
        <v>-1</v>
      </c>
      <c r="AA135">
        <f t="shared" si="380"/>
        <v>-1</v>
      </c>
      <c r="AB135">
        <f t="shared" si="380"/>
        <v>-1</v>
      </c>
      <c r="AC135">
        <f t="shared" si="380"/>
        <v>-1</v>
      </c>
      <c r="AD135">
        <f t="shared" si="380"/>
        <v>-1</v>
      </c>
      <c r="AE135">
        <f t="shared" si="380"/>
        <v>-1</v>
      </c>
      <c r="AF135">
        <f t="shared" si="380"/>
        <v>-1</v>
      </c>
      <c r="AG135">
        <f t="shared" si="380"/>
        <v>-1</v>
      </c>
      <c r="AH135">
        <f t="shared" si="380"/>
        <v>-1</v>
      </c>
      <c r="AI135">
        <f t="shared" si="380"/>
        <v>74.8</v>
      </c>
      <c r="AJ135">
        <f t="shared" si="380"/>
        <v>72.40000000000002</v>
      </c>
      <c r="AK135">
        <f t="shared" si="380"/>
        <v>70.000000000000043</v>
      </c>
      <c r="AL135">
        <f t="shared" si="380"/>
        <v>67.600000000000065</v>
      </c>
      <c r="AM135">
        <f t="shared" si="380"/>
        <v>-1</v>
      </c>
      <c r="AN135">
        <f t="shared" si="380"/>
        <v>-1</v>
      </c>
      <c r="AO135">
        <f t="shared" si="380"/>
        <v>-1</v>
      </c>
      <c r="AP135">
        <f t="shared" si="380"/>
        <v>-1</v>
      </c>
      <c r="AQ135">
        <f t="shared" si="380"/>
        <v>-1</v>
      </c>
      <c r="AR135">
        <f t="shared" si="380"/>
        <v>-1</v>
      </c>
      <c r="AS135">
        <f t="shared" si="380"/>
        <v>-1</v>
      </c>
      <c r="AT135">
        <f t="shared" si="380"/>
        <v>-1</v>
      </c>
      <c r="AU135">
        <f t="shared" si="380"/>
        <v>-1</v>
      </c>
      <c r="AV135">
        <f t="shared" si="380"/>
        <v>-1</v>
      </c>
      <c r="AW135">
        <f t="shared" si="380"/>
        <v>-1</v>
      </c>
      <c r="AX135">
        <f t="shared" si="380"/>
        <v>-1</v>
      </c>
      <c r="AY135">
        <f t="shared" si="380"/>
        <v>-1</v>
      </c>
      <c r="AZ135">
        <f t="shared" si="380"/>
        <v>-1</v>
      </c>
      <c r="BA135">
        <f t="shared" si="380"/>
        <v>-1</v>
      </c>
      <c r="BB135">
        <f t="shared" si="380"/>
        <v>-1</v>
      </c>
      <c r="BC135">
        <f t="shared" si="380"/>
        <v>-1</v>
      </c>
      <c r="BD135">
        <f t="shared" si="380"/>
        <v>-1</v>
      </c>
      <c r="BE135">
        <f t="shared" si="380"/>
        <v>-1</v>
      </c>
      <c r="BF135">
        <f t="shared" si="380"/>
        <v>-1</v>
      </c>
      <c r="BG135">
        <f t="shared" si="380"/>
        <v>-1</v>
      </c>
      <c r="BH135">
        <f t="shared" si="380"/>
        <v>-1</v>
      </c>
      <c r="BI135">
        <f t="shared" si="380"/>
        <v>-1</v>
      </c>
      <c r="BJ135">
        <f t="shared" si="380"/>
        <v>-1</v>
      </c>
      <c r="BK135">
        <f t="shared" si="380"/>
        <v>-1</v>
      </c>
      <c r="BL135">
        <f t="shared" si="380"/>
        <v>-1</v>
      </c>
      <c r="BM135">
        <f t="shared" si="380"/>
        <v>-1</v>
      </c>
      <c r="BN135">
        <f t="shared" si="380"/>
        <v>-1</v>
      </c>
      <c r="BO135">
        <f t="shared" si="380"/>
        <v>-1</v>
      </c>
      <c r="BP135">
        <f t="shared" ref="BP135:EA135" si="381">IF(OR(BP134=-1,AND(IF(BP$3&lt;$B135,BP134+BP$6,IF(BP$3=$B135,1,""))&gt;$B$1,BP$3&lt;$B135)),-1,IF(BP$3&lt;$B135,BP134+BP$6,IF(BP$3=$B135,1,"")))</f>
        <v>-1</v>
      </c>
      <c r="BQ135">
        <f t="shared" si="381"/>
        <v>-1</v>
      </c>
      <c r="BR135">
        <f t="shared" si="381"/>
        <v>-1</v>
      </c>
      <c r="BS135">
        <f t="shared" si="381"/>
        <v>-1</v>
      </c>
      <c r="BT135">
        <f t="shared" si="381"/>
        <v>-1</v>
      </c>
      <c r="BU135">
        <f t="shared" si="381"/>
        <v>73.600000000000009</v>
      </c>
      <c r="BV135">
        <f t="shared" si="381"/>
        <v>70.000000000000043</v>
      </c>
      <c r="BW135">
        <f t="shared" si="381"/>
        <v>66.400000000000077</v>
      </c>
      <c r="BX135">
        <f t="shared" si="381"/>
        <v>62.800000000000104</v>
      </c>
      <c r="BY135">
        <f t="shared" si="381"/>
        <v>59.200000000000095</v>
      </c>
      <c r="BZ135">
        <f t="shared" si="381"/>
        <v>55.600000000000087</v>
      </c>
      <c r="CA135">
        <f t="shared" si="381"/>
        <v>52.000000000000078</v>
      </c>
      <c r="CB135">
        <f t="shared" si="381"/>
        <v>48.40000000000007</v>
      </c>
      <c r="CC135">
        <f t="shared" si="381"/>
        <v>44.800000000000061</v>
      </c>
      <c r="CD135">
        <f t="shared" si="381"/>
        <v>41.200000000000053</v>
      </c>
      <c r="CE135">
        <f t="shared" si="381"/>
        <v>37.600000000000044</v>
      </c>
      <c r="CF135">
        <f t="shared" si="381"/>
        <v>34.000000000000036</v>
      </c>
      <c r="CG135">
        <f t="shared" si="381"/>
        <v>30.400000000000027</v>
      </c>
      <c r="CH135">
        <f t="shared" si="381"/>
        <v>26.800000000000018</v>
      </c>
      <c r="CI135">
        <f t="shared" si="381"/>
        <v>23.20000000000001</v>
      </c>
      <c r="CJ135">
        <f t="shared" si="381"/>
        <v>19.600000000000001</v>
      </c>
      <c r="CK135">
        <f t="shared" si="381"/>
        <v>15.999999999999993</v>
      </c>
      <c r="CL135">
        <f t="shared" si="381"/>
        <v>12.399999999999995</v>
      </c>
      <c r="CM135">
        <f t="shared" si="381"/>
        <v>8.7999999999999972</v>
      </c>
      <c r="CN135">
        <f t="shared" si="381"/>
        <v>5.1999999999999993</v>
      </c>
      <c r="CO135">
        <f t="shared" si="381"/>
        <v>51.5</v>
      </c>
      <c r="CP135">
        <f t="shared" si="381"/>
        <v>38.5</v>
      </c>
      <c r="CQ135">
        <f t="shared" si="381"/>
        <v>-1</v>
      </c>
      <c r="CR135">
        <f t="shared" si="381"/>
        <v>-1</v>
      </c>
      <c r="CS135">
        <f t="shared" si="381"/>
        <v>-1</v>
      </c>
      <c r="CT135">
        <f t="shared" si="381"/>
        <v>-1</v>
      </c>
      <c r="CU135">
        <f t="shared" si="381"/>
        <v>-1</v>
      </c>
      <c r="CV135">
        <f t="shared" si="381"/>
        <v>-1</v>
      </c>
      <c r="CW135">
        <f t="shared" si="381"/>
        <v>-1</v>
      </c>
      <c r="CX135">
        <f t="shared" si="381"/>
        <v>-1</v>
      </c>
      <c r="CY135">
        <f t="shared" si="381"/>
        <v>-1</v>
      </c>
      <c r="CZ135">
        <f t="shared" si="381"/>
        <v>-1</v>
      </c>
      <c r="DA135">
        <f t="shared" si="381"/>
        <v>-1</v>
      </c>
      <c r="DB135">
        <f t="shared" si="381"/>
        <v>-1</v>
      </c>
      <c r="DC135">
        <f t="shared" si="381"/>
        <v>-1</v>
      </c>
      <c r="DD135">
        <f t="shared" si="381"/>
        <v>-1</v>
      </c>
      <c r="DE135">
        <f t="shared" si="381"/>
        <v>-1</v>
      </c>
      <c r="DF135">
        <f t="shared" si="381"/>
        <v>-1</v>
      </c>
      <c r="DG135">
        <f t="shared" si="381"/>
        <v>-1</v>
      </c>
      <c r="DH135">
        <f t="shared" si="381"/>
        <v>-1</v>
      </c>
      <c r="DI135">
        <f t="shared" si="381"/>
        <v>-1</v>
      </c>
      <c r="DJ135">
        <f t="shared" si="381"/>
        <v>-1</v>
      </c>
      <c r="DK135">
        <f t="shared" si="381"/>
        <v>-1</v>
      </c>
      <c r="DL135">
        <f t="shared" si="381"/>
        <v>-1</v>
      </c>
      <c r="DM135">
        <f t="shared" si="381"/>
        <v>-1</v>
      </c>
      <c r="DN135">
        <f t="shared" si="381"/>
        <v>-1</v>
      </c>
      <c r="DO135">
        <f t="shared" si="381"/>
        <v>-1</v>
      </c>
      <c r="DP135">
        <f t="shared" si="381"/>
        <v>-1</v>
      </c>
      <c r="DQ135">
        <f t="shared" si="381"/>
        <v>-1</v>
      </c>
      <c r="DR135">
        <f t="shared" si="381"/>
        <v>-1</v>
      </c>
      <c r="DS135">
        <f t="shared" si="381"/>
        <v>-1</v>
      </c>
      <c r="DT135">
        <f t="shared" si="381"/>
        <v>-1</v>
      </c>
      <c r="DU135">
        <f t="shared" si="381"/>
        <v>-1</v>
      </c>
      <c r="DV135">
        <f t="shared" si="381"/>
        <v>-1</v>
      </c>
      <c r="DW135">
        <f t="shared" si="381"/>
        <v>-1</v>
      </c>
      <c r="DX135">
        <f t="shared" si="381"/>
        <v>-1</v>
      </c>
      <c r="DY135">
        <f t="shared" si="381"/>
        <v>-1</v>
      </c>
      <c r="DZ135">
        <f t="shared" si="381"/>
        <v>-1</v>
      </c>
      <c r="EA135">
        <f t="shared" si="381"/>
        <v>-1</v>
      </c>
      <c r="EB135">
        <f t="shared" ref="EB135:EO135" si="382">IF(OR(EB134=-1,AND(IF(EB$3&lt;$B135,EB134+EB$6,IF(EB$3=$B135,1,""))&gt;$B$1,EB$3&lt;$B135)),-1,IF(EB$3&lt;$B135,EB134+EB$6,IF(EB$3=$B135,1,"")))</f>
        <v>-1</v>
      </c>
      <c r="EC135">
        <f t="shared" si="382"/>
        <v>-1</v>
      </c>
      <c r="ED135">
        <f t="shared" si="382"/>
        <v>-1</v>
      </c>
      <c r="EE135">
        <f t="shared" si="382"/>
        <v>-1</v>
      </c>
      <c r="EF135">
        <f t="shared" si="382"/>
        <v>-1</v>
      </c>
      <c r="EG135">
        <f t="shared" si="382"/>
        <v>-1</v>
      </c>
      <c r="EH135">
        <f t="shared" si="382"/>
        <v>-1</v>
      </c>
      <c r="EI135">
        <f t="shared" si="382"/>
        <v>-1</v>
      </c>
      <c r="EJ135">
        <f t="shared" si="382"/>
        <v>-1</v>
      </c>
      <c r="EK135">
        <f t="shared" si="382"/>
        <v>-1</v>
      </c>
      <c r="EL135">
        <f t="shared" si="382"/>
        <v>-1</v>
      </c>
      <c r="EM135">
        <f t="shared" si="382"/>
        <v>-1</v>
      </c>
      <c r="EN135">
        <f t="shared" si="382"/>
        <v>-1</v>
      </c>
      <c r="EO135">
        <f t="shared" si="382"/>
        <v>-1</v>
      </c>
    </row>
    <row r="136" spans="1:145" x14ac:dyDescent="0.15">
      <c r="A136" t="e">
        <f t="shared" si="193"/>
        <v>#N/A</v>
      </c>
      <c r="B136" s="218">
        <v>128</v>
      </c>
      <c r="C136">
        <f t="shared" si="193"/>
        <v>-1</v>
      </c>
      <c r="D136">
        <f t="shared" ref="D136:BO136" si="383">IF(OR(D135=-1,AND(IF(D$3&lt;$B136,D135+D$6,IF(D$3=$B136,1,""))&gt;$B$1,D$3&lt;$B136)),-1,IF(D$3&lt;$B136,D135+D$6,IF(D$3=$B136,1,"")))</f>
        <v>-1</v>
      </c>
      <c r="E136">
        <f t="shared" si="383"/>
        <v>-1</v>
      </c>
      <c r="F136">
        <f t="shared" si="383"/>
        <v>-1</v>
      </c>
      <c r="G136">
        <f t="shared" si="383"/>
        <v>-1</v>
      </c>
      <c r="H136">
        <f t="shared" si="383"/>
        <v>-1</v>
      </c>
      <c r="I136">
        <f t="shared" si="383"/>
        <v>-1</v>
      </c>
      <c r="J136">
        <f t="shared" si="383"/>
        <v>-1</v>
      </c>
      <c r="K136">
        <f t="shared" si="383"/>
        <v>-1</v>
      </c>
      <c r="L136">
        <f t="shared" si="383"/>
        <v>-1</v>
      </c>
      <c r="M136">
        <f t="shared" si="383"/>
        <v>-1</v>
      </c>
      <c r="N136">
        <f t="shared" si="383"/>
        <v>-1</v>
      </c>
      <c r="O136">
        <f t="shared" si="383"/>
        <v>-1</v>
      </c>
      <c r="P136">
        <f t="shared" si="383"/>
        <v>-1</v>
      </c>
      <c r="Q136">
        <f t="shared" si="383"/>
        <v>-1</v>
      </c>
      <c r="R136">
        <f t="shared" si="383"/>
        <v>-1</v>
      </c>
      <c r="S136">
        <f t="shared" si="383"/>
        <v>-1</v>
      </c>
      <c r="T136">
        <f t="shared" si="383"/>
        <v>-1</v>
      </c>
      <c r="U136">
        <f t="shared" si="383"/>
        <v>-1</v>
      </c>
      <c r="V136">
        <f t="shared" si="383"/>
        <v>-1</v>
      </c>
      <c r="W136">
        <f t="shared" si="383"/>
        <v>-1</v>
      </c>
      <c r="X136">
        <f t="shared" si="383"/>
        <v>-1</v>
      </c>
      <c r="Y136">
        <f t="shared" si="383"/>
        <v>-1</v>
      </c>
      <c r="Z136">
        <f t="shared" si="383"/>
        <v>-1</v>
      </c>
      <c r="AA136">
        <f t="shared" si="383"/>
        <v>-1</v>
      </c>
      <c r="AB136">
        <f t="shared" si="383"/>
        <v>-1</v>
      </c>
      <c r="AC136">
        <f t="shared" si="383"/>
        <v>-1</v>
      </c>
      <c r="AD136">
        <f t="shared" si="383"/>
        <v>-1</v>
      </c>
      <c r="AE136">
        <f t="shared" si="383"/>
        <v>-1</v>
      </c>
      <c r="AF136">
        <f t="shared" si="383"/>
        <v>-1</v>
      </c>
      <c r="AG136">
        <f t="shared" si="383"/>
        <v>-1</v>
      </c>
      <c r="AH136">
        <f t="shared" si="383"/>
        <v>-1</v>
      </c>
      <c r="AI136">
        <f t="shared" si="383"/>
        <v>-1</v>
      </c>
      <c r="AJ136">
        <f t="shared" si="383"/>
        <v>73.000000000000014</v>
      </c>
      <c r="AK136">
        <f t="shared" si="383"/>
        <v>70.600000000000037</v>
      </c>
      <c r="AL136">
        <f t="shared" si="383"/>
        <v>68.20000000000006</v>
      </c>
      <c r="AM136">
        <f t="shared" si="383"/>
        <v>-1</v>
      </c>
      <c r="AN136">
        <f t="shared" si="383"/>
        <v>-1</v>
      </c>
      <c r="AO136">
        <f t="shared" si="383"/>
        <v>-1</v>
      </c>
      <c r="AP136">
        <f t="shared" si="383"/>
        <v>-1</v>
      </c>
      <c r="AQ136">
        <f t="shared" si="383"/>
        <v>-1</v>
      </c>
      <c r="AR136">
        <f t="shared" si="383"/>
        <v>-1</v>
      </c>
      <c r="AS136">
        <f t="shared" si="383"/>
        <v>-1</v>
      </c>
      <c r="AT136">
        <f t="shared" si="383"/>
        <v>-1</v>
      </c>
      <c r="AU136">
        <f t="shared" si="383"/>
        <v>-1</v>
      </c>
      <c r="AV136">
        <f t="shared" si="383"/>
        <v>-1</v>
      </c>
      <c r="AW136">
        <f t="shared" si="383"/>
        <v>-1</v>
      </c>
      <c r="AX136">
        <f t="shared" si="383"/>
        <v>-1</v>
      </c>
      <c r="AY136">
        <f t="shared" si="383"/>
        <v>-1</v>
      </c>
      <c r="AZ136">
        <f t="shared" si="383"/>
        <v>-1</v>
      </c>
      <c r="BA136">
        <f t="shared" si="383"/>
        <v>-1</v>
      </c>
      <c r="BB136">
        <f t="shared" si="383"/>
        <v>-1</v>
      </c>
      <c r="BC136">
        <f t="shared" si="383"/>
        <v>-1</v>
      </c>
      <c r="BD136">
        <f t="shared" si="383"/>
        <v>-1</v>
      </c>
      <c r="BE136">
        <f t="shared" si="383"/>
        <v>-1</v>
      </c>
      <c r="BF136">
        <f t="shared" si="383"/>
        <v>-1</v>
      </c>
      <c r="BG136">
        <f t="shared" si="383"/>
        <v>-1</v>
      </c>
      <c r="BH136">
        <f t="shared" si="383"/>
        <v>-1</v>
      </c>
      <c r="BI136">
        <f t="shared" si="383"/>
        <v>-1</v>
      </c>
      <c r="BJ136">
        <f t="shared" si="383"/>
        <v>-1</v>
      </c>
      <c r="BK136">
        <f t="shared" si="383"/>
        <v>-1</v>
      </c>
      <c r="BL136">
        <f t="shared" si="383"/>
        <v>-1</v>
      </c>
      <c r="BM136">
        <f t="shared" si="383"/>
        <v>-1</v>
      </c>
      <c r="BN136">
        <f t="shared" si="383"/>
        <v>-1</v>
      </c>
      <c r="BO136">
        <f t="shared" si="383"/>
        <v>-1</v>
      </c>
      <c r="BP136">
        <f t="shared" ref="BP136:EA136" si="384">IF(OR(BP135=-1,AND(IF(BP$3&lt;$B136,BP135+BP$6,IF(BP$3=$B136,1,""))&gt;$B$1,BP$3&lt;$B136)),-1,IF(BP$3&lt;$B136,BP135+BP$6,IF(BP$3=$B136,1,"")))</f>
        <v>-1</v>
      </c>
      <c r="BQ136">
        <f t="shared" si="384"/>
        <v>-1</v>
      </c>
      <c r="BR136">
        <f t="shared" si="384"/>
        <v>-1</v>
      </c>
      <c r="BS136">
        <f t="shared" si="384"/>
        <v>-1</v>
      </c>
      <c r="BT136">
        <f t="shared" si="384"/>
        <v>-1</v>
      </c>
      <c r="BU136">
        <f t="shared" si="384"/>
        <v>74.2</v>
      </c>
      <c r="BV136">
        <f t="shared" si="384"/>
        <v>70.600000000000037</v>
      </c>
      <c r="BW136">
        <f t="shared" si="384"/>
        <v>67.000000000000071</v>
      </c>
      <c r="BX136">
        <f t="shared" si="384"/>
        <v>63.400000000000105</v>
      </c>
      <c r="BY136">
        <f t="shared" si="384"/>
        <v>59.800000000000097</v>
      </c>
      <c r="BZ136">
        <f t="shared" si="384"/>
        <v>56.200000000000088</v>
      </c>
      <c r="CA136">
        <f t="shared" si="384"/>
        <v>52.60000000000008</v>
      </c>
      <c r="CB136">
        <f t="shared" si="384"/>
        <v>49.000000000000071</v>
      </c>
      <c r="CC136">
        <f t="shared" si="384"/>
        <v>45.400000000000063</v>
      </c>
      <c r="CD136">
        <f t="shared" si="384"/>
        <v>41.800000000000054</v>
      </c>
      <c r="CE136">
        <f t="shared" si="384"/>
        <v>38.200000000000045</v>
      </c>
      <c r="CF136">
        <f t="shared" si="384"/>
        <v>34.600000000000037</v>
      </c>
      <c r="CG136">
        <f t="shared" si="384"/>
        <v>31.000000000000028</v>
      </c>
      <c r="CH136">
        <f t="shared" si="384"/>
        <v>27.40000000000002</v>
      </c>
      <c r="CI136">
        <f t="shared" si="384"/>
        <v>23.800000000000011</v>
      </c>
      <c r="CJ136">
        <f t="shared" si="384"/>
        <v>20.200000000000003</v>
      </c>
      <c r="CK136">
        <f t="shared" si="384"/>
        <v>16.599999999999994</v>
      </c>
      <c r="CL136">
        <f t="shared" si="384"/>
        <v>12.999999999999995</v>
      </c>
      <c r="CM136">
        <f t="shared" si="384"/>
        <v>9.3999999999999968</v>
      </c>
      <c r="CN136">
        <f t="shared" si="384"/>
        <v>5.7999999999999989</v>
      </c>
      <c r="CO136">
        <f t="shared" si="384"/>
        <v>52</v>
      </c>
      <c r="CP136">
        <f t="shared" si="384"/>
        <v>39</v>
      </c>
      <c r="CQ136">
        <f t="shared" si="384"/>
        <v>-1</v>
      </c>
      <c r="CR136">
        <f t="shared" si="384"/>
        <v>-1</v>
      </c>
      <c r="CS136">
        <f t="shared" si="384"/>
        <v>-1</v>
      </c>
      <c r="CT136">
        <f t="shared" si="384"/>
        <v>-1</v>
      </c>
      <c r="CU136">
        <f t="shared" si="384"/>
        <v>-1</v>
      </c>
      <c r="CV136">
        <f t="shared" si="384"/>
        <v>-1</v>
      </c>
      <c r="CW136">
        <f t="shared" si="384"/>
        <v>-1</v>
      </c>
      <c r="CX136">
        <f t="shared" si="384"/>
        <v>-1</v>
      </c>
      <c r="CY136">
        <f t="shared" si="384"/>
        <v>-1</v>
      </c>
      <c r="CZ136">
        <f t="shared" si="384"/>
        <v>-1</v>
      </c>
      <c r="DA136">
        <f t="shared" si="384"/>
        <v>-1</v>
      </c>
      <c r="DB136">
        <f t="shared" si="384"/>
        <v>-1</v>
      </c>
      <c r="DC136">
        <f t="shared" si="384"/>
        <v>-1</v>
      </c>
      <c r="DD136">
        <f t="shared" si="384"/>
        <v>-1</v>
      </c>
      <c r="DE136">
        <f t="shared" si="384"/>
        <v>-1</v>
      </c>
      <c r="DF136">
        <f t="shared" si="384"/>
        <v>-1</v>
      </c>
      <c r="DG136">
        <f t="shared" si="384"/>
        <v>-1</v>
      </c>
      <c r="DH136">
        <f t="shared" si="384"/>
        <v>-1</v>
      </c>
      <c r="DI136">
        <f t="shared" si="384"/>
        <v>-1</v>
      </c>
      <c r="DJ136">
        <f t="shared" si="384"/>
        <v>-1</v>
      </c>
      <c r="DK136">
        <f t="shared" si="384"/>
        <v>-1</v>
      </c>
      <c r="DL136">
        <f t="shared" si="384"/>
        <v>-1</v>
      </c>
      <c r="DM136">
        <f t="shared" si="384"/>
        <v>-1</v>
      </c>
      <c r="DN136">
        <f t="shared" si="384"/>
        <v>-1</v>
      </c>
      <c r="DO136">
        <f t="shared" si="384"/>
        <v>-1</v>
      </c>
      <c r="DP136">
        <f t="shared" si="384"/>
        <v>-1</v>
      </c>
      <c r="DQ136">
        <f t="shared" si="384"/>
        <v>-1</v>
      </c>
      <c r="DR136">
        <f t="shared" si="384"/>
        <v>-1</v>
      </c>
      <c r="DS136">
        <f t="shared" si="384"/>
        <v>-1</v>
      </c>
      <c r="DT136">
        <f t="shared" si="384"/>
        <v>-1</v>
      </c>
      <c r="DU136">
        <f t="shared" si="384"/>
        <v>-1</v>
      </c>
      <c r="DV136">
        <f t="shared" si="384"/>
        <v>-1</v>
      </c>
      <c r="DW136">
        <f t="shared" si="384"/>
        <v>-1</v>
      </c>
      <c r="DX136">
        <f t="shared" si="384"/>
        <v>-1</v>
      </c>
      <c r="DY136">
        <f t="shared" si="384"/>
        <v>-1</v>
      </c>
      <c r="DZ136">
        <f t="shared" si="384"/>
        <v>-1</v>
      </c>
      <c r="EA136">
        <f t="shared" si="384"/>
        <v>-1</v>
      </c>
      <c r="EB136">
        <f t="shared" ref="EB136:EO136" si="385">IF(OR(EB135=-1,AND(IF(EB$3&lt;$B136,EB135+EB$6,IF(EB$3=$B136,1,""))&gt;$B$1,EB$3&lt;$B136)),-1,IF(EB$3&lt;$B136,EB135+EB$6,IF(EB$3=$B136,1,"")))</f>
        <v>-1</v>
      </c>
      <c r="EC136">
        <f t="shared" si="385"/>
        <v>-1</v>
      </c>
      <c r="ED136">
        <f t="shared" si="385"/>
        <v>-1</v>
      </c>
      <c r="EE136">
        <f t="shared" si="385"/>
        <v>-1</v>
      </c>
      <c r="EF136">
        <f t="shared" si="385"/>
        <v>-1</v>
      </c>
      <c r="EG136">
        <f t="shared" si="385"/>
        <v>-1</v>
      </c>
      <c r="EH136">
        <f t="shared" si="385"/>
        <v>-1</v>
      </c>
      <c r="EI136">
        <f t="shared" si="385"/>
        <v>-1</v>
      </c>
      <c r="EJ136">
        <f t="shared" si="385"/>
        <v>-1</v>
      </c>
      <c r="EK136">
        <f t="shared" si="385"/>
        <v>-1</v>
      </c>
      <c r="EL136">
        <f t="shared" si="385"/>
        <v>-1</v>
      </c>
      <c r="EM136">
        <f t="shared" si="385"/>
        <v>-1</v>
      </c>
      <c r="EN136">
        <f t="shared" si="385"/>
        <v>-1</v>
      </c>
      <c r="EO136">
        <f t="shared" si="385"/>
        <v>-1</v>
      </c>
    </row>
    <row r="137" spans="1:145" x14ac:dyDescent="0.15">
      <c r="A137" t="e">
        <f t="shared" ref="A137:C200" si="386">IF(OR(A136=-1,AND(IF(A$3&lt;$B137,A136+A$6,IF(A$3=$B137,1,""))&gt;$B$1,A$3&lt;$B137)),-1,IF(A$3&lt;$B137,A136+A$6,IF(A$3=$B137,1,"")))</f>
        <v>#N/A</v>
      </c>
      <c r="B137" s="218">
        <v>129</v>
      </c>
      <c r="C137">
        <f t="shared" si="386"/>
        <v>-1</v>
      </c>
      <c r="D137">
        <f t="shared" ref="D137:BO137" si="387">IF(OR(D136=-1,AND(IF(D$3&lt;$B137,D136+D$6,IF(D$3=$B137,1,""))&gt;$B$1,D$3&lt;$B137)),-1,IF(D$3&lt;$B137,D136+D$6,IF(D$3=$B137,1,"")))</f>
        <v>-1</v>
      </c>
      <c r="E137">
        <f t="shared" si="387"/>
        <v>-1</v>
      </c>
      <c r="F137">
        <f t="shared" si="387"/>
        <v>-1</v>
      </c>
      <c r="G137">
        <f t="shared" si="387"/>
        <v>-1</v>
      </c>
      <c r="H137">
        <f t="shared" si="387"/>
        <v>-1</v>
      </c>
      <c r="I137">
        <f t="shared" si="387"/>
        <v>-1</v>
      </c>
      <c r="J137">
        <f t="shared" si="387"/>
        <v>-1</v>
      </c>
      <c r="K137">
        <f t="shared" si="387"/>
        <v>-1</v>
      </c>
      <c r="L137">
        <f t="shared" si="387"/>
        <v>-1</v>
      </c>
      <c r="M137">
        <f t="shared" si="387"/>
        <v>-1</v>
      </c>
      <c r="N137">
        <f t="shared" si="387"/>
        <v>-1</v>
      </c>
      <c r="O137">
        <f t="shared" si="387"/>
        <v>-1</v>
      </c>
      <c r="P137">
        <f t="shared" si="387"/>
        <v>-1</v>
      </c>
      <c r="Q137">
        <f t="shared" si="387"/>
        <v>-1</v>
      </c>
      <c r="R137">
        <f t="shared" si="387"/>
        <v>-1</v>
      </c>
      <c r="S137">
        <f t="shared" si="387"/>
        <v>-1</v>
      </c>
      <c r="T137">
        <f t="shared" si="387"/>
        <v>-1</v>
      </c>
      <c r="U137">
        <f t="shared" si="387"/>
        <v>-1</v>
      </c>
      <c r="V137">
        <f t="shared" si="387"/>
        <v>-1</v>
      </c>
      <c r="W137">
        <f t="shared" si="387"/>
        <v>-1</v>
      </c>
      <c r="X137">
        <f t="shared" si="387"/>
        <v>-1</v>
      </c>
      <c r="Y137">
        <f t="shared" si="387"/>
        <v>-1</v>
      </c>
      <c r="Z137">
        <f t="shared" si="387"/>
        <v>-1</v>
      </c>
      <c r="AA137">
        <f t="shared" si="387"/>
        <v>-1</v>
      </c>
      <c r="AB137">
        <f t="shared" si="387"/>
        <v>-1</v>
      </c>
      <c r="AC137">
        <f t="shared" si="387"/>
        <v>-1</v>
      </c>
      <c r="AD137">
        <f t="shared" si="387"/>
        <v>-1</v>
      </c>
      <c r="AE137">
        <f t="shared" si="387"/>
        <v>-1</v>
      </c>
      <c r="AF137">
        <f t="shared" si="387"/>
        <v>-1</v>
      </c>
      <c r="AG137">
        <f t="shared" si="387"/>
        <v>-1</v>
      </c>
      <c r="AH137">
        <f t="shared" si="387"/>
        <v>-1</v>
      </c>
      <c r="AI137">
        <f t="shared" si="387"/>
        <v>-1</v>
      </c>
      <c r="AJ137">
        <f t="shared" si="387"/>
        <v>73.600000000000009</v>
      </c>
      <c r="AK137">
        <f t="shared" si="387"/>
        <v>71.200000000000031</v>
      </c>
      <c r="AL137">
        <f t="shared" si="387"/>
        <v>68.800000000000054</v>
      </c>
      <c r="AM137">
        <f t="shared" si="387"/>
        <v>-1</v>
      </c>
      <c r="AN137">
        <f t="shared" si="387"/>
        <v>-1</v>
      </c>
      <c r="AO137">
        <f t="shared" si="387"/>
        <v>-1</v>
      </c>
      <c r="AP137">
        <f t="shared" si="387"/>
        <v>-1</v>
      </c>
      <c r="AQ137">
        <f t="shared" si="387"/>
        <v>-1</v>
      </c>
      <c r="AR137">
        <f t="shared" si="387"/>
        <v>-1</v>
      </c>
      <c r="AS137">
        <f t="shared" si="387"/>
        <v>-1</v>
      </c>
      <c r="AT137">
        <f t="shared" si="387"/>
        <v>-1</v>
      </c>
      <c r="AU137">
        <f t="shared" si="387"/>
        <v>-1</v>
      </c>
      <c r="AV137">
        <f t="shared" si="387"/>
        <v>-1</v>
      </c>
      <c r="AW137">
        <f t="shared" si="387"/>
        <v>-1</v>
      </c>
      <c r="AX137">
        <f t="shared" si="387"/>
        <v>-1</v>
      </c>
      <c r="AY137">
        <f t="shared" si="387"/>
        <v>-1</v>
      </c>
      <c r="AZ137">
        <f t="shared" si="387"/>
        <v>-1</v>
      </c>
      <c r="BA137">
        <f t="shared" si="387"/>
        <v>-1</v>
      </c>
      <c r="BB137">
        <f t="shared" si="387"/>
        <v>-1</v>
      </c>
      <c r="BC137">
        <f t="shared" si="387"/>
        <v>-1</v>
      </c>
      <c r="BD137">
        <f t="shared" si="387"/>
        <v>-1</v>
      </c>
      <c r="BE137">
        <f t="shared" si="387"/>
        <v>-1</v>
      </c>
      <c r="BF137">
        <f t="shared" si="387"/>
        <v>-1</v>
      </c>
      <c r="BG137">
        <f t="shared" si="387"/>
        <v>-1</v>
      </c>
      <c r="BH137">
        <f t="shared" si="387"/>
        <v>-1</v>
      </c>
      <c r="BI137">
        <f t="shared" si="387"/>
        <v>-1</v>
      </c>
      <c r="BJ137">
        <f t="shared" si="387"/>
        <v>-1</v>
      </c>
      <c r="BK137">
        <f t="shared" si="387"/>
        <v>-1</v>
      </c>
      <c r="BL137">
        <f t="shared" si="387"/>
        <v>-1</v>
      </c>
      <c r="BM137">
        <f t="shared" si="387"/>
        <v>-1</v>
      </c>
      <c r="BN137">
        <f t="shared" si="387"/>
        <v>-1</v>
      </c>
      <c r="BO137">
        <f t="shared" si="387"/>
        <v>-1</v>
      </c>
      <c r="BP137">
        <f t="shared" ref="BP137:EA137" si="388">IF(OR(BP136=-1,AND(IF(BP$3&lt;$B137,BP136+BP$6,IF(BP$3=$B137,1,""))&gt;$B$1,BP$3&lt;$B137)),-1,IF(BP$3&lt;$B137,BP136+BP$6,IF(BP$3=$B137,1,"")))</f>
        <v>-1</v>
      </c>
      <c r="BQ137">
        <f t="shared" si="388"/>
        <v>-1</v>
      </c>
      <c r="BR137">
        <f t="shared" si="388"/>
        <v>-1</v>
      </c>
      <c r="BS137">
        <f t="shared" si="388"/>
        <v>-1</v>
      </c>
      <c r="BT137">
        <f t="shared" si="388"/>
        <v>-1</v>
      </c>
      <c r="BU137">
        <f t="shared" si="388"/>
        <v>74.8</v>
      </c>
      <c r="BV137">
        <f t="shared" si="388"/>
        <v>71.200000000000031</v>
      </c>
      <c r="BW137">
        <f t="shared" si="388"/>
        <v>67.600000000000065</v>
      </c>
      <c r="BX137">
        <f t="shared" si="388"/>
        <v>64.000000000000099</v>
      </c>
      <c r="BY137">
        <f t="shared" si="388"/>
        <v>60.400000000000098</v>
      </c>
      <c r="BZ137">
        <f t="shared" si="388"/>
        <v>56.80000000000009</v>
      </c>
      <c r="CA137">
        <f t="shared" si="388"/>
        <v>53.200000000000081</v>
      </c>
      <c r="CB137">
        <f t="shared" si="388"/>
        <v>49.600000000000072</v>
      </c>
      <c r="CC137">
        <f t="shared" si="388"/>
        <v>46.000000000000064</v>
      </c>
      <c r="CD137">
        <f t="shared" si="388"/>
        <v>42.400000000000055</v>
      </c>
      <c r="CE137">
        <f t="shared" si="388"/>
        <v>38.800000000000047</v>
      </c>
      <c r="CF137">
        <f t="shared" si="388"/>
        <v>35.200000000000038</v>
      </c>
      <c r="CG137">
        <f t="shared" si="388"/>
        <v>31.60000000000003</v>
      </c>
      <c r="CH137">
        <f t="shared" si="388"/>
        <v>28.000000000000021</v>
      </c>
      <c r="CI137">
        <f t="shared" si="388"/>
        <v>24.400000000000013</v>
      </c>
      <c r="CJ137">
        <f t="shared" si="388"/>
        <v>20.800000000000004</v>
      </c>
      <c r="CK137">
        <f t="shared" si="388"/>
        <v>17.199999999999996</v>
      </c>
      <c r="CL137">
        <f t="shared" si="388"/>
        <v>13.599999999999994</v>
      </c>
      <c r="CM137">
        <f t="shared" si="388"/>
        <v>9.9999999999999964</v>
      </c>
      <c r="CN137">
        <f t="shared" si="388"/>
        <v>6.3999999999999986</v>
      </c>
      <c r="CO137">
        <f t="shared" si="388"/>
        <v>52.5</v>
      </c>
      <c r="CP137">
        <f t="shared" si="388"/>
        <v>39.5</v>
      </c>
      <c r="CQ137">
        <f t="shared" si="388"/>
        <v>-1</v>
      </c>
      <c r="CR137">
        <f t="shared" si="388"/>
        <v>-1</v>
      </c>
      <c r="CS137">
        <f t="shared" si="388"/>
        <v>-1</v>
      </c>
      <c r="CT137">
        <f t="shared" si="388"/>
        <v>-1</v>
      </c>
      <c r="CU137">
        <f t="shared" si="388"/>
        <v>-1</v>
      </c>
      <c r="CV137">
        <f t="shared" si="388"/>
        <v>-1</v>
      </c>
      <c r="CW137">
        <f t="shared" si="388"/>
        <v>-1</v>
      </c>
      <c r="CX137">
        <f t="shared" si="388"/>
        <v>-1</v>
      </c>
      <c r="CY137">
        <f t="shared" si="388"/>
        <v>-1</v>
      </c>
      <c r="CZ137">
        <f t="shared" si="388"/>
        <v>-1</v>
      </c>
      <c r="DA137">
        <f t="shared" si="388"/>
        <v>-1</v>
      </c>
      <c r="DB137">
        <f t="shared" si="388"/>
        <v>-1</v>
      </c>
      <c r="DC137">
        <f t="shared" si="388"/>
        <v>-1</v>
      </c>
      <c r="DD137">
        <f t="shared" si="388"/>
        <v>-1</v>
      </c>
      <c r="DE137">
        <f t="shared" si="388"/>
        <v>-1</v>
      </c>
      <c r="DF137">
        <f t="shared" si="388"/>
        <v>-1</v>
      </c>
      <c r="DG137">
        <f t="shared" si="388"/>
        <v>-1</v>
      </c>
      <c r="DH137">
        <f t="shared" si="388"/>
        <v>-1</v>
      </c>
      <c r="DI137">
        <f t="shared" si="388"/>
        <v>-1</v>
      </c>
      <c r="DJ137">
        <f t="shared" si="388"/>
        <v>-1</v>
      </c>
      <c r="DK137">
        <f t="shared" si="388"/>
        <v>-1</v>
      </c>
      <c r="DL137">
        <f t="shared" si="388"/>
        <v>-1</v>
      </c>
      <c r="DM137">
        <f t="shared" si="388"/>
        <v>-1</v>
      </c>
      <c r="DN137">
        <f t="shared" si="388"/>
        <v>-1</v>
      </c>
      <c r="DO137">
        <f t="shared" si="388"/>
        <v>-1</v>
      </c>
      <c r="DP137">
        <f t="shared" si="388"/>
        <v>-1</v>
      </c>
      <c r="DQ137">
        <f t="shared" si="388"/>
        <v>-1</v>
      </c>
      <c r="DR137">
        <f t="shared" si="388"/>
        <v>-1</v>
      </c>
      <c r="DS137">
        <f t="shared" si="388"/>
        <v>-1</v>
      </c>
      <c r="DT137">
        <f t="shared" si="388"/>
        <v>-1</v>
      </c>
      <c r="DU137">
        <f t="shared" si="388"/>
        <v>-1</v>
      </c>
      <c r="DV137">
        <f t="shared" si="388"/>
        <v>-1</v>
      </c>
      <c r="DW137">
        <f t="shared" si="388"/>
        <v>-1</v>
      </c>
      <c r="DX137">
        <f t="shared" si="388"/>
        <v>-1</v>
      </c>
      <c r="DY137">
        <f t="shared" si="388"/>
        <v>-1</v>
      </c>
      <c r="DZ137">
        <f t="shared" si="388"/>
        <v>-1</v>
      </c>
      <c r="EA137">
        <f t="shared" si="388"/>
        <v>-1</v>
      </c>
      <c r="EB137">
        <f t="shared" ref="EB137:EO137" si="389">IF(OR(EB136=-1,AND(IF(EB$3&lt;$B137,EB136+EB$6,IF(EB$3=$B137,1,""))&gt;$B$1,EB$3&lt;$B137)),-1,IF(EB$3&lt;$B137,EB136+EB$6,IF(EB$3=$B137,1,"")))</f>
        <v>-1</v>
      </c>
      <c r="EC137">
        <f t="shared" si="389"/>
        <v>-1</v>
      </c>
      <c r="ED137">
        <f t="shared" si="389"/>
        <v>-1</v>
      </c>
      <c r="EE137">
        <f t="shared" si="389"/>
        <v>-1</v>
      </c>
      <c r="EF137">
        <f t="shared" si="389"/>
        <v>-1</v>
      </c>
      <c r="EG137">
        <f t="shared" si="389"/>
        <v>-1</v>
      </c>
      <c r="EH137">
        <f t="shared" si="389"/>
        <v>-1</v>
      </c>
      <c r="EI137">
        <f t="shared" si="389"/>
        <v>-1</v>
      </c>
      <c r="EJ137">
        <f t="shared" si="389"/>
        <v>-1</v>
      </c>
      <c r="EK137">
        <f t="shared" si="389"/>
        <v>-1</v>
      </c>
      <c r="EL137">
        <f t="shared" si="389"/>
        <v>-1</v>
      </c>
      <c r="EM137">
        <f t="shared" si="389"/>
        <v>-1</v>
      </c>
      <c r="EN137">
        <f t="shared" si="389"/>
        <v>-1</v>
      </c>
      <c r="EO137">
        <f t="shared" si="389"/>
        <v>-1</v>
      </c>
    </row>
    <row r="138" spans="1:145" x14ac:dyDescent="0.15">
      <c r="A138" t="e">
        <f t="shared" si="386"/>
        <v>#N/A</v>
      </c>
      <c r="B138" s="218">
        <v>130</v>
      </c>
      <c r="C138">
        <f t="shared" si="386"/>
        <v>-1</v>
      </c>
      <c r="D138">
        <f t="shared" ref="D138:BO138" si="390">IF(OR(D137=-1,AND(IF(D$3&lt;$B138,D137+D$6,IF(D$3=$B138,1,""))&gt;$B$1,D$3&lt;$B138)),-1,IF(D$3&lt;$B138,D137+D$6,IF(D$3=$B138,1,"")))</f>
        <v>-1</v>
      </c>
      <c r="E138">
        <f t="shared" si="390"/>
        <v>-1</v>
      </c>
      <c r="F138">
        <f t="shared" si="390"/>
        <v>-1</v>
      </c>
      <c r="G138">
        <f t="shared" si="390"/>
        <v>-1</v>
      </c>
      <c r="H138">
        <f t="shared" si="390"/>
        <v>-1</v>
      </c>
      <c r="I138">
        <f t="shared" si="390"/>
        <v>-1</v>
      </c>
      <c r="J138">
        <f t="shared" si="390"/>
        <v>-1</v>
      </c>
      <c r="K138">
        <f t="shared" si="390"/>
        <v>-1</v>
      </c>
      <c r="L138">
        <f t="shared" si="390"/>
        <v>-1</v>
      </c>
      <c r="M138">
        <f t="shared" si="390"/>
        <v>-1</v>
      </c>
      <c r="N138">
        <f t="shared" si="390"/>
        <v>-1</v>
      </c>
      <c r="O138">
        <f t="shared" si="390"/>
        <v>-1</v>
      </c>
      <c r="P138">
        <f t="shared" si="390"/>
        <v>-1</v>
      </c>
      <c r="Q138">
        <f t="shared" si="390"/>
        <v>-1</v>
      </c>
      <c r="R138">
        <f t="shared" si="390"/>
        <v>-1</v>
      </c>
      <c r="S138">
        <f t="shared" si="390"/>
        <v>-1</v>
      </c>
      <c r="T138">
        <f t="shared" si="390"/>
        <v>-1</v>
      </c>
      <c r="U138">
        <f t="shared" si="390"/>
        <v>-1</v>
      </c>
      <c r="V138">
        <f t="shared" si="390"/>
        <v>-1</v>
      </c>
      <c r="W138">
        <f t="shared" si="390"/>
        <v>-1</v>
      </c>
      <c r="X138">
        <f t="shared" si="390"/>
        <v>-1</v>
      </c>
      <c r="Y138">
        <f t="shared" si="390"/>
        <v>-1</v>
      </c>
      <c r="Z138">
        <f t="shared" si="390"/>
        <v>-1</v>
      </c>
      <c r="AA138">
        <f t="shared" si="390"/>
        <v>-1</v>
      </c>
      <c r="AB138">
        <f t="shared" si="390"/>
        <v>-1</v>
      </c>
      <c r="AC138">
        <f t="shared" si="390"/>
        <v>-1</v>
      </c>
      <c r="AD138">
        <f t="shared" si="390"/>
        <v>-1</v>
      </c>
      <c r="AE138">
        <f t="shared" si="390"/>
        <v>-1</v>
      </c>
      <c r="AF138">
        <f t="shared" si="390"/>
        <v>-1</v>
      </c>
      <c r="AG138">
        <f t="shared" si="390"/>
        <v>-1</v>
      </c>
      <c r="AH138">
        <f t="shared" si="390"/>
        <v>-1</v>
      </c>
      <c r="AI138">
        <f t="shared" si="390"/>
        <v>-1</v>
      </c>
      <c r="AJ138">
        <f t="shared" si="390"/>
        <v>74.2</v>
      </c>
      <c r="AK138">
        <f t="shared" si="390"/>
        <v>71.800000000000026</v>
      </c>
      <c r="AL138">
        <f t="shared" si="390"/>
        <v>69.400000000000048</v>
      </c>
      <c r="AM138">
        <f t="shared" si="390"/>
        <v>-1</v>
      </c>
      <c r="AN138">
        <f t="shared" si="390"/>
        <v>-1</v>
      </c>
      <c r="AO138">
        <f t="shared" si="390"/>
        <v>-1</v>
      </c>
      <c r="AP138">
        <f t="shared" si="390"/>
        <v>-1</v>
      </c>
      <c r="AQ138">
        <f t="shared" si="390"/>
        <v>-1</v>
      </c>
      <c r="AR138">
        <f t="shared" si="390"/>
        <v>-1</v>
      </c>
      <c r="AS138">
        <f t="shared" si="390"/>
        <v>-1</v>
      </c>
      <c r="AT138">
        <f t="shared" si="390"/>
        <v>-1</v>
      </c>
      <c r="AU138">
        <f t="shared" si="390"/>
        <v>-1</v>
      </c>
      <c r="AV138">
        <f t="shared" si="390"/>
        <v>-1</v>
      </c>
      <c r="AW138">
        <f t="shared" si="390"/>
        <v>-1</v>
      </c>
      <c r="AX138">
        <f t="shared" si="390"/>
        <v>-1</v>
      </c>
      <c r="AY138">
        <f t="shared" si="390"/>
        <v>-1</v>
      </c>
      <c r="AZ138">
        <f t="shared" si="390"/>
        <v>-1</v>
      </c>
      <c r="BA138">
        <f t="shared" si="390"/>
        <v>-1</v>
      </c>
      <c r="BB138">
        <f t="shared" si="390"/>
        <v>-1</v>
      </c>
      <c r="BC138">
        <f t="shared" si="390"/>
        <v>-1</v>
      </c>
      <c r="BD138">
        <f t="shared" si="390"/>
        <v>-1</v>
      </c>
      <c r="BE138">
        <f t="shared" si="390"/>
        <v>-1</v>
      </c>
      <c r="BF138">
        <f t="shared" si="390"/>
        <v>-1</v>
      </c>
      <c r="BG138">
        <f t="shared" si="390"/>
        <v>-1</v>
      </c>
      <c r="BH138">
        <f t="shared" si="390"/>
        <v>-1</v>
      </c>
      <c r="BI138">
        <f t="shared" si="390"/>
        <v>-1</v>
      </c>
      <c r="BJ138">
        <f t="shared" si="390"/>
        <v>-1</v>
      </c>
      <c r="BK138">
        <f t="shared" si="390"/>
        <v>-1</v>
      </c>
      <c r="BL138">
        <f t="shared" si="390"/>
        <v>-1</v>
      </c>
      <c r="BM138">
        <f t="shared" si="390"/>
        <v>-1</v>
      </c>
      <c r="BN138">
        <f t="shared" si="390"/>
        <v>-1</v>
      </c>
      <c r="BO138">
        <f t="shared" si="390"/>
        <v>-1</v>
      </c>
      <c r="BP138">
        <f t="shared" ref="BP138:EA138" si="391">IF(OR(BP137=-1,AND(IF(BP$3&lt;$B138,BP137+BP$6,IF(BP$3=$B138,1,""))&gt;$B$1,BP$3&lt;$B138)),-1,IF(BP$3&lt;$B138,BP137+BP$6,IF(BP$3=$B138,1,"")))</f>
        <v>-1</v>
      </c>
      <c r="BQ138">
        <f t="shared" si="391"/>
        <v>-1</v>
      </c>
      <c r="BR138">
        <f t="shared" si="391"/>
        <v>-1</v>
      </c>
      <c r="BS138">
        <f t="shared" si="391"/>
        <v>-1</v>
      </c>
      <c r="BT138">
        <f t="shared" si="391"/>
        <v>-1</v>
      </c>
      <c r="BU138">
        <f t="shared" si="391"/>
        <v>-1</v>
      </c>
      <c r="BV138">
        <f t="shared" si="391"/>
        <v>71.800000000000026</v>
      </c>
      <c r="BW138">
        <f t="shared" si="391"/>
        <v>68.20000000000006</v>
      </c>
      <c r="BX138">
        <f t="shared" si="391"/>
        <v>64.600000000000094</v>
      </c>
      <c r="BY138">
        <f t="shared" si="391"/>
        <v>61.000000000000099</v>
      </c>
      <c r="BZ138">
        <f t="shared" si="391"/>
        <v>57.400000000000091</v>
      </c>
      <c r="CA138">
        <f t="shared" si="391"/>
        <v>53.800000000000082</v>
      </c>
      <c r="CB138">
        <f t="shared" si="391"/>
        <v>50.200000000000074</v>
      </c>
      <c r="CC138">
        <f t="shared" si="391"/>
        <v>46.600000000000065</v>
      </c>
      <c r="CD138">
        <f t="shared" si="391"/>
        <v>43.000000000000057</v>
      </c>
      <c r="CE138">
        <f t="shared" si="391"/>
        <v>39.400000000000048</v>
      </c>
      <c r="CF138">
        <f t="shared" si="391"/>
        <v>35.80000000000004</v>
      </c>
      <c r="CG138">
        <f t="shared" si="391"/>
        <v>32.200000000000031</v>
      </c>
      <c r="CH138">
        <f t="shared" si="391"/>
        <v>28.600000000000023</v>
      </c>
      <c r="CI138">
        <f t="shared" si="391"/>
        <v>25.000000000000014</v>
      </c>
      <c r="CJ138">
        <f t="shared" si="391"/>
        <v>21.400000000000006</v>
      </c>
      <c r="CK138">
        <f t="shared" si="391"/>
        <v>17.799999999999997</v>
      </c>
      <c r="CL138">
        <f t="shared" si="391"/>
        <v>14.199999999999994</v>
      </c>
      <c r="CM138">
        <f t="shared" si="391"/>
        <v>10.599999999999996</v>
      </c>
      <c r="CN138">
        <f t="shared" si="391"/>
        <v>6.9999999999999982</v>
      </c>
      <c r="CO138">
        <f t="shared" si="391"/>
        <v>53</v>
      </c>
      <c r="CP138">
        <f t="shared" si="391"/>
        <v>40</v>
      </c>
      <c r="CQ138">
        <f t="shared" si="391"/>
        <v>-1</v>
      </c>
      <c r="CR138">
        <f t="shared" si="391"/>
        <v>-1</v>
      </c>
      <c r="CS138">
        <f t="shared" si="391"/>
        <v>-1</v>
      </c>
      <c r="CT138">
        <f t="shared" si="391"/>
        <v>-1</v>
      </c>
      <c r="CU138">
        <f t="shared" si="391"/>
        <v>-1</v>
      </c>
      <c r="CV138">
        <f t="shared" si="391"/>
        <v>-1</v>
      </c>
      <c r="CW138">
        <f t="shared" si="391"/>
        <v>-1</v>
      </c>
      <c r="CX138">
        <f t="shared" si="391"/>
        <v>-1</v>
      </c>
      <c r="CY138">
        <f t="shared" si="391"/>
        <v>-1</v>
      </c>
      <c r="CZ138">
        <f t="shared" si="391"/>
        <v>-1</v>
      </c>
      <c r="DA138">
        <f t="shared" si="391"/>
        <v>-1</v>
      </c>
      <c r="DB138">
        <f t="shared" si="391"/>
        <v>-1</v>
      </c>
      <c r="DC138">
        <f t="shared" si="391"/>
        <v>-1</v>
      </c>
      <c r="DD138">
        <f t="shared" si="391"/>
        <v>-1</v>
      </c>
      <c r="DE138">
        <f t="shared" si="391"/>
        <v>-1</v>
      </c>
      <c r="DF138">
        <f t="shared" si="391"/>
        <v>-1</v>
      </c>
      <c r="DG138">
        <f t="shared" si="391"/>
        <v>-1</v>
      </c>
      <c r="DH138">
        <f t="shared" si="391"/>
        <v>-1</v>
      </c>
      <c r="DI138">
        <f t="shared" si="391"/>
        <v>-1</v>
      </c>
      <c r="DJ138">
        <f t="shared" si="391"/>
        <v>-1</v>
      </c>
      <c r="DK138">
        <f t="shared" si="391"/>
        <v>-1</v>
      </c>
      <c r="DL138">
        <f t="shared" si="391"/>
        <v>-1</v>
      </c>
      <c r="DM138">
        <f t="shared" si="391"/>
        <v>-1</v>
      </c>
      <c r="DN138">
        <f t="shared" si="391"/>
        <v>-1</v>
      </c>
      <c r="DO138">
        <f t="shared" si="391"/>
        <v>-1</v>
      </c>
      <c r="DP138">
        <f t="shared" si="391"/>
        <v>-1</v>
      </c>
      <c r="DQ138">
        <f t="shared" si="391"/>
        <v>-1</v>
      </c>
      <c r="DR138">
        <f t="shared" si="391"/>
        <v>-1</v>
      </c>
      <c r="DS138">
        <f t="shared" si="391"/>
        <v>-1</v>
      </c>
      <c r="DT138">
        <f t="shared" si="391"/>
        <v>-1</v>
      </c>
      <c r="DU138">
        <f t="shared" si="391"/>
        <v>-1</v>
      </c>
      <c r="DV138">
        <f t="shared" si="391"/>
        <v>-1</v>
      </c>
      <c r="DW138">
        <f t="shared" si="391"/>
        <v>-1</v>
      </c>
      <c r="DX138">
        <f t="shared" si="391"/>
        <v>-1</v>
      </c>
      <c r="DY138">
        <f t="shared" si="391"/>
        <v>-1</v>
      </c>
      <c r="DZ138">
        <f t="shared" si="391"/>
        <v>-1</v>
      </c>
      <c r="EA138">
        <f t="shared" si="391"/>
        <v>-1</v>
      </c>
      <c r="EB138">
        <f t="shared" ref="EB138:EO138" si="392">IF(OR(EB137=-1,AND(IF(EB$3&lt;$B138,EB137+EB$6,IF(EB$3=$B138,1,""))&gt;$B$1,EB$3&lt;$B138)),-1,IF(EB$3&lt;$B138,EB137+EB$6,IF(EB$3=$B138,1,"")))</f>
        <v>-1</v>
      </c>
      <c r="EC138">
        <f t="shared" si="392"/>
        <v>-1</v>
      </c>
      <c r="ED138">
        <f t="shared" si="392"/>
        <v>-1</v>
      </c>
      <c r="EE138">
        <f t="shared" si="392"/>
        <v>-1</v>
      </c>
      <c r="EF138">
        <f t="shared" si="392"/>
        <v>-1</v>
      </c>
      <c r="EG138">
        <f t="shared" si="392"/>
        <v>-1</v>
      </c>
      <c r="EH138">
        <f t="shared" si="392"/>
        <v>-1</v>
      </c>
      <c r="EI138">
        <f t="shared" si="392"/>
        <v>-1</v>
      </c>
      <c r="EJ138">
        <f t="shared" si="392"/>
        <v>-1</v>
      </c>
      <c r="EK138">
        <f t="shared" si="392"/>
        <v>-1</v>
      </c>
      <c r="EL138">
        <f t="shared" si="392"/>
        <v>-1</v>
      </c>
      <c r="EM138">
        <f t="shared" si="392"/>
        <v>-1</v>
      </c>
      <c r="EN138">
        <f t="shared" si="392"/>
        <v>-1</v>
      </c>
      <c r="EO138">
        <f t="shared" si="392"/>
        <v>-1</v>
      </c>
    </row>
    <row r="139" spans="1:145" x14ac:dyDescent="0.15">
      <c r="A139" t="e">
        <f t="shared" si="386"/>
        <v>#N/A</v>
      </c>
      <c r="B139" s="218">
        <v>131</v>
      </c>
      <c r="C139">
        <f t="shared" si="386"/>
        <v>-1</v>
      </c>
      <c r="D139">
        <f t="shared" ref="D139:BO139" si="393">IF(OR(D138=-1,AND(IF(D$3&lt;$B139,D138+D$6,IF(D$3=$B139,1,""))&gt;$B$1,D$3&lt;$B139)),-1,IF(D$3&lt;$B139,D138+D$6,IF(D$3=$B139,1,"")))</f>
        <v>-1</v>
      </c>
      <c r="E139">
        <f t="shared" si="393"/>
        <v>-1</v>
      </c>
      <c r="F139">
        <f t="shared" si="393"/>
        <v>-1</v>
      </c>
      <c r="G139">
        <f t="shared" si="393"/>
        <v>-1</v>
      </c>
      <c r="H139">
        <f t="shared" si="393"/>
        <v>-1</v>
      </c>
      <c r="I139">
        <f t="shared" si="393"/>
        <v>-1</v>
      </c>
      <c r="J139">
        <f t="shared" si="393"/>
        <v>-1</v>
      </c>
      <c r="K139">
        <f t="shared" si="393"/>
        <v>-1</v>
      </c>
      <c r="L139">
        <f t="shared" si="393"/>
        <v>-1</v>
      </c>
      <c r="M139">
        <f t="shared" si="393"/>
        <v>-1</v>
      </c>
      <c r="N139">
        <f t="shared" si="393"/>
        <v>-1</v>
      </c>
      <c r="O139">
        <f t="shared" si="393"/>
        <v>-1</v>
      </c>
      <c r="P139">
        <f t="shared" si="393"/>
        <v>-1</v>
      </c>
      <c r="Q139">
        <f t="shared" si="393"/>
        <v>-1</v>
      </c>
      <c r="R139">
        <f t="shared" si="393"/>
        <v>-1</v>
      </c>
      <c r="S139">
        <f t="shared" si="393"/>
        <v>-1</v>
      </c>
      <c r="T139">
        <f t="shared" si="393"/>
        <v>-1</v>
      </c>
      <c r="U139">
        <f t="shared" si="393"/>
        <v>-1</v>
      </c>
      <c r="V139">
        <f t="shared" si="393"/>
        <v>-1</v>
      </c>
      <c r="W139">
        <f t="shared" si="393"/>
        <v>-1</v>
      </c>
      <c r="X139">
        <f t="shared" si="393"/>
        <v>-1</v>
      </c>
      <c r="Y139">
        <f t="shared" si="393"/>
        <v>-1</v>
      </c>
      <c r="Z139">
        <f t="shared" si="393"/>
        <v>-1</v>
      </c>
      <c r="AA139">
        <f t="shared" si="393"/>
        <v>-1</v>
      </c>
      <c r="AB139">
        <f t="shared" si="393"/>
        <v>-1</v>
      </c>
      <c r="AC139">
        <f t="shared" si="393"/>
        <v>-1</v>
      </c>
      <c r="AD139">
        <f t="shared" si="393"/>
        <v>-1</v>
      </c>
      <c r="AE139">
        <f t="shared" si="393"/>
        <v>-1</v>
      </c>
      <c r="AF139">
        <f t="shared" si="393"/>
        <v>-1</v>
      </c>
      <c r="AG139">
        <f t="shared" si="393"/>
        <v>-1</v>
      </c>
      <c r="AH139">
        <f t="shared" si="393"/>
        <v>-1</v>
      </c>
      <c r="AI139">
        <f t="shared" si="393"/>
        <v>-1</v>
      </c>
      <c r="AJ139">
        <f t="shared" si="393"/>
        <v>74.8</v>
      </c>
      <c r="AK139">
        <f t="shared" si="393"/>
        <v>72.40000000000002</v>
      </c>
      <c r="AL139">
        <f t="shared" si="393"/>
        <v>70.000000000000043</v>
      </c>
      <c r="AM139">
        <f t="shared" si="393"/>
        <v>-1</v>
      </c>
      <c r="AN139">
        <f t="shared" si="393"/>
        <v>-1</v>
      </c>
      <c r="AO139">
        <f t="shared" si="393"/>
        <v>-1</v>
      </c>
      <c r="AP139">
        <f t="shared" si="393"/>
        <v>-1</v>
      </c>
      <c r="AQ139">
        <f t="shared" si="393"/>
        <v>-1</v>
      </c>
      <c r="AR139">
        <f t="shared" si="393"/>
        <v>-1</v>
      </c>
      <c r="AS139">
        <f t="shared" si="393"/>
        <v>-1</v>
      </c>
      <c r="AT139">
        <f t="shared" si="393"/>
        <v>-1</v>
      </c>
      <c r="AU139">
        <f t="shared" si="393"/>
        <v>-1</v>
      </c>
      <c r="AV139">
        <f t="shared" si="393"/>
        <v>-1</v>
      </c>
      <c r="AW139">
        <f t="shared" si="393"/>
        <v>-1</v>
      </c>
      <c r="AX139">
        <f t="shared" si="393"/>
        <v>-1</v>
      </c>
      <c r="AY139">
        <f t="shared" si="393"/>
        <v>-1</v>
      </c>
      <c r="AZ139">
        <f t="shared" si="393"/>
        <v>-1</v>
      </c>
      <c r="BA139">
        <f t="shared" si="393"/>
        <v>-1</v>
      </c>
      <c r="BB139">
        <f t="shared" si="393"/>
        <v>-1</v>
      </c>
      <c r="BC139">
        <f t="shared" si="393"/>
        <v>-1</v>
      </c>
      <c r="BD139">
        <f t="shared" si="393"/>
        <v>-1</v>
      </c>
      <c r="BE139">
        <f t="shared" si="393"/>
        <v>-1</v>
      </c>
      <c r="BF139">
        <f t="shared" si="393"/>
        <v>-1</v>
      </c>
      <c r="BG139">
        <f t="shared" si="393"/>
        <v>-1</v>
      </c>
      <c r="BH139">
        <f t="shared" si="393"/>
        <v>-1</v>
      </c>
      <c r="BI139">
        <f t="shared" si="393"/>
        <v>-1</v>
      </c>
      <c r="BJ139">
        <f t="shared" si="393"/>
        <v>-1</v>
      </c>
      <c r="BK139">
        <f t="shared" si="393"/>
        <v>-1</v>
      </c>
      <c r="BL139">
        <f t="shared" si="393"/>
        <v>-1</v>
      </c>
      <c r="BM139">
        <f t="shared" si="393"/>
        <v>-1</v>
      </c>
      <c r="BN139">
        <f t="shared" si="393"/>
        <v>-1</v>
      </c>
      <c r="BO139">
        <f t="shared" si="393"/>
        <v>-1</v>
      </c>
      <c r="BP139">
        <f t="shared" ref="BP139:EA139" si="394">IF(OR(BP138=-1,AND(IF(BP$3&lt;$B139,BP138+BP$6,IF(BP$3=$B139,1,""))&gt;$B$1,BP$3&lt;$B139)),-1,IF(BP$3&lt;$B139,BP138+BP$6,IF(BP$3=$B139,1,"")))</f>
        <v>-1</v>
      </c>
      <c r="BQ139">
        <f t="shared" si="394"/>
        <v>-1</v>
      </c>
      <c r="BR139">
        <f t="shared" si="394"/>
        <v>-1</v>
      </c>
      <c r="BS139">
        <f t="shared" si="394"/>
        <v>-1</v>
      </c>
      <c r="BT139">
        <f t="shared" si="394"/>
        <v>-1</v>
      </c>
      <c r="BU139">
        <f t="shared" si="394"/>
        <v>-1</v>
      </c>
      <c r="BV139">
        <f t="shared" si="394"/>
        <v>72.40000000000002</v>
      </c>
      <c r="BW139">
        <f t="shared" si="394"/>
        <v>68.800000000000054</v>
      </c>
      <c r="BX139">
        <f t="shared" si="394"/>
        <v>65.200000000000088</v>
      </c>
      <c r="BY139">
        <f t="shared" si="394"/>
        <v>61.600000000000101</v>
      </c>
      <c r="BZ139">
        <f t="shared" si="394"/>
        <v>58.000000000000092</v>
      </c>
      <c r="CA139">
        <f t="shared" si="394"/>
        <v>54.400000000000084</v>
      </c>
      <c r="CB139">
        <f t="shared" si="394"/>
        <v>50.800000000000075</v>
      </c>
      <c r="CC139">
        <f t="shared" si="394"/>
        <v>47.200000000000067</v>
      </c>
      <c r="CD139">
        <f t="shared" si="394"/>
        <v>43.600000000000058</v>
      </c>
      <c r="CE139">
        <f t="shared" si="394"/>
        <v>40.00000000000005</v>
      </c>
      <c r="CF139">
        <f t="shared" si="394"/>
        <v>36.400000000000041</v>
      </c>
      <c r="CG139">
        <f t="shared" si="394"/>
        <v>32.800000000000033</v>
      </c>
      <c r="CH139">
        <f t="shared" si="394"/>
        <v>29.200000000000024</v>
      </c>
      <c r="CI139">
        <f t="shared" si="394"/>
        <v>25.600000000000016</v>
      </c>
      <c r="CJ139">
        <f t="shared" si="394"/>
        <v>22.000000000000007</v>
      </c>
      <c r="CK139">
        <f t="shared" si="394"/>
        <v>18.399999999999999</v>
      </c>
      <c r="CL139">
        <f t="shared" si="394"/>
        <v>14.799999999999994</v>
      </c>
      <c r="CM139">
        <f t="shared" si="394"/>
        <v>11.199999999999996</v>
      </c>
      <c r="CN139">
        <f t="shared" si="394"/>
        <v>7.5999999999999979</v>
      </c>
      <c r="CO139">
        <f t="shared" si="394"/>
        <v>53.5</v>
      </c>
      <c r="CP139">
        <f t="shared" si="394"/>
        <v>40.5</v>
      </c>
      <c r="CQ139">
        <f t="shared" si="394"/>
        <v>-1</v>
      </c>
      <c r="CR139">
        <f t="shared" si="394"/>
        <v>-1</v>
      </c>
      <c r="CS139">
        <f t="shared" si="394"/>
        <v>-1</v>
      </c>
      <c r="CT139">
        <f t="shared" si="394"/>
        <v>-1</v>
      </c>
      <c r="CU139">
        <f t="shared" si="394"/>
        <v>-1</v>
      </c>
      <c r="CV139">
        <f t="shared" si="394"/>
        <v>-1</v>
      </c>
      <c r="CW139">
        <f t="shared" si="394"/>
        <v>-1</v>
      </c>
      <c r="CX139">
        <f t="shared" si="394"/>
        <v>-1</v>
      </c>
      <c r="CY139">
        <f t="shared" si="394"/>
        <v>-1</v>
      </c>
      <c r="CZ139">
        <f t="shared" si="394"/>
        <v>-1</v>
      </c>
      <c r="DA139">
        <f t="shared" si="394"/>
        <v>-1</v>
      </c>
      <c r="DB139">
        <f t="shared" si="394"/>
        <v>-1</v>
      </c>
      <c r="DC139">
        <f t="shared" si="394"/>
        <v>-1</v>
      </c>
      <c r="DD139">
        <f t="shared" si="394"/>
        <v>-1</v>
      </c>
      <c r="DE139">
        <f t="shared" si="394"/>
        <v>-1</v>
      </c>
      <c r="DF139">
        <f t="shared" si="394"/>
        <v>-1</v>
      </c>
      <c r="DG139">
        <f t="shared" si="394"/>
        <v>-1</v>
      </c>
      <c r="DH139">
        <f t="shared" si="394"/>
        <v>-1</v>
      </c>
      <c r="DI139">
        <f t="shared" si="394"/>
        <v>-1</v>
      </c>
      <c r="DJ139">
        <f t="shared" si="394"/>
        <v>-1</v>
      </c>
      <c r="DK139">
        <f t="shared" si="394"/>
        <v>-1</v>
      </c>
      <c r="DL139">
        <f t="shared" si="394"/>
        <v>-1</v>
      </c>
      <c r="DM139">
        <f t="shared" si="394"/>
        <v>-1</v>
      </c>
      <c r="DN139">
        <f t="shared" si="394"/>
        <v>-1</v>
      </c>
      <c r="DO139">
        <f t="shared" si="394"/>
        <v>-1</v>
      </c>
      <c r="DP139">
        <f t="shared" si="394"/>
        <v>-1</v>
      </c>
      <c r="DQ139">
        <f t="shared" si="394"/>
        <v>-1</v>
      </c>
      <c r="DR139">
        <f t="shared" si="394"/>
        <v>-1</v>
      </c>
      <c r="DS139">
        <f t="shared" si="394"/>
        <v>-1</v>
      </c>
      <c r="DT139">
        <f t="shared" si="394"/>
        <v>-1</v>
      </c>
      <c r="DU139">
        <f t="shared" si="394"/>
        <v>-1</v>
      </c>
      <c r="DV139">
        <f t="shared" si="394"/>
        <v>-1</v>
      </c>
      <c r="DW139">
        <f t="shared" si="394"/>
        <v>-1</v>
      </c>
      <c r="DX139">
        <f t="shared" si="394"/>
        <v>-1</v>
      </c>
      <c r="DY139">
        <f t="shared" si="394"/>
        <v>-1</v>
      </c>
      <c r="DZ139">
        <f t="shared" si="394"/>
        <v>-1</v>
      </c>
      <c r="EA139">
        <f t="shared" si="394"/>
        <v>-1</v>
      </c>
      <c r="EB139">
        <f t="shared" ref="EB139:EO139" si="395">IF(OR(EB138=-1,AND(IF(EB$3&lt;$B139,EB138+EB$6,IF(EB$3=$B139,1,""))&gt;$B$1,EB$3&lt;$B139)),-1,IF(EB$3&lt;$B139,EB138+EB$6,IF(EB$3=$B139,1,"")))</f>
        <v>-1</v>
      </c>
      <c r="EC139">
        <f t="shared" si="395"/>
        <v>-1</v>
      </c>
      <c r="ED139">
        <f t="shared" si="395"/>
        <v>-1</v>
      </c>
      <c r="EE139">
        <f t="shared" si="395"/>
        <v>-1</v>
      </c>
      <c r="EF139">
        <f t="shared" si="395"/>
        <v>-1</v>
      </c>
      <c r="EG139">
        <f t="shared" si="395"/>
        <v>-1</v>
      </c>
      <c r="EH139">
        <f t="shared" si="395"/>
        <v>-1</v>
      </c>
      <c r="EI139">
        <f t="shared" si="395"/>
        <v>-1</v>
      </c>
      <c r="EJ139">
        <f t="shared" si="395"/>
        <v>-1</v>
      </c>
      <c r="EK139">
        <f t="shared" si="395"/>
        <v>-1</v>
      </c>
      <c r="EL139">
        <f t="shared" si="395"/>
        <v>-1</v>
      </c>
      <c r="EM139">
        <f t="shared" si="395"/>
        <v>-1</v>
      </c>
      <c r="EN139">
        <f t="shared" si="395"/>
        <v>-1</v>
      </c>
      <c r="EO139">
        <f t="shared" si="395"/>
        <v>-1</v>
      </c>
    </row>
    <row r="140" spans="1:145" x14ac:dyDescent="0.15">
      <c r="A140" t="e">
        <f t="shared" si="386"/>
        <v>#N/A</v>
      </c>
      <c r="B140" s="218">
        <v>132</v>
      </c>
      <c r="C140">
        <f t="shared" si="386"/>
        <v>-1</v>
      </c>
      <c r="D140">
        <f t="shared" ref="D140:BO140" si="396">IF(OR(D139=-1,AND(IF(D$3&lt;$B140,D139+D$6,IF(D$3=$B140,1,""))&gt;$B$1,D$3&lt;$B140)),-1,IF(D$3&lt;$B140,D139+D$6,IF(D$3=$B140,1,"")))</f>
        <v>-1</v>
      </c>
      <c r="E140">
        <f t="shared" si="396"/>
        <v>-1</v>
      </c>
      <c r="F140">
        <f t="shared" si="396"/>
        <v>-1</v>
      </c>
      <c r="G140">
        <f t="shared" si="396"/>
        <v>-1</v>
      </c>
      <c r="H140">
        <f t="shared" si="396"/>
        <v>-1</v>
      </c>
      <c r="I140">
        <f t="shared" si="396"/>
        <v>-1</v>
      </c>
      <c r="J140">
        <f t="shared" si="396"/>
        <v>-1</v>
      </c>
      <c r="K140">
        <f t="shared" si="396"/>
        <v>-1</v>
      </c>
      <c r="L140">
        <f t="shared" si="396"/>
        <v>-1</v>
      </c>
      <c r="M140">
        <f t="shared" si="396"/>
        <v>-1</v>
      </c>
      <c r="N140">
        <f t="shared" si="396"/>
        <v>-1</v>
      </c>
      <c r="O140">
        <f t="shared" si="396"/>
        <v>-1</v>
      </c>
      <c r="P140">
        <f t="shared" si="396"/>
        <v>-1</v>
      </c>
      <c r="Q140">
        <f t="shared" si="396"/>
        <v>-1</v>
      </c>
      <c r="R140">
        <f t="shared" si="396"/>
        <v>-1</v>
      </c>
      <c r="S140">
        <f t="shared" si="396"/>
        <v>-1</v>
      </c>
      <c r="T140">
        <f t="shared" si="396"/>
        <v>-1</v>
      </c>
      <c r="U140">
        <f t="shared" si="396"/>
        <v>-1</v>
      </c>
      <c r="V140">
        <f t="shared" si="396"/>
        <v>-1</v>
      </c>
      <c r="W140">
        <f t="shared" si="396"/>
        <v>-1</v>
      </c>
      <c r="X140">
        <f t="shared" si="396"/>
        <v>-1</v>
      </c>
      <c r="Y140">
        <f t="shared" si="396"/>
        <v>-1</v>
      </c>
      <c r="Z140">
        <f t="shared" si="396"/>
        <v>-1</v>
      </c>
      <c r="AA140">
        <f t="shared" si="396"/>
        <v>-1</v>
      </c>
      <c r="AB140">
        <f t="shared" si="396"/>
        <v>-1</v>
      </c>
      <c r="AC140">
        <f t="shared" si="396"/>
        <v>-1</v>
      </c>
      <c r="AD140">
        <f t="shared" si="396"/>
        <v>-1</v>
      </c>
      <c r="AE140">
        <f t="shared" si="396"/>
        <v>-1</v>
      </c>
      <c r="AF140">
        <f t="shared" si="396"/>
        <v>-1</v>
      </c>
      <c r="AG140">
        <f t="shared" si="396"/>
        <v>-1</v>
      </c>
      <c r="AH140">
        <f t="shared" si="396"/>
        <v>-1</v>
      </c>
      <c r="AI140">
        <f t="shared" si="396"/>
        <v>-1</v>
      </c>
      <c r="AJ140">
        <f t="shared" si="396"/>
        <v>-1</v>
      </c>
      <c r="AK140">
        <f t="shared" si="396"/>
        <v>73.000000000000014</v>
      </c>
      <c r="AL140">
        <f t="shared" si="396"/>
        <v>70.600000000000037</v>
      </c>
      <c r="AM140">
        <f t="shared" si="396"/>
        <v>-1</v>
      </c>
      <c r="AN140">
        <f t="shared" si="396"/>
        <v>-1</v>
      </c>
      <c r="AO140">
        <f t="shared" si="396"/>
        <v>-1</v>
      </c>
      <c r="AP140">
        <f t="shared" si="396"/>
        <v>-1</v>
      </c>
      <c r="AQ140">
        <f t="shared" si="396"/>
        <v>-1</v>
      </c>
      <c r="AR140">
        <f t="shared" si="396"/>
        <v>-1</v>
      </c>
      <c r="AS140">
        <f t="shared" si="396"/>
        <v>-1</v>
      </c>
      <c r="AT140">
        <f t="shared" si="396"/>
        <v>-1</v>
      </c>
      <c r="AU140">
        <f t="shared" si="396"/>
        <v>-1</v>
      </c>
      <c r="AV140">
        <f t="shared" si="396"/>
        <v>-1</v>
      </c>
      <c r="AW140">
        <f t="shared" si="396"/>
        <v>-1</v>
      </c>
      <c r="AX140">
        <f t="shared" si="396"/>
        <v>-1</v>
      </c>
      <c r="AY140">
        <f t="shared" si="396"/>
        <v>-1</v>
      </c>
      <c r="AZ140">
        <f t="shared" si="396"/>
        <v>-1</v>
      </c>
      <c r="BA140">
        <f t="shared" si="396"/>
        <v>-1</v>
      </c>
      <c r="BB140">
        <f t="shared" si="396"/>
        <v>-1</v>
      </c>
      <c r="BC140">
        <f t="shared" si="396"/>
        <v>-1</v>
      </c>
      <c r="BD140">
        <f t="shared" si="396"/>
        <v>-1</v>
      </c>
      <c r="BE140">
        <f t="shared" si="396"/>
        <v>-1</v>
      </c>
      <c r="BF140">
        <f t="shared" si="396"/>
        <v>-1</v>
      </c>
      <c r="BG140">
        <f t="shared" si="396"/>
        <v>-1</v>
      </c>
      <c r="BH140">
        <f t="shared" si="396"/>
        <v>-1</v>
      </c>
      <c r="BI140">
        <f t="shared" si="396"/>
        <v>-1</v>
      </c>
      <c r="BJ140">
        <f t="shared" si="396"/>
        <v>-1</v>
      </c>
      <c r="BK140">
        <f t="shared" si="396"/>
        <v>-1</v>
      </c>
      <c r="BL140">
        <f t="shared" si="396"/>
        <v>-1</v>
      </c>
      <c r="BM140">
        <f t="shared" si="396"/>
        <v>-1</v>
      </c>
      <c r="BN140">
        <f t="shared" si="396"/>
        <v>-1</v>
      </c>
      <c r="BO140">
        <f t="shared" si="396"/>
        <v>-1</v>
      </c>
      <c r="BP140">
        <f t="shared" ref="BP140:EA140" si="397">IF(OR(BP139=-1,AND(IF(BP$3&lt;$B140,BP139+BP$6,IF(BP$3=$B140,1,""))&gt;$B$1,BP$3&lt;$B140)),-1,IF(BP$3&lt;$B140,BP139+BP$6,IF(BP$3=$B140,1,"")))</f>
        <v>-1</v>
      </c>
      <c r="BQ140">
        <f t="shared" si="397"/>
        <v>-1</v>
      </c>
      <c r="BR140">
        <f t="shared" si="397"/>
        <v>-1</v>
      </c>
      <c r="BS140">
        <f t="shared" si="397"/>
        <v>-1</v>
      </c>
      <c r="BT140">
        <f t="shared" si="397"/>
        <v>-1</v>
      </c>
      <c r="BU140">
        <f t="shared" si="397"/>
        <v>-1</v>
      </c>
      <c r="BV140">
        <f t="shared" si="397"/>
        <v>73.000000000000014</v>
      </c>
      <c r="BW140">
        <f t="shared" si="397"/>
        <v>69.400000000000048</v>
      </c>
      <c r="BX140">
        <f t="shared" si="397"/>
        <v>65.800000000000082</v>
      </c>
      <c r="BY140">
        <f t="shared" si="397"/>
        <v>62.200000000000102</v>
      </c>
      <c r="BZ140">
        <f t="shared" si="397"/>
        <v>58.600000000000094</v>
      </c>
      <c r="CA140">
        <f t="shared" si="397"/>
        <v>55.000000000000085</v>
      </c>
      <c r="CB140">
        <f t="shared" si="397"/>
        <v>51.400000000000077</v>
      </c>
      <c r="CC140">
        <f t="shared" si="397"/>
        <v>47.800000000000068</v>
      </c>
      <c r="CD140">
        <f t="shared" si="397"/>
        <v>44.20000000000006</v>
      </c>
      <c r="CE140">
        <f t="shared" si="397"/>
        <v>40.600000000000051</v>
      </c>
      <c r="CF140">
        <f t="shared" si="397"/>
        <v>37.000000000000043</v>
      </c>
      <c r="CG140">
        <f t="shared" si="397"/>
        <v>33.400000000000034</v>
      </c>
      <c r="CH140">
        <f t="shared" si="397"/>
        <v>29.800000000000026</v>
      </c>
      <c r="CI140">
        <f t="shared" si="397"/>
        <v>26.200000000000017</v>
      </c>
      <c r="CJ140">
        <f t="shared" si="397"/>
        <v>22.600000000000009</v>
      </c>
      <c r="CK140">
        <f t="shared" si="397"/>
        <v>19</v>
      </c>
      <c r="CL140">
        <f t="shared" si="397"/>
        <v>15.399999999999993</v>
      </c>
      <c r="CM140">
        <f t="shared" si="397"/>
        <v>11.799999999999995</v>
      </c>
      <c r="CN140">
        <f t="shared" si="397"/>
        <v>8.1999999999999975</v>
      </c>
      <c r="CO140">
        <f t="shared" si="397"/>
        <v>54</v>
      </c>
      <c r="CP140">
        <f t="shared" si="397"/>
        <v>41</v>
      </c>
      <c r="CQ140">
        <f t="shared" si="397"/>
        <v>-1</v>
      </c>
      <c r="CR140">
        <f t="shared" si="397"/>
        <v>-1</v>
      </c>
      <c r="CS140">
        <f t="shared" si="397"/>
        <v>-1</v>
      </c>
      <c r="CT140">
        <f t="shared" si="397"/>
        <v>-1</v>
      </c>
      <c r="CU140">
        <f t="shared" si="397"/>
        <v>-1</v>
      </c>
      <c r="CV140">
        <f t="shared" si="397"/>
        <v>-1</v>
      </c>
      <c r="CW140">
        <f t="shared" si="397"/>
        <v>-1</v>
      </c>
      <c r="CX140">
        <f t="shared" si="397"/>
        <v>-1</v>
      </c>
      <c r="CY140">
        <f t="shared" si="397"/>
        <v>-1</v>
      </c>
      <c r="CZ140">
        <f t="shared" si="397"/>
        <v>-1</v>
      </c>
      <c r="DA140">
        <f t="shared" si="397"/>
        <v>-1</v>
      </c>
      <c r="DB140">
        <f t="shared" si="397"/>
        <v>-1</v>
      </c>
      <c r="DC140">
        <f t="shared" si="397"/>
        <v>-1</v>
      </c>
      <c r="DD140">
        <f t="shared" si="397"/>
        <v>-1</v>
      </c>
      <c r="DE140">
        <f t="shared" si="397"/>
        <v>-1</v>
      </c>
      <c r="DF140">
        <f t="shared" si="397"/>
        <v>-1</v>
      </c>
      <c r="DG140">
        <f t="shared" si="397"/>
        <v>-1</v>
      </c>
      <c r="DH140">
        <f t="shared" si="397"/>
        <v>-1</v>
      </c>
      <c r="DI140">
        <f t="shared" si="397"/>
        <v>-1</v>
      </c>
      <c r="DJ140">
        <f t="shared" si="397"/>
        <v>-1</v>
      </c>
      <c r="DK140">
        <f t="shared" si="397"/>
        <v>-1</v>
      </c>
      <c r="DL140">
        <f t="shared" si="397"/>
        <v>-1</v>
      </c>
      <c r="DM140">
        <f t="shared" si="397"/>
        <v>-1</v>
      </c>
      <c r="DN140">
        <f t="shared" si="397"/>
        <v>-1</v>
      </c>
      <c r="DO140">
        <f t="shared" si="397"/>
        <v>-1</v>
      </c>
      <c r="DP140">
        <f t="shared" si="397"/>
        <v>-1</v>
      </c>
      <c r="DQ140">
        <f t="shared" si="397"/>
        <v>-1</v>
      </c>
      <c r="DR140">
        <f t="shared" si="397"/>
        <v>-1</v>
      </c>
      <c r="DS140">
        <f t="shared" si="397"/>
        <v>-1</v>
      </c>
      <c r="DT140">
        <f t="shared" si="397"/>
        <v>-1</v>
      </c>
      <c r="DU140">
        <f t="shared" si="397"/>
        <v>-1</v>
      </c>
      <c r="DV140">
        <f t="shared" si="397"/>
        <v>-1</v>
      </c>
      <c r="DW140">
        <f t="shared" si="397"/>
        <v>-1</v>
      </c>
      <c r="DX140">
        <f t="shared" si="397"/>
        <v>-1</v>
      </c>
      <c r="DY140">
        <f t="shared" si="397"/>
        <v>-1</v>
      </c>
      <c r="DZ140">
        <f t="shared" si="397"/>
        <v>-1</v>
      </c>
      <c r="EA140">
        <f t="shared" si="397"/>
        <v>-1</v>
      </c>
      <c r="EB140">
        <f t="shared" ref="EB140:EO140" si="398">IF(OR(EB139=-1,AND(IF(EB$3&lt;$B140,EB139+EB$6,IF(EB$3=$B140,1,""))&gt;$B$1,EB$3&lt;$B140)),-1,IF(EB$3&lt;$B140,EB139+EB$6,IF(EB$3=$B140,1,"")))</f>
        <v>-1</v>
      </c>
      <c r="EC140">
        <f t="shared" si="398"/>
        <v>-1</v>
      </c>
      <c r="ED140">
        <f t="shared" si="398"/>
        <v>-1</v>
      </c>
      <c r="EE140">
        <f t="shared" si="398"/>
        <v>-1</v>
      </c>
      <c r="EF140">
        <f t="shared" si="398"/>
        <v>-1</v>
      </c>
      <c r="EG140">
        <f t="shared" si="398"/>
        <v>-1</v>
      </c>
      <c r="EH140">
        <f t="shared" si="398"/>
        <v>-1</v>
      </c>
      <c r="EI140">
        <f t="shared" si="398"/>
        <v>-1</v>
      </c>
      <c r="EJ140">
        <f t="shared" si="398"/>
        <v>-1</v>
      </c>
      <c r="EK140">
        <f t="shared" si="398"/>
        <v>-1</v>
      </c>
      <c r="EL140">
        <f t="shared" si="398"/>
        <v>-1</v>
      </c>
      <c r="EM140">
        <f t="shared" si="398"/>
        <v>-1</v>
      </c>
      <c r="EN140">
        <f t="shared" si="398"/>
        <v>-1</v>
      </c>
      <c r="EO140">
        <f t="shared" si="398"/>
        <v>-1</v>
      </c>
    </row>
    <row r="141" spans="1:145" x14ac:dyDescent="0.15">
      <c r="A141" t="e">
        <f t="shared" si="386"/>
        <v>#N/A</v>
      </c>
      <c r="B141" s="218">
        <v>133</v>
      </c>
      <c r="C141">
        <f t="shared" si="386"/>
        <v>-1</v>
      </c>
      <c r="D141">
        <f t="shared" ref="D141:BO141" si="399">IF(OR(D140=-1,AND(IF(D$3&lt;$B141,D140+D$6,IF(D$3=$B141,1,""))&gt;$B$1,D$3&lt;$B141)),-1,IF(D$3&lt;$B141,D140+D$6,IF(D$3=$B141,1,"")))</f>
        <v>-1</v>
      </c>
      <c r="E141">
        <f t="shared" si="399"/>
        <v>-1</v>
      </c>
      <c r="F141">
        <f t="shared" si="399"/>
        <v>-1</v>
      </c>
      <c r="G141">
        <f t="shared" si="399"/>
        <v>-1</v>
      </c>
      <c r="H141">
        <f t="shared" si="399"/>
        <v>-1</v>
      </c>
      <c r="I141">
        <f t="shared" si="399"/>
        <v>-1</v>
      </c>
      <c r="J141">
        <f t="shared" si="399"/>
        <v>-1</v>
      </c>
      <c r="K141">
        <f t="shared" si="399"/>
        <v>-1</v>
      </c>
      <c r="L141">
        <f t="shared" si="399"/>
        <v>-1</v>
      </c>
      <c r="M141">
        <f t="shared" si="399"/>
        <v>-1</v>
      </c>
      <c r="N141">
        <f t="shared" si="399"/>
        <v>-1</v>
      </c>
      <c r="O141">
        <f t="shared" si="399"/>
        <v>-1</v>
      </c>
      <c r="P141">
        <f t="shared" si="399"/>
        <v>-1</v>
      </c>
      <c r="Q141">
        <f t="shared" si="399"/>
        <v>-1</v>
      </c>
      <c r="R141">
        <f t="shared" si="399"/>
        <v>-1</v>
      </c>
      <c r="S141">
        <f t="shared" si="399"/>
        <v>-1</v>
      </c>
      <c r="T141">
        <f t="shared" si="399"/>
        <v>-1</v>
      </c>
      <c r="U141">
        <f t="shared" si="399"/>
        <v>-1</v>
      </c>
      <c r="V141">
        <f t="shared" si="399"/>
        <v>-1</v>
      </c>
      <c r="W141">
        <f t="shared" si="399"/>
        <v>-1</v>
      </c>
      <c r="X141">
        <f t="shared" si="399"/>
        <v>-1</v>
      </c>
      <c r="Y141">
        <f t="shared" si="399"/>
        <v>-1</v>
      </c>
      <c r="Z141">
        <f t="shared" si="399"/>
        <v>-1</v>
      </c>
      <c r="AA141">
        <f t="shared" si="399"/>
        <v>-1</v>
      </c>
      <c r="AB141">
        <f t="shared" si="399"/>
        <v>-1</v>
      </c>
      <c r="AC141">
        <f t="shared" si="399"/>
        <v>-1</v>
      </c>
      <c r="AD141">
        <f t="shared" si="399"/>
        <v>-1</v>
      </c>
      <c r="AE141">
        <f t="shared" si="399"/>
        <v>-1</v>
      </c>
      <c r="AF141">
        <f t="shared" si="399"/>
        <v>-1</v>
      </c>
      <c r="AG141">
        <f t="shared" si="399"/>
        <v>-1</v>
      </c>
      <c r="AH141">
        <f t="shared" si="399"/>
        <v>-1</v>
      </c>
      <c r="AI141">
        <f t="shared" si="399"/>
        <v>-1</v>
      </c>
      <c r="AJ141">
        <f t="shared" si="399"/>
        <v>-1</v>
      </c>
      <c r="AK141">
        <f t="shared" si="399"/>
        <v>73.600000000000009</v>
      </c>
      <c r="AL141">
        <f t="shared" si="399"/>
        <v>71.200000000000031</v>
      </c>
      <c r="AM141">
        <f t="shared" si="399"/>
        <v>-1</v>
      </c>
      <c r="AN141">
        <f t="shared" si="399"/>
        <v>-1</v>
      </c>
      <c r="AO141">
        <f t="shared" si="399"/>
        <v>-1</v>
      </c>
      <c r="AP141">
        <f t="shared" si="399"/>
        <v>-1</v>
      </c>
      <c r="AQ141">
        <f t="shared" si="399"/>
        <v>-1</v>
      </c>
      <c r="AR141">
        <f t="shared" si="399"/>
        <v>-1</v>
      </c>
      <c r="AS141">
        <f t="shared" si="399"/>
        <v>-1</v>
      </c>
      <c r="AT141">
        <f t="shared" si="399"/>
        <v>-1</v>
      </c>
      <c r="AU141">
        <f t="shared" si="399"/>
        <v>-1</v>
      </c>
      <c r="AV141">
        <f t="shared" si="399"/>
        <v>-1</v>
      </c>
      <c r="AW141">
        <f t="shared" si="399"/>
        <v>-1</v>
      </c>
      <c r="AX141">
        <f t="shared" si="399"/>
        <v>-1</v>
      </c>
      <c r="AY141">
        <f t="shared" si="399"/>
        <v>-1</v>
      </c>
      <c r="AZ141">
        <f t="shared" si="399"/>
        <v>-1</v>
      </c>
      <c r="BA141">
        <f t="shared" si="399"/>
        <v>-1</v>
      </c>
      <c r="BB141">
        <f t="shared" si="399"/>
        <v>-1</v>
      </c>
      <c r="BC141">
        <f t="shared" si="399"/>
        <v>-1</v>
      </c>
      <c r="BD141">
        <f t="shared" si="399"/>
        <v>-1</v>
      </c>
      <c r="BE141">
        <f t="shared" si="399"/>
        <v>-1</v>
      </c>
      <c r="BF141">
        <f t="shared" si="399"/>
        <v>-1</v>
      </c>
      <c r="BG141">
        <f t="shared" si="399"/>
        <v>-1</v>
      </c>
      <c r="BH141">
        <f t="shared" si="399"/>
        <v>-1</v>
      </c>
      <c r="BI141">
        <f t="shared" si="399"/>
        <v>-1</v>
      </c>
      <c r="BJ141">
        <f t="shared" si="399"/>
        <v>-1</v>
      </c>
      <c r="BK141">
        <f t="shared" si="399"/>
        <v>-1</v>
      </c>
      <c r="BL141">
        <f t="shared" si="399"/>
        <v>-1</v>
      </c>
      <c r="BM141">
        <f t="shared" si="399"/>
        <v>-1</v>
      </c>
      <c r="BN141">
        <f t="shared" si="399"/>
        <v>-1</v>
      </c>
      <c r="BO141">
        <f t="shared" si="399"/>
        <v>-1</v>
      </c>
      <c r="BP141">
        <f t="shared" ref="BP141:EA141" si="400">IF(OR(BP140=-1,AND(IF(BP$3&lt;$B141,BP140+BP$6,IF(BP$3=$B141,1,""))&gt;$B$1,BP$3&lt;$B141)),-1,IF(BP$3&lt;$B141,BP140+BP$6,IF(BP$3=$B141,1,"")))</f>
        <v>-1</v>
      </c>
      <c r="BQ141">
        <f t="shared" si="400"/>
        <v>-1</v>
      </c>
      <c r="BR141">
        <f t="shared" si="400"/>
        <v>-1</v>
      </c>
      <c r="BS141">
        <f t="shared" si="400"/>
        <v>-1</v>
      </c>
      <c r="BT141">
        <f t="shared" si="400"/>
        <v>-1</v>
      </c>
      <c r="BU141">
        <f t="shared" si="400"/>
        <v>-1</v>
      </c>
      <c r="BV141">
        <f t="shared" si="400"/>
        <v>73.600000000000009</v>
      </c>
      <c r="BW141">
        <f t="shared" si="400"/>
        <v>70.000000000000043</v>
      </c>
      <c r="BX141">
        <f t="shared" si="400"/>
        <v>66.400000000000077</v>
      </c>
      <c r="BY141">
        <f t="shared" si="400"/>
        <v>62.800000000000104</v>
      </c>
      <c r="BZ141">
        <f t="shared" si="400"/>
        <v>59.200000000000095</v>
      </c>
      <c r="CA141">
        <f t="shared" si="400"/>
        <v>55.600000000000087</v>
      </c>
      <c r="CB141">
        <f t="shared" si="400"/>
        <v>52.000000000000078</v>
      </c>
      <c r="CC141">
        <f t="shared" si="400"/>
        <v>48.40000000000007</v>
      </c>
      <c r="CD141">
        <f t="shared" si="400"/>
        <v>44.800000000000061</v>
      </c>
      <c r="CE141">
        <f t="shared" si="400"/>
        <v>41.200000000000053</v>
      </c>
      <c r="CF141">
        <f t="shared" si="400"/>
        <v>37.600000000000044</v>
      </c>
      <c r="CG141">
        <f t="shared" si="400"/>
        <v>34.000000000000036</v>
      </c>
      <c r="CH141">
        <f t="shared" si="400"/>
        <v>30.400000000000027</v>
      </c>
      <c r="CI141">
        <f t="shared" si="400"/>
        <v>26.800000000000018</v>
      </c>
      <c r="CJ141">
        <f t="shared" si="400"/>
        <v>23.20000000000001</v>
      </c>
      <c r="CK141">
        <f t="shared" si="400"/>
        <v>19.600000000000001</v>
      </c>
      <c r="CL141">
        <f t="shared" si="400"/>
        <v>15.999999999999993</v>
      </c>
      <c r="CM141">
        <f t="shared" si="400"/>
        <v>12.399999999999995</v>
      </c>
      <c r="CN141">
        <f t="shared" si="400"/>
        <v>8.7999999999999972</v>
      </c>
      <c r="CO141">
        <f t="shared" si="400"/>
        <v>54.5</v>
      </c>
      <c r="CP141">
        <f t="shared" si="400"/>
        <v>41.5</v>
      </c>
      <c r="CQ141">
        <f t="shared" si="400"/>
        <v>-1</v>
      </c>
      <c r="CR141">
        <f t="shared" si="400"/>
        <v>-1</v>
      </c>
      <c r="CS141">
        <f t="shared" si="400"/>
        <v>-1</v>
      </c>
      <c r="CT141">
        <f t="shared" si="400"/>
        <v>-1</v>
      </c>
      <c r="CU141">
        <f t="shared" si="400"/>
        <v>-1</v>
      </c>
      <c r="CV141">
        <f t="shared" si="400"/>
        <v>-1</v>
      </c>
      <c r="CW141">
        <f t="shared" si="400"/>
        <v>-1</v>
      </c>
      <c r="CX141">
        <f t="shared" si="400"/>
        <v>-1</v>
      </c>
      <c r="CY141">
        <f t="shared" si="400"/>
        <v>-1</v>
      </c>
      <c r="CZ141">
        <f t="shared" si="400"/>
        <v>-1</v>
      </c>
      <c r="DA141">
        <f t="shared" si="400"/>
        <v>-1</v>
      </c>
      <c r="DB141">
        <f t="shared" si="400"/>
        <v>-1</v>
      </c>
      <c r="DC141">
        <f t="shared" si="400"/>
        <v>-1</v>
      </c>
      <c r="DD141">
        <f t="shared" si="400"/>
        <v>-1</v>
      </c>
      <c r="DE141">
        <f t="shared" si="400"/>
        <v>-1</v>
      </c>
      <c r="DF141">
        <f t="shared" si="400"/>
        <v>-1</v>
      </c>
      <c r="DG141">
        <f t="shared" si="400"/>
        <v>-1</v>
      </c>
      <c r="DH141">
        <f t="shared" si="400"/>
        <v>-1</v>
      </c>
      <c r="DI141">
        <f t="shared" si="400"/>
        <v>-1</v>
      </c>
      <c r="DJ141">
        <f t="shared" si="400"/>
        <v>-1</v>
      </c>
      <c r="DK141">
        <f t="shared" si="400"/>
        <v>-1</v>
      </c>
      <c r="DL141">
        <f t="shared" si="400"/>
        <v>-1</v>
      </c>
      <c r="DM141">
        <f t="shared" si="400"/>
        <v>-1</v>
      </c>
      <c r="DN141">
        <f t="shared" si="400"/>
        <v>-1</v>
      </c>
      <c r="DO141">
        <f t="shared" si="400"/>
        <v>-1</v>
      </c>
      <c r="DP141">
        <f t="shared" si="400"/>
        <v>-1</v>
      </c>
      <c r="DQ141">
        <f t="shared" si="400"/>
        <v>-1</v>
      </c>
      <c r="DR141">
        <f t="shared" si="400"/>
        <v>-1</v>
      </c>
      <c r="DS141">
        <f t="shared" si="400"/>
        <v>-1</v>
      </c>
      <c r="DT141">
        <f t="shared" si="400"/>
        <v>-1</v>
      </c>
      <c r="DU141">
        <f t="shared" si="400"/>
        <v>-1</v>
      </c>
      <c r="DV141">
        <f t="shared" si="400"/>
        <v>-1</v>
      </c>
      <c r="DW141">
        <f t="shared" si="400"/>
        <v>-1</v>
      </c>
      <c r="DX141">
        <f t="shared" si="400"/>
        <v>-1</v>
      </c>
      <c r="DY141">
        <f t="shared" si="400"/>
        <v>-1</v>
      </c>
      <c r="DZ141">
        <f t="shared" si="400"/>
        <v>-1</v>
      </c>
      <c r="EA141">
        <f t="shared" si="400"/>
        <v>-1</v>
      </c>
      <c r="EB141">
        <f t="shared" ref="EB141:EO141" si="401">IF(OR(EB140=-1,AND(IF(EB$3&lt;$B141,EB140+EB$6,IF(EB$3=$B141,1,""))&gt;$B$1,EB$3&lt;$B141)),-1,IF(EB$3&lt;$B141,EB140+EB$6,IF(EB$3=$B141,1,"")))</f>
        <v>-1</v>
      </c>
      <c r="EC141">
        <f t="shared" si="401"/>
        <v>-1</v>
      </c>
      <c r="ED141">
        <f t="shared" si="401"/>
        <v>-1</v>
      </c>
      <c r="EE141">
        <f t="shared" si="401"/>
        <v>-1</v>
      </c>
      <c r="EF141">
        <f t="shared" si="401"/>
        <v>-1</v>
      </c>
      <c r="EG141">
        <f t="shared" si="401"/>
        <v>-1</v>
      </c>
      <c r="EH141">
        <f t="shared" si="401"/>
        <v>-1</v>
      </c>
      <c r="EI141">
        <f t="shared" si="401"/>
        <v>-1</v>
      </c>
      <c r="EJ141">
        <f t="shared" si="401"/>
        <v>-1</v>
      </c>
      <c r="EK141">
        <f t="shared" si="401"/>
        <v>-1</v>
      </c>
      <c r="EL141">
        <f t="shared" si="401"/>
        <v>-1</v>
      </c>
      <c r="EM141">
        <f t="shared" si="401"/>
        <v>-1</v>
      </c>
      <c r="EN141">
        <f t="shared" si="401"/>
        <v>-1</v>
      </c>
      <c r="EO141">
        <f t="shared" si="401"/>
        <v>-1</v>
      </c>
    </row>
    <row r="142" spans="1:145" x14ac:dyDescent="0.15">
      <c r="A142" t="e">
        <f t="shared" si="386"/>
        <v>#N/A</v>
      </c>
      <c r="B142" s="218">
        <v>134</v>
      </c>
      <c r="C142">
        <f t="shared" si="386"/>
        <v>-1</v>
      </c>
      <c r="D142">
        <f t="shared" ref="D142:BO142" si="402">IF(OR(D141=-1,AND(IF(D$3&lt;$B142,D141+D$6,IF(D$3=$B142,1,""))&gt;$B$1,D$3&lt;$B142)),-1,IF(D$3&lt;$B142,D141+D$6,IF(D$3=$B142,1,"")))</f>
        <v>-1</v>
      </c>
      <c r="E142">
        <f t="shared" si="402"/>
        <v>-1</v>
      </c>
      <c r="F142">
        <f t="shared" si="402"/>
        <v>-1</v>
      </c>
      <c r="G142">
        <f t="shared" si="402"/>
        <v>-1</v>
      </c>
      <c r="H142">
        <f t="shared" si="402"/>
        <v>-1</v>
      </c>
      <c r="I142">
        <f t="shared" si="402"/>
        <v>-1</v>
      </c>
      <c r="J142">
        <f t="shared" si="402"/>
        <v>-1</v>
      </c>
      <c r="K142">
        <f t="shared" si="402"/>
        <v>-1</v>
      </c>
      <c r="L142">
        <f t="shared" si="402"/>
        <v>-1</v>
      </c>
      <c r="M142">
        <f t="shared" si="402"/>
        <v>-1</v>
      </c>
      <c r="N142">
        <f t="shared" si="402"/>
        <v>-1</v>
      </c>
      <c r="O142">
        <f t="shared" si="402"/>
        <v>-1</v>
      </c>
      <c r="P142">
        <f t="shared" si="402"/>
        <v>-1</v>
      </c>
      <c r="Q142">
        <f t="shared" si="402"/>
        <v>-1</v>
      </c>
      <c r="R142">
        <f t="shared" si="402"/>
        <v>-1</v>
      </c>
      <c r="S142">
        <f t="shared" si="402"/>
        <v>-1</v>
      </c>
      <c r="T142">
        <f t="shared" si="402"/>
        <v>-1</v>
      </c>
      <c r="U142">
        <f t="shared" si="402"/>
        <v>-1</v>
      </c>
      <c r="V142">
        <f t="shared" si="402"/>
        <v>-1</v>
      </c>
      <c r="W142">
        <f t="shared" si="402"/>
        <v>-1</v>
      </c>
      <c r="X142">
        <f t="shared" si="402"/>
        <v>-1</v>
      </c>
      <c r="Y142">
        <f t="shared" si="402"/>
        <v>-1</v>
      </c>
      <c r="Z142">
        <f t="shared" si="402"/>
        <v>-1</v>
      </c>
      <c r="AA142">
        <f t="shared" si="402"/>
        <v>-1</v>
      </c>
      <c r="AB142">
        <f t="shared" si="402"/>
        <v>-1</v>
      </c>
      <c r="AC142">
        <f t="shared" si="402"/>
        <v>-1</v>
      </c>
      <c r="AD142">
        <f t="shared" si="402"/>
        <v>-1</v>
      </c>
      <c r="AE142">
        <f t="shared" si="402"/>
        <v>-1</v>
      </c>
      <c r="AF142">
        <f t="shared" si="402"/>
        <v>-1</v>
      </c>
      <c r="AG142">
        <f t="shared" si="402"/>
        <v>-1</v>
      </c>
      <c r="AH142">
        <f t="shared" si="402"/>
        <v>-1</v>
      </c>
      <c r="AI142">
        <f t="shared" si="402"/>
        <v>-1</v>
      </c>
      <c r="AJ142">
        <f t="shared" si="402"/>
        <v>-1</v>
      </c>
      <c r="AK142">
        <f t="shared" si="402"/>
        <v>74.2</v>
      </c>
      <c r="AL142">
        <f t="shared" si="402"/>
        <v>71.800000000000026</v>
      </c>
      <c r="AM142">
        <f t="shared" si="402"/>
        <v>-1</v>
      </c>
      <c r="AN142">
        <f t="shared" si="402"/>
        <v>-1</v>
      </c>
      <c r="AO142">
        <f t="shared" si="402"/>
        <v>-1</v>
      </c>
      <c r="AP142">
        <f t="shared" si="402"/>
        <v>-1</v>
      </c>
      <c r="AQ142">
        <f t="shared" si="402"/>
        <v>-1</v>
      </c>
      <c r="AR142">
        <f t="shared" si="402"/>
        <v>-1</v>
      </c>
      <c r="AS142">
        <f t="shared" si="402"/>
        <v>-1</v>
      </c>
      <c r="AT142">
        <f t="shared" si="402"/>
        <v>-1</v>
      </c>
      <c r="AU142">
        <f t="shared" si="402"/>
        <v>-1</v>
      </c>
      <c r="AV142">
        <f t="shared" si="402"/>
        <v>-1</v>
      </c>
      <c r="AW142">
        <f t="shared" si="402"/>
        <v>-1</v>
      </c>
      <c r="AX142">
        <f t="shared" si="402"/>
        <v>-1</v>
      </c>
      <c r="AY142">
        <f t="shared" si="402"/>
        <v>-1</v>
      </c>
      <c r="AZ142">
        <f t="shared" si="402"/>
        <v>-1</v>
      </c>
      <c r="BA142">
        <f t="shared" si="402"/>
        <v>-1</v>
      </c>
      <c r="BB142">
        <f t="shared" si="402"/>
        <v>-1</v>
      </c>
      <c r="BC142">
        <f t="shared" si="402"/>
        <v>-1</v>
      </c>
      <c r="BD142">
        <f t="shared" si="402"/>
        <v>-1</v>
      </c>
      <c r="BE142">
        <f t="shared" si="402"/>
        <v>-1</v>
      </c>
      <c r="BF142">
        <f t="shared" si="402"/>
        <v>-1</v>
      </c>
      <c r="BG142">
        <f t="shared" si="402"/>
        <v>-1</v>
      </c>
      <c r="BH142">
        <f t="shared" si="402"/>
        <v>-1</v>
      </c>
      <c r="BI142">
        <f t="shared" si="402"/>
        <v>-1</v>
      </c>
      <c r="BJ142">
        <f t="shared" si="402"/>
        <v>-1</v>
      </c>
      <c r="BK142">
        <f t="shared" si="402"/>
        <v>-1</v>
      </c>
      <c r="BL142">
        <f t="shared" si="402"/>
        <v>-1</v>
      </c>
      <c r="BM142">
        <f t="shared" si="402"/>
        <v>-1</v>
      </c>
      <c r="BN142">
        <f t="shared" si="402"/>
        <v>-1</v>
      </c>
      <c r="BO142">
        <f t="shared" si="402"/>
        <v>-1</v>
      </c>
      <c r="BP142">
        <f t="shared" ref="BP142:EA142" si="403">IF(OR(BP141=-1,AND(IF(BP$3&lt;$B142,BP141+BP$6,IF(BP$3=$B142,1,""))&gt;$B$1,BP$3&lt;$B142)),-1,IF(BP$3&lt;$B142,BP141+BP$6,IF(BP$3=$B142,1,"")))</f>
        <v>-1</v>
      </c>
      <c r="BQ142">
        <f t="shared" si="403"/>
        <v>-1</v>
      </c>
      <c r="BR142">
        <f t="shared" si="403"/>
        <v>-1</v>
      </c>
      <c r="BS142">
        <f t="shared" si="403"/>
        <v>-1</v>
      </c>
      <c r="BT142">
        <f t="shared" si="403"/>
        <v>-1</v>
      </c>
      <c r="BU142">
        <f t="shared" si="403"/>
        <v>-1</v>
      </c>
      <c r="BV142">
        <f t="shared" si="403"/>
        <v>74.2</v>
      </c>
      <c r="BW142">
        <f t="shared" si="403"/>
        <v>70.600000000000037</v>
      </c>
      <c r="BX142">
        <f t="shared" si="403"/>
        <v>67.000000000000071</v>
      </c>
      <c r="BY142">
        <f t="shared" si="403"/>
        <v>63.400000000000105</v>
      </c>
      <c r="BZ142">
        <f t="shared" si="403"/>
        <v>59.800000000000097</v>
      </c>
      <c r="CA142">
        <f t="shared" si="403"/>
        <v>56.200000000000088</v>
      </c>
      <c r="CB142">
        <f t="shared" si="403"/>
        <v>52.60000000000008</v>
      </c>
      <c r="CC142">
        <f t="shared" si="403"/>
        <v>49.000000000000071</v>
      </c>
      <c r="CD142">
        <f t="shared" si="403"/>
        <v>45.400000000000063</v>
      </c>
      <c r="CE142">
        <f t="shared" si="403"/>
        <v>41.800000000000054</v>
      </c>
      <c r="CF142">
        <f t="shared" si="403"/>
        <v>38.200000000000045</v>
      </c>
      <c r="CG142">
        <f t="shared" si="403"/>
        <v>34.600000000000037</v>
      </c>
      <c r="CH142">
        <f t="shared" si="403"/>
        <v>31.000000000000028</v>
      </c>
      <c r="CI142">
        <f t="shared" si="403"/>
        <v>27.40000000000002</v>
      </c>
      <c r="CJ142">
        <f t="shared" si="403"/>
        <v>23.800000000000011</v>
      </c>
      <c r="CK142">
        <f t="shared" si="403"/>
        <v>20.200000000000003</v>
      </c>
      <c r="CL142">
        <f t="shared" si="403"/>
        <v>16.599999999999994</v>
      </c>
      <c r="CM142">
        <f t="shared" si="403"/>
        <v>12.999999999999995</v>
      </c>
      <c r="CN142">
        <f t="shared" si="403"/>
        <v>9.3999999999999968</v>
      </c>
      <c r="CO142">
        <f t="shared" si="403"/>
        <v>55</v>
      </c>
      <c r="CP142">
        <f t="shared" si="403"/>
        <v>42</v>
      </c>
      <c r="CQ142">
        <f t="shared" si="403"/>
        <v>-1</v>
      </c>
      <c r="CR142">
        <f t="shared" si="403"/>
        <v>-1</v>
      </c>
      <c r="CS142">
        <f t="shared" si="403"/>
        <v>-1</v>
      </c>
      <c r="CT142">
        <f t="shared" si="403"/>
        <v>-1</v>
      </c>
      <c r="CU142">
        <f t="shared" si="403"/>
        <v>-1</v>
      </c>
      <c r="CV142">
        <f t="shared" si="403"/>
        <v>-1</v>
      </c>
      <c r="CW142">
        <f t="shared" si="403"/>
        <v>-1</v>
      </c>
      <c r="CX142">
        <f t="shared" si="403"/>
        <v>-1</v>
      </c>
      <c r="CY142">
        <f t="shared" si="403"/>
        <v>-1</v>
      </c>
      <c r="CZ142">
        <f t="shared" si="403"/>
        <v>-1</v>
      </c>
      <c r="DA142">
        <f t="shared" si="403"/>
        <v>-1</v>
      </c>
      <c r="DB142">
        <f t="shared" si="403"/>
        <v>-1</v>
      </c>
      <c r="DC142">
        <f t="shared" si="403"/>
        <v>-1</v>
      </c>
      <c r="DD142">
        <f t="shared" si="403"/>
        <v>-1</v>
      </c>
      <c r="DE142">
        <f t="shared" si="403"/>
        <v>-1</v>
      </c>
      <c r="DF142">
        <f t="shared" si="403"/>
        <v>-1</v>
      </c>
      <c r="DG142">
        <f t="shared" si="403"/>
        <v>-1</v>
      </c>
      <c r="DH142">
        <f t="shared" si="403"/>
        <v>-1</v>
      </c>
      <c r="DI142">
        <f t="shared" si="403"/>
        <v>-1</v>
      </c>
      <c r="DJ142">
        <f t="shared" si="403"/>
        <v>-1</v>
      </c>
      <c r="DK142">
        <f t="shared" si="403"/>
        <v>-1</v>
      </c>
      <c r="DL142">
        <f t="shared" si="403"/>
        <v>-1</v>
      </c>
      <c r="DM142">
        <f t="shared" si="403"/>
        <v>-1</v>
      </c>
      <c r="DN142">
        <f t="shared" si="403"/>
        <v>-1</v>
      </c>
      <c r="DO142">
        <f t="shared" si="403"/>
        <v>-1</v>
      </c>
      <c r="DP142">
        <f t="shared" si="403"/>
        <v>-1</v>
      </c>
      <c r="DQ142">
        <f t="shared" si="403"/>
        <v>-1</v>
      </c>
      <c r="DR142">
        <f t="shared" si="403"/>
        <v>-1</v>
      </c>
      <c r="DS142">
        <f t="shared" si="403"/>
        <v>-1</v>
      </c>
      <c r="DT142">
        <f t="shared" si="403"/>
        <v>-1</v>
      </c>
      <c r="DU142">
        <f t="shared" si="403"/>
        <v>-1</v>
      </c>
      <c r="DV142">
        <f t="shared" si="403"/>
        <v>-1</v>
      </c>
      <c r="DW142">
        <f t="shared" si="403"/>
        <v>-1</v>
      </c>
      <c r="DX142">
        <f t="shared" si="403"/>
        <v>-1</v>
      </c>
      <c r="DY142">
        <f t="shared" si="403"/>
        <v>-1</v>
      </c>
      <c r="DZ142">
        <f t="shared" si="403"/>
        <v>-1</v>
      </c>
      <c r="EA142">
        <f t="shared" si="403"/>
        <v>-1</v>
      </c>
      <c r="EB142">
        <f t="shared" ref="EB142:EO142" si="404">IF(OR(EB141=-1,AND(IF(EB$3&lt;$B142,EB141+EB$6,IF(EB$3=$B142,1,""))&gt;$B$1,EB$3&lt;$B142)),-1,IF(EB$3&lt;$B142,EB141+EB$6,IF(EB$3=$B142,1,"")))</f>
        <v>-1</v>
      </c>
      <c r="EC142">
        <f t="shared" si="404"/>
        <v>-1</v>
      </c>
      <c r="ED142">
        <f t="shared" si="404"/>
        <v>-1</v>
      </c>
      <c r="EE142">
        <f t="shared" si="404"/>
        <v>-1</v>
      </c>
      <c r="EF142">
        <f t="shared" si="404"/>
        <v>-1</v>
      </c>
      <c r="EG142">
        <f t="shared" si="404"/>
        <v>-1</v>
      </c>
      <c r="EH142">
        <f t="shared" si="404"/>
        <v>-1</v>
      </c>
      <c r="EI142">
        <f t="shared" si="404"/>
        <v>-1</v>
      </c>
      <c r="EJ142">
        <f t="shared" si="404"/>
        <v>-1</v>
      </c>
      <c r="EK142">
        <f t="shared" si="404"/>
        <v>-1</v>
      </c>
      <c r="EL142">
        <f t="shared" si="404"/>
        <v>-1</v>
      </c>
      <c r="EM142">
        <f t="shared" si="404"/>
        <v>-1</v>
      </c>
      <c r="EN142">
        <f t="shared" si="404"/>
        <v>-1</v>
      </c>
      <c r="EO142">
        <f t="shared" si="404"/>
        <v>-1</v>
      </c>
    </row>
    <row r="143" spans="1:145" x14ac:dyDescent="0.15">
      <c r="A143" t="e">
        <f t="shared" si="386"/>
        <v>#N/A</v>
      </c>
      <c r="B143" s="218">
        <v>135</v>
      </c>
      <c r="C143">
        <f t="shared" si="386"/>
        <v>-1</v>
      </c>
      <c r="D143">
        <f t="shared" ref="D143:BO143" si="405">IF(OR(D142=-1,AND(IF(D$3&lt;$B143,D142+D$6,IF(D$3=$B143,1,""))&gt;$B$1,D$3&lt;$B143)),-1,IF(D$3&lt;$B143,D142+D$6,IF(D$3=$B143,1,"")))</f>
        <v>-1</v>
      </c>
      <c r="E143">
        <f t="shared" si="405"/>
        <v>-1</v>
      </c>
      <c r="F143">
        <f t="shared" si="405"/>
        <v>-1</v>
      </c>
      <c r="G143">
        <f t="shared" si="405"/>
        <v>-1</v>
      </c>
      <c r="H143">
        <f t="shared" si="405"/>
        <v>-1</v>
      </c>
      <c r="I143">
        <f t="shared" si="405"/>
        <v>-1</v>
      </c>
      <c r="J143">
        <f t="shared" si="405"/>
        <v>-1</v>
      </c>
      <c r="K143">
        <f t="shared" si="405"/>
        <v>-1</v>
      </c>
      <c r="L143">
        <f t="shared" si="405"/>
        <v>-1</v>
      </c>
      <c r="M143">
        <f t="shared" si="405"/>
        <v>-1</v>
      </c>
      <c r="N143">
        <f t="shared" si="405"/>
        <v>-1</v>
      </c>
      <c r="O143">
        <f t="shared" si="405"/>
        <v>-1</v>
      </c>
      <c r="P143">
        <f t="shared" si="405"/>
        <v>-1</v>
      </c>
      <c r="Q143">
        <f t="shared" si="405"/>
        <v>-1</v>
      </c>
      <c r="R143">
        <f t="shared" si="405"/>
        <v>-1</v>
      </c>
      <c r="S143">
        <f t="shared" si="405"/>
        <v>-1</v>
      </c>
      <c r="T143">
        <f t="shared" si="405"/>
        <v>-1</v>
      </c>
      <c r="U143">
        <f t="shared" si="405"/>
        <v>-1</v>
      </c>
      <c r="V143">
        <f t="shared" si="405"/>
        <v>-1</v>
      </c>
      <c r="W143">
        <f t="shared" si="405"/>
        <v>-1</v>
      </c>
      <c r="X143">
        <f t="shared" si="405"/>
        <v>-1</v>
      </c>
      <c r="Y143">
        <f t="shared" si="405"/>
        <v>-1</v>
      </c>
      <c r="Z143">
        <f t="shared" si="405"/>
        <v>-1</v>
      </c>
      <c r="AA143">
        <f t="shared" si="405"/>
        <v>-1</v>
      </c>
      <c r="AB143">
        <f t="shared" si="405"/>
        <v>-1</v>
      </c>
      <c r="AC143">
        <f t="shared" si="405"/>
        <v>-1</v>
      </c>
      <c r="AD143">
        <f t="shared" si="405"/>
        <v>-1</v>
      </c>
      <c r="AE143">
        <f t="shared" si="405"/>
        <v>-1</v>
      </c>
      <c r="AF143">
        <f t="shared" si="405"/>
        <v>-1</v>
      </c>
      <c r="AG143">
        <f t="shared" si="405"/>
        <v>-1</v>
      </c>
      <c r="AH143">
        <f t="shared" si="405"/>
        <v>-1</v>
      </c>
      <c r="AI143">
        <f t="shared" si="405"/>
        <v>-1</v>
      </c>
      <c r="AJ143">
        <f t="shared" si="405"/>
        <v>-1</v>
      </c>
      <c r="AK143">
        <f t="shared" si="405"/>
        <v>74.8</v>
      </c>
      <c r="AL143">
        <f t="shared" si="405"/>
        <v>72.40000000000002</v>
      </c>
      <c r="AM143">
        <f t="shared" si="405"/>
        <v>-1</v>
      </c>
      <c r="AN143">
        <f t="shared" si="405"/>
        <v>-1</v>
      </c>
      <c r="AO143">
        <f t="shared" si="405"/>
        <v>-1</v>
      </c>
      <c r="AP143">
        <f t="shared" si="405"/>
        <v>-1</v>
      </c>
      <c r="AQ143">
        <f t="shared" si="405"/>
        <v>-1</v>
      </c>
      <c r="AR143">
        <f t="shared" si="405"/>
        <v>-1</v>
      </c>
      <c r="AS143">
        <f t="shared" si="405"/>
        <v>-1</v>
      </c>
      <c r="AT143">
        <f t="shared" si="405"/>
        <v>-1</v>
      </c>
      <c r="AU143">
        <f t="shared" si="405"/>
        <v>-1</v>
      </c>
      <c r="AV143">
        <f t="shared" si="405"/>
        <v>-1</v>
      </c>
      <c r="AW143">
        <f t="shared" si="405"/>
        <v>-1</v>
      </c>
      <c r="AX143">
        <f t="shared" si="405"/>
        <v>-1</v>
      </c>
      <c r="AY143">
        <f t="shared" si="405"/>
        <v>-1</v>
      </c>
      <c r="AZ143">
        <f t="shared" si="405"/>
        <v>-1</v>
      </c>
      <c r="BA143">
        <f t="shared" si="405"/>
        <v>-1</v>
      </c>
      <c r="BB143">
        <f t="shared" si="405"/>
        <v>-1</v>
      </c>
      <c r="BC143">
        <f t="shared" si="405"/>
        <v>-1</v>
      </c>
      <c r="BD143">
        <f t="shared" si="405"/>
        <v>-1</v>
      </c>
      <c r="BE143">
        <f t="shared" si="405"/>
        <v>-1</v>
      </c>
      <c r="BF143">
        <f t="shared" si="405"/>
        <v>-1</v>
      </c>
      <c r="BG143">
        <f t="shared" si="405"/>
        <v>-1</v>
      </c>
      <c r="BH143">
        <f t="shared" si="405"/>
        <v>-1</v>
      </c>
      <c r="BI143">
        <f t="shared" si="405"/>
        <v>-1</v>
      </c>
      <c r="BJ143">
        <f t="shared" si="405"/>
        <v>-1</v>
      </c>
      <c r="BK143">
        <f t="shared" si="405"/>
        <v>-1</v>
      </c>
      <c r="BL143">
        <f t="shared" si="405"/>
        <v>-1</v>
      </c>
      <c r="BM143">
        <f t="shared" si="405"/>
        <v>-1</v>
      </c>
      <c r="BN143">
        <f t="shared" si="405"/>
        <v>-1</v>
      </c>
      <c r="BO143">
        <f t="shared" si="405"/>
        <v>-1</v>
      </c>
      <c r="BP143">
        <f t="shared" ref="BP143:EA143" si="406">IF(OR(BP142=-1,AND(IF(BP$3&lt;$B143,BP142+BP$6,IF(BP$3=$B143,1,""))&gt;$B$1,BP$3&lt;$B143)),-1,IF(BP$3&lt;$B143,BP142+BP$6,IF(BP$3=$B143,1,"")))</f>
        <v>-1</v>
      </c>
      <c r="BQ143">
        <f t="shared" si="406"/>
        <v>-1</v>
      </c>
      <c r="BR143">
        <f t="shared" si="406"/>
        <v>-1</v>
      </c>
      <c r="BS143">
        <f t="shared" si="406"/>
        <v>-1</v>
      </c>
      <c r="BT143">
        <f t="shared" si="406"/>
        <v>-1</v>
      </c>
      <c r="BU143">
        <f t="shared" si="406"/>
        <v>-1</v>
      </c>
      <c r="BV143">
        <f t="shared" si="406"/>
        <v>74.8</v>
      </c>
      <c r="BW143">
        <f t="shared" si="406"/>
        <v>71.200000000000031</v>
      </c>
      <c r="BX143">
        <f t="shared" si="406"/>
        <v>67.600000000000065</v>
      </c>
      <c r="BY143">
        <f t="shared" si="406"/>
        <v>64.000000000000099</v>
      </c>
      <c r="BZ143">
        <f t="shared" si="406"/>
        <v>60.400000000000098</v>
      </c>
      <c r="CA143">
        <f t="shared" si="406"/>
        <v>56.80000000000009</v>
      </c>
      <c r="CB143">
        <f t="shared" si="406"/>
        <v>53.200000000000081</v>
      </c>
      <c r="CC143">
        <f t="shared" si="406"/>
        <v>49.600000000000072</v>
      </c>
      <c r="CD143">
        <f t="shared" si="406"/>
        <v>46.000000000000064</v>
      </c>
      <c r="CE143">
        <f t="shared" si="406"/>
        <v>42.400000000000055</v>
      </c>
      <c r="CF143">
        <f t="shared" si="406"/>
        <v>38.800000000000047</v>
      </c>
      <c r="CG143">
        <f t="shared" si="406"/>
        <v>35.200000000000038</v>
      </c>
      <c r="CH143">
        <f t="shared" si="406"/>
        <v>31.60000000000003</v>
      </c>
      <c r="CI143">
        <f t="shared" si="406"/>
        <v>28.000000000000021</v>
      </c>
      <c r="CJ143">
        <f t="shared" si="406"/>
        <v>24.400000000000013</v>
      </c>
      <c r="CK143">
        <f t="shared" si="406"/>
        <v>20.800000000000004</v>
      </c>
      <c r="CL143">
        <f t="shared" si="406"/>
        <v>17.199999999999996</v>
      </c>
      <c r="CM143">
        <f t="shared" si="406"/>
        <v>13.599999999999994</v>
      </c>
      <c r="CN143">
        <f t="shared" si="406"/>
        <v>9.9999999999999964</v>
      </c>
      <c r="CO143">
        <f t="shared" si="406"/>
        <v>55.5</v>
      </c>
      <c r="CP143">
        <f t="shared" si="406"/>
        <v>42.5</v>
      </c>
      <c r="CQ143">
        <f t="shared" si="406"/>
        <v>-1</v>
      </c>
      <c r="CR143">
        <f t="shared" si="406"/>
        <v>-1</v>
      </c>
      <c r="CS143">
        <f t="shared" si="406"/>
        <v>-1</v>
      </c>
      <c r="CT143">
        <f t="shared" si="406"/>
        <v>-1</v>
      </c>
      <c r="CU143">
        <f t="shared" si="406"/>
        <v>-1</v>
      </c>
      <c r="CV143">
        <f t="shared" si="406"/>
        <v>-1</v>
      </c>
      <c r="CW143">
        <f t="shared" si="406"/>
        <v>-1</v>
      </c>
      <c r="CX143">
        <f t="shared" si="406"/>
        <v>-1</v>
      </c>
      <c r="CY143">
        <f t="shared" si="406"/>
        <v>-1</v>
      </c>
      <c r="CZ143">
        <f t="shared" si="406"/>
        <v>-1</v>
      </c>
      <c r="DA143">
        <f t="shared" si="406"/>
        <v>-1</v>
      </c>
      <c r="DB143">
        <f t="shared" si="406"/>
        <v>-1</v>
      </c>
      <c r="DC143">
        <f t="shared" si="406"/>
        <v>-1</v>
      </c>
      <c r="DD143">
        <f t="shared" si="406"/>
        <v>-1</v>
      </c>
      <c r="DE143">
        <f t="shared" si="406"/>
        <v>-1</v>
      </c>
      <c r="DF143">
        <f t="shared" si="406"/>
        <v>-1</v>
      </c>
      <c r="DG143">
        <f t="shared" si="406"/>
        <v>-1</v>
      </c>
      <c r="DH143">
        <f t="shared" si="406"/>
        <v>-1</v>
      </c>
      <c r="DI143">
        <f t="shared" si="406"/>
        <v>-1</v>
      </c>
      <c r="DJ143">
        <f t="shared" si="406"/>
        <v>-1</v>
      </c>
      <c r="DK143">
        <f t="shared" si="406"/>
        <v>-1</v>
      </c>
      <c r="DL143">
        <f t="shared" si="406"/>
        <v>-1</v>
      </c>
      <c r="DM143">
        <f t="shared" si="406"/>
        <v>-1</v>
      </c>
      <c r="DN143">
        <f t="shared" si="406"/>
        <v>-1</v>
      </c>
      <c r="DO143">
        <f t="shared" si="406"/>
        <v>-1</v>
      </c>
      <c r="DP143">
        <f t="shared" si="406"/>
        <v>-1</v>
      </c>
      <c r="DQ143">
        <f t="shared" si="406"/>
        <v>-1</v>
      </c>
      <c r="DR143">
        <f t="shared" si="406"/>
        <v>-1</v>
      </c>
      <c r="DS143">
        <f t="shared" si="406"/>
        <v>-1</v>
      </c>
      <c r="DT143">
        <f t="shared" si="406"/>
        <v>-1</v>
      </c>
      <c r="DU143">
        <f t="shared" si="406"/>
        <v>-1</v>
      </c>
      <c r="DV143">
        <f t="shared" si="406"/>
        <v>-1</v>
      </c>
      <c r="DW143">
        <f t="shared" si="406"/>
        <v>-1</v>
      </c>
      <c r="DX143">
        <f t="shared" si="406"/>
        <v>-1</v>
      </c>
      <c r="DY143">
        <f t="shared" si="406"/>
        <v>-1</v>
      </c>
      <c r="DZ143">
        <f t="shared" si="406"/>
        <v>-1</v>
      </c>
      <c r="EA143">
        <f t="shared" si="406"/>
        <v>-1</v>
      </c>
      <c r="EB143">
        <f t="shared" ref="EB143:EO143" si="407">IF(OR(EB142=-1,AND(IF(EB$3&lt;$B143,EB142+EB$6,IF(EB$3=$B143,1,""))&gt;$B$1,EB$3&lt;$B143)),-1,IF(EB$3&lt;$B143,EB142+EB$6,IF(EB$3=$B143,1,"")))</f>
        <v>-1</v>
      </c>
      <c r="EC143">
        <f t="shared" si="407"/>
        <v>-1</v>
      </c>
      <c r="ED143">
        <f t="shared" si="407"/>
        <v>-1</v>
      </c>
      <c r="EE143">
        <f t="shared" si="407"/>
        <v>-1</v>
      </c>
      <c r="EF143">
        <f t="shared" si="407"/>
        <v>-1</v>
      </c>
      <c r="EG143">
        <f t="shared" si="407"/>
        <v>-1</v>
      </c>
      <c r="EH143">
        <f t="shared" si="407"/>
        <v>-1</v>
      </c>
      <c r="EI143">
        <f t="shared" si="407"/>
        <v>-1</v>
      </c>
      <c r="EJ143">
        <f t="shared" si="407"/>
        <v>-1</v>
      </c>
      <c r="EK143">
        <f t="shared" si="407"/>
        <v>-1</v>
      </c>
      <c r="EL143">
        <f t="shared" si="407"/>
        <v>-1</v>
      </c>
      <c r="EM143">
        <f t="shared" si="407"/>
        <v>-1</v>
      </c>
      <c r="EN143">
        <f t="shared" si="407"/>
        <v>-1</v>
      </c>
      <c r="EO143">
        <f t="shared" si="407"/>
        <v>-1</v>
      </c>
    </row>
    <row r="144" spans="1:145" x14ac:dyDescent="0.15">
      <c r="A144" t="e">
        <f t="shared" si="386"/>
        <v>#N/A</v>
      </c>
      <c r="B144" s="218">
        <v>136</v>
      </c>
      <c r="C144">
        <f t="shared" si="386"/>
        <v>-1</v>
      </c>
      <c r="D144">
        <f t="shared" ref="D144:BO144" si="408">IF(OR(D143=-1,AND(IF(D$3&lt;$B144,D143+D$6,IF(D$3=$B144,1,""))&gt;$B$1,D$3&lt;$B144)),-1,IF(D$3&lt;$B144,D143+D$6,IF(D$3=$B144,1,"")))</f>
        <v>-1</v>
      </c>
      <c r="E144">
        <f t="shared" si="408"/>
        <v>-1</v>
      </c>
      <c r="F144">
        <f t="shared" si="408"/>
        <v>-1</v>
      </c>
      <c r="G144">
        <f t="shared" si="408"/>
        <v>-1</v>
      </c>
      <c r="H144">
        <f t="shared" si="408"/>
        <v>-1</v>
      </c>
      <c r="I144">
        <f t="shared" si="408"/>
        <v>-1</v>
      </c>
      <c r="J144">
        <f t="shared" si="408"/>
        <v>-1</v>
      </c>
      <c r="K144">
        <f t="shared" si="408"/>
        <v>-1</v>
      </c>
      <c r="L144">
        <f t="shared" si="408"/>
        <v>-1</v>
      </c>
      <c r="M144">
        <f t="shared" si="408"/>
        <v>-1</v>
      </c>
      <c r="N144">
        <f t="shared" si="408"/>
        <v>-1</v>
      </c>
      <c r="O144">
        <f t="shared" si="408"/>
        <v>-1</v>
      </c>
      <c r="P144">
        <f t="shared" si="408"/>
        <v>-1</v>
      </c>
      <c r="Q144">
        <f t="shared" si="408"/>
        <v>-1</v>
      </c>
      <c r="R144">
        <f t="shared" si="408"/>
        <v>-1</v>
      </c>
      <c r="S144">
        <f t="shared" si="408"/>
        <v>-1</v>
      </c>
      <c r="T144">
        <f t="shared" si="408"/>
        <v>-1</v>
      </c>
      <c r="U144">
        <f t="shared" si="408"/>
        <v>-1</v>
      </c>
      <c r="V144">
        <f t="shared" si="408"/>
        <v>-1</v>
      </c>
      <c r="W144">
        <f t="shared" si="408"/>
        <v>-1</v>
      </c>
      <c r="X144">
        <f t="shared" si="408"/>
        <v>-1</v>
      </c>
      <c r="Y144">
        <f t="shared" si="408"/>
        <v>-1</v>
      </c>
      <c r="Z144">
        <f t="shared" si="408"/>
        <v>-1</v>
      </c>
      <c r="AA144">
        <f t="shared" si="408"/>
        <v>-1</v>
      </c>
      <c r="AB144">
        <f t="shared" si="408"/>
        <v>-1</v>
      </c>
      <c r="AC144">
        <f t="shared" si="408"/>
        <v>-1</v>
      </c>
      <c r="AD144">
        <f t="shared" si="408"/>
        <v>-1</v>
      </c>
      <c r="AE144">
        <f t="shared" si="408"/>
        <v>-1</v>
      </c>
      <c r="AF144">
        <f t="shared" si="408"/>
        <v>-1</v>
      </c>
      <c r="AG144">
        <f t="shared" si="408"/>
        <v>-1</v>
      </c>
      <c r="AH144">
        <f t="shared" si="408"/>
        <v>-1</v>
      </c>
      <c r="AI144">
        <f t="shared" si="408"/>
        <v>-1</v>
      </c>
      <c r="AJ144">
        <f t="shared" si="408"/>
        <v>-1</v>
      </c>
      <c r="AK144">
        <f t="shared" si="408"/>
        <v>-1</v>
      </c>
      <c r="AL144">
        <f t="shared" si="408"/>
        <v>73.000000000000014</v>
      </c>
      <c r="AM144">
        <f t="shared" si="408"/>
        <v>-1</v>
      </c>
      <c r="AN144">
        <f t="shared" si="408"/>
        <v>-1</v>
      </c>
      <c r="AO144">
        <f t="shared" si="408"/>
        <v>-1</v>
      </c>
      <c r="AP144">
        <f t="shared" si="408"/>
        <v>-1</v>
      </c>
      <c r="AQ144">
        <f t="shared" si="408"/>
        <v>-1</v>
      </c>
      <c r="AR144">
        <f t="shared" si="408"/>
        <v>-1</v>
      </c>
      <c r="AS144">
        <f t="shared" si="408"/>
        <v>-1</v>
      </c>
      <c r="AT144">
        <f t="shared" si="408"/>
        <v>-1</v>
      </c>
      <c r="AU144">
        <f t="shared" si="408"/>
        <v>-1</v>
      </c>
      <c r="AV144">
        <f t="shared" si="408"/>
        <v>-1</v>
      </c>
      <c r="AW144">
        <f t="shared" si="408"/>
        <v>-1</v>
      </c>
      <c r="AX144">
        <f t="shared" si="408"/>
        <v>-1</v>
      </c>
      <c r="AY144">
        <f t="shared" si="408"/>
        <v>-1</v>
      </c>
      <c r="AZ144">
        <f t="shared" si="408"/>
        <v>-1</v>
      </c>
      <c r="BA144">
        <f t="shared" si="408"/>
        <v>-1</v>
      </c>
      <c r="BB144">
        <f t="shared" si="408"/>
        <v>-1</v>
      </c>
      <c r="BC144">
        <f t="shared" si="408"/>
        <v>-1</v>
      </c>
      <c r="BD144">
        <f t="shared" si="408"/>
        <v>-1</v>
      </c>
      <c r="BE144">
        <f t="shared" si="408"/>
        <v>-1</v>
      </c>
      <c r="BF144">
        <f t="shared" si="408"/>
        <v>-1</v>
      </c>
      <c r="BG144">
        <f t="shared" si="408"/>
        <v>-1</v>
      </c>
      <c r="BH144">
        <f t="shared" si="408"/>
        <v>-1</v>
      </c>
      <c r="BI144">
        <f t="shared" si="408"/>
        <v>-1</v>
      </c>
      <c r="BJ144">
        <f t="shared" si="408"/>
        <v>-1</v>
      </c>
      <c r="BK144">
        <f t="shared" si="408"/>
        <v>-1</v>
      </c>
      <c r="BL144">
        <f t="shared" si="408"/>
        <v>-1</v>
      </c>
      <c r="BM144">
        <f t="shared" si="408"/>
        <v>-1</v>
      </c>
      <c r="BN144">
        <f t="shared" si="408"/>
        <v>-1</v>
      </c>
      <c r="BO144">
        <f t="shared" si="408"/>
        <v>-1</v>
      </c>
      <c r="BP144">
        <f t="shared" ref="BP144:EA144" si="409">IF(OR(BP143=-1,AND(IF(BP$3&lt;$B144,BP143+BP$6,IF(BP$3=$B144,1,""))&gt;$B$1,BP$3&lt;$B144)),-1,IF(BP$3&lt;$B144,BP143+BP$6,IF(BP$3=$B144,1,"")))</f>
        <v>-1</v>
      </c>
      <c r="BQ144">
        <f t="shared" si="409"/>
        <v>-1</v>
      </c>
      <c r="BR144">
        <f t="shared" si="409"/>
        <v>-1</v>
      </c>
      <c r="BS144">
        <f t="shared" si="409"/>
        <v>-1</v>
      </c>
      <c r="BT144">
        <f t="shared" si="409"/>
        <v>-1</v>
      </c>
      <c r="BU144">
        <f t="shared" si="409"/>
        <v>-1</v>
      </c>
      <c r="BV144">
        <f t="shared" si="409"/>
        <v>-1</v>
      </c>
      <c r="BW144">
        <f t="shared" si="409"/>
        <v>71.800000000000026</v>
      </c>
      <c r="BX144">
        <f t="shared" si="409"/>
        <v>68.20000000000006</v>
      </c>
      <c r="BY144">
        <f t="shared" si="409"/>
        <v>64.600000000000094</v>
      </c>
      <c r="BZ144">
        <f t="shared" si="409"/>
        <v>61.000000000000099</v>
      </c>
      <c r="CA144">
        <f t="shared" si="409"/>
        <v>57.400000000000091</v>
      </c>
      <c r="CB144">
        <f t="shared" si="409"/>
        <v>53.800000000000082</v>
      </c>
      <c r="CC144">
        <f t="shared" si="409"/>
        <v>50.200000000000074</v>
      </c>
      <c r="CD144">
        <f t="shared" si="409"/>
        <v>46.600000000000065</v>
      </c>
      <c r="CE144">
        <f t="shared" si="409"/>
        <v>43.000000000000057</v>
      </c>
      <c r="CF144">
        <f t="shared" si="409"/>
        <v>39.400000000000048</v>
      </c>
      <c r="CG144">
        <f t="shared" si="409"/>
        <v>35.80000000000004</v>
      </c>
      <c r="CH144">
        <f t="shared" si="409"/>
        <v>32.200000000000031</v>
      </c>
      <c r="CI144">
        <f t="shared" si="409"/>
        <v>28.600000000000023</v>
      </c>
      <c r="CJ144">
        <f t="shared" si="409"/>
        <v>25.000000000000014</v>
      </c>
      <c r="CK144">
        <f t="shared" si="409"/>
        <v>21.400000000000006</v>
      </c>
      <c r="CL144">
        <f t="shared" si="409"/>
        <v>17.799999999999997</v>
      </c>
      <c r="CM144">
        <f t="shared" si="409"/>
        <v>14.199999999999994</v>
      </c>
      <c r="CN144">
        <f t="shared" si="409"/>
        <v>10.599999999999996</v>
      </c>
      <c r="CO144">
        <f t="shared" si="409"/>
        <v>56</v>
      </c>
      <c r="CP144">
        <f t="shared" si="409"/>
        <v>43</v>
      </c>
      <c r="CQ144">
        <f t="shared" si="409"/>
        <v>-1</v>
      </c>
      <c r="CR144">
        <f t="shared" si="409"/>
        <v>-1</v>
      </c>
      <c r="CS144">
        <f t="shared" si="409"/>
        <v>-1</v>
      </c>
      <c r="CT144">
        <f t="shared" si="409"/>
        <v>-1</v>
      </c>
      <c r="CU144">
        <f t="shared" si="409"/>
        <v>-1</v>
      </c>
      <c r="CV144">
        <f t="shared" si="409"/>
        <v>-1</v>
      </c>
      <c r="CW144">
        <f t="shared" si="409"/>
        <v>-1</v>
      </c>
      <c r="CX144">
        <f t="shared" si="409"/>
        <v>-1</v>
      </c>
      <c r="CY144">
        <f t="shared" si="409"/>
        <v>-1</v>
      </c>
      <c r="CZ144">
        <f t="shared" si="409"/>
        <v>-1</v>
      </c>
      <c r="DA144">
        <f t="shared" si="409"/>
        <v>-1</v>
      </c>
      <c r="DB144">
        <f t="shared" si="409"/>
        <v>-1</v>
      </c>
      <c r="DC144">
        <f t="shared" si="409"/>
        <v>-1</v>
      </c>
      <c r="DD144">
        <f t="shared" si="409"/>
        <v>-1</v>
      </c>
      <c r="DE144">
        <f t="shared" si="409"/>
        <v>-1</v>
      </c>
      <c r="DF144">
        <f t="shared" si="409"/>
        <v>-1</v>
      </c>
      <c r="DG144">
        <f t="shared" si="409"/>
        <v>-1</v>
      </c>
      <c r="DH144">
        <f t="shared" si="409"/>
        <v>-1</v>
      </c>
      <c r="DI144">
        <f t="shared" si="409"/>
        <v>-1</v>
      </c>
      <c r="DJ144">
        <f t="shared" si="409"/>
        <v>-1</v>
      </c>
      <c r="DK144">
        <f t="shared" si="409"/>
        <v>-1</v>
      </c>
      <c r="DL144">
        <f t="shared" si="409"/>
        <v>-1</v>
      </c>
      <c r="DM144">
        <f t="shared" si="409"/>
        <v>-1</v>
      </c>
      <c r="DN144">
        <f t="shared" si="409"/>
        <v>-1</v>
      </c>
      <c r="DO144">
        <f t="shared" si="409"/>
        <v>-1</v>
      </c>
      <c r="DP144">
        <f t="shared" si="409"/>
        <v>-1</v>
      </c>
      <c r="DQ144">
        <f t="shared" si="409"/>
        <v>-1</v>
      </c>
      <c r="DR144">
        <f t="shared" si="409"/>
        <v>-1</v>
      </c>
      <c r="DS144">
        <f t="shared" si="409"/>
        <v>-1</v>
      </c>
      <c r="DT144">
        <f t="shared" si="409"/>
        <v>-1</v>
      </c>
      <c r="DU144">
        <f t="shared" si="409"/>
        <v>-1</v>
      </c>
      <c r="DV144">
        <f t="shared" si="409"/>
        <v>-1</v>
      </c>
      <c r="DW144">
        <f t="shared" si="409"/>
        <v>-1</v>
      </c>
      <c r="DX144">
        <f t="shared" si="409"/>
        <v>-1</v>
      </c>
      <c r="DY144">
        <f t="shared" si="409"/>
        <v>-1</v>
      </c>
      <c r="DZ144">
        <f t="shared" si="409"/>
        <v>-1</v>
      </c>
      <c r="EA144">
        <f t="shared" si="409"/>
        <v>-1</v>
      </c>
      <c r="EB144">
        <f t="shared" ref="EB144:EO144" si="410">IF(OR(EB143=-1,AND(IF(EB$3&lt;$B144,EB143+EB$6,IF(EB$3=$B144,1,""))&gt;$B$1,EB$3&lt;$B144)),-1,IF(EB$3&lt;$B144,EB143+EB$6,IF(EB$3=$B144,1,"")))</f>
        <v>-1</v>
      </c>
      <c r="EC144">
        <f t="shared" si="410"/>
        <v>-1</v>
      </c>
      <c r="ED144">
        <f t="shared" si="410"/>
        <v>-1</v>
      </c>
      <c r="EE144">
        <f t="shared" si="410"/>
        <v>-1</v>
      </c>
      <c r="EF144">
        <f t="shared" si="410"/>
        <v>-1</v>
      </c>
      <c r="EG144">
        <f t="shared" si="410"/>
        <v>-1</v>
      </c>
      <c r="EH144">
        <f t="shared" si="410"/>
        <v>-1</v>
      </c>
      <c r="EI144">
        <f t="shared" si="410"/>
        <v>-1</v>
      </c>
      <c r="EJ144">
        <f t="shared" si="410"/>
        <v>-1</v>
      </c>
      <c r="EK144">
        <f t="shared" si="410"/>
        <v>-1</v>
      </c>
      <c r="EL144">
        <f t="shared" si="410"/>
        <v>-1</v>
      </c>
      <c r="EM144">
        <f t="shared" si="410"/>
        <v>-1</v>
      </c>
      <c r="EN144">
        <f t="shared" si="410"/>
        <v>-1</v>
      </c>
      <c r="EO144">
        <f t="shared" si="410"/>
        <v>-1</v>
      </c>
    </row>
    <row r="145" spans="1:145" x14ac:dyDescent="0.15">
      <c r="A145" t="e">
        <f t="shared" si="386"/>
        <v>#N/A</v>
      </c>
      <c r="B145" s="218">
        <v>137</v>
      </c>
      <c r="C145">
        <f t="shared" si="386"/>
        <v>-1</v>
      </c>
      <c r="D145">
        <f t="shared" ref="D145:BO145" si="411">IF(OR(D144=-1,AND(IF(D$3&lt;$B145,D144+D$6,IF(D$3=$B145,1,""))&gt;$B$1,D$3&lt;$B145)),-1,IF(D$3&lt;$B145,D144+D$6,IF(D$3=$B145,1,"")))</f>
        <v>-1</v>
      </c>
      <c r="E145">
        <f t="shared" si="411"/>
        <v>-1</v>
      </c>
      <c r="F145">
        <f t="shared" si="411"/>
        <v>-1</v>
      </c>
      <c r="G145">
        <f t="shared" si="411"/>
        <v>-1</v>
      </c>
      <c r="H145">
        <f t="shared" si="411"/>
        <v>-1</v>
      </c>
      <c r="I145">
        <f t="shared" si="411"/>
        <v>-1</v>
      </c>
      <c r="J145">
        <f t="shared" si="411"/>
        <v>-1</v>
      </c>
      <c r="K145">
        <f t="shared" si="411"/>
        <v>-1</v>
      </c>
      <c r="L145">
        <f t="shared" si="411"/>
        <v>-1</v>
      </c>
      <c r="M145">
        <f t="shared" si="411"/>
        <v>-1</v>
      </c>
      <c r="N145">
        <f t="shared" si="411"/>
        <v>-1</v>
      </c>
      <c r="O145">
        <f t="shared" si="411"/>
        <v>-1</v>
      </c>
      <c r="P145">
        <f t="shared" si="411"/>
        <v>-1</v>
      </c>
      <c r="Q145">
        <f t="shared" si="411"/>
        <v>-1</v>
      </c>
      <c r="R145">
        <f t="shared" si="411"/>
        <v>-1</v>
      </c>
      <c r="S145">
        <f t="shared" si="411"/>
        <v>-1</v>
      </c>
      <c r="T145">
        <f t="shared" si="411"/>
        <v>-1</v>
      </c>
      <c r="U145">
        <f t="shared" si="411"/>
        <v>-1</v>
      </c>
      <c r="V145">
        <f t="shared" si="411"/>
        <v>-1</v>
      </c>
      <c r="W145">
        <f t="shared" si="411"/>
        <v>-1</v>
      </c>
      <c r="X145">
        <f t="shared" si="411"/>
        <v>-1</v>
      </c>
      <c r="Y145">
        <f t="shared" si="411"/>
        <v>-1</v>
      </c>
      <c r="Z145">
        <f t="shared" si="411"/>
        <v>-1</v>
      </c>
      <c r="AA145">
        <f t="shared" si="411"/>
        <v>-1</v>
      </c>
      <c r="AB145">
        <f t="shared" si="411"/>
        <v>-1</v>
      </c>
      <c r="AC145">
        <f t="shared" si="411"/>
        <v>-1</v>
      </c>
      <c r="AD145">
        <f t="shared" si="411"/>
        <v>-1</v>
      </c>
      <c r="AE145">
        <f t="shared" si="411"/>
        <v>-1</v>
      </c>
      <c r="AF145">
        <f t="shared" si="411"/>
        <v>-1</v>
      </c>
      <c r="AG145">
        <f t="shared" si="411"/>
        <v>-1</v>
      </c>
      <c r="AH145">
        <f t="shared" si="411"/>
        <v>-1</v>
      </c>
      <c r="AI145">
        <f t="shared" si="411"/>
        <v>-1</v>
      </c>
      <c r="AJ145">
        <f t="shared" si="411"/>
        <v>-1</v>
      </c>
      <c r="AK145">
        <f t="shared" si="411"/>
        <v>-1</v>
      </c>
      <c r="AL145">
        <f t="shared" si="411"/>
        <v>73.600000000000009</v>
      </c>
      <c r="AM145">
        <f t="shared" si="411"/>
        <v>-1</v>
      </c>
      <c r="AN145">
        <f t="shared" si="411"/>
        <v>-1</v>
      </c>
      <c r="AO145">
        <f t="shared" si="411"/>
        <v>-1</v>
      </c>
      <c r="AP145">
        <f t="shared" si="411"/>
        <v>-1</v>
      </c>
      <c r="AQ145">
        <f t="shared" si="411"/>
        <v>-1</v>
      </c>
      <c r="AR145">
        <f t="shared" si="411"/>
        <v>-1</v>
      </c>
      <c r="AS145">
        <f t="shared" si="411"/>
        <v>-1</v>
      </c>
      <c r="AT145">
        <f t="shared" si="411"/>
        <v>-1</v>
      </c>
      <c r="AU145">
        <f t="shared" si="411"/>
        <v>-1</v>
      </c>
      <c r="AV145">
        <f t="shared" si="411"/>
        <v>-1</v>
      </c>
      <c r="AW145">
        <f t="shared" si="411"/>
        <v>-1</v>
      </c>
      <c r="AX145">
        <f t="shared" si="411"/>
        <v>-1</v>
      </c>
      <c r="AY145">
        <f t="shared" si="411"/>
        <v>-1</v>
      </c>
      <c r="AZ145">
        <f t="shared" si="411"/>
        <v>-1</v>
      </c>
      <c r="BA145">
        <f t="shared" si="411"/>
        <v>-1</v>
      </c>
      <c r="BB145">
        <f t="shared" si="411"/>
        <v>-1</v>
      </c>
      <c r="BC145">
        <f t="shared" si="411"/>
        <v>-1</v>
      </c>
      <c r="BD145">
        <f t="shared" si="411"/>
        <v>-1</v>
      </c>
      <c r="BE145">
        <f t="shared" si="411"/>
        <v>-1</v>
      </c>
      <c r="BF145">
        <f t="shared" si="411"/>
        <v>-1</v>
      </c>
      <c r="BG145">
        <f t="shared" si="411"/>
        <v>-1</v>
      </c>
      <c r="BH145">
        <f t="shared" si="411"/>
        <v>-1</v>
      </c>
      <c r="BI145">
        <f t="shared" si="411"/>
        <v>-1</v>
      </c>
      <c r="BJ145">
        <f t="shared" si="411"/>
        <v>-1</v>
      </c>
      <c r="BK145">
        <f t="shared" si="411"/>
        <v>-1</v>
      </c>
      <c r="BL145">
        <f t="shared" si="411"/>
        <v>-1</v>
      </c>
      <c r="BM145">
        <f t="shared" si="411"/>
        <v>-1</v>
      </c>
      <c r="BN145">
        <f t="shared" si="411"/>
        <v>-1</v>
      </c>
      <c r="BO145">
        <f t="shared" si="411"/>
        <v>-1</v>
      </c>
      <c r="BP145">
        <f t="shared" ref="BP145:EA145" si="412">IF(OR(BP144=-1,AND(IF(BP$3&lt;$B145,BP144+BP$6,IF(BP$3=$B145,1,""))&gt;$B$1,BP$3&lt;$B145)),-1,IF(BP$3&lt;$B145,BP144+BP$6,IF(BP$3=$B145,1,"")))</f>
        <v>-1</v>
      </c>
      <c r="BQ145">
        <f t="shared" si="412"/>
        <v>-1</v>
      </c>
      <c r="BR145">
        <f t="shared" si="412"/>
        <v>-1</v>
      </c>
      <c r="BS145">
        <f t="shared" si="412"/>
        <v>-1</v>
      </c>
      <c r="BT145">
        <f t="shared" si="412"/>
        <v>-1</v>
      </c>
      <c r="BU145">
        <f t="shared" si="412"/>
        <v>-1</v>
      </c>
      <c r="BV145">
        <f t="shared" si="412"/>
        <v>-1</v>
      </c>
      <c r="BW145">
        <f t="shared" si="412"/>
        <v>72.40000000000002</v>
      </c>
      <c r="BX145">
        <f t="shared" si="412"/>
        <v>68.800000000000054</v>
      </c>
      <c r="BY145">
        <f t="shared" si="412"/>
        <v>65.200000000000088</v>
      </c>
      <c r="BZ145">
        <f t="shared" si="412"/>
        <v>61.600000000000101</v>
      </c>
      <c r="CA145">
        <f t="shared" si="412"/>
        <v>58.000000000000092</v>
      </c>
      <c r="CB145">
        <f t="shared" si="412"/>
        <v>54.400000000000084</v>
      </c>
      <c r="CC145">
        <f t="shared" si="412"/>
        <v>50.800000000000075</v>
      </c>
      <c r="CD145">
        <f t="shared" si="412"/>
        <v>47.200000000000067</v>
      </c>
      <c r="CE145">
        <f t="shared" si="412"/>
        <v>43.600000000000058</v>
      </c>
      <c r="CF145">
        <f t="shared" si="412"/>
        <v>40.00000000000005</v>
      </c>
      <c r="CG145">
        <f t="shared" si="412"/>
        <v>36.400000000000041</v>
      </c>
      <c r="CH145">
        <f t="shared" si="412"/>
        <v>32.800000000000033</v>
      </c>
      <c r="CI145">
        <f t="shared" si="412"/>
        <v>29.200000000000024</v>
      </c>
      <c r="CJ145">
        <f t="shared" si="412"/>
        <v>25.600000000000016</v>
      </c>
      <c r="CK145">
        <f t="shared" si="412"/>
        <v>22.000000000000007</v>
      </c>
      <c r="CL145">
        <f t="shared" si="412"/>
        <v>18.399999999999999</v>
      </c>
      <c r="CM145">
        <f t="shared" si="412"/>
        <v>14.799999999999994</v>
      </c>
      <c r="CN145">
        <f t="shared" si="412"/>
        <v>11.199999999999996</v>
      </c>
      <c r="CO145">
        <f t="shared" si="412"/>
        <v>56.5</v>
      </c>
      <c r="CP145">
        <f t="shared" si="412"/>
        <v>43.5</v>
      </c>
      <c r="CQ145">
        <f t="shared" si="412"/>
        <v>-1</v>
      </c>
      <c r="CR145">
        <f t="shared" si="412"/>
        <v>-1</v>
      </c>
      <c r="CS145">
        <f t="shared" si="412"/>
        <v>-1</v>
      </c>
      <c r="CT145">
        <f t="shared" si="412"/>
        <v>-1</v>
      </c>
      <c r="CU145">
        <f t="shared" si="412"/>
        <v>-1</v>
      </c>
      <c r="CV145">
        <f t="shared" si="412"/>
        <v>-1</v>
      </c>
      <c r="CW145">
        <f t="shared" si="412"/>
        <v>-1</v>
      </c>
      <c r="CX145">
        <f t="shared" si="412"/>
        <v>-1</v>
      </c>
      <c r="CY145">
        <f t="shared" si="412"/>
        <v>-1</v>
      </c>
      <c r="CZ145">
        <f t="shared" si="412"/>
        <v>-1</v>
      </c>
      <c r="DA145">
        <f t="shared" si="412"/>
        <v>-1</v>
      </c>
      <c r="DB145">
        <f t="shared" si="412"/>
        <v>-1</v>
      </c>
      <c r="DC145">
        <f t="shared" si="412"/>
        <v>-1</v>
      </c>
      <c r="DD145">
        <f t="shared" si="412"/>
        <v>-1</v>
      </c>
      <c r="DE145">
        <f t="shared" si="412"/>
        <v>-1</v>
      </c>
      <c r="DF145">
        <f t="shared" si="412"/>
        <v>-1</v>
      </c>
      <c r="DG145">
        <f t="shared" si="412"/>
        <v>-1</v>
      </c>
      <c r="DH145">
        <f t="shared" si="412"/>
        <v>-1</v>
      </c>
      <c r="DI145">
        <f t="shared" si="412"/>
        <v>-1</v>
      </c>
      <c r="DJ145">
        <f t="shared" si="412"/>
        <v>-1</v>
      </c>
      <c r="DK145">
        <f t="shared" si="412"/>
        <v>-1</v>
      </c>
      <c r="DL145">
        <f t="shared" si="412"/>
        <v>-1</v>
      </c>
      <c r="DM145">
        <f t="shared" si="412"/>
        <v>-1</v>
      </c>
      <c r="DN145">
        <f t="shared" si="412"/>
        <v>-1</v>
      </c>
      <c r="DO145">
        <f t="shared" si="412"/>
        <v>-1</v>
      </c>
      <c r="DP145">
        <f t="shared" si="412"/>
        <v>-1</v>
      </c>
      <c r="DQ145">
        <f t="shared" si="412"/>
        <v>-1</v>
      </c>
      <c r="DR145">
        <f t="shared" si="412"/>
        <v>-1</v>
      </c>
      <c r="DS145">
        <f t="shared" si="412"/>
        <v>-1</v>
      </c>
      <c r="DT145">
        <f t="shared" si="412"/>
        <v>-1</v>
      </c>
      <c r="DU145">
        <f t="shared" si="412"/>
        <v>-1</v>
      </c>
      <c r="DV145">
        <f t="shared" si="412"/>
        <v>-1</v>
      </c>
      <c r="DW145">
        <f t="shared" si="412"/>
        <v>-1</v>
      </c>
      <c r="DX145">
        <f t="shared" si="412"/>
        <v>-1</v>
      </c>
      <c r="DY145">
        <f t="shared" si="412"/>
        <v>-1</v>
      </c>
      <c r="DZ145">
        <f t="shared" si="412"/>
        <v>-1</v>
      </c>
      <c r="EA145">
        <f t="shared" si="412"/>
        <v>-1</v>
      </c>
      <c r="EB145">
        <f t="shared" ref="EB145:EO145" si="413">IF(OR(EB144=-1,AND(IF(EB$3&lt;$B145,EB144+EB$6,IF(EB$3=$B145,1,""))&gt;$B$1,EB$3&lt;$B145)),-1,IF(EB$3&lt;$B145,EB144+EB$6,IF(EB$3=$B145,1,"")))</f>
        <v>-1</v>
      </c>
      <c r="EC145">
        <f t="shared" si="413"/>
        <v>-1</v>
      </c>
      <c r="ED145">
        <f t="shared" si="413"/>
        <v>-1</v>
      </c>
      <c r="EE145">
        <f t="shared" si="413"/>
        <v>-1</v>
      </c>
      <c r="EF145">
        <f t="shared" si="413"/>
        <v>-1</v>
      </c>
      <c r="EG145">
        <f t="shared" si="413"/>
        <v>-1</v>
      </c>
      <c r="EH145">
        <f t="shared" si="413"/>
        <v>-1</v>
      </c>
      <c r="EI145">
        <f t="shared" si="413"/>
        <v>-1</v>
      </c>
      <c r="EJ145">
        <f t="shared" si="413"/>
        <v>-1</v>
      </c>
      <c r="EK145">
        <f t="shared" si="413"/>
        <v>-1</v>
      </c>
      <c r="EL145">
        <f t="shared" si="413"/>
        <v>-1</v>
      </c>
      <c r="EM145">
        <f t="shared" si="413"/>
        <v>-1</v>
      </c>
      <c r="EN145">
        <f t="shared" si="413"/>
        <v>-1</v>
      </c>
      <c r="EO145">
        <f t="shared" si="413"/>
        <v>-1</v>
      </c>
    </row>
    <row r="146" spans="1:145" x14ac:dyDescent="0.15">
      <c r="A146" t="e">
        <f t="shared" si="386"/>
        <v>#N/A</v>
      </c>
      <c r="B146" s="218">
        <v>138</v>
      </c>
      <c r="C146">
        <f t="shared" si="386"/>
        <v>-1</v>
      </c>
      <c r="D146">
        <f t="shared" ref="D146:BO146" si="414">IF(OR(D145=-1,AND(IF(D$3&lt;$B146,D145+D$6,IF(D$3=$B146,1,""))&gt;$B$1,D$3&lt;$B146)),-1,IF(D$3&lt;$B146,D145+D$6,IF(D$3=$B146,1,"")))</f>
        <v>-1</v>
      </c>
      <c r="E146">
        <f t="shared" si="414"/>
        <v>-1</v>
      </c>
      <c r="F146">
        <f t="shared" si="414"/>
        <v>-1</v>
      </c>
      <c r="G146">
        <f t="shared" si="414"/>
        <v>-1</v>
      </c>
      <c r="H146">
        <f t="shared" si="414"/>
        <v>-1</v>
      </c>
      <c r="I146">
        <f t="shared" si="414"/>
        <v>-1</v>
      </c>
      <c r="J146">
        <f t="shared" si="414"/>
        <v>-1</v>
      </c>
      <c r="K146">
        <f t="shared" si="414"/>
        <v>-1</v>
      </c>
      <c r="L146">
        <f t="shared" si="414"/>
        <v>-1</v>
      </c>
      <c r="M146">
        <f t="shared" si="414"/>
        <v>-1</v>
      </c>
      <c r="N146">
        <f t="shared" si="414"/>
        <v>-1</v>
      </c>
      <c r="O146">
        <f t="shared" si="414"/>
        <v>-1</v>
      </c>
      <c r="P146">
        <f t="shared" si="414"/>
        <v>-1</v>
      </c>
      <c r="Q146">
        <f t="shared" si="414"/>
        <v>-1</v>
      </c>
      <c r="R146">
        <f t="shared" si="414"/>
        <v>-1</v>
      </c>
      <c r="S146">
        <f t="shared" si="414"/>
        <v>-1</v>
      </c>
      <c r="T146">
        <f t="shared" si="414"/>
        <v>-1</v>
      </c>
      <c r="U146">
        <f t="shared" si="414"/>
        <v>-1</v>
      </c>
      <c r="V146">
        <f t="shared" si="414"/>
        <v>-1</v>
      </c>
      <c r="W146">
        <f t="shared" si="414"/>
        <v>-1</v>
      </c>
      <c r="X146">
        <f t="shared" si="414"/>
        <v>-1</v>
      </c>
      <c r="Y146">
        <f t="shared" si="414"/>
        <v>-1</v>
      </c>
      <c r="Z146">
        <f t="shared" si="414"/>
        <v>-1</v>
      </c>
      <c r="AA146">
        <f t="shared" si="414"/>
        <v>-1</v>
      </c>
      <c r="AB146">
        <f t="shared" si="414"/>
        <v>-1</v>
      </c>
      <c r="AC146">
        <f t="shared" si="414"/>
        <v>-1</v>
      </c>
      <c r="AD146">
        <f t="shared" si="414"/>
        <v>-1</v>
      </c>
      <c r="AE146">
        <f t="shared" si="414"/>
        <v>-1</v>
      </c>
      <c r="AF146">
        <f t="shared" si="414"/>
        <v>-1</v>
      </c>
      <c r="AG146">
        <f t="shared" si="414"/>
        <v>-1</v>
      </c>
      <c r="AH146">
        <f t="shared" si="414"/>
        <v>-1</v>
      </c>
      <c r="AI146">
        <f t="shared" si="414"/>
        <v>-1</v>
      </c>
      <c r="AJ146">
        <f t="shared" si="414"/>
        <v>-1</v>
      </c>
      <c r="AK146">
        <f t="shared" si="414"/>
        <v>-1</v>
      </c>
      <c r="AL146">
        <f t="shared" si="414"/>
        <v>74.2</v>
      </c>
      <c r="AM146">
        <f t="shared" si="414"/>
        <v>-1</v>
      </c>
      <c r="AN146">
        <f t="shared" si="414"/>
        <v>-1</v>
      </c>
      <c r="AO146">
        <f t="shared" si="414"/>
        <v>-1</v>
      </c>
      <c r="AP146">
        <f t="shared" si="414"/>
        <v>-1</v>
      </c>
      <c r="AQ146">
        <f t="shared" si="414"/>
        <v>-1</v>
      </c>
      <c r="AR146">
        <f t="shared" si="414"/>
        <v>-1</v>
      </c>
      <c r="AS146">
        <f t="shared" si="414"/>
        <v>-1</v>
      </c>
      <c r="AT146">
        <f t="shared" si="414"/>
        <v>-1</v>
      </c>
      <c r="AU146">
        <f t="shared" si="414"/>
        <v>-1</v>
      </c>
      <c r="AV146">
        <f t="shared" si="414"/>
        <v>-1</v>
      </c>
      <c r="AW146">
        <f t="shared" si="414"/>
        <v>-1</v>
      </c>
      <c r="AX146">
        <f t="shared" si="414"/>
        <v>-1</v>
      </c>
      <c r="AY146">
        <f t="shared" si="414"/>
        <v>-1</v>
      </c>
      <c r="AZ146">
        <f t="shared" si="414"/>
        <v>-1</v>
      </c>
      <c r="BA146">
        <f t="shared" si="414"/>
        <v>-1</v>
      </c>
      <c r="BB146">
        <f t="shared" si="414"/>
        <v>-1</v>
      </c>
      <c r="BC146">
        <f t="shared" si="414"/>
        <v>-1</v>
      </c>
      <c r="BD146">
        <f t="shared" si="414"/>
        <v>-1</v>
      </c>
      <c r="BE146">
        <f t="shared" si="414"/>
        <v>-1</v>
      </c>
      <c r="BF146">
        <f t="shared" si="414"/>
        <v>-1</v>
      </c>
      <c r="BG146">
        <f t="shared" si="414"/>
        <v>-1</v>
      </c>
      <c r="BH146">
        <f t="shared" si="414"/>
        <v>-1</v>
      </c>
      <c r="BI146">
        <f t="shared" si="414"/>
        <v>-1</v>
      </c>
      <c r="BJ146">
        <f t="shared" si="414"/>
        <v>-1</v>
      </c>
      <c r="BK146">
        <f t="shared" si="414"/>
        <v>-1</v>
      </c>
      <c r="BL146">
        <f t="shared" si="414"/>
        <v>-1</v>
      </c>
      <c r="BM146">
        <f t="shared" si="414"/>
        <v>-1</v>
      </c>
      <c r="BN146">
        <f t="shared" si="414"/>
        <v>-1</v>
      </c>
      <c r="BO146">
        <f t="shared" si="414"/>
        <v>-1</v>
      </c>
      <c r="BP146">
        <f t="shared" ref="BP146:EA146" si="415">IF(OR(BP145=-1,AND(IF(BP$3&lt;$B146,BP145+BP$6,IF(BP$3=$B146,1,""))&gt;$B$1,BP$3&lt;$B146)),-1,IF(BP$3&lt;$B146,BP145+BP$6,IF(BP$3=$B146,1,"")))</f>
        <v>-1</v>
      </c>
      <c r="BQ146">
        <f t="shared" si="415"/>
        <v>-1</v>
      </c>
      <c r="BR146">
        <f t="shared" si="415"/>
        <v>-1</v>
      </c>
      <c r="BS146">
        <f t="shared" si="415"/>
        <v>-1</v>
      </c>
      <c r="BT146">
        <f t="shared" si="415"/>
        <v>-1</v>
      </c>
      <c r="BU146">
        <f t="shared" si="415"/>
        <v>-1</v>
      </c>
      <c r="BV146">
        <f t="shared" si="415"/>
        <v>-1</v>
      </c>
      <c r="BW146">
        <f t="shared" si="415"/>
        <v>73.000000000000014</v>
      </c>
      <c r="BX146">
        <f t="shared" si="415"/>
        <v>69.400000000000048</v>
      </c>
      <c r="BY146">
        <f t="shared" si="415"/>
        <v>65.800000000000082</v>
      </c>
      <c r="BZ146">
        <f t="shared" si="415"/>
        <v>62.200000000000102</v>
      </c>
      <c r="CA146">
        <f t="shared" si="415"/>
        <v>58.600000000000094</v>
      </c>
      <c r="CB146">
        <f t="shared" si="415"/>
        <v>55.000000000000085</v>
      </c>
      <c r="CC146">
        <f t="shared" si="415"/>
        <v>51.400000000000077</v>
      </c>
      <c r="CD146">
        <f t="shared" si="415"/>
        <v>47.800000000000068</v>
      </c>
      <c r="CE146">
        <f t="shared" si="415"/>
        <v>44.20000000000006</v>
      </c>
      <c r="CF146">
        <f t="shared" si="415"/>
        <v>40.600000000000051</v>
      </c>
      <c r="CG146">
        <f t="shared" si="415"/>
        <v>37.000000000000043</v>
      </c>
      <c r="CH146">
        <f t="shared" si="415"/>
        <v>33.400000000000034</v>
      </c>
      <c r="CI146">
        <f t="shared" si="415"/>
        <v>29.800000000000026</v>
      </c>
      <c r="CJ146">
        <f t="shared" si="415"/>
        <v>26.200000000000017</v>
      </c>
      <c r="CK146">
        <f t="shared" si="415"/>
        <v>22.600000000000009</v>
      </c>
      <c r="CL146">
        <f t="shared" si="415"/>
        <v>19</v>
      </c>
      <c r="CM146">
        <f t="shared" si="415"/>
        <v>15.399999999999993</v>
      </c>
      <c r="CN146">
        <f t="shared" si="415"/>
        <v>11.799999999999995</v>
      </c>
      <c r="CO146">
        <f t="shared" si="415"/>
        <v>57</v>
      </c>
      <c r="CP146">
        <f t="shared" si="415"/>
        <v>44</v>
      </c>
      <c r="CQ146">
        <f t="shared" si="415"/>
        <v>-1</v>
      </c>
      <c r="CR146">
        <f t="shared" si="415"/>
        <v>-1</v>
      </c>
      <c r="CS146">
        <f t="shared" si="415"/>
        <v>-1</v>
      </c>
      <c r="CT146">
        <f t="shared" si="415"/>
        <v>-1</v>
      </c>
      <c r="CU146">
        <f t="shared" si="415"/>
        <v>-1</v>
      </c>
      <c r="CV146">
        <f t="shared" si="415"/>
        <v>-1</v>
      </c>
      <c r="CW146">
        <f t="shared" si="415"/>
        <v>-1</v>
      </c>
      <c r="CX146">
        <f t="shared" si="415"/>
        <v>-1</v>
      </c>
      <c r="CY146">
        <f t="shared" si="415"/>
        <v>-1</v>
      </c>
      <c r="CZ146">
        <f t="shared" si="415"/>
        <v>-1</v>
      </c>
      <c r="DA146">
        <f t="shared" si="415"/>
        <v>-1</v>
      </c>
      <c r="DB146">
        <f t="shared" si="415"/>
        <v>-1</v>
      </c>
      <c r="DC146">
        <f t="shared" si="415"/>
        <v>-1</v>
      </c>
      <c r="DD146">
        <f t="shared" si="415"/>
        <v>-1</v>
      </c>
      <c r="DE146">
        <f t="shared" si="415"/>
        <v>-1</v>
      </c>
      <c r="DF146">
        <f t="shared" si="415"/>
        <v>-1</v>
      </c>
      <c r="DG146">
        <f t="shared" si="415"/>
        <v>-1</v>
      </c>
      <c r="DH146">
        <f t="shared" si="415"/>
        <v>-1</v>
      </c>
      <c r="DI146">
        <f t="shared" si="415"/>
        <v>-1</v>
      </c>
      <c r="DJ146">
        <f t="shared" si="415"/>
        <v>-1</v>
      </c>
      <c r="DK146">
        <f t="shared" si="415"/>
        <v>-1</v>
      </c>
      <c r="DL146">
        <f t="shared" si="415"/>
        <v>-1</v>
      </c>
      <c r="DM146">
        <f t="shared" si="415"/>
        <v>-1</v>
      </c>
      <c r="DN146">
        <f t="shared" si="415"/>
        <v>-1</v>
      </c>
      <c r="DO146">
        <f t="shared" si="415"/>
        <v>-1</v>
      </c>
      <c r="DP146">
        <f t="shared" si="415"/>
        <v>-1</v>
      </c>
      <c r="DQ146">
        <f t="shared" si="415"/>
        <v>-1</v>
      </c>
      <c r="DR146">
        <f t="shared" si="415"/>
        <v>-1</v>
      </c>
      <c r="DS146">
        <f t="shared" si="415"/>
        <v>-1</v>
      </c>
      <c r="DT146">
        <f t="shared" si="415"/>
        <v>-1</v>
      </c>
      <c r="DU146">
        <f t="shared" si="415"/>
        <v>-1</v>
      </c>
      <c r="DV146">
        <f t="shared" si="415"/>
        <v>-1</v>
      </c>
      <c r="DW146">
        <f t="shared" si="415"/>
        <v>-1</v>
      </c>
      <c r="DX146">
        <f t="shared" si="415"/>
        <v>-1</v>
      </c>
      <c r="DY146">
        <f t="shared" si="415"/>
        <v>-1</v>
      </c>
      <c r="DZ146">
        <f t="shared" si="415"/>
        <v>-1</v>
      </c>
      <c r="EA146">
        <f t="shared" si="415"/>
        <v>-1</v>
      </c>
      <c r="EB146">
        <f t="shared" ref="EB146:EO146" si="416">IF(OR(EB145=-1,AND(IF(EB$3&lt;$B146,EB145+EB$6,IF(EB$3=$B146,1,""))&gt;$B$1,EB$3&lt;$B146)),-1,IF(EB$3&lt;$B146,EB145+EB$6,IF(EB$3=$B146,1,"")))</f>
        <v>-1</v>
      </c>
      <c r="EC146">
        <f t="shared" si="416"/>
        <v>-1</v>
      </c>
      <c r="ED146">
        <f t="shared" si="416"/>
        <v>-1</v>
      </c>
      <c r="EE146">
        <f t="shared" si="416"/>
        <v>-1</v>
      </c>
      <c r="EF146">
        <f t="shared" si="416"/>
        <v>-1</v>
      </c>
      <c r="EG146">
        <f t="shared" si="416"/>
        <v>-1</v>
      </c>
      <c r="EH146">
        <f t="shared" si="416"/>
        <v>-1</v>
      </c>
      <c r="EI146">
        <f t="shared" si="416"/>
        <v>-1</v>
      </c>
      <c r="EJ146">
        <f t="shared" si="416"/>
        <v>-1</v>
      </c>
      <c r="EK146">
        <f t="shared" si="416"/>
        <v>-1</v>
      </c>
      <c r="EL146">
        <f t="shared" si="416"/>
        <v>-1</v>
      </c>
      <c r="EM146">
        <f t="shared" si="416"/>
        <v>-1</v>
      </c>
      <c r="EN146">
        <f t="shared" si="416"/>
        <v>-1</v>
      </c>
      <c r="EO146">
        <f t="shared" si="416"/>
        <v>-1</v>
      </c>
    </row>
    <row r="147" spans="1:145" x14ac:dyDescent="0.15">
      <c r="A147" t="e">
        <f t="shared" si="386"/>
        <v>#N/A</v>
      </c>
      <c r="B147" s="218">
        <v>139</v>
      </c>
      <c r="C147">
        <f t="shared" si="386"/>
        <v>-1</v>
      </c>
      <c r="D147">
        <f t="shared" ref="D147:BO147" si="417">IF(OR(D146=-1,AND(IF(D$3&lt;$B147,D146+D$6,IF(D$3=$B147,1,""))&gt;$B$1,D$3&lt;$B147)),-1,IF(D$3&lt;$B147,D146+D$6,IF(D$3=$B147,1,"")))</f>
        <v>-1</v>
      </c>
      <c r="E147">
        <f t="shared" si="417"/>
        <v>-1</v>
      </c>
      <c r="F147">
        <f t="shared" si="417"/>
        <v>-1</v>
      </c>
      <c r="G147">
        <f t="shared" si="417"/>
        <v>-1</v>
      </c>
      <c r="H147">
        <f t="shared" si="417"/>
        <v>-1</v>
      </c>
      <c r="I147">
        <f t="shared" si="417"/>
        <v>-1</v>
      </c>
      <c r="J147">
        <f t="shared" si="417"/>
        <v>-1</v>
      </c>
      <c r="K147">
        <f t="shared" si="417"/>
        <v>-1</v>
      </c>
      <c r="L147">
        <f t="shared" si="417"/>
        <v>-1</v>
      </c>
      <c r="M147">
        <f t="shared" si="417"/>
        <v>-1</v>
      </c>
      <c r="N147">
        <f t="shared" si="417"/>
        <v>-1</v>
      </c>
      <c r="O147">
        <f t="shared" si="417"/>
        <v>-1</v>
      </c>
      <c r="P147">
        <f t="shared" si="417"/>
        <v>-1</v>
      </c>
      <c r="Q147">
        <f t="shared" si="417"/>
        <v>-1</v>
      </c>
      <c r="R147">
        <f t="shared" si="417"/>
        <v>-1</v>
      </c>
      <c r="S147">
        <f t="shared" si="417"/>
        <v>-1</v>
      </c>
      <c r="T147">
        <f t="shared" si="417"/>
        <v>-1</v>
      </c>
      <c r="U147">
        <f t="shared" si="417"/>
        <v>-1</v>
      </c>
      <c r="V147">
        <f t="shared" si="417"/>
        <v>-1</v>
      </c>
      <c r="W147">
        <f t="shared" si="417"/>
        <v>-1</v>
      </c>
      <c r="X147">
        <f t="shared" si="417"/>
        <v>-1</v>
      </c>
      <c r="Y147">
        <f t="shared" si="417"/>
        <v>-1</v>
      </c>
      <c r="Z147">
        <f t="shared" si="417"/>
        <v>-1</v>
      </c>
      <c r="AA147">
        <f t="shared" si="417"/>
        <v>-1</v>
      </c>
      <c r="AB147">
        <f t="shared" si="417"/>
        <v>-1</v>
      </c>
      <c r="AC147">
        <f t="shared" si="417"/>
        <v>-1</v>
      </c>
      <c r="AD147">
        <f t="shared" si="417"/>
        <v>-1</v>
      </c>
      <c r="AE147">
        <f t="shared" si="417"/>
        <v>-1</v>
      </c>
      <c r="AF147">
        <f t="shared" si="417"/>
        <v>-1</v>
      </c>
      <c r="AG147">
        <f t="shared" si="417"/>
        <v>-1</v>
      </c>
      <c r="AH147">
        <f t="shared" si="417"/>
        <v>-1</v>
      </c>
      <c r="AI147">
        <f t="shared" si="417"/>
        <v>-1</v>
      </c>
      <c r="AJ147">
        <f t="shared" si="417"/>
        <v>-1</v>
      </c>
      <c r="AK147">
        <f t="shared" si="417"/>
        <v>-1</v>
      </c>
      <c r="AL147">
        <f t="shared" si="417"/>
        <v>74.8</v>
      </c>
      <c r="AM147">
        <f t="shared" si="417"/>
        <v>-1</v>
      </c>
      <c r="AN147">
        <f t="shared" si="417"/>
        <v>-1</v>
      </c>
      <c r="AO147">
        <f t="shared" si="417"/>
        <v>-1</v>
      </c>
      <c r="AP147">
        <f t="shared" si="417"/>
        <v>-1</v>
      </c>
      <c r="AQ147">
        <f t="shared" si="417"/>
        <v>-1</v>
      </c>
      <c r="AR147">
        <f t="shared" si="417"/>
        <v>-1</v>
      </c>
      <c r="AS147">
        <f t="shared" si="417"/>
        <v>-1</v>
      </c>
      <c r="AT147">
        <f t="shared" si="417"/>
        <v>-1</v>
      </c>
      <c r="AU147">
        <f t="shared" si="417"/>
        <v>-1</v>
      </c>
      <c r="AV147">
        <f t="shared" si="417"/>
        <v>-1</v>
      </c>
      <c r="AW147">
        <f t="shared" si="417"/>
        <v>-1</v>
      </c>
      <c r="AX147">
        <f t="shared" si="417"/>
        <v>-1</v>
      </c>
      <c r="AY147">
        <f t="shared" si="417"/>
        <v>-1</v>
      </c>
      <c r="AZ147">
        <f t="shared" si="417"/>
        <v>-1</v>
      </c>
      <c r="BA147">
        <f t="shared" si="417"/>
        <v>-1</v>
      </c>
      <c r="BB147">
        <f t="shared" si="417"/>
        <v>-1</v>
      </c>
      <c r="BC147">
        <f t="shared" si="417"/>
        <v>-1</v>
      </c>
      <c r="BD147">
        <f t="shared" si="417"/>
        <v>-1</v>
      </c>
      <c r="BE147">
        <f t="shared" si="417"/>
        <v>-1</v>
      </c>
      <c r="BF147">
        <f t="shared" si="417"/>
        <v>-1</v>
      </c>
      <c r="BG147">
        <f t="shared" si="417"/>
        <v>-1</v>
      </c>
      <c r="BH147">
        <f t="shared" si="417"/>
        <v>-1</v>
      </c>
      <c r="BI147">
        <f t="shared" si="417"/>
        <v>-1</v>
      </c>
      <c r="BJ147">
        <f t="shared" si="417"/>
        <v>-1</v>
      </c>
      <c r="BK147">
        <f t="shared" si="417"/>
        <v>-1</v>
      </c>
      <c r="BL147">
        <f t="shared" si="417"/>
        <v>-1</v>
      </c>
      <c r="BM147">
        <f t="shared" si="417"/>
        <v>-1</v>
      </c>
      <c r="BN147">
        <f t="shared" si="417"/>
        <v>-1</v>
      </c>
      <c r="BO147">
        <f t="shared" si="417"/>
        <v>-1</v>
      </c>
      <c r="BP147">
        <f t="shared" ref="BP147:EA147" si="418">IF(OR(BP146=-1,AND(IF(BP$3&lt;$B147,BP146+BP$6,IF(BP$3=$B147,1,""))&gt;$B$1,BP$3&lt;$B147)),-1,IF(BP$3&lt;$B147,BP146+BP$6,IF(BP$3=$B147,1,"")))</f>
        <v>-1</v>
      </c>
      <c r="BQ147">
        <f t="shared" si="418"/>
        <v>-1</v>
      </c>
      <c r="BR147">
        <f t="shared" si="418"/>
        <v>-1</v>
      </c>
      <c r="BS147">
        <f t="shared" si="418"/>
        <v>-1</v>
      </c>
      <c r="BT147">
        <f t="shared" si="418"/>
        <v>-1</v>
      </c>
      <c r="BU147">
        <f t="shared" si="418"/>
        <v>-1</v>
      </c>
      <c r="BV147">
        <f t="shared" si="418"/>
        <v>-1</v>
      </c>
      <c r="BW147">
        <f t="shared" si="418"/>
        <v>73.600000000000009</v>
      </c>
      <c r="BX147">
        <f t="shared" si="418"/>
        <v>70.000000000000043</v>
      </c>
      <c r="BY147">
        <f t="shared" si="418"/>
        <v>66.400000000000077</v>
      </c>
      <c r="BZ147">
        <f t="shared" si="418"/>
        <v>62.800000000000104</v>
      </c>
      <c r="CA147">
        <f t="shared" si="418"/>
        <v>59.200000000000095</v>
      </c>
      <c r="CB147">
        <f t="shared" si="418"/>
        <v>55.600000000000087</v>
      </c>
      <c r="CC147">
        <f t="shared" si="418"/>
        <v>52.000000000000078</v>
      </c>
      <c r="CD147">
        <f t="shared" si="418"/>
        <v>48.40000000000007</v>
      </c>
      <c r="CE147">
        <f t="shared" si="418"/>
        <v>44.800000000000061</v>
      </c>
      <c r="CF147">
        <f t="shared" si="418"/>
        <v>41.200000000000053</v>
      </c>
      <c r="CG147">
        <f t="shared" si="418"/>
        <v>37.600000000000044</v>
      </c>
      <c r="CH147">
        <f t="shared" si="418"/>
        <v>34.000000000000036</v>
      </c>
      <c r="CI147">
        <f t="shared" si="418"/>
        <v>30.400000000000027</v>
      </c>
      <c r="CJ147">
        <f t="shared" si="418"/>
        <v>26.800000000000018</v>
      </c>
      <c r="CK147">
        <f t="shared" si="418"/>
        <v>23.20000000000001</v>
      </c>
      <c r="CL147">
        <f t="shared" si="418"/>
        <v>19.600000000000001</v>
      </c>
      <c r="CM147">
        <f t="shared" si="418"/>
        <v>15.999999999999993</v>
      </c>
      <c r="CN147">
        <f t="shared" si="418"/>
        <v>12.399999999999995</v>
      </c>
      <c r="CO147">
        <f t="shared" si="418"/>
        <v>57.5</v>
      </c>
      <c r="CP147">
        <f t="shared" si="418"/>
        <v>44.5</v>
      </c>
      <c r="CQ147">
        <f t="shared" si="418"/>
        <v>-1</v>
      </c>
      <c r="CR147">
        <f t="shared" si="418"/>
        <v>-1</v>
      </c>
      <c r="CS147">
        <f t="shared" si="418"/>
        <v>-1</v>
      </c>
      <c r="CT147">
        <f t="shared" si="418"/>
        <v>-1</v>
      </c>
      <c r="CU147">
        <f t="shared" si="418"/>
        <v>-1</v>
      </c>
      <c r="CV147">
        <f t="shared" si="418"/>
        <v>-1</v>
      </c>
      <c r="CW147">
        <f t="shared" si="418"/>
        <v>-1</v>
      </c>
      <c r="CX147">
        <f t="shared" si="418"/>
        <v>-1</v>
      </c>
      <c r="CY147">
        <f t="shared" si="418"/>
        <v>-1</v>
      </c>
      <c r="CZ147">
        <f t="shared" si="418"/>
        <v>-1</v>
      </c>
      <c r="DA147">
        <f t="shared" si="418"/>
        <v>-1</v>
      </c>
      <c r="DB147">
        <f t="shared" si="418"/>
        <v>-1</v>
      </c>
      <c r="DC147">
        <f t="shared" si="418"/>
        <v>-1</v>
      </c>
      <c r="DD147">
        <f t="shared" si="418"/>
        <v>-1</v>
      </c>
      <c r="DE147">
        <f t="shared" si="418"/>
        <v>-1</v>
      </c>
      <c r="DF147">
        <f t="shared" si="418"/>
        <v>-1</v>
      </c>
      <c r="DG147">
        <f t="shared" si="418"/>
        <v>-1</v>
      </c>
      <c r="DH147">
        <f t="shared" si="418"/>
        <v>-1</v>
      </c>
      <c r="DI147">
        <f t="shared" si="418"/>
        <v>-1</v>
      </c>
      <c r="DJ147">
        <f t="shared" si="418"/>
        <v>-1</v>
      </c>
      <c r="DK147">
        <f t="shared" si="418"/>
        <v>-1</v>
      </c>
      <c r="DL147">
        <f t="shared" si="418"/>
        <v>-1</v>
      </c>
      <c r="DM147">
        <f t="shared" si="418"/>
        <v>-1</v>
      </c>
      <c r="DN147">
        <f t="shared" si="418"/>
        <v>-1</v>
      </c>
      <c r="DO147">
        <f t="shared" si="418"/>
        <v>-1</v>
      </c>
      <c r="DP147">
        <f t="shared" si="418"/>
        <v>-1</v>
      </c>
      <c r="DQ147">
        <f t="shared" si="418"/>
        <v>-1</v>
      </c>
      <c r="DR147">
        <f t="shared" si="418"/>
        <v>-1</v>
      </c>
      <c r="DS147">
        <f t="shared" si="418"/>
        <v>-1</v>
      </c>
      <c r="DT147">
        <f t="shared" si="418"/>
        <v>-1</v>
      </c>
      <c r="DU147">
        <f t="shared" si="418"/>
        <v>-1</v>
      </c>
      <c r="DV147">
        <f t="shared" si="418"/>
        <v>-1</v>
      </c>
      <c r="DW147">
        <f t="shared" si="418"/>
        <v>-1</v>
      </c>
      <c r="DX147">
        <f t="shared" si="418"/>
        <v>-1</v>
      </c>
      <c r="DY147">
        <f t="shared" si="418"/>
        <v>-1</v>
      </c>
      <c r="DZ147">
        <f t="shared" si="418"/>
        <v>-1</v>
      </c>
      <c r="EA147">
        <f t="shared" si="418"/>
        <v>-1</v>
      </c>
      <c r="EB147">
        <f t="shared" ref="EB147:EO147" si="419">IF(OR(EB146=-1,AND(IF(EB$3&lt;$B147,EB146+EB$6,IF(EB$3=$B147,1,""))&gt;$B$1,EB$3&lt;$B147)),-1,IF(EB$3&lt;$B147,EB146+EB$6,IF(EB$3=$B147,1,"")))</f>
        <v>-1</v>
      </c>
      <c r="EC147">
        <f t="shared" si="419"/>
        <v>-1</v>
      </c>
      <c r="ED147">
        <f t="shared" si="419"/>
        <v>-1</v>
      </c>
      <c r="EE147">
        <f t="shared" si="419"/>
        <v>-1</v>
      </c>
      <c r="EF147">
        <f t="shared" si="419"/>
        <v>-1</v>
      </c>
      <c r="EG147">
        <f t="shared" si="419"/>
        <v>-1</v>
      </c>
      <c r="EH147">
        <f t="shared" si="419"/>
        <v>-1</v>
      </c>
      <c r="EI147">
        <f t="shared" si="419"/>
        <v>-1</v>
      </c>
      <c r="EJ147">
        <f t="shared" si="419"/>
        <v>-1</v>
      </c>
      <c r="EK147">
        <f t="shared" si="419"/>
        <v>-1</v>
      </c>
      <c r="EL147">
        <f t="shared" si="419"/>
        <v>-1</v>
      </c>
      <c r="EM147">
        <f t="shared" si="419"/>
        <v>-1</v>
      </c>
      <c r="EN147">
        <f t="shared" si="419"/>
        <v>-1</v>
      </c>
      <c r="EO147">
        <f t="shared" si="419"/>
        <v>-1</v>
      </c>
    </row>
    <row r="148" spans="1:145" x14ac:dyDescent="0.15">
      <c r="A148" t="e">
        <f t="shared" si="386"/>
        <v>#N/A</v>
      </c>
      <c r="B148" s="218">
        <v>140</v>
      </c>
      <c r="C148">
        <f t="shared" si="386"/>
        <v>-1</v>
      </c>
      <c r="D148">
        <f t="shared" ref="D148:BO148" si="420">IF(OR(D147=-1,AND(IF(D$3&lt;$B148,D147+D$6,IF(D$3=$B148,1,""))&gt;$B$1,D$3&lt;$B148)),-1,IF(D$3&lt;$B148,D147+D$6,IF(D$3=$B148,1,"")))</f>
        <v>-1</v>
      </c>
      <c r="E148">
        <f t="shared" si="420"/>
        <v>-1</v>
      </c>
      <c r="F148">
        <f t="shared" si="420"/>
        <v>-1</v>
      </c>
      <c r="G148">
        <f t="shared" si="420"/>
        <v>-1</v>
      </c>
      <c r="H148">
        <f t="shared" si="420"/>
        <v>-1</v>
      </c>
      <c r="I148">
        <f t="shared" si="420"/>
        <v>-1</v>
      </c>
      <c r="J148">
        <f t="shared" si="420"/>
        <v>-1</v>
      </c>
      <c r="K148">
        <f t="shared" si="420"/>
        <v>-1</v>
      </c>
      <c r="L148">
        <f t="shared" si="420"/>
        <v>-1</v>
      </c>
      <c r="M148">
        <f t="shared" si="420"/>
        <v>-1</v>
      </c>
      <c r="N148">
        <f t="shared" si="420"/>
        <v>-1</v>
      </c>
      <c r="O148">
        <f t="shared" si="420"/>
        <v>-1</v>
      </c>
      <c r="P148">
        <f t="shared" si="420"/>
        <v>-1</v>
      </c>
      <c r="Q148">
        <f t="shared" si="420"/>
        <v>-1</v>
      </c>
      <c r="R148">
        <f t="shared" si="420"/>
        <v>-1</v>
      </c>
      <c r="S148">
        <f t="shared" si="420"/>
        <v>-1</v>
      </c>
      <c r="T148">
        <f t="shared" si="420"/>
        <v>-1</v>
      </c>
      <c r="U148">
        <f t="shared" si="420"/>
        <v>-1</v>
      </c>
      <c r="V148">
        <f t="shared" si="420"/>
        <v>-1</v>
      </c>
      <c r="W148">
        <f t="shared" si="420"/>
        <v>-1</v>
      </c>
      <c r="X148">
        <f t="shared" si="420"/>
        <v>-1</v>
      </c>
      <c r="Y148">
        <f t="shared" si="420"/>
        <v>-1</v>
      </c>
      <c r="Z148">
        <f t="shared" si="420"/>
        <v>-1</v>
      </c>
      <c r="AA148">
        <f t="shared" si="420"/>
        <v>-1</v>
      </c>
      <c r="AB148">
        <f t="shared" si="420"/>
        <v>-1</v>
      </c>
      <c r="AC148">
        <f t="shared" si="420"/>
        <v>-1</v>
      </c>
      <c r="AD148">
        <f t="shared" si="420"/>
        <v>-1</v>
      </c>
      <c r="AE148">
        <f t="shared" si="420"/>
        <v>-1</v>
      </c>
      <c r="AF148">
        <f t="shared" si="420"/>
        <v>-1</v>
      </c>
      <c r="AG148">
        <f t="shared" si="420"/>
        <v>-1</v>
      </c>
      <c r="AH148">
        <f t="shared" si="420"/>
        <v>-1</v>
      </c>
      <c r="AI148">
        <f t="shared" si="420"/>
        <v>-1</v>
      </c>
      <c r="AJ148">
        <f t="shared" si="420"/>
        <v>-1</v>
      </c>
      <c r="AK148">
        <f t="shared" si="420"/>
        <v>-1</v>
      </c>
      <c r="AL148">
        <f t="shared" si="420"/>
        <v>-1</v>
      </c>
      <c r="AM148">
        <f t="shared" si="420"/>
        <v>-1</v>
      </c>
      <c r="AN148">
        <f t="shared" si="420"/>
        <v>-1</v>
      </c>
      <c r="AO148">
        <f t="shared" si="420"/>
        <v>-1</v>
      </c>
      <c r="AP148">
        <f t="shared" si="420"/>
        <v>-1</v>
      </c>
      <c r="AQ148">
        <f t="shared" si="420"/>
        <v>-1</v>
      </c>
      <c r="AR148">
        <f t="shared" si="420"/>
        <v>-1</v>
      </c>
      <c r="AS148">
        <f t="shared" si="420"/>
        <v>-1</v>
      </c>
      <c r="AT148">
        <f t="shared" si="420"/>
        <v>-1</v>
      </c>
      <c r="AU148">
        <f t="shared" si="420"/>
        <v>-1</v>
      </c>
      <c r="AV148">
        <f t="shared" si="420"/>
        <v>-1</v>
      </c>
      <c r="AW148">
        <f t="shared" si="420"/>
        <v>-1</v>
      </c>
      <c r="AX148">
        <f t="shared" si="420"/>
        <v>-1</v>
      </c>
      <c r="AY148">
        <f t="shared" si="420"/>
        <v>-1</v>
      </c>
      <c r="AZ148">
        <f t="shared" si="420"/>
        <v>-1</v>
      </c>
      <c r="BA148">
        <f t="shared" si="420"/>
        <v>-1</v>
      </c>
      <c r="BB148">
        <f t="shared" si="420"/>
        <v>-1</v>
      </c>
      <c r="BC148">
        <f t="shared" si="420"/>
        <v>-1</v>
      </c>
      <c r="BD148">
        <f t="shared" si="420"/>
        <v>-1</v>
      </c>
      <c r="BE148">
        <f t="shared" si="420"/>
        <v>-1</v>
      </c>
      <c r="BF148">
        <f t="shared" si="420"/>
        <v>-1</v>
      </c>
      <c r="BG148">
        <f t="shared" si="420"/>
        <v>-1</v>
      </c>
      <c r="BH148">
        <f t="shared" si="420"/>
        <v>-1</v>
      </c>
      <c r="BI148">
        <f t="shared" si="420"/>
        <v>-1</v>
      </c>
      <c r="BJ148">
        <f t="shared" si="420"/>
        <v>-1</v>
      </c>
      <c r="BK148">
        <f t="shared" si="420"/>
        <v>-1</v>
      </c>
      <c r="BL148">
        <f t="shared" si="420"/>
        <v>-1</v>
      </c>
      <c r="BM148">
        <f t="shared" si="420"/>
        <v>-1</v>
      </c>
      <c r="BN148">
        <f t="shared" si="420"/>
        <v>-1</v>
      </c>
      <c r="BO148">
        <f t="shared" si="420"/>
        <v>-1</v>
      </c>
      <c r="BP148">
        <f t="shared" ref="BP148:EA148" si="421">IF(OR(BP147=-1,AND(IF(BP$3&lt;$B148,BP147+BP$6,IF(BP$3=$B148,1,""))&gt;$B$1,BP$3&lt;$B148)),-1,IF(BP$3&lt;$B148,BP147+BP$6,IF(BP$3=$B148,1,"")))</f>
        <v>-1</v>
      </c>
      <c r="BQ148">
        <f t="shared" si="421"/>
        <v>-1</v>
      </c>
      <c r="BR148">
        <f t="shared" si="421"/>
        <v>-1</v>
      </c>
      <c r="BS148">
        <f t="shared" si="421"/>
        <v>-1</v>
      </c>
      <c r="BT148">
        <f t="shared" si="421"/>
        <v>-1</v>
      </c>
      <c r="BU148">
        <f t="shared" si="421"/>
        <v>-1</v>
      </c>
      <c r="BV148">
        <f t="shared" si="421"/>
        <v>-1</v>
      </c>
      <c r="BW148">
        <f t="shared" si="421"/>
        <v>74.2</v>
      </c>
      <c r="BX148">
        <f t="shared" si="421"/>
        <v>70.600000000000037</v>
      </c>
      <c r="BY148">
        <f t="shared" si="421"/>
        <v>67.000000000000071</v>
      </c>
      <c r="BZ148">
        <f t="shared" si="421"/>
        <v>63.400000000000105</v>
      </c>
      <c r="CA148">
        <f t="shared" si="421"/>
        <v>59.800000000000097</v>
      </c>
      <c r="CB148">
        <f t="shared" si="421"/>
        <v>56.200000000000088</v>
      </c>
      <c r="CC148">
        <f t="shared" si="421"/>
        <v>52.60000000000008</v>
      </c>
      <c r="CD148">
        <f t="shared" si="421"/>
        <v>49.000000000000071</v>
      </c>
      <c r="CE148">
        <f t="shared" si="421"/>
        <v>45.400000000000063</v>
      </c>
      <c r="CF148">
        <f t="shared" si="421"/>
        <v>41.800000000000054</v>
      </c>
      <c r="CG148">
        <f t="shared" si="421"/>
        <v>38.200000000000045</v>
      </c>
      <c r="CH148">
        <f t="shared" si="421"/>
        <v>34.600000000000037</v>
      </c>
      <c r="CI148">
        <f t="shared" si="421"/>
        <v>31.000000000000028</v>
      </c>
      <c r="CJ148">
        <f t="shared" si="421"/>
        <v>27.40000000000002</v>
      </c>
      <c r="CK148">
        <f t="shared" si="421"/>
        <v>23.800000000000011</v>
      </c>
      <c r="CL148">
        <f t="shared" si="421"/>
        <v>20.200000000000003</v>
      </c>
      <c r="CM148">
        <f t="shared" si="421"/>
        <v>16.599999999999994</v>
      </c>
      <c r="CN148">
        <f t="shared" si="421"/>
        <v>12.999999999999995</v>
      </c>
      <c r="CO148">
        <f t="shared" si="421"/>
        <v>58</v>
      </c>
      <c r="CP148">
        <f t="shared" si="421"/>
        <v>45</v>
      </c>
      <c r="CQ148">
        <f t="shared" si="421"/>
        <v>-1</v>
      </c>
      <c r="CR148">
        <f t="shared" si="421"/>
        <v>-1</v>
      </c>
      <c r="CS148">
        <f t="shared" si="421"/>
        <v>-1</v>
      </c>
      <c r="CT148">
        <f t="shared" si="421"/>
        <v>-1</v>
      </c>
      <c r="CU148">
        <f t="shared" si="421"/>
        <v>-1</v>
      </c>
      <c r="CV148">
        <f t="shared" si="421"/>
        <v>-1</v>
      </c>
      <c r="CW148">
        <f t="shared" si="421"/>
        <v>-1</v>
      </c>
      <c r="CX148">
        <f t="shared" si="421"/>
        <v>-1</v>
      </c>
      <c r="CY148">
        <f t="shared" si="421"/>
        <v>-1</v>
      </c>
      <c r="CZ148">
        <f t="shared" si="421"/>
        <v>-1</v>
      </c>
      <c r="DA148">
        <f t="shared" si="421"/>
        <v>-1</v>
      </c>
      <c r="DB148">
        <f t="shared" si="421"/>
        <v>-1</v>
      </c>
      <c r="DC148">
        <f t="shared" si="421"/>
        <v>-1</v>
      </c>
      <c r="DD148">
        <f t="shared" si="421"/>
        <v>-1</v>
      </c>
      <c r="DE148">
        <f t="shared" si="421"/>
        <v>-1</v>
      </c>
      <c r="DF148">
        <f t="shared" si="421"/>
        <v>-1</v>
      </c>
      <c r="DG148">
        <f t="shared" si="421"/>
        <v>-1</v>
      </c>
      <c r="DH148">
        <f t="shared" si="421"/>
        <v>-1</v>
      </c>
      <c r="DI148">
        <f t="shared" si="421"/>
        <v>-1</v>
      </c>
      <c r="DJ148">
        <f t="shared" si="421"/>
        <v>-1</v>
      </c>
      <c r="DK148">
        <f t="shared" si="421"/>
        <v>-1</v>
      </c>
      <c r="DL148">
        <f t="shared" si="421"/>
        <v>-1</v>
      </c>
      <c r="DM148">
        <f t="shared" si="421"/>
        <v>-1</v>
      </c>
      <c r="DN148">
        <f t="shared" si="421"/>
        <v>-1</v>
      </c>
      <c r="DO148">
        <f t="shared" si="421"/>
        <v>-1</v>
      </c>
      <c r="DP148">
        <f t="shared" si="421"/>
        <v>-1</v>
      </c>
      <c r="DQ148">
        <f t="shared" si="421"/>
        <v>-1</v>
      </c>
      <c r="DR148">
        <f t="shared" si="421"/>
        <v>-1</v>
      </c>
      <c r="DS148">
        <f t="shared" si="421"/>
        <v>-1</v>
      </c>
      <c r="DT148">
        <f t="shared" si="421"/>
        <v>-1</v>
      </c>
      <c r="DU148">
        <f t="shared" si="421"/>
        <v>-1</v>
      </c>
      <c r="DV148">
        <f t="shared" si="421"/>
        <v>-1</v>
      </c>
      <c r="DW148">
        <f t="shared" si="421"/>
        <v>-1</v>
      </c>
      <c r="DX148">
        <f t="shared" si="421"/>
        <v>-1</v>
      </c>
      <c r="DY148">
        <f t="shared" si="421"/>
        <v>-1</v>
      </c>
      <c r="DZ148">
        <f t="shared" si="421"/>
        <v>-1</v>
      </c>
      <c r="EA148">
        <f t="shared" si="421"/>
        <v>-1</v>
      </c>
      <c r="EB148">
        <f t="shared" ref="EB148:EO148" si="422">IF(OR(EB147=-1,AND(IF(EB$3&lt;$B148,EB147+EB$6,IF(EB$3=$B148,1,""))&gt;$B$1,EB$3&lt;$B148)),-1,IF(EB$3&lt;$B148,EB147+EB$6,IF(EB$3=$B148,1,"")))</f>
        <v>-1</v>
      </c>
      <c r="EC148">
        <f t="shared" si="422"/>
        <v>-1</v>
      </c>
      <c r="ED148">
        <f t="shared" si="422"/>
        <v>-1</v>
      </c>
      <c r="EE148">
        <f t="shared" si="422"/>
        <v>-1</v>
      </c>
      <c r="EF148">
        <f t="shared" si="422"/>
        <v>-1</v>
      </c>
      <c r="EG148">
        <f t="shared" si="422"/>
        <v>-1</v>
      </c>
      <c r="EH148">
        <f t="shared" si="422"/>
        <v>-1</v>
      </c>
      <c r="EI148">
        <f t="shared" si="422"/>
        <v>-1</v>
      </c>
      <c r="EJ148">
        <f t="shared" si="422"/>
        <v>-1</v>
      </c>
      <c r="EK148">
        <f t="shared" si="422"/>
        <v>-1</v>
      </c>
      <c r="EL148">
        <f t="shared" si="422"/>
        <v>-1</v>
      </c>
      <c r="EM148">
        <f t="shared" si="422"/>
        <v>-1</v>
      </c>
      <c r="EN148">
        <f t="shared" si="422"/>
        <v>-1</v>
      </c>
      <c r="EO148">
        <f t="shared" si="422"/>
        <v>-1</v>
      </c>
    </row>
    <row r="149" spans="1:145" x14ac:dyDescent="0.15">
      <c r="A149" t="e">
        <f t="shared" si="386"/>
        <v>#N/A</v>
      </c>
      <c r="B149" s="218">
        <v>141</v>
      </c>
      <c r="C149">
        <f t="shared" si="386"/>
        <v>-1</v>
      </c>
      <c r="D149">
        <f t="shared" ref="D149:BO149" si="423">IF(OR(D148=-1,AND(IF(D$3&lt;$B149,D148+D$6,IF(D$3=$B149,1,""))&gt;$B$1,D$3&lt;$B149)),-1,IF(D$3&lt;$B149,D148+D$6,IF(D$3=$B149,1,"")))</f>
        <v>-1</v>
      </c>
      <c r="E149">
        <f t="shared" si="423"/>
        <v>-1</v>
      </c>
      <c r="F149">
        <f t="shared" si="423"/>
        <v>-1</v>
      </c>
      <c r="G149">
        <f t="shared" si="423"/>
        <v>-1</v>
      </c>
      <c r="H149">
        <f t="shared" si="423"/>
        <v>-1</v>
      </c>
      <c r="I149">
        <f t="shared" si="423"/>
        <v>-1</v>
      </c>
      <c r="J149">
        <f t="shared" si="423"/>
        <v>-1</v>
      </c>
      <c r="K149">
        <f t="shared" si="423"/>
        <v>-1</v>
      </c>
      <c r="L149">
        <f t="shared" si="423"/>
        <v>-1</v>
      </c>
      <c r="M149">
        <f t="shared" si="423"/>
        <v>-1</v>
      </c>
      <c r="N149">
        <f t="shared" si="423"/>
        <v>-1</v>
      </c>
      <c r="O149">
        <f t="shared" si="423"/>
        <v>-1</v>
      </c>
      <c r="P149">
        <f t="shared" si="423"/>
        <v>-1</v>
      </c>
      <c r="Q149">
        <f t="shared" si="423"/>
        <v>-1</v>
      </c>
      <c r="R149">
        <f t="shared" si="423"/>
        <v>-1</v>
      </c>
      <c r="S149">
        <f t="shared" si="423"/>
        <v>-1</v>
      </c>
      <c r="T149">
        <f t="shared" si="423"/>
        <v>-1</v>
      </c>
      <c r="U149">
        <f t="shared" si="423"/>
        <v>-1</v>
      </c>
      <c r="V149">
        <f t="shared" si="423"/>
        <v>-1</v>
      </c>
      <c r="W149">
        <f t="shared" si="423"/>
        <v>-1</v>
      </c>
      <c r="X149">
        <f t="shared" si="423"/>
        <v>-1</v>
      </c>
      <c r="Y149">
        <f t="shared" si="423"/>
        <v>-1</v>
      </c>
      <c r="Z149">
        <f t="shared" si="423"/>
        <v>-1</v>
      </c>
      <c r="AA149">
        <f t="shared" si="423"/>
        <v>-1</v>
      </c>
      <c r="AB149">
        <f t="shared" si="423"/>
        <v>-1</v>
      </c>
      <c r="AC149">
        <f t="shared" si="423"/>
        <v>-1</v>
      </c>
      <c r="AD149">
        <f t="shared" si="423"/>
        <v>-1</v>
      </c>
      <c r="AE149">
        <f t="shared" si="423"/>
        <v>-1</v>
      </c>
      <c r="AF149">
        <f t="shared" si="423"/>
        <v>-1</v>
      </c>
      <c r="AG149">
        <f t="shared" si="423"/>
        <v>-1</v>
      </c>
      <c r="AH149">
        <f t="shared" si="423"/>
        <v>-1</v>
      </c>
      <c r="AI149">
        <f t="shared" si="423"/>
        <v>-1</v>
      </c>
      <c r="AJ149">
        <f t="shared" si="423"/>
        <v>-1</v>
      </c>
      <c r="AK149">
        <f t="shared" si="423"/>
        <v>-1</v>
      </c>
      <c r="AL149">
        <f t="shared" si="423"/>
        <v>-1</v>
      </c>
      <c r="AM149">
        <f t="shared" si="423"/>
        <v>-1</v>
      </c>
      <c r="AN149">
        <f t="shared" si="423"/>
        <v>-1</v>
      </c>
      <c r="AO149">
        <f t="shared" si="423"/>
        <v>-1</v>
      </c>
      <c r="AP149">
        <f t="shared" si="423"/>
        <v>-1</v>
      </c>
      <c r="AQ149">
        <f t="shared" si="423"/>
        <v>-1</v>
      </c>
      <c r="AR149">
        <f t="shared" si="423"/>
        <v>-1</v>
      </c>
      <c r="AS149">
        <f t="shared" si="423"/>
        <v>-1</v>
      </c>
      <c r="AT149">
        <f t="shared" si="423"/>
        <v>-1</v>
      </c>
      <c r="AU149">
        <f t="shared" si="423"/>
        <v>-1</v>
      </c>
      <c r="AV149">
        <f t="shared" si="423"/>
        <v>-1</v>
      </c>
      <c r="AW149">
        <f t="shared" si="423"/>
        <v>-1</v>
      </c>
      <c r="AX149">
        <f t="shared" si="423"/>
        <v>-1</v>
      </c>
      <c r="AY149">
        <f t="shared" si="423"/>
        <v>-1</v>
      </c>
      <c r="AZ149">
        <f t="shared" si="423"/>
        <v>-1</v>
      </c>
      <c r="BA149">
        <f t="shared" si="423"/>
        <v>-1</v>
      </c>
      <c r="BB149">
        <f t="shared" si="423"/>
        <v>-1</v>
      </c>
      <c r="BC149">
        <f t="shared" si="423"/>
        <v>-1</v>
      </c>
      <c r="BD149">
        <f t="shared" si="423"/>
        <v>-1</v>
      </c>
      <c r="BE149">
        <f t="shared" si="423"/>
        <v>-1</v>
      </c>
      <c r="BF149">
        <f t="shared" si="423"/>
        <v>-1</v>
      </c>
      <c r="BG149">
        <f t="shared" si="423"/>
        <v>-1</v>
      </c>
      <c r="BH149">
        <f t="shared" si="423"/>
        <v>-1</v>
      </c>
      <c r="BI149">
        <f t="shared" si="423"/>
        <v>-1</v>
      </c>
      <c r="BJ149">
        <f t="shared" si="423"/>
        <v>-1</v>
      </c>
      <c r="BK149">
        <f t="shared" si="423"/>
        <v>-1</v>
      </c>
      <c r="BL149">
        <f t="shared" si="423"/>
        <v>-1</v>
      </c>
      <c r="BM149">
        <f t="shared" si="423"/>
        <v>-1</v>
      </c>
      <c r="BN149">
        <f t="shared" si="423"/>
        <v>-1</v>
      </c>
      <c r="BO149">
        <f t="shared" si="423"/>
        <v>-1</v>
      </c>
      <c r="BP149">
        <f t="shared" ref="BP149:EA149" si="424">IF(OR(BP148=-1,AND(IF(BP$3&lt;$B149,BP148+BP$6,IF(BP$3=$B149,1,""))&gt;$B$1,BP$3&lt;$B149)),-1,IF(BP$3&lt;$B149,BP148+BP$6,IF(BP$3=$B149,1,"")))</f>
        <v>-1</v>
      </c>
      <c r="BQ149">
        <f t="shared" si="424"/>
        <v>-1</v>
      </c>
      <c r="BR149">
        <f t="shared" si="424"/>
        <v>-1</v>
      </c>
      <c r="BS149">
        <f t="shared" si="424"/>
        <v>-1</v>
      </c>
      <c r="BT149">
        <f t="shared" si="424"/>
        <v>-1</v>
      </c>
      <c r="BU149">
        <f t="shared" si="424"/>
        <v>-1</v>
      </c>
      <c r="BV149">
        <f t="shared" si="424"/>
        <v>-1</v>
      </c>
      <c r="BW149">
        <f t="shared" si="424"/>
        <v>74.8</v>
      </c>
      <c r="BX149">
        <f t="shared" si="424"/>
        <v>71.200000000000031</v>
      </c>
      <c r="BY149">
        <f t="shared" si="424"/>
        <v>67.600000000000065</v>
      </c>
      <c r="BZ149">
        <f t="shared" si="424"/>
        <v>64.000000000000099</v>
      </c>
      <c r="CA149">
        <f t="shared" si="424"/>
        <v>60.400000000000098</v>
      </c>
      <c r="CB149">
        <f t="shared" si="424"/>
        <v>56.80000000000009</v>
      </c>
      <c r="CC149">
        <f t="shared" si="424"/>
        <v>53.200000000000081</v>
      </c>
      <c r="CD149">
        <f t="shared" si="424"/>
        <v>49.600000000000072</v>
      </c>
      <c r="CE149">
        <f t="shared" si="424"/>
        <v>46.000000000000064</v>
      </c>
      <c r="CF149">
        <f t="shared" si="424"/>
        <v>42.400000000000055</v>
      </c>
      <c r="CG149">
        <f t="shared" si="424"/>
        <v>38.800000000000047</v>
      </c>
      <c r="CH149">
        <f t="shared" si="424"/>
        <v>35.200000000000038</v>
      </c>
      <c r="CI149">
        <f t="shared" si="424"/>
        <v>31.60000000000003</v>
      </c>
      <c r="CJ149">
        <f t="shared" si="424"/>
        <v>28.000000000000021</v>
      </c>
      <c r="CK149">
        <f t="shared" si="424"/>
        <v>24.400000000000013</v>
      </c>
      <c r="CL149">
        <f t="shared" si="424"/>
        <v>20.800000000000004</v>
      </c>
      <c r="CM149">
        <f t="shared" si="424"/>
        <v>17.199999999999996</v>
      </c>
      <c r="CN149">
        <f t="shared" si="424"/>
        <v>13.599999999999994</v>
      </c>
      <c r="CO149">
        <f t="shared" si="424"/>
        <v>58.5</v>
      </c>
      <c r="CP149">
        <f t="shared" si="424"/>
        <v>45.5</v>
      </c>
      <c r="CQ149">
        <f t="shared" si="424"/>
        <v>-1</v>
      </c>
      <c r="CR149">
        <f t="shared" si="424"/>
        <v>-1</v>
      </c>
      <c r="CS149">
        <f t="shared" si="424"/>
        <v>-1</v>
      </c>
      <c r="CT149">
        <f t="shared" si="424"/>
        <v>-1</v>
      </c>
      <c r="CU149">
        <f t="shared" si="424"/>
        <v>-1</v>
      </c>
      <c r="CV149">
        <f t="shared" si="424"/>
        <v>-1</v>
      </c>
      <c r="CW149">
        <f t="shared" si="424"/>
        <v>-1</v>
      </c>
      <c r="CX149">
        <f t="shared" si="424"/>
        <v>-1</v>
      </c>
      <c r="CY149">
        <f t="shared" si="424"/>
        <v>-1</v>
      </c>
      <c r="CZ149">
        <f t="shared" si="424"/>
        <v>-1</v>
      </c>
      <c r="DA149">
        <f t="shared" si="424"/>
        <v>-1</v>
      </c>
      <c r="DB149">
        <f t="shared" si="424"/>
        <v>-1</v>
      </c>
      <c r="DC149">
        <f t="shared" si="424"/>
        <v>-1</v>
      </c>
      <c r="DD149">
        <f t="shared" si="424"/>
        <v>-1</v>
      </c>
      <c r="DE149">
        <f t="shared" si="424"/>
        <v>-1</v>
      </c>
      <c r="DF149">
        <f t="shared" si="424"/>
        <v>-1</v>
      </c>
      <c r="DG149">
        <f t="shared" si="424"/>
        <v>-1</v>
      </c>
      <c r="DH149">
        <f t="shared" si="424"/>
        <v>-1</v>
      </c>
      <c r="DI149">
        <f t="shared" si="424"/>
        <v>-1</v>
      </c>
      <c r="DJ149">
        <f t="shared" si="424"/>
        <v>-1</v>
      </c>
      <c r="DK149">
        <f t="shared" si="424"/>
        <v>-1</v>
      </c>
      <c r="DL149">
        <f t="shared" si="424"/>
        <v>-1</v>
      </c>
      <c r="DM149">
        <f t="shared" si="424"/>
        <v>-1</v>
      </c>
      <c r="DN149">
        <f t="shared" si="424"/>
        <v>-1</v>
      </c>
      <c r="DO149">
        <f t="shared" si="424"/>
        <v>-1</v>
      </c>
      <c r="DP149">
        <f t="shared" si="424"/>
        <v>-1</v>
      </c>
      <c r="DQ149">
        <f t="shared" si="424"/>
        <v>-1</v>
      </c>
      <c r="DR149">
        <f t="shared" si="424"/>
        <v>-1</v>
      </c>
      <c r="DS149">
        <f t="shared" si="424"/>
        <v>-1</v>
      </c>
      <c r="DT149">
        <f t="shared" si="424"/>
        <v>-1</v>
      </c>
      <c r="DU149">
        <f t="shared" si="424"/>
        <v>-1</v>
      </c>
      <c r="DV149">
        <f t="shared" si="424"/>
        <v>-1</v>
      </c>
      <c r="DW149">
        <f t="shared" si="424"/>
        <v>-1</v>
      </c>
      <c r="DX149">
        <f t="shared" si="424"/>
        <v>-1</v>
      </c>
      <c r="DY149">
        <f t="shared" si="424"/>
        <v>-1</v>
      </c>
      <c r="DZ149">
        <f t="shared" si="424"/>
        <v>-1</v>
      </c>
      <c r="EA149">
        <f t="shared" si="424"/>
        <v>-1</v>
      </c>
      <c r="EB149">
        <f t="shared" ref="EB149:EO149" si="425">IF(OR(EB148=-1,AND(IF(EB$3&lt;$B149,EB148+EB$6,IF(EB$3=$B149,1,""))&gt;$B$1,EB$3&lt;$B149)),-1,IF(EB$3&lt;$B149,EB148+EB$6,IF(EB$3=$B149,1,"")))</f>
        <v>-1</v>
      </c>
      <c r="EC149">
        <f t="shared" si="425"/>
        <v>-1</v>
      </c>
      <c r="ED149">
        <f t="shared" si="425"/>
        <v>-1</v>
      </c>
      <c r="EE149">
        <f t="shared" si="425"/>
        <v>-1</v>
      </c>
      <c r="EF149">
        <f t="shared" si="425"/>
        <v>-1</v>
      </c>
      <c r="EG149">
        <f t="shared" si="425"/>
        <v>-1</v>
      </c>
      <c r="EH149">
        <f t="shared" si="425"/>
        <v>-1</v>
      </c>
      <c r="EI149">
        <f t="shared" si="425"/>
        <v>-1</v>
      </c>
      <c r="EJ149">
        <f t="shared" si="425"/>
        <v>-1</v>
      </c>
      <c r="EK149">
        <f t="shared" si="425"/>
        <v>-1</v>
      </c>
      <c r="EL149">
        <f t="shared" si="425"/>
        <v>-1</v>
      </c>
      <c r="EM149">
        <f t="shared" si="425"/>
        <v>-1</v>
      </c>
      <c r="EN149">
        <f t="shared" si="425"/>
        <v>-1</v>
      </c>
      <c r="EO149">
        <f t="shared" si="425"/>
        <v>-1</v>
      </c>
    </row>
    <row r="150" spans="1:145" x14ac:dyDescent="0.15">
      <c r="A150" t="e">
        <f t="shared" si="386"/>
        <v>#N/A</v>
      </c>
      <c r="B150" s="218">
        <v>142</v>
      </c>
      <c r="C150">
        <f t="shared" si="386"/>
        <v>-1</v>
      </c>
      <c r="D150">
        <f t="shared" ref="D150:BO150" si="426">IF(OR(D149=-1,AND(IF(D$3&lt;$B150,D149+D$6,IF(D$3=$B150,1,""))&gt;$B$1,D$3&lt;$B150)),-1,IF(D$3&lt;$B150,D149+D$6,IF(D$3=$B150,1,"")))</f>
        <v>-1</v>
      </c>
      <c r="E150">
        <f t="shared" si="426"/>
        <v>-1</v>
      </c>
      <c r="F150">
        <f t="shared" si="426"/>
        <v>-1</v>
      </c>
      <c r="G150">
        <f t="shared" si="426"/>
        <v>-1</v>
      </c>
      <c r="H150">
        <f t="shared" si="426"/>
        <v>-1</v>
      </c>
      <c r="I150">
        <f t="shared" si="426"/>
        <v>-1</v>
      </c>
      <c r="J150">
        <f t="shared" si="426"/>
        <v>-1</v>
      </c>
      <c r="K150">
        <f t="shared" si="426"/>
        <v>-1</v>
      </c>
      <c r="L150">
        <f t="shared" si="426"/>
        <v>-1</v>
      </c>
      <c r="M150">
        <f t="shared" si="426"/>
        <v>-1</v>
      </c>
      <c r="N150">
        <f t="shared" si="426"/>
        <v>-1</v>
      </c>
      <c r="O150">
        <f t="shared" si="426"/>
        <v>-1</v>
      </c>
      <c r="P150">
        <f t="shared" si="426"/>
        <v>-1</v>
      </c>
      <c r="Q150">
        <f t="shared" si="426"/>
        <v>-1</v>
      </c>
      <c r="R150">
        <f t="shared" si="426"/>
        <v>-1</v>
      </c>
      <c r="S150">
        <f t="shared" si="426"/>
        <v>-1</v>
      </c>
      <c r="T150">
        <f t="shared" si="426"/>
        <v>-1</v>
      </c>
      <c r="U150">
        <f t="shared" si="426"/>
        <v>-1</v>
      </c>
      <c r="V150">
        <f t="shared" si="426"/>
        <v>-1</v>
      </c>
      <c r="W150">
        <f t="shared" si="426"/>
        <v>-1</v>
      </c>
      <c r="X150">
        <f t="shared" si="426"/>
        <v>-1</v>
      </c>
      <c r="Y150">
        <f t="shared" si="426"/>
        <v>-1</v>
      </c>
      <c r="Z150">
        <f t="shared" si="426"/>
        <v>-1</v>
      </c>
      <c r="AA150">
        <f t="shared" si="426"/>
        <v>-1</v>
      </c>
      <c r="AB150">
        <f t="shared" si="426"/>
        <v>-1</v>
      </c>
      <c r="AC150">
        <f t="shared" si="426"/>
        <v>-1</v>
      </c>
      <c r="AD150">
        <f t="shared" si="426"/>
        <v>-1</v>
      </c>
      <c r="AE150">
        <f t="shared" si="426"/>
        <v>-1</v>
      </c>
      <c r="AF150">
        <f t="shared" si="426"/>
        <v>-1</v>
      </c>
      <c r="AG150">
        <f t="shared" si="426"/>
        <v>-1</v>
      </c>
      <c r="AH150">
        <f t="shared" si="426"/>
        <v>-1</v>
      </c>
      <c r="AI150">
        <f t="shared" si="426"/>
        <v>-1</v>
      </c>
      <c r="AJ150">
        <f t="shared" si="426"/>
        <v>-1</v>
      </c>
      <c r="AK150">
        <f t="shared" si="426"/>
        <v>-1</v>
      </c>
      <c r="AL150">
        <f t="shared" si="426"/>
        <v>-1</v>
      </c>
      <c r="AM150">
        <f t="shared" si="426"/>
        <v>-1</v>
      </c>
      <c r="AN150">
        <f t="shared" si="426"/>
        <v>-1</v>
      </c>
      <c r="AO150">
        <f t="shared" si="426"/>
        <v>-1</v>
      </c>
      <c r="AP150">
        <f t="shared" si="426"/>
        <v>-1</v>
      </c>
      <c r="AQ150">
        <f t="shared" si="426"/>
        <v>-1</v>
      </c>
      <c r="AR150">
        <f t="shared" si="426"/>
        <v>-1</v>
      </c>
      <c r="AS150">
        <f t="shared" si="426"/>
        <v>-1</v>
      </c>
      <c r="AT150">
        <f t="shared" si="426"/>
        <v>-1</v>
      </c>
      <c r="AU150">
        <f t="shared" si="426"/>
        <v>-1</v>
      </c>
      <c r="AV150">
        <f t="shared" si="426"/>
        <v>-1</v>
      </c>
      <c r="AW150">
        <f t="shared" si="426"/>
        <v>-1</v>
      </c>
      <c r="AX150">
        <f t="shared" si="426"/>
        <v>-1</v>
      </c>
      <c r="AY150">
        <f t="shared" si="426"/>
        <v>-1</v>
      </c>
      <c r="AZ150">
        <f t="shared" si="426"/>
        <v>-1</v>
      </c>
      <c r="BA150">
        <f t="shared" si="426"/>
        <v>-1</v>
      </c>
      <c r="BB150">
        <f t="shared" si="426"/>
        <v>-1</v>
      </c>
      <c r="BC150">
        <f t="shared" si="426"/>
        <v>-1</v>
      </c>
      <c r="BD150">
        <f t="shared" si="426"/>
        <v>-1</v>
      </c>
      <c r="BE150">
        <f t="shared" si="426"/>
        <v>-1</v>
      </c>
      <c r="BF150">
        <f t="shared" si="426"/>
        <v>-1</v>
      </c>
      <c r="BG150">
        <f t="shared" si="426"/>
        <v>-1</v>
      </c>
      <c r="BH150">
        <f t="shared" si="426"/>
        <v>-1</v>
      </c>
      <c r="BI150">
        <f t="shared" si="426"/>
        <v>-1</v>
      </c>
      <c r="BJ150">
        <f t="shared" si="426"/>
        <v>-1</v>
      </c>
      <c r="BK150">
        <f t="shared" si="426"/>
        <v>-1</v>
      </c>
      <c r="BL150">
        <f t="shared" si="426"/>
        <v>-1</v>
      </c>
      <c r="BM150">
        <f t="shared" si="426"/>
        <v>-1</v>
      </c>
      <c r="BN150">
        <f t="shared" si="426"/>
        <v>-1</v>
      </c>
      <c r="BO150">
        <f t="shared" si="426"/>
        <v>-1</v>
      </c>
      <c r="BP150">
        <f t="shared" ref="BP150:EA150" si="427">IF(OR(BP149=-1,AND(IF(BP$3&lt;$B150,BP149+BP$6,IF(BP$3=$B150,1,""))&gt;$B$1,BP$3&lt;$B150)),-1,IF(BP$3&lt;$B150,BP149+BP$6,IF(BP$3=$B150,1,"")))</f>
        <v>-1</v>
      </c>
      <c r="BQ150">
        <f t="shared" si="427"/>
        <v>-1</v>
      </c>
      <c r="BR150">
        <f t="shared" si="427"/>
        <v>-1</v>
      </c>
      <c r="BS150">
        <f t="shared" si="427"/>
        <v>-1</v>
      </c>
      <c r="BT150">
        <f t="shared" si="427"/>
        <v>-1</v>
      </c>
      <c r="BU150">
        <f t="shared" si="427"/>
        <v>-1</v>
      </c>
      <c r="BV150">
        <f t="shared" si="427"/>
        <v>-1</v>
      </c>
      <c r="BW150">
        <f t="shared" si="427"/>
        <v>-1</v>
      </c>
      <c r="BX150">
        <f t="shared" si="427"/>
        <v>71.800000000000026</v>
      </c>
      <c r="BY150">
        <f t="shared" si="427"/>
        <v>68.20000000000006</v>
      </c>
      <c r="BZ150">
        <f t="shared" si="427"/>
        <v>64.600000000000094</v>
      </c>
      <c r="CA150">
        <f t="shared" si="427"/>
        <v>61.000000000000099</v>
      </c>
      <c r="CB150">
        <f t="shared" si="427"/>
        <v>57.400000000000091</v>
      </c>
      <c r="CC150">
        <f t="shared" si="427"/>
        <v>53.800000000000082</v>
      </c>
      <c r="CD150">
        <f t="shared" si="427"/>
        <v>50.200000000000074</v>
      </c>
      <c r="CE150">
        <f t="shared" si="427"/>
        <v>46.600000000000065</v>
      </c>
      <c r="CF150">
        <f t="shared" si="427"/>
        <v>43.000000000000057</v>
      </c>
      <c r="CG150">
        <f t="shared" si="427"/>
        <v>39.400000000000048</v>
      </c>
      <c r="CH150">
        <f t="shared" si="427"/>
        <v>35.80000000000004</v>
      </c>
      <c r="CI150">
        <f t="shared" si="427"/>
        <v>32.200000000000031</v>
      </c>
      <c r="CJ150">
        <f t="shared" si="427"/>
        <v>28.600000000000023</v>
      </c>
      <c r="CK150">
        <f t="shared" si="427"/>
        <v>25.000000000000014</v>
      </c>
      <c r="CL150">
        <f t="shared" si="427"/>
        <v>21.400000000000006</v>
      </c>
      <c r="CM150">
        <f t="shared" si="427"/>
        <v>17.799999999999997</v>
      </c>
      <c r="CN150">
        <f t="shared" si="427"/>
        <v>14.199999999999994</v>
      </c>
      <c r="CO150">
        <f t="shared" si="427"/>
        <v>59</v>
      </c>
      <c r="CP150">
        <f t="shared" si="427"/>
        <v>46</v>
      </c>
      <c r="CQ150">
        <f t="shared" si="427"/>
        <v>-1</v>
      </c>
      <c r="CR150">
        <f t="shared" si="427"/>
        <v>-1</v>
      </c>
      <c r="CS150">
        <f t="shared" si="427"/>
        <v>-1</v>
      </c>
      <c r="CT150">
        <f t="shared" si="427"/>
        <v>-1</v>
      </c>
      <c r="CU150">
        <f t="shared" si="427"/>
        <v>-1</v>
      </c>
      <c r="CV150">
        <f t="shared" si="427"/>
        <v>-1</v>
      </c>
      <c r="CW150">
        <f t="shared" si="427"/>
        <v>-1</v>
      </c>
      <c r="CX150">
        <f t="shared" si="427"/>
        <v>-1</v>
      </c>
      <c r="CY150">
        <f t="shared" si="427"/>
        <v>-1</v>
      </c>
      <c r="CZ150">
        <f t="shared" si="427"/>
        <v>-1</v>
      </c>
      <c r="DA150">
        <f t="shared" si="427"/>
        <v>-1</v>
      </c>
      <c r="DB150">
        <f t="shared" si="427"/>
        <v>-1</v>
      </c>
      <c r="DC150">
        <f t="shared" si="427"/>
        <v>-1</v>
      </c>
      <c r="DD150">
        <f t="shared" si="427"/>
        <v>-1</v>
      </c>
      <c r="DE150">
        <f t="shared" si="427"/>
        <v>-1</v>
      </c>
      <c r="DF150">
        <f t="shared" si="427"/>
        <v>-1</v>
      </c>
      <c r="DG150">
        <f t="shared" si="427"/>
        <v>-1</v>
      </c>
      <c r="DH150">
        <f t="shared" si="427"/>
        <v>-1</v>
      </c>
      <c r="DI150">
        <f t="shared" si="427"/>
        <v>-1</v>
      </c>
      <c r="DJ150">
        <f t="shared" si="427"/>
        <v>-1</v>
      </c>
      <c r="DK150">
        <f t="shared" si="427"/>
        <v>-1</v>
      </c>
      <c r="DL150">
        <f t="shared" si="427"/>
        <v>-1</v>
      </c>
      <c r="DM150">
        <f t="shared" si="427"/>
        <v>-1</v>
      </c>
      <c r="DN150">
        <f t="shared" si="427"/>
        <v>-1</v>
      </c>
      <c r="DO150">
        <f t="shared" si="427"/>
        <v>-1</v>
      </c>
      <c r="DP150">
        <f t="shared" si="427"/>
        <v>-1</v>
      </c>
      <c r="DQ150">
        <f t="shared" si="427"/>
        <v>-1</v>
      </c>
      <c r="DR150">
        <f t="shared" si="427"/>
        <v>-1</v>
      </c>
      <c r="DS150">
        <f t="shared" si="427"/>
        <v>-1</v>
      </c>
      <c r="DT150">
        <f t="shared" si="427"/>
        <v>-1</v>
      </c>
      <c r="DU150">
        <f t="shared" si="427"/>
        <v>-1</v>
      </c>
      <c r="DV150">
        <f t="shared" si="427"/>
        <v>-1</v>
      </c>
      <c r="DW150">
        <f t="shared" si="427"/>
        <v>-1</v>
      </c>
      <c r="DX150">
        <f t="shared" si="427"/>
        <v>-1</v>
      </c>
      <c r="DY150">
        <f t="shared" si="427"/>
        <v>-1</v>
      </c>
      <c r="DZ150">
        <f t="shared" si="427"/>
        <v>-1</v>
      </c>
      <c r="EA150">
        <f t="shared" si="427"/>
        <v>-1</v>
      </c>
      <c r="EB150">
        <f t="shared" ref="EB150:EO150" si="428">IF(OR(EB149=-1,AND(IF(EB$3&lt;$B150,EB149+EB$6,IF(EB$3=$B150,1,""))&gt;$B$1,EB$3&lt;$B150)),-1,IF(EB$3&lt;$B150,EB149+EB$6,IF(EB$3=$B150,1,"")))</f>
        <v>-1</v>
      </c>
      <c r="EC150">
        <f t="shared" si="428"/>
        <v>-1</v>
      </c>
      <c r="ED150">
        <f t="shared" si="428"/>
        <v>-1</v>
      </c>
      <c r="EE150">
        <f t="shared" si="428"/>
        <v>-1</v>
      </c>
      <c r="EF150">
        <f t="shared" si="428"/>
        <v>-1</v>
      </c>
      <c r="EG150">
        <f t="shared" si="428"/>
        <v>-1</v>
      </c>
      <c r="EH150">
        <f t="shared" si="428"/>
        <v>-1</v>
      </c>
      <c r="EI150">
        <f t="shared" si="428"/>
        <v>-1</v>
      </c>
      <c r="EJ150">
        <f t="shared" si="428"/>
        <v>-1</v>
      </c>
      <c r="EK150">
        <f t="shared" si="428"/>
        <v>-1</v>
      </c>
      <c r="EL150">
        <f t="shared" si="428"/>
        <v>-1</v>
      </c>
      <c r="EM150">
        <f t="shared" si="428"/>
        <v>-1</v>
      </c>
      <c r="EN150">
        <f t="shared" si="428"/>
        <v>-1</v>
      </c>
      <c r="EO150">
        <f t="shared" si="428"/>
        <v>-1</v>
      </c>
    </row>
    <row r="151" spans="1:145" x14ac:dyDescent="0.15">
      <c r="A151" t="e">
        <f t="shared" si="386"/>
        <v>#N/A</v>
      </c>
      <c r="B151" s="218">
        <v>143</v>
      </c>
      <c r="C151">
        <f t="shared" si="386"/>
        <v>-1</v>
      </c>
      <c r="D151">
        <f t="shared" ref="D151:BO151" si="429">IF(OR(D150=-1,AND(IF(D$3&lt;$B151,D150+D$6,IF(D$3=$B151,1,""))&gt;$B$1,D$3&lt;$B151)),-1,IF(D$3&lt;$B151,D150+D$6,IF(D$3=$B151,1,"")))</f>
        <v>-1</v>
      </c>
      <c r="E151">
        <f t="shared" si="429"/>
        <v>-1</v>
      </c>
      <c r="F151">
        <f t="shared" si="429"/>
        <v>-1</v>
      </c>
      <c r="G151">
        <f t="shared" si="429"/>
        <v>-1</v>
      </c>
      <c r="H151">
        <f t="shared" si="429"/>
        <v>-1</v>
      </c>
      <c r="I151">
        <f t="shared" si="429"/>
        <v>-1</v>
      </c>
      <c r="J151">
        <f t="shared" si="429"/>
        <v>-1</v>
      </c>
      <c r="K151">
        <f t="shared" si="429"/>
        <v>-1</v>
      </c>
      <c r="L151">
        <f t="shared" si="429"/>
        <v>-1</v>
      </c>
      <c r="M151">
        <f t="shared" si="429"/>
        <v>-1</v>
      </c>
      <c r="N151">
        <f t="shared" si="429"/>
        <v>-1</v>
      </c>
      <c r="O151">
        <f t="shared" si="429"/>
        <v>-1</v>
      </c>
      <c r="P151">
        <f t="shared" si="429"/>
        <v>-1</v>
      </c>
      <c r="Q151">
        <f t="shared" si="429"/>
        <v>-1</v>
      </c>
      <c r="R151">
        <f t="shared" si="429"/>
        <v>-1</v>
      </c>
      <c r="S151">
        <f t="shared" si="429"/>
        <v>-1</v>
      </c>
      <c r="T151">
        <f t="shared" si="429"/>
        <v>-1</v>
      </c>
      <c r="U151">
        <f t="shared" si="429"/>
        <v>-1</v>
      </c>
      <c r="V151">
        <f t="shared" si="429"/>
        <v>-1</v>
      </c>
      <c r="W151">
        <f t="shared" si="429"/>
        <v>-1</v>
      </c>
      <c r="X151">
        <f t="shared" si="429"/>
        <v>-1</v>
      </c>
      <c r="Y151">
        <f t="shared" si="429"/>
        <v>-1</v>
      </c>
      <c r="Z151">
        <f t="shared" si="429"/>
        <v>-1</v>
      </c>
      <c r="AA151">
        <f t="shared" si="429"/>
        <v>-1</v>
      </c>
      <c r="AB151">
        <f t="shared" si="429"/>
        <v>-1</v>
      </c>
      <c r="AC151">
        <f t="shared" si="429"/>
        <v>-1</v>
      </c>
      <c r="AD151">
        <f t="shared" si="429"/>
        <v>-1</v>
      </c>
      <c r="AE151">
        <f t="shared" si="429"/>
        <v>-1</v>
      </c>
      <c r="AF151">
        <f t="shared" si="429"/>
        <v>-1</v>
      </c>
      <c r="AG151">
        <f t="shared" si="429"/>
        <v>-1</v>
      </c>
      <c r="AH151">
        <f t="shared" si="429"/>
        <v>-1</v>
      </c>
      <c r="AI151">
        <f t="shared" si="429"/>
        <v>-1</v>
      </c>
      <c r="AJ151">
        <f t="shared" si="429"/>
        <v>-1</v>
      </c>
      <c r="AK151">
        <f t="shared" si="429"/>
        <v>-1</v>
      </c>
      <c r="AL151">
        <f t="shared" si="429"/>
        <v>-1</v>
      </c>
      <c r="AM151">
        <f t="shared" si="429"/>
        <v>-1</v>
      </c>
      <c r="AN151">
        <f t="shared" si="429"/>
        <v>-1</v>
      </c>
      <c r="AO151">
        <f t="shared" si="429"/>
        <v>-1</v>
      </c>
      <c r="AP151">
        <f t="shared" si="429"/>
        <v>-1</v>
      </c>
      <c r="AQ151">
        <f t="shared" si="429"/>
        <v>-1</v>
      </c>
      <c r="AR151">
        <f t="shared" si="429"/>
        <v>-1</v>
      </c>
      <c r="AS151">
        <f t="shared" si="429"/>
        <v>-1</v>
      </c>
      <c r="AT151">
        <f t="shared" si="429"/>
        <v>-1</v>
      </c>
      <c r="AU151">
        <f t="shared" si="429"/>
        <v>-1</v>
      </c>
      <c r="AV151">
        <f t="shared" si="429"/>
        <v>-1</v>
      </c>
      <c r="AW151">
        <f t="shared" si="429"/>
        <v>-1</v>
      </c>
      <c r="AX151">
        <f t="shared" si="429"/>
        <v>-1</v>
      </c>
      <c r="AY151">
        <f t="shared" si="429"/>
        <v>-1</v>
      </c>
      <c r="AZ151">
        <f t="shared" si="429"/>
        <v>-1</v>
      </c>
      <c r="BA151">
        <f t="shared" si="429"/>
        <v>-1</v>
      </c>
      <c r="BB151">
        <f t="shared" si="429"/>
        <v>-1</v>
      </c>
      <c r="BC151">
        <f t="shared" si="429"/>
        <v>-1</v>
      </c>
      <c r="BD151">
        <f t="shared" si="429"/>
        <v>-1</v>
      </c>
      <c r="BE151">
        <f t="shared" si="429"/>
        <v>-1</v>
      </c>
      <c r="BF151">
        <f t="shared" si="429"/>
        <v>-1</v>
      </c>
      <c r="BG151">
        <f t="shared" si="429"/>
        <v>-1</v>
      </c>
      <c r="BH151">
        <f t="shared" si="429"/>
        <v>-1</v>
      </c>
      <c r="BI151">
        <f t="shared" si="429"/>
        <v>-1</v>
      </c>
      <c r="BJ151">
        <f t="shared" si="429"/>
        <v>-1</v>
      </c>
      <c r="BK151">
        <f t="shared" si="429"/>
        <v>-1</v>
      </c>
      <c r="BL151">
        <f t="shared" si="429"/>
        <v>-1</v>
      </c>
      <c r="BM151">
        <f t="shared" si="429"/>
        <v>-1</v>
      </c>
      <c r="BN151">
        <f t="shared" si="429"/>
        <v>-1</v>
      </c>
      <c r="BO151">
        <f t="shared" si="429"/>
        <v>-1</v>
      </c>
      <c r="BP151">
        <f t="shared" ref="BP151:EA151" si="430">IF(OR(BP150=-1,AND(IF(BP$3&lt;$B151,BP150+BP$6,IF(BP$3=$B151,1,""))&gt;$B$1,BP$3&lt;$B151)),-1,IF(BP$3&lt;$B151,BP150+BP$6,IF(BP$3=$B151,1,"")))</f>
        <v>-1</v>
      </c>
      <c r="BQ151">
        <f t="shared" si="430"/>
        <v>-1</v>
      </c>
      <c r="BR151">
        <f t="shared" si="430"/>
        <v>-1</v>
      </c>
      <c r="BS151">
        <f t="shared" si="430"/>
        <v>-1</v>
      </c>
      <c r="BT151">
        <f t="shared" si="430"/>
        <v>-1</v>
      </c>
      <c r="BU151">
        <f t="shared" si="430"/>
        <v>-1</v>
      </c>
      <c r="BV151">
        <f t="shared" si="430"/>
        <v>-1</v>
      </c>
      <c r="BW151">
        <f t="shared" si="430"/>
        <v>-1</v>
      </c>
      <c r="BX151">
        <f t="shared" si="430"/>
        <v>72.40000000000002</v>
      </c>
      <c r="BY151">
        <f t="shared" si="430"/>
        <v>68.800000000000054</v>
      </c>
      <c r="BZ151">
        <f t="shared" si="430"/>
        <v>65.200000000000088</v>
      </c>
      <c r="CA151">
        <f t="shared" si="430"/>
        <v>61.600000000000101</v>
      </c>
      <c r="CB151">
        <f t="shared" si="430"/>
        <v>58.000000000000092</v>
      </c>
      <c r="CC151">
        <f t="shared" si="430"/>
        <v>54.400000000000084</v>
      </c>
      <c r="CD151">
        <f t="shared" si="430"/>
        <v>50.800000000000075</v>
      </c>
      <c r="CE151">
        <f t="shared" si="430"/>
        <v>47.200000000000067</v>
      </c>
      <c r="CF151">
        <f t="shared" si="430"/>
        <v>43.600000000000058</v>
      </c>
      <c r="CG151">
        <f t="shared" si="430"/>
        <v>40.00000000000005</v>
      </c>
      <c r="CH151">
        <f t="shared" si="430"/>
        <v>36.400000000000041</v>
      </c>
      <c r="CI151">
        <f t="shared" si="430"/>
        <v>32.800000000000033</v>
      </c>
      <c r="CJ151">
        <f t="shared" si="430"/>
        <v>29.200000000000024</v>
      </c>
      <c r="CK151">
        <f t="shared" si="430"/>
        <v>25.600000000000016</v>
      </c>
      <c r="CL151">
        <f t="shared" si="430"/>
        <v>22.000000000000007</v>
      </c>
      <c r="CM151">
        <f t="shared" si="430"/>
        <v>18.399999999999999</v>
      </c>
      <c r="CN151">
        <f t="shared" si="430"/>
        <v>14.799999999999994</v>
      </c>
      <c r="CO151">
        <f t="shared" si="430"/>
        <v>59.5</v>
      </c>
      <c r="CP151">
        <f t="shared" si="430"/>
        <v>46.5</v>
      </c>
      <c r="CQ151">
        <f t="shared" si="430"/>
        <v>-1</v>
      </c>
      <c r="CR151">
        <f t="shared" si="430"/>
        <v>-1</v>
      </c>
      <c r="CS151">
        <f t="shared" si="430"/>
        <v>-1</v>
      </c>
      <c r="CT151">
        <f t="shared" si="430"/>
        <v>-1</v>
      </c>
      <c r="CU151">
        <f t="shared" si="430"/>
        <v>-1</v>
      </c>
      <c r="CV151">
        <f t="shared" si="430"/>
        <v>-1</v>
      </c>
      <c r="CW151">
        <f t="shared" si="430"/>
        <v>-1</v>
      </c>
      <c r="CX151">
        <f t="shared" si="430"/>
        <v>-1</v>
      </c>
      <c r="CY151">
        <f t="shared" si="430"/>
        <v>-1</v>
      </c>
      <c r="CZ151">
        <f t="shared" si="430"/>
        <v>-1</v>
      </c>
      <c r="DA151">
        <f t="shared" si="430"/>
        <v>-1</v>
      </c>
      <c r="DB151">
        <f t="shared" si="430"/>
        <v>-1</v>
      </c>
      <c r="DC151">
        <f t="shared" si="430"/>
        <v>-1</v>
      </c>
      <c r="DD151">
        <f t="shared" si="430"/>
        <v>-1</v>
      </c>
      <c r="DE151">
        <f t="shared" si="430"/>
        <v>-1</v>
      </c>
      <c r="DF151">
        <f t="shared" si="430"/>
        <v>-1</v>
      </c>
      <c r="DG151">
        <f t="shared" si="430"/>
        <v>-1</v>
      </c>
      <c r="DH151">
        <f t="shared" si="430"/>
        <v>-1</v>
      </c>
      <c r="DI151">
        <f t="shared" si="430"/>
        <v>-1</v>
      </c>
      <c r="DJ151">
        <f t="shared" si="430"/>
        <v>-1</v>
      </c>
      <c r="DK151">
        <f t="shared" si="430"/>
        <v>-1</v>
      </c>
      <c r="DL151">
        <f t="shared" si="430"/>
        <v>-1</v>
      </c>
      <c r="DM151">
        <f t="shared" si="430"/>
        <v>-1</v>
      </c>
      <c r="DN151">
        <f t="shared" si="430"/>
        <v>-1</v>
      </c>
      <c r="DO151">
        <f t="shared" si="430"/>
        <v>-1</v>
      </c>
      <c r="DP151">
        <f t="shared" si="430"/>
        <v>-1</v>
      </c>
      <c r="DQ151">
        <f t="shared" si="430"/>
        <v>-1</v>
      </c>
      <c r="DR151">
        <f t="shared" si="430"/>
        <v>-1</v>
      </c>
      <c r="DS151">
        <f t="shared" si="430"/>
        <v>-1</v>
      </c>
      <c r="DT151">
        <f t="shared" si="430"/>
        <v>-1</v>
      </c>
      <c r="DU151">
        <f t="shared" si="430"/>
        <v>-1</v>
      </c>
      <c r="DV151">
        <f t="shared" si="430"/>
        <v>-1</v>
      </c>
      <c r="DW151">
        <f t="shared" si="430"/>
        <v>-1</v>
      </c>
      <c r="DX151">
        <f t="shared" si="430"/>
        <v>-1</v>
      </c>
      <c r="DY151">
        <f t="shared" si="430"/>
        <v>-1</v>
      </c>
      <c r="DZ151">
        <f t="shared" si="430"/>
        <v>-1</v>
      </c>
      <c r="EA151">
        <f t="shared" si="430"/>
        <v>-1</v>
      </c>
      <c r="EB151">
        <f t="shared" ref="EB151:EO151" si="431">IF(OR(EB150=-1,AND(IF(EB$3&lt;$B151,EB150+EB$6,IF(EB$3=$B151,1,""))&gt;$B$1,EB$3&lt;$B151)),-1,IF(EB$3&lt;$B151,EB150+EB$6,IF(EB$3=$B151,1,"")))</f>
        <v>-1</v>
      </c>
      <c r="EC151">
        <f t="shared" si="431"/>
        <v>-1</v>
      </c>
      <c r="ED151">
        <f t="shared" si="431"/>
        <v>-1</v>
      </c>
      <c r="EE151">
        <f t="shared" si="431"/>
        <v>-1</v>
      </c>
      <c r="EF151">
        <f t="shared" si="431"/>
        <v>-1</v>
      </c>
      <c r="EG151">
        <f t="shared" si="431"/>
        <v>-1</v>
      </c>
      <c r="EH151">
        <f t="shared" si="431"/>
        <v>-1</v>
      </c>
      <c r="EI151">
        <f t="shared" si="431"/>
        <v>-1</v>
      </c>
      <c r="EJ151">
        <f t="shared" si="431"/>
        <v>-1</v>
      </c>
      <c r="EK151">
        <f t="shared" si="431"/>
        <v>-1</v>
      </c>
      <c r="EL151">
        <f t="shared" si="431"/>
        <v>-1</v>
      </c>
      <c r="EM151">
        <f t="shared" si="431"/>
        <v>-1</v>
      </c>
      <c r="EN151">
        <f t="shared" si="431"/>
        <v>-1</v>
      </c>
      <c r="EO151">
        <f t="shared" si="431"/>
        <v>-1</v>
      </c>
    </row>
    <row r="152" spans="1:145" x14ac:dyDescent="0.15">
      <c r="A152" t="e">
        <f t="shared" si="386"/>
        <v>#N/A</v>
      </c>
      <c r="B152" s="218">
        <v>144</v>
      </c>
      <c r="C152">
        <f t="shared" si="386"/>
        <v>-1</v>
      </c>
      <c r="D152">
        <f t="shared" ref="D152:BO152" si="432">IF(OR(D151=-1,AND(IF(D$3&lt;$B152,D151+D$6,IF(D$3=$B152,1,""))&gt;$B$1,D$3&lt;$B152)),-1,IF(D$3&lt;$B152,D151+D$6,IF(D$3=$B152,1,"")))</f>
        <v>-1</v>
      </c>
      <c r="E152">
        <f t="shared" si="432"/>
        <v>-1</v>
      </c>
      <c r="F152">
        <f t="shared" si="432"/>
        <v>-1</v>
      </c>
      <c r="G152">
        <f t="shared" si="432"/>
        <v>-1</v>
      </c>
      <c r="H152">
        <f t="shared" si="432"/>
        <v>-1</v>
      </c>
      <c r="I152">
        <f t="shared" si="432"/>
        <v>-1</v>
      </c>
      <c r="J152">
        <f t="shared" si="432"/>
        <v>-1</v>
      </c>
      <c r="K152">
        <f t="shared" si="432"/>
        <v>-1</v>
      </c>
      <c r="L152">
        <f t="shared" si="432"/>
        <v>-1</v>
      </c>
      <c r="M152">
        <f t="shared" si="432"/>
        <v>-1</v>
      </c>
      <c r="N152">
        <f t="shared" si="432"/>
        <v>-1</v>
      </c>
      <c r="O152">
        <f t="shared" si="432"/>
        <v>-1</v>
      </c>
      <c r="P152">
        <f t="shared" si="432"/>
        <v>-1</v>
      </c>
      <c r="Q152">
        <f t="shared" si="432"/>
        <v>-1</v>
      </c>
      <c r="R152">
        <f t="shared" si="432"/>
        <v>-1</v>
      </c>
      <c r="S152">
        <f t="shared" si="432"/>
        <v>-1</v>
      </c>
      <c r="T152">
        <f t="shared" si="432"/>
        <v>-1</v>
      </c>
      <c r="U152">
        <f t="shared" si="432"/>
        <v>-1</v>
      </c>
      <c r="V152">
        <f t="shared" si="432"/>
        <v>-1</v>
      </c>
      <c r="W152">
        <f t="shared" si="432"/>
        <v>-1</v>
      </c>
      <c r="X152">
        <f t="shared" si="432"/>
        <v>-1</v>
      </c>
      <c r="Y152">
        <f t="shared" si="432"/>
        <v>-1</v>
      </c>
      <c r="Z152">
        <f t="shared" si="432"/>
        <v>-1</v>
      </c>
      <c r="AA152">
        <f t="shared" si="432"/>
        <v>-1</v>
      </c>
      <c r="AB152">
        <f t="shared" si="432"/>
        <v>-1</v>
      </c>
      <c r="AC152">
        <f t="shared" si="432"/>
        <v>-1</v>
      </c>
      <c r="AD152">
        <f t="shared" si="432"/>
        <v>-1</v>
      </c>
      <c r="AE152">
        <f t="shared" si="432"/>
        <v>-1</v>
      </c>
      <c r="AF152">
        <f t="shared" si="432"/>
        <v>-1</v>
      </c>
      <c r="AG152">
        <f t="shared" si="432"/>
        <v>-1</v>
      </c>
      <c r="AH152">
        <f t="shared" si="432"/>
        <v>-1</v>
      </c>
      <c r="AI152">
        <f t="shared" si="432"/>
        <v>-1</v>
      </c>
      <c r="AJ152">
        <f t="shared" si="432"/>
        <v>-1</v>
      </c>
      <c r="AK152">
        <f t="shared" si="432"/>
        <v>-1</v>
      </c>
      <c r="AL152">
        <f t="shared" si="432"/>
        <v>-1</v>
      </c>
      <c r="AM152">
        <f t="shared" si="432"/>
        <v>-1</v>
      </c>
      <c r="AN152">
        <f t="shared" si="432"/>
        <v>-1</v>
      </c>
      <c r="AO152">
        <f t="shared" si="432"/>
        <v>-1</v>
      </c>
      <c r="AP152">
        <f t="shared" si="432"/>
        <v>-1</v>
      </c>
      <c r="AQ152">
        <f t="shared" si="432"/>
        <v>-1</v>
      </c>
      <c r="AR152">
        <f t="shared" si="432"/>
        <v>-1</v>
      </c>
      <c r="AS152">
        <f t="shared" si="432"/>
        <v>-1</v>
      </c>
      <c r="AT152">
        <f t="shared" si="432"/>
        <v>-1</v>
      </c>
      <c r="AU152">
        <f t="shared" si="432"/>
        <v>-1</v>
      </c>
      <c r="AV152">
        <f t="shared" si="432"/>
        <v>-1</v>
      </c>
      <c r="AW152">
        <f t="shared" si="432"/>
        <v>-1</v>
      </c>
      <c r="AX152">
        <f t="shared" si="432"/>
        <v>-1</v>
      </c>
      <c r="AY152">
        <f t="shared" si="432"/>
        <v>-1</v>
      </c>
      <c r="AZ152">
        <f t="shared" si="432"/>
        <v>-1</v>
      </c>
      <c r="BA152">
        <f t="shared" si="432"/>
        <v>-1</v>
      </c>
      <c r="BB152">
        <f t="shared" si="432"/>
        <v>-1</v>
      </c>
      <c r="BC152">
        <f t="shared" si="432"/>
        <v>-1</v>
      </c>
      <c r="BD152">
        <f t="shared" si="432"/>
        <v>-1</v>
      </c>
      <c r="BE152">
        <f t="shared" si="432"/>
        <v>-1</v>
      </c>
      <c r="BF152">
        <f t="shared" si="432"/>
        <v>-1</v>
      </c>
      <c r="BG152">
        <f t="shared" si="432"/>
        <v>-1</v>
      </c>
      <c r="BH152">
        <f t="shared" si="432"/>
        <v>-1</v>
      </c>
      <c r="BI152">
        <f t="shared" si="432"/>
        <v>-1</v>
      </c>
      <c r="BJ152">
        <f t="shared" si="432"/>
        <v>-1</v>
      </c>
      <c r="BK152">
        <f t="shared" si="432"/>
        <v>-1</v>
      </c>
      <c r="BL152">
        <f t="shared" si="432"/>
        <v>-1</v>
      </c>
      <c r="BM152">
        <f t="shared" si="432"/>
        <v>-1</v>
      </c>
      <c r="BN152">
        <f t="shared" si="432"/>
        <v>-1</v>
      </c>
      <c r="BO152">
        <f t="shared" si="432"/>
        <v>-1</v>
      </c>
      <c r="BP152">
        <f t="shared" ref="BP152:EA152" si="433">IF(OR(BP151=-1,AND(IF(BP$3&lt;$B152,BP151+BP$6,IF(BP$3=$B152,1,""))&gt;$B$1,BP$3&lt;$B152)),-1,IF(BP$3&lt;$B152,BP151+BP$6,IF(BP$3=$B152,1,"")))</f>
        <v>-1</v>
      </c>
      <c r="BQ152">
        <f t="shared" si="433"/>
        <v>-1</v>
      </c>
      <c r="BR152">
        <f t="shared" si="433"/>
        <v>-1</v>
      </c>
      <c r="BS152">
        <f t="shared" si="433"/>
        <v>-1</v>
      </c>
      <c r="BT152">
        <f t="shared" si="433"/>
        <v>-1</v>
      </c>
      <c r="BU152">
        <f t="shared" si="433"/>
        <v>-1</v>
      </c>
      <c r="BV152">
        <f t="shared" si="433"/>
        <v>-1</v>
      </c>
      <c r="BW152">
        <f t="shared" si="433"/>
        <v>-1</v>
      </c>
      <c r="BX152">
        <f t="shared" si="433"/>
        <v>73.000000000000014</v>
      </c>
      <c r="BY152">
        <f t="shared" si="433"/>
        <v>69.400000000000048</v>
      </c>
      <c r="BZ152">
        <f t="shared" si="433"/>
        <v>65.800000000000082</v>
      </c>
      <c r="CA152">
        <f t="shared" si="433"/>
        <v>62.200000000000102</v>
      </c>
      <c r="CB152">
        <f t="shared" si="433"/>
        <v>58.600000000000094</v>
      </c>
      <c r="CC152">
        <f t="shared" si="433"/>
        <v>55.000000000000085</v>
      </c>
      <c r="CD152">
        <f t="shared" si="433"/>
        <v>51.400000000000077</v>
      </c>
      <c r="CE152">
        <f t="shared" si="433"/>
        <v>47.800000000000068</v>
      </c>
      <c r="CF152">
        <f t="shared" si="433"/>
        <v>44.20000000000006</v>
      </c>
      <c r="CG152">
        <f t="shared" si="433"/>
        <v>40.600000000000051</v>
      </c>
      <c r="CH152">
        <f t="shared" si="433"/>
        <v>37.000000000000043</v>
      </c>
      <c r="CI152">
        <f t="shared" si="433"/>
        <v>33.400000000000034</v>
      </c>
      <c r="CJ152">
        <f t="shared" si="433"/>
        <v>29.800000000000026</v>
      </c>
      <c r="CK152">
        <f t="shared" si="433"/>
        <v>26.200000000000017</v>
      </c>
      <c r="CL152">
        <f t="shared" si="433"/>
        <v>22.600000000000009</v>
      </c>
      <c r="CM152">
        <f t="shared" si="433"/>
        <v>19</v>
      </c>
      <c r="CN152">
        <f t="shared" si="433"/>
        <v>15.399999999999993</v>
      </c>
      <c r="CO152">
        <f t="shared" si="433"/>
        <v>60</v>
      </c>
      <c r="CP152">
        <f t="shared" si="433"/>
        <v>47</v>
      </c>
      <c r="CQ152">
        <f t="shared" si="433"/>
        <v>-1</v>
      </c>
      <c r="CR152">
        <f t="shared" si="433"/>
        <v>-1</v>
      </c>
      <c r="CS152">
        <f t="shared" si="433"/>
        <v>-1</v>
      </c>
      <c r="CT152">
        <f t="shared" si="433"/>
        <v>-1</v>
      </c>
      <c r="CU152">
        <f t="shared" si="433"/>
        <v>-1</v>
      </c>
      <c r="CV152">
        <f t="shared" si="433"/>
        <v>-1</v>
      </c>
      <c r="CW152">
        <f t="shared" si="433"/>
        <v>-1</v>
      </c>
      <c r="CX152">
        <f t="shared" si="433"/>
        <v>-1</v>
      </c>
      <c r="CY152">
        <f t="shared" si="433"/>
        <v>-1</v>
      </c>
      <c r="CZ152">
        <f t="shared" si="433"/>
        <v>-1</v>
      </c>
      <c r="DA152">
        <f t="shared" si="433"/>
        <v>-1</v>
      </c>
      <c r="DB152">
        <f t="shared" si="433"/>
        <v>-1</v>
      </c>
      <c r="DC152">
        <f t="shared" si="433"/>
        <v>-1</v>
      </c>
      <c r="DD152">
        <f t="shared" si="433"/>
        <v>-1</v>
      </c>
      <c r="DE152">
        <f t="shared" si="433"/>
        <v>-1</v>
      </c>
      <c r="DF152">
        <f t="shared" si="433"/>
        <v>-1</v>
      </c>
      <c r="DG152">
        <f t="shared" si="433"/>
        <v>-1</v>
      </c>
      <c r="DH152">
        <f t="shared" si="433"/>
        <v>-1</v>
      </c>
      <c r="DI152">
        <f t="shared" si="433"/>
        <v>-1</v>
      </c>
      <c r="DJ152">
        <f t="shared" si="433"/>
        <v>-1</v>
      </c>
      <c r="DK152">
        <f t="shared" si="433"/>
        <v>-1</v>
      </c>
      <c r="DL152">
        <f t="shared" si="433"/>
        <v>-1</v>
      </c>
      <c r="DM152">
        <f t="shared" si="433"/>
        <v>-1</v>
      </c>
      <c r="DN152">
        <f t="shared" si="433"/>
        <v>-1</v>
      </c>
      <c r="DO152">
        <f t="shared" si="433"/>
        <v>-1</v>
      </c>
      <c r="DP152">
        <f t="shared" si="433"/>
        <v>-1</v>
      </c>
      <c r="DQ152">
        <f t="shared" si="433"/>
        <v>-1</v>
      </c>
      <c r="DR152">
        <f t="shared" si="433"/>
        <v>-1</v>
      </c>
      <c r="DS152">
        <f t="shared" si="433"/>
        <v>-1</v>
      </c>
      <c r="DT152">
        <f t="shared" si="433"/>
        <v>-1</v>
      </c>
      <c r="DU152">
        <f t="shared" si="433"/>
        <v>-1</v>
      </c>
      <c r="DV152">
        <f t="shared" si="433"/>
        <v>-1</v>
      </c>
      <c r="DW152">
        <f t="shared" si="433"/>
        <v>-1</v>
      </c>
      <c r="DX152">
        <f t="shared" si="433"/>
        <v>-1</v>
      </c>
      <c r="DY152">
        <f t="shared" si="433"/>
        <v>-1</v>
      </c>
      <c r="DZ152">
        <f t="shared" si="433"/>
        <v>-1</v>
      </c>
      <c r="EA152">
        <f t="shared" si="433"/>
        <v>-1</v>
      </c>
      <c r="EB152">
        <f t="shared" ref="EB152:EO152" si="434">IF(OR(EB151=-1,AND(IF(EB$3&lt;$B152,EB151+EB$6,IF(EB$3=$B152,1,""))&gt;$B$1,EB$3&lt;$B152)),-1,IF(EB$3&lt;$B152,EB151+EB$6,IF(EB$3=$B152,1,"")))</f>
        <v>-1</v>
      </c>
      <c r="EC152">
        <f t="shared" si="434"/>
        <v>-1</v>
      </c>
      <c r="ED152">
        <f t="shared" si="434"/>
        <v>-1</v>
      </c>
      <c r="EE152">
        <f t="shared" si="434"/>
        <v>-1</v>
      </c>
      <c r="EF152">
        <f t="shared" si="434"/>
        <v>-1</v>
      </c>
      <c r="EG152">
        <f t="shared" si="434"/>
        <v>-1</v>
      </c>
      <c r="EH152">
        <f t="shared" si="434"/>
        <v>-1</v>
      </c>
      <c r="EI152">
        <f t="shared" si="434"/>
        <v>-1</v>
      </c>
      <c r="EJ152">
        <f t="shared" si="434"/>
        <v>-1</v>
      </c>
      <c r="EK152">
        <f t="shared" si="434"/>
        <v>-1</v>
      </c>
      <c r="EL152">
        <f t="shared" si="434"/>
        <v>-1</v>
      </c>
      <c r="EM152">
        <f t="shared" si="434"/>
        <v>-1</v>
      </c>
      <c r="EN152">
        <f t="shared" si="434"/>
        <v>-1</v>
      </c>
      <c r="EO152">
        <f t="shared" si="434"/>
        <v>-1</v>
      </c>
    </row>
    <row r="153" spans="1:145" x14ac:dyDescent="0.15">
      <c r="A153" t="e">
        <f t="shared" si="386"/>
        <v>#N/A</v>
      </c>
      <c r="B153" s="218">
        <v>145</v>
      </c>
      <c r="C153">
        <f t="shared" si="386"/>
        <v>-1</v>
      </c>
      <c r="D153">
        <f t="shared" ref="D153:BO153" si="435">IF(OR(D152=-1,AND(IF(D$3&lt;$B153,D152+D$6,IF(D$3=$B153,1,""))&gt;$B$1,D$3&lt;$B153)),-1,IF(D$3&lt;$B153,D152+D$6,IF(D$3=$B153,1,"")))</f>
        <v>-1</v>
      </c>
      <c r="E153">
        <f t="shared" si="435"/>
        <v>-1</v>
      </c>
      <c r="F153">
        <f t="shared" si="435"/>
        <v>-1</v>
      </c>
      <c r="G153">
        <f t="shared" si="435"/>
        <v>-1</v>
      </c>
      <c r="H153">
        <f t="shared" si="435"/>
        <v>-1</v>
      </c>
      <c r="I153">
        <f t="shared" si="435"/>
        <v>-1</v>
      </c>
      <c r="J153">
        <f t="shared" si="435"/>
        <v>-1</v>
      </c>
      <c r="K153">
        <f t="shared" si="435"/>
        <v>-1</v>
      </c>
      <c r="L153">
        <f t="shared" si="435"/>
        <v>-1</v>
      </c>
      <c r="M153">
        <f t="shared" si="435"/>
        <v>-1</v>
      </c>
      <c r="N153">
        <f t="shared" si="435"/>
        <v>-1</v>
      </c>
      <c r="O153">
        <f t="shared" si="435"/>
        <v>-1</v>
      </c>
      <c r="P153">
        <f t="shared" si="435"/>
        <v>-1</v>
      </c>
      <c r="Q153">
        <f t="shared" si="435"/>
        <v>-1</v>
      </c>
      <c r="R153">
        <f t="shared" si="435"/>
        <v>-1</v>
      </c>
      <c r="S153">
        <f t="shared" si="435"/>
        <v>-1</v>
      </c>
      <c r="T153">
        <f t="shared" si="435"/>
        <v>-1</v>
      </c>
      <c r="U153">
        <f t="shared" si="435"/>
        <v>-1</v>
      </c>
      <c r="V153">
        <f t="shared" si="435"/>
        <v>-1</v>
      </c>
      <c r="W153">
        <f t="shared" si="435"/>
        <v>-1</v>
      </c>
      <c r="X153">
        <f t="shared" si="435"/>
        <v>-1</v>
      </c>
      <c r="Y153">
        <f t="shared" si="435"/>
        <v>-1</v>
      </c>
      <c r="Z153">
        <f t="shared" si="435"/>
        <v>-1</v>
      </c>
      <c r="AA153">
        <f t="shared" si="435"/>
        <v>-1</v>
      </c>
      <c r="AB153">
        <f t="shared" si="435"/>
        <v>-1</v>
      </c>
      <c r="AC153">
        <f t="shared" si="435"/>
        <v>-1</v>
      </c>
      <c r="AD153">
        <f t="shared" si="435"/>
        <v>-1</v>
      </c>
      <c r="AE153">
        <f t="shared" si="435"/>
        <v>-1</v>
      </c>
      <c r="AF153">
        <f t="shared" si="435"/>
        <v>-1</v>
      </c>
      <c r="AG153">
        <f t="shared" si="435"/>
        <v>-1</v>
      </c>
      <c r="AH153">
        <f t="shared" si="435"/>
        <v>-1</v>
      </c>
      <c r="AI153">
        <f t="shared" si="435"/>
        <v>-1</v>
      </c>
      <c r="AJ153">
        <f t="shared" si="435"/>
        <v>-1</v>
      </c>
      <c r="AK153">
        <f t="shared" si="435"/>
        <v>-1</v>
      </c>
      <c r="AL153">
        <f t="shared" si="435"/>
        <v>-1</v>
      </c>
      <c r="AM153">
        <f t="shared" si="435"/>
        <v>-1</v>
      </c>
      <c r="AN153">
        <f t="shared" si="435"/>
        <v>-1</v>
      </c>
      <c r="AO153">
        <f t="shared" si="435"/>
        <v>-1</v>
      </c>
      <c r="AP153">
        <f t="shared" si="435"/>
        <v>-1</v>
      </c>
      <c r="AQ153">
        <f t="shared" si="435"/>
        <v>-1</v>
      </c>
      <c r="AR153">
        <f t="shared" si="435"/>
        <v>-1</v>
      </c>
      <c r="AS153">
        <f t="shared" si="435"/>
        <v>-1</v>
      </c>
      <c r="AT153">
        <f t="shared" si="435"/>
        <v>-1</v>
      </c>
      <c r="AU153">
        <f t="shared" si="435"/>
        <v>-1</v>
      </c>
      <c r="AV153">
        <f t="shared" si="435"/>
        <v>-1</v>
      </c>
      <c r="AW153">
        <f t="shared" si="435"/>
        <v>-1</v>
      </c>
      <c r="AX153">
        <f t="shared" si="435"/>
        <v>-1</v>
      </c>
      <c r="AY153">
        <f t="shared" si="435"/>
        <v>-1</v>
      </c>
      <c r="AZ153">
        <f t="shared" si="435"/>
        <v>-1</v>
      </c>
      <c r="BA153">
        <f t="shared" si="435"/>
        <v>-1</v>
      </c>
      <c r="BB153">
        <f t="shared" si="435"/>
        <v>-1</v>
      </c>
      <c r="BC153">
        <f t="shared" si="435"/>
        <v>-1</v>
      </c>
      <c r="BD153">
        <f t="shared" si="435"/>
        <v>-1</v>
      </c>
      <c r="BE153">
        <f t="shared" si="435"/>
        <v>-1</v>
      </c>
      <c r="BF153">
        <f t="shared" si="435"/>
        <v>-1</v>
      </c>
      <c r="BG153">
        <f t="shared" si="435"/>
        <v>-1</v>
      </c>
      <c r="BH153">
        <f t="shared" si="435"/>
        <v>-1</v>
      </c>
      <c r="BI153">
        <f t="shared" si="435"/>
        <v>-1</v>
      </c>
      <c r="BJ153">
        <f t="shared" si="435"/>
        <v>-1</v>
      </c>
      <c r="BK153">
        <f t="shared" si="435"/>
        <v>-1</v>
      </c>
      <c r="BL153">
        <f t="shared" si="435"/>
        <v>-1</v>
      </c>
      <c r="BM153">
        <f t="shared" si="435"/>
        <v>-1</v>
      </c>
      <c r="BN153">
        <f t="shared" si="435"/>
        <v>-1</v>
      </c>
      <c r="BO153">
        <f t="shared" si="435"/>
        <v>-1</v>
      </c>
      <c r="BP153">
        <f t="shared" ref="BP153:EA153" si="436">IF(OR(BP152=-1,AND(IF(BP$3&lt;$B153,BP152+BP$6,IF(BP$3=$B153,1,""))&gt;$B$1,BP$3&lt;$B153)),-1,IF(BP$3&lt;$B153,BP152+BP$6,IF(BP$3=$B153,1,"")))</f>
        <v>-1</v>
      </c>
      <c r="BQ153">
        <f t="shared" si="436"/>
        <v>-1</v>
      </c>
      <c r="BR153">
        <f t="shared" si="436"/>
        <v>-1</v>
      </c>
      <c r="BS153">
        <f t="shared" si="436"/>
        <v>-1</v>
      </c>
      <c r="BT153">
        <f t="shared" si="436"/>
        <v>-1</v>
      </c>
      <c r="BU153">
        <f t="shared" si="436"/>
        <v>-1</v>
      </c>
      <c r="BV153">
        <f t="shared" si="436"/>
        <v>-1</v>
      </c>
      <c r="BW153">
        <f t="shared" si="436"/>
        <v>-1</v>
      </c>
      <c r="BX153">
        <f t="shared" si="436"/>
        <v>73.600000000000009</v>
      </c>
      <c r="BY153">
        <f t="shared" si="436"/>
        <v>70.000000000000043</v>
      </c>
      <c r="BZ153">
        <f t="shared" si="436"/>
        <v>66.400000000000077</v>
      </c>
      <c r="CA153">
        <f t="shared" si="436"/>
        <v>62.800000000000104</v>
      </c>
      <c r="CB153">
        <f t="shared" si="436"/>
        <v>59.200000000000095</v>
      </c>
      <c r="CC153">
        <f t="shared" si="436"/>
        <v>55.600000000000087</v>
      </c>
      <c r="CD153">
        <f t="shared" si="436"/>
        <v>52.000000000000078</v>
      </c>
      <c r="CE153">
        <f t="shared" si="436"/>
        <v>48.40000000000007</v>
      </c>
      <c r="CF153">
        <f t="shared" si="436"/>
        <v>44.800000000000061</v>
      </c>
      <c r="CG153">
        <f t="shared" si="436"/>
        <v>41.200000000000053</v>
      </c>
      <c r="CH153">
        <f t="shared" si="436"/>
        <v>37.600000000000044</v>
      </c>
      <c r="CI153">
        <f t="shared" si="436"/>
        <v>34.000000000000036</v>
      </c>
      <c r="CJ153">
        <f t="shared" si="436"/>
        <v>30.400000000000027</v>
      </c>
      <c r="CK153">
        <f t="shared" si="436"/>
        <v>26.800000000000018</v>
      </c>
      <c r="CL153">
        <f t="shared" si="436"/>
        <v>23.20000000000001</v>
      </c>
      <c r="CM153">
        <f t="shared" si="436"/>
        <v>19.600000000000001</v>
      </c>
      <c r="CN153">
        <f t="shared" si="436"/>
        <v>15.999999999999993</v>
      </c>
      <c r="CO153">
        <f t="shared" si="436"/>
        <v>60.5</v>
      </c>
      <c r="CP153">
        <f t="shared" si="436"/>
        <v>47.5</v>
      </c>
      <c r="CQ153">
        <f t="shared" si="436"/>
        <v>-1</v>
      </c>
      <c r="CR153">
        <f t="shared" si="436"/>
        <v>-1</v>
      </c>
      <c r="CS153">
        <f t="shared" si="436"/>
        <v>-1</v>
      </c>
      <c r="CT153">
        <f t="shared" si="436"/>
        <v>-1</v>
      </c>
      <c r="CU153">
        <f t="shared" si="436"/>
        <v>-1</v>
      </c>
      <c r="CV153">
        <f t="shared" si="436"/>
        <v>-1</v>
      </c>
      <c r="CW153">
        <f t="shared" si="436"/>
        <v>-1</v>
      </c>
      <c r="CX153">
        <f t="shared" si="436"/>
        <v>-1</v>
      </c>
      <c r="CY153">
        <f t="shared" si="436"/>
        <v>-1</v>
      </c>
      <c r="CZ153">
        <f t="shared" si="436"/>
        <v>-1</v>
      </c>
      <c r="DA153">
        <f t="shared" si="436"/>
        <v>-1</v>
      </c>
      <c r="DB153">
        <f t="shared" si="436"/>
        <v>-1</v>
      </c>
      <c r="DC153">
        <f t="shared" si="436"/>
        <v>-1</v>
      </c>
      <c r="DD153">
        <f t="shared" si="436"/>
        <v>-1</v>
      </c>
      <c r="DE153">
        <f t="shared" si="436"/>
        <v>-1</v>
      </c>
      <c r="DF153">
        <f t="shared" si="436"/>
        <v>-1</v>
      </c>
      <c r="DG153">
        <f t="shared" si="436"/>
        <v>-1</v>
      </c>
      <c r="DH153">
        <f t="shared" si="436"/>
        <v>-1</v>
      </c>
      <c r="DI153">
        <f t="shared" si="436"/>
        <v>-1</v>
      </c>
      <c r="DJ153">
        <f t="shared" si="436"/>
        <v>-1</v>
      </c>
      <c r="DK153">
        <f t="shared" si="436"/>
        <v>-1</v>
      </c>
      <c r="DL153">
        <f t="shared" si="436"/>
        <v>-1</v>
      </c>
      <c r="DM153">
        <f t="shared" si="436"/>
        <v>-1</v>
      </c>
      <c r="DN153">
        <f t="shared" si="436"/>
        <v>-1</v>
      </c>
      <c r="DO153">
        <f t="shared" si="436"/>
        <v>-1</v>
      </c>
      <c r="DP153">
        <f t="shared" si="436"/>
        <v>-1</v>
      </c>
      <c r="DQ153">
        <f t="shared" si="436"/>
        <v>-1</v>
      </c>
      <c r="DR153">
        <f t="shared" si="436"/>
        <v>-1</v>
      </c>
      <c r="DS153">
        <f t="shared" si="436"/>
        <v>-1</v>
      </c>
      <c r="DT153">
        <f t="shared" si="436"/>
        <v>-1</v>
      </c>
      <c r="DU153">
        <f t="shared" si="436"/>
        <v>-1</v>
      </c>
      <c r="DV153">
        <f t="shared" si="436"/>
        <v>-1</v>
      </c>
      <c r="DW153">
        <f t="shared" si="436"/>
        <v>-1</v>
      </c>
      <c r="DX153">
        <f t="shared" si="436"/>
        <v>-1</v>
      </c>
      <c r="DY153">
        <f t="shared" si="436"/>
        <v>-1</v>
      </c>
      <c r="DZ153">
        <f t="shared" si="436"/>
        <v>-1</v>
      </c>
      <c r="EA153">
        <f t="shared" si="436"/>
        <v>-1</v>
      </c>
      <c r="EB153">
        <f t="shared" ref="EB153:EO153" si="437">IF(OR(EB152=-1,AND(IF(EB$3&lt;$B153,EB152+EB$6,IF(EB$3=$B153,1,""))&gt;$B$1,EB$3&lt;$B153)),-1,IF(EB$3&lt;$B153,EB152+EB$6,IF(EB$3=$B153,1,"")))</f>
        <v>-1</v>
      </c>
      <c r="EC153">
        <f t="shared" si="437"/>
        <v>-1</v>
      </c>
      <c r="ED153">
        <f t="shared" si="437"/>
        <v>-1</v>
      </c>
      <c r="EE153">
        <f t="shared" si="437"/>
        <v>-1</v>
      </c>
      <c r="EF153">
        <f t="shared" si="437"/>
        <v>-1</v>
      </c>
      <c r="EG153">
        <f t="shared" si="437"/>
        <v>-1</v>
      </c>
      <c r="EH153">
        <f t="shared" si="437"/>
        <v>-1</v>
      </c>
      <c r="EI153">
        <f t="shared" si="437"/>
        <v>-1</v>
      </c>
      <c r="EJ153">
        <f t="shared" si="437"/>
        <v>-1</v>
      </c>
      <c r="EK153">
        <f t="shared" si="437"/>
        <v>-1</v>
      </c>
      <c r="EL153">
        <f t="shared" si="437"/>
        <v>-1</v>
      </c>
      <c r="EM153">
        <f t="shared" si="437"/>
        <v>-1</v>
      </c>
      <c r="EN153">
        <f t="shared" si="437"/>
        <v>-1</v>
      </c>
      <c r="EO153">
        <f t="shared" si="437"/>
        <v>-1</v>
      </c>
    </row>
    <row r="154" spans="1:145" x14ac:dyDescent="0.15">
      <c r="A154" t="e">
        <f t="shared" si="386"/>
        <v>#N/A</v>
      </c>
      <c r="B154" s="218">
        <v>146</v>
      </c>
      <c r="C154">
        <f t="shared" si="386"/>
        <v>-1</v>
      </c>
      <c r="D154">
        <f t="shared" ref="D154:BO154" si="438">IF(OR(D153=-1,AND(IF(D$3&lt;$B154,D153+D$6,IF(D$3=$B154,1,""))&gt;$B$1,D$3&lt;$B154)),-1,IF(D$3&lt;$B154,D153+D$6,IF(D$3=$B154,1,"")))</f>
        <v>-1</v>
      </c>
      <c r="E154">
        <f t="shared" si="438"/>
        <v>-1</v>
      </c>
      <c r="F154">
        <f t="shared" si="438"/>
        <v>-1</v>
      </c>
      <c r="G154">
        <f t="shared" si="438"/>
        <v>-1</v>
      </c>
      <c r="H154">
        <f t="shared" si="438"/>
        <v>-1</v>
      </c>
      <c r="I154">
        <f t="shared" si="438"/>
        <v>-1</v>
      </c>
      <c r="J154">
        <f t="shared" si="438"/>
        <v>-1</v>
      </c>
      <c r="K154">
        <f t="shared" si="438"/>
        <v>-1</v>
      </c>
      <c r="L154">
        <f t="shared" si="438"/>
        <v>-1</v>
      </c>
      <c r="M154">
        <f t="shared" si="438"/>
        <v>-1</v>
      </c>
      <c r="N154">
        <f t="shared" si="438"/>
        <v>-1</v>
      </c>
      <c r="O154">
        <f t="shared" si="438"/>
        <v>-1</v>
      </c>
      <c r="P154">
        <f t="shared" si="438"/>
        <v>-1</v>
      </c>
      <c r="Q154">
        <f t="shared" si="438"/>
        <v>-1</v>
      </c>
      <c r="R154">
        <f t="shared" si="438"/>
        <v>-1</v>
      </c>
      <c r="S154">
        <f t="shared" si="438"/>
        <v>-1</v>
      </c>
      <c r="T154">
        <f t="shared" si="438"/>
        <v>-1</v>
      </c>
      <c r="U154">
        <f t="shared" si="438"/>
        <v>-1</v>
      </c>
      <c r="V154">
        <f t="shared" si="438"/>
        <v>-1</v>
      </c>
      <c r="W154">
        <f t="shared" si="438"/>
        <v>-1</v>
      </c>
      <c r="X154">
        <f t="shared" si="438"/>
        <v>-1</v>
      </c>
      <c r="Y154">
        <f t="shared" si="438"/>
        <v>-1</v>
      </c>
      <c r="Z154">
        <f t="shared" si="438"/>
        <v>-1</v>
      </c>
      <c r="AA154">
        <f t="shared" si="438"/>
        <v>-1</v>
      </c>
      <c r="AB154">
        <f t="shared" si="438"/>
        <v>-1</v>
      </c>
      <c r="AC154">
        <f t="shared" si="438"/>
        <v>-1</v>
      </c>
      <c r="AD154">
        <f t="shared" si="438"/>
        <v>-1</v>
      </c>
      <c r="AE154">
        <f t="shared" si="438"/>
        <v>-1</v>
      </c>
      <c r="AF154">
        <f t="shared" si="438"/>
        <v>-1</v>
      </c>
      <c r="AG154">
        <f t="shared" si="438"/>
        <v>-1</v>
      </c>
      <c r="AH154">
        <f t="shared" si="438"/>
        <v>-1</v>
      </c>
      <c r="AI154">
        <f t="shared" si="438"/>
        <v>-1</v>
      </c>
      <c r="AJ154">
        <f t="shared" si="438"/>
        <v>-1</v>
      </c>
      <c r="AK154">
        <f t="shared" si="438"/>
        <v>-1</v>
      </c>
      <c r="AL154">
        <f t="shared" si="438"/>
        <v>-1</v>
      </c>
      <c r="AM154">
        <f t="shared" si="438"/>
        <v>-1</v>
      </c>
      <c r="AN154">
        <f t="shared" si="438"/>
        <v>-1</v>
      </c>
      <c r="AO154">
        <f t="shared" si="438"/>
        <v>-1</v>
      </c>
      <c r="AP154">
        <f t="shared" si="438"/>
        <v>-1</v>
      </c>
      <c r="AQ154">
        <f t="shared" si="438"/>
        <v>-1</v>
      </c>
      <c r="AR154">
        <f t="shared" si="438"/>
        <v>-1</v>
      </c>
      <c r="AS154">
        <f t="shared" si="438"/>
        <v>-1</v>
      </c>
      <c r="AT154">
        <f t="shared" si="438"/>
        <v>-1</v>
      </c>
      <c r="AU154">
        <f t="shared" si="438"/>
        <v>-1</v>
      </c>
      <c r="AV154">
        <f t="shared" si="438"/>
        <v>-1</v>
      </c>
      <c r="AW154">
        <f t="shared" si="438"/>
        <v>-1</v>
      </c>
      <c r="AX154">
        <f t="shared" si="438"/>
        <v>-1</v>
      </c>
      <c r="AY154">
        <f t="shared" si="438"/>
        <v>-1</v>
      </c>
      <c r="AZ154">
        <f t="shared" si="438"/>
        <v>-1</v>
      </c>
      <c r="BA154">
        <f t="shared" si="438"/>
        <v>-1</v>
      </c>
      <c r="BB154">
        <f t="shared" si="438"/>
        <v>-1</v>
      </c>
      <c r="BC154">
        <f t="shared" si="438"/>
        <v>-1</v>
      </c>
      <c r="BD154">
        <f t="shared" si="438"/>
        <v>-1</v>
      </c>
      <c r="BE154">
        <f t="shared" si="438"/>
        <v>-1</v>
      </c>
      <c r="BF154">
        <f t="shared" si="438"/>
        <v>-1</v>
      </c>
      <c r="BG154">
        <f t="shared" si="438"/>
        <v>-1</v>
      </c>
      <c r="BH154">
        <f t="shared" si="438"/>
        <v>-1</v>
      </c>
      <c r="BI154">
        <f t="shared" si="438"/>
        <v>-1</v>
      </c>
      <c r="BJ154">
        <f t="shared" si="438"/>
        <v>-1</v>
      </c>
      <c r="BK154">
        <f t="shared" si="438"/>
        <v>-1</v>
      </c>
      <c r="BL154">
        <f t="shared" si="438"/>
        <v>-1</v>
      </c>
      <c r="BM154">
        <f t="shared" si="438"/>
        <v>-1</v>
      </c>
      <c r="BN154">
        <f t="shared" si="438"/>
        <v>-1</v>
      </c>
      <c r="BO154">
        <f t="shared" si="438"/>
        <v>-1</v>
      </c>
      <c r="BP154">
        <f t="shared" ref="BP154:EA154" si="439">IF(OR(BP153=-1,AND(IF(BP$3&lt;$B154,BP153+BP$6,IF(BP$3=$B154,1,""))&gt;$B$1,BP$3&lt;$B154)),-1,IF(BP$3&lt;$B154,BP153+BP$6,IF(BP$3=$B154,1,"")))</f>
        <v>-1</v>
      </c>
      <c r="BQ154">
        <f t="shared" si="439"/>
        <v>-1</v>
      </c>
      <c r="BR154">
        <f t="shared" si="439"/>
        <v>-1</v>
      </c>
      <c r="BS154">
        <f t="shared" si="439"/>
        <v>-1</v>
      </c>
      <c r="BT154">
        <f t="shared" si="439"/>
        <v>-1</v>
      </c>
      <c r="BU154">
        <f t="shared" si="439"/>
        <v>-1</v>
      </c>
      <c r="BV154">
        <f t="shared" si="439"/>
        <v>-1</v>
      </c>
      <c r="BW154">
        <f t="shared" si="439"/>
        <v>-1</v>
      </c>
      <c r="BX154">
        <f t="shared" si="439"/>
        <v>74.2</v>
      </c>
      <c r="BY154">
        <f t="shared" si="439"/>
        <v>70.600000000000037</v>
      </c>
      <c r="BZ154">
        <f t="shared" si="439"/>
        <v>67.000000000000071</v>
      </c>
      <c r="CA154">
        <f t="shared" si="439"/>
        <v>63.400000000000105</v>
      </c>
      <c r="CB154">
        <f t="shared" si="439"/>
        <v>59.800000000000097</v>
      </c>
      <c r="CC154">
        <f t="shared" si="439"/>
        <v>56.200000000000088</v>
      </c>
      <c r="CD154">
        <f t="shared" si="439"/>
        <v>52.60000000000008</v>
      </c>
      <c r="CE154">
        <f t="shared" si="439"/>
        <v>49.000000000000071</v>
      </c>
      <c r="CF154">
        <f t="shared" si="439"/>
        <v>45.400000000000063</v>
      </c>
      <c r="CG154">
        <f t="shared" si="439"/>
        <v>41.800000000000054</v>
      </c>
      <c r="CH154">
        <f t="shared" si="439"/>
        <v>38.200000000000045</v>
      </c>
      <c r="CI154">
        <f t="shared" si="439"/>
        <v>34.600000000000037</v>
      </c>
      <c r="CJ154">
        <f t="shared" si="439"/>
        <v>31.000000000000028</v>
      </c>
      <c r="CK154">
        <f t="shared" si="439"/>
        <v>27.40000000000002</v>
      </c>
      <c r="CL154">
        <f t="shared" si="439"/>
        <v>23.800000000000011</v>
      </c>
      <c r="CM154">
        <f t="shared" si="439"/>
        <v>20.200000000000003</v>
      </c>
      <c r="CN154">
        <f t="shared" si="439"/>
        <v>16.599999999999994</v>
      </c>
      <c r="CO154">
        <f t="shared" si="439"/>
        <v>61</v>
      </c>
      <c r="CP154">
        <f t="shared" si="439"/>
        <v>48</v>
      </c>
      <c r="CQ154">
        <f t="shared" si="439"/>
        <v>-1</v>
      </c>
      <c r="CR154">
        <f t="shared" si="439"/>
        <v>-1</v>
      </c>
      <c r="CS154">
        <f t="shared" si="439"/>
        <v>-1</v>
      </c>
      <c r="CT154">
        <f t="shared" si="439"/>
        <v>-1</v>
      </c>
      <c r="CU154">
        <f t="shared" si="439"/>
        <v>-1</v>
      </c>
      <c r="CV154">
        <f t="shared" si="439"/>
        <v>-1</v>
      </c>
      <c r="CW154">
        <f t="shared" si="439"/>
        <v>-1</v>
      </c>
      <c r="CX154">
        <f t="shared" si="439"/>
        <v>-1</v>
      </c>
      <c r="CY154">
        <f t="shared" si="439"/>
        <v>-1</v>
      </c>
      <c r="CZ154">
        <f t="shared" si="439"/>
        <v>-1</v>
      </c>
      <c r="DA154">
        <f t="shared" si="439"/>
        <v>-1</v>
      </c>
      <c r="DB154">
        <f t="shared" si="439"/>
        <v>-1</v>
      </c>
      <c r="DC154">
        <f t="shared" si="439"/>
        <v>-1</v>
      </c>
      <c r="DD154">
        <f t="shared" si="439"/>
        <v>-1</v>
      </c>
      <c r="DE154">
        <f t="shared" si="439"/>
        <v>-1</v>
      </c>
      <c r="DF154">
        <f t="shared" si="439"/>
        <v>-1</v>
      </c>
      <c r="DG154">
        <f t="shared" si="439"/>
        <v>-1</v>
      </c>
      <c r="DH154">
        <f t="shared" si="439"/>
        <v>-1</v>
      </c>
      <c r="DI154">
        <f t="shared" si="439"/>
        <v>-1</v>
      </c>
      <c r="DJ154">
        <f t="shared" si="439"/>
        <v>-1</v>
      </c>
      <c r="DK154">
        <f t="shared" si="439"/>
        <v>-1</v>
      </c>
      <c r="DL154">
        <f t="shared" si="439"/>
        <v>-1</v>
      </c>
      <c r="DM154">
        <f t="shared" si="439"/>
        <v>-1</v>
      </c>
      <c r="DN154">
        <f t="shared" si="439"/>
        <v>-1</v>
      </c>
      <c r="DO154">
        <f t="shared" si="439"/>
        <v>-1</v>
      </c>
      <c r="DP154">
        <f t="shared" si="439"/>
        <v>-1</v>
      </c>
      <c r="DQ154">
        <f t="shared" si="439"/>
        <v>-1</v>
      </c>
      <c r="DR154">
        <f t="shared" si="439"/>
        <v>-1</v>
      </c>
      <c r="DS154">
        <f t="shared" si="439"/>
        <v>-1</v>
      </c>
      <c r="DT154">
        <f t="shared" si="439"/>
        <v>-1</v>
      </c>
      <c r="DU154">
        <f t="shared" si="439"/>
        <v>-1</v>
      </c>
      <c r="DV154">
        <f t="shared" si="439"/>
        <v>-1</v>
      </c>
      <c r="DW154">
        <f t="shared" si="439"/>
        <v>-1</v>
      </c>
      <c r="DX154">
        <f t="shared" si="439"/>
        <v>-1</v>
      </c>
      <c r="DY154">
        <f t="shared" si="439"/>
        <v>-1</v>
      </c>
      <c r="DZ154">
        <f t="shared" si="439"/>
        <v>-1</v>
      </c>
      <c r="EA154">
        <f t="shared" si="439"/>
        <v>-1</v>
      </c>
      <c r="EB154">
        <f t="shared" ref="EB154:EO154" si="440">IF(OR(EB153=-1,AND(IF(EB$3&lt;$B154,EB153+EB$6,IF(EB$3=$B154,1,""))&gt;$B$1,EB$3&lt;$B154)),-1,IF(EB$3&lt;$B154,EB153+EB$6,IF(EB$3=$B154,1,"")))</f>
        <v>-1</v>
      </c>
      <c r="EC154">
        <f t="shared" si="440"/>
        <v>-1</v>
      </c>
      <c r="ED154">
        <f t="shared" si="440"/>
        <v>-1</v>
      </c>
      <c r="EE154">
        <f t="shared" si="440"/>
        <v>-1</v>
      </c>
      <c r="EF154">
        <f t="shared" si="440"/>
        <v>-1</v>
      </c>
      <c r="EG154">
        <f t="shared" si="440"/>
        <v>-1</v>
      </c>
      <c r="EH154">
        <f t="shared" si="440"/>
        <v>-1</v>
      </c>
      <c r="EI154">
        <f t="shared" si="440"/>
        <v>-1</v>
      </c>
      <c r="EJ154">
        <f t="shared" si="440"/>
        <v>-1</v>
      </c>
      <c r="EK154">
        <f t="shared" si="440"/>
        <v>-1</v>
      </c>
      <c r="EL154">
        <f t="shared" si="440"/>
        <v>-1</v>
      </c>
      <c r="EM154">
        <f t="shared" si="440"/>
        <v>-1</v>
      </c>
      <c r="EN154">
        <f t="shared" si="440"/>
        <v>-1</v>
      </c>
      <c r="EO154">
        <f t="shared" si="440"/>
        <v>-1</v>
      </c>
    </row>
    <row r="155" spans="1:145" x14ac:dyDescent="0.15">
      <c r="A155" t="e">
        <f t="shared" si="386"/>
        <v>#N/A</v>
      </c>
      <c r="B155" s="218">
        <v>147</v>
      </c>
      <c r="C155">
        <f t="shared" si="386"/>
        <v>-1</v>
      </c>
      <c r="D155">
        <f t="shared" ref="D155:BO155" si="441">IF(OR(D154=-1,AND(IF(D$3&lt;$B155,D154+D$6,IF(D$3=$B155,1,""))&gt;$B$1,D$3&lt;$B155)),-1,IF(D$3&lt;$B155,D154+D$6,IF(D$3=$B155,1,"")))</f>
        <v>-1</v>
      </c>
      <c r="E155">
        <f t="shared" si="441"/>
        <v>-1</v>
      </c>
      <c r="F155">
        <f t="shared" si="441"/>
        <v>-1</v>
      </c>
      <c r="G155">
        <f t="shared" si="441"/>
        <v>-1</v>
      </c>
      <c r="H155">
        <f t="shared" si="441"/>
        <v>-1</v>
      </c>
      <c r="I155">
        <f t="shared" si="441"/>
        <v>-1</v>
      </c>
      <c r="J155">
        <f t="shared" si="441"/>
        <v>-1</v>
      </c>
      <c r="K155">
        <f t="shared" si="441"/>
        <v>-1</v>
      </c>
      <c r="L155">
        <f t="shared" si="441"/>
        <v>-1</v>
      </c>
      <c r="M155">
        <f t="shared" si="441"/>
        <v>-1</v>
      </c>
      <c r="N155">
        <f t="shared" si="441"/>
        <v>-1</v>
      </c>
      <c r="O155">
        <f t="shared" si="441"/>
        <v>-1</v>
      </c>
      <c r="P155">
        <f t="shared" si="441"/>
        <v>-1</v>
      </c>
      <c r="Q155">
        <f t="shared" si="441"/>
        <v>-1</v>
      </c>
      <c r="R155">
        <f t="shared" si="441"/>
        <v>-1</v>
      </c>
      <c r="S155">
        <f t="shared" si="441"/>
        <v>-1</v>
      </c>
      <c r="T155">
        <f t="shared" si="441"/>
        <v>-1</v>
      </c>
      <c r="U155">
        <f t="shared" si="441"/>
        <v>-1</v>
      </c>
      <c r="V155">
        <f t="shared" si="441"/>
        <v>-1</v>
      </c>
      <c r="W155">
        <f t="shared" si="441"/>
        <v>-1</v>
      </c>
      <c r="X155">
        <f t="shared" si="441"/>
        <v>-1</v>
      </c>
      <c r="Y155">
        <f t="shared" si="441"/>
        <v>-1</v>
      </c>
      <c r="Z155">
        <f t="shared" si="441"/>
        <v>-1</v>
      </c>
      <c r="AA155">
        <f t="shared" si="441"/>
        <v>-1</v>
      </c>
      <c r="AB155">
        <f t="shared" si="441"/>
        <v>-1</v>
      </c>
      <c r="AC155">
        <f t="shared" si="441"/>
        <v>-1</v>
      </c>
      <c r="AD155">
        <f t="shared" si="441"/>
        <v>-1</v>
      </c>
      <c r="AE155">
        <f t="shared" si="441"/>
        <v>-1</v>
      </c>
      <c r="AF155">
        <f t="shared" si="441"/>
        <v>-1</v>
      </c>
      <c r="AG155">
        <f t="shared" si="441"/>
        <v>-1</v>
      </c>
      <c r="AH155">
        <f t="shared" si="441"/>
        <v>-1</v>
      </c>
      <c r="AI155">
        <f t="shared" si="441"/>
        <v>-1</v>
      </c>
      <c r="AJ155">
        <f t="shared" si="441"/>
        <v>-1</v>
      </c>
      <c r="AK155">
        <f t="shared" si="441"/>
        <v>-1</v>
      </c>
      <c r="AL155">
        <f t="shared" si="441"/>
        <v>-1</v>
      </c>
      <c r="AM155">
        <f t="shared" si="441"/>
        <v>-1</v>
      </c>
      <c r="AN155">
        <f t="shared" si="441"/>
        <v>-1</v>
      </c>
      <c r="AO155">
        <f t="shared" si="441"/>
        <v>-1</v>
      </c>
      <c r="AP155">
        <f t="shared" si="441"/>
        <v>-1</v>
      </c>
      <c r="AQ155">
        <f t="shared" si="441"/>
        <v>-1</v>
      </c>
      <c r="AR155">
        <f t="shared" si="441"/>
        <v>-1</v>
      </c>
      <c r="AS155">
        <f t="shared" si="441"/>
        <v>-1</v>
      </c>
      <c r="AT155">
        <f t="shared" si="441"/>
        <v>-1</v>
      </c>
      <c r="AU155">
        <f t="shared" si="441"/>
        <v>-1</v>
      </c>
      <c r="AV155">
        <f t="shared" si="441"/>
        <v>-1</v>
      </c>
      <c r="AW155">
        <f t="shared" si="441"/>
        <v>-1</v>
      </c>
      <c r="AX155">
        <f t="shared" si="441"/>
        <v>-1</v>
      </c>
      <c r="AY155">
        <f t="shared" si="441"/>
        <v>-1</v>
      </c>
      <c r="AZ155">
        <f t="shared" si="441"/>
        <v>-1</v>
      </c>
      <c r="BA155">
        <f t="shared" si="441"/>
        <v>-1</v>
      </c>
      <c r="BB155">
        <f t="shared" si="441"/>
        <v>-1</v>
      </c>
      <c r="BC155">
        <f t="shared" si="441"/>
        <v>-1</v>
      </c>
      <c r="BD155">
        <f t="shared" si="441"/>
        <v>-1</v>
      </c>
      <c r="BE155">
        <f t="shared" si="441"/>
        <v>-1</v>
      </c>
      <c r="BF155">
        <f t="shared" si="441"/>
        <v>-1</v>
      </c>
      <c r="BG155">
        <f t="shared" si="441"/>
        <v>-1</v>
      </c>
      <c r="BH155">
        <f t="shared" si="441"/>
        <v>-1</v>
      </c>
      <c r="BI155">
        <f t="shared" si="441"/>
        <v>-1</v>
      </c>
      <c r="BJ155">
        <f t="shared" si="441"/>
        <v>-1</v>
      </c>
      <c r="BK155">
        <f t="shared" si="441"/>
        <v>-1</v>
      </c>
      <c r="BL155">
        <f t="shared" si="441"/>
        <v>-1</v>
      </c>
      <c r="BM155">
        <f t="shared" si="441"/>
        <v>-1</v>
      </c>
      <c r="BN155">
        <f t="shared" si="441"/>
        <v>-1</v>
      </c>
      <c r="BO155">
        <f t="shared" si="441"/>
        <v>-1</v>
      </c>
      <c r="BP155">
        <f t="shared" ref="BP155:EA155" si="442">IF(OR(BP154=-1,AND(IF(BP$3&lt;$B155,BP154+BP$6,IF(BP$3=$B155,1,""))&gt;$B$1,BP$3&lt;$B155)),-1,IF(BP$3&lt;$B155,BP154+BP$6,IF(BP$3=$B155,1,"")))</f>
        <v>-1</v>
      </c>
      <c r="BQ155">
        <f t="shared" si="442"/>
        <v>-1</v>
      </c>
      <c r="BR155">
        <f t="shared" si="442"/>
        <v>-1</v>
      </c>
      <c r="BS155">
        <f t="shared" si="442"/>
        <v>-1</v>
      </c>
      <c r="BT155">
        <f t="shared" si="442"/>
        <v>-1</v>
      </c>
      <c r="BU155">
        <f t="shared" si="442"/>
        <v>-1</v>
      </c>
      <c r="BV155">
        <f t="shared" si="442"/>
        <v>-1</v>
      </c>
      <c r="BW155">
        <f t="shared" si="442"/>
        <v>-1</v>
      </c>
      <c r="BX155">
        <f t="shared" si="442"/>
        <v>74.8</v>
      </c>
      <c r="BY155">
        <f t="shared" si="442"/>
        <v>71.200000000000031</v>
      </c>
      <c r="BZ155">
        <f t="shared" si="442"/>
        <v>67.600000000000065</v>
      </c>
      <c r="CA155">
        <f t="shared" si="442"/>
        <v>64.000000000000099</v>
      </c>
      <c r="CB155">
        <f t="shared" si="442"/>
        <v>60.400000000000098</v>
      </c>
      <c r="CC155">
        <f t="shared" si="442"/>
        <v>56.80000000000009</v>
      </c>
      <c r="CD155">
        <f t="shared" si="442"/>
        <v>53.200000000000081</v>
      </c>
      <c r="CE155">
        <f t="shared" si="442"/>
        <v>49.600000000000072</v>
      </c>
      <c r="CF155">
        <f t="shared" si="442"/>
        <v>46.000000000000064</v>
      </c>
      <c r="CG155">
        <f t="shared" si="442"/>
        <v>42.400000000000055</v>
      </c>
      <c r="CH155">
        <f t="shared" si="442"/>
        <v>38.800000000000047</v>
      </c>
      <c r="CI155">
        <f t="shared" si="442"/>
        <v>35.200000000000038</v>
      </c>
      <c r="CJ155">
        <f t="shared" si="442"/>
        <v>31.60000000000003</v>
      </c>
      <c r="CK155">
        <f t="shared" si="442"/>
        <v>28.000000000000021</v>
      </c>
      <c r="CL155">
        <f t="shared" si="442"/>
        <v>24.400000000000013</v>
      </c>
      <c r="CM155">
        <f t="shared" si="442"/>
        <v>20.800000000000004</v>
      </c>
      <c r="CN155">
        <f t="shared" si="442"/>
        <v>17.199999999999996</v>
      </c>
      <c r="CO155">
        <f t="shared" si="442"/>
        <v>61.5</v>
      </c>
      <c r="CP155">
        <f t="shared" si="442"/>
        <v>48.5</v>
      </c>
      <c r="CQ155">
        <f t="shared" si="442"/>
        <v>-1</v>
      </c>
      <c r="CR155">
        <f t="shared" si="442"/>
        <v>-1</v>
      </c>
      <c r="CS155">
        <f t="shared" si="442"/>
        <v>-1</v>
      </c>
      <c r="CT155">
        <f t="shared" si="442"/>
        <v>-1</v>
      </c>
      <c r="CU155">
        <f t="shared" si="442"/>
        <v>-1</v>
      </c>
      <c r="CV155">
        <f t="shared" si="442"/>
        <v>-1</v>
      </c>
      <c r="CW155">
        <f t="shared" si="442"/>
        <v>-1</v>
      </c>
      <c r="CX155">
        <f t="shared" si="442"/>
        <v>-1</v>
      </c>
      <c r="CY155">
        <f t="shared" si="442"/>
        <v>-1</v>
      </c>
      <c r="CZ155">
        <f t="shared" si="442"/>
        <v>-1</v>
      </c>
      <c r="DA155">
        <f t="shared" si="442"/>
        <v>-1</v>
      </c>
      <c r="DB155">
        <f t="shared" si="442"/>
        <v>-1</v>
      </c>
      <c r="DC155">
        <f t="shared" si="442"/>
        <v>-1</v>
      </c>
      <c r="DD155">
        <f t="shared" si="442"/>
        <v>-1</v>
      </c>
      <c r="DE155">
        <f t="shared" si="442"/>
        <v>-1</v>
      </c>
      <c r="DF155">
        <f t="shared" si="442"/>
        <v>-1</v>
      </c>
      <c r="DG155">
        <f t="shared" si="442"/>
        <v>-1</v>
      </c>
      <c r="DH155">
        <f t="shared" si="442"/>
        <v>-1</v>
      </c>
      <c r="DI155">
        <f t="shared" si="442"/>
        <v>-1</v>
      </c>
      <c r="DJ155">
        <f t="shared" si="442"/>
        <v>-1</v>
      </c>
      <c r="DK155">
        <f t="shared" si="442"/>
        <v>-1</v>
      </c>
      <c r="DL155">
        <f t="shared" si="442"/>
        <v>-1</v>
      </c>
      <c r="DM155">
        <f t="shared" si="442"/>
        <v>-1</v>
      </c>
      <c r="DN155">
        <f t="shared" si="442"/>
        <v>-1</v>
      </c>
      <c r="DO155">
        <f t="shared" si="442"/>
        <v>-1</v>
      </c>
      <c r="DP155">
        <f t="shared" si="442"/>
        <v>-1</v>
      </c>
      <c r="DQ155">
        <f t="shared" si="442"/>
        <v>-1</v>
      </c>
      <c r="DR155">
        <f t="shared" si="442"/>
        <v>-1</v>
      </c>
      <c r="DS155">
        <f t="shared" si="442"/>
        <v>-1</v>
      </c>
      <c r="DT155">
        <f t="shared" si="442"/>
        <v>-1</v>
      </c>
      <c r="DU155">
        <f t="shared" si="442"/>
        <v>-1</v>
      </c>
      <c r="DV155">
        <f t="shared" si="442"/>
        <v>-1</v>
      </c>
      <c r="DW155">
        <f t="shared" si="442"/>
        <v>-1</v>
      </c>
      <c r="DX155">
        <f t="shared" si="442"/>
        <v>-1</v>
      </c>
      <c r="DY155">
        <f t="shared" si="442"/>
        <v>-1</v>
      </c>
      <c r="DZ155">
        <f t="shared" si="442"/>
        <v>-1</v>
      </c>
      <c r="EA155">
        <f t="shared" si="442"/>
        <v>-1</v>
      </c>
      <c r="EB155">
        <f t="shared" ref="EB155:EO155" si="443">IF(OR(EB154=-1,AND(IF(EB$3&lt;$B155,EB154+EB$6,IF(EB$3=$B155,1,""))&gt;$B$1,EB$3&lt;$B155)),-1,IF(EB$3&lt;$B155,EB154+EB$6,IF(EB$3=$B155,1,"")))</f>
        <v>-1</v>
      </c>
      <c r="EC155">
        <f t="shared" si="443"/>
        <v>-1</v>
      </c>
      <c r="ED155">
        <f t="shared" si="443"/>
        <v>-1</v>
      </c>
      <c r="EE155">
        <f t="shared" si="443"/>
        <v>-1</v>
      </c>
      <c r="EF155">
        <f t="shared" si="443"/>
        <v>-1</v>
      </c>
      <c r="EG155">
        <f t="shared" si="443"/>
        <v>-1</v>
      </c>
      <c r="EH155">
        <f t="shared" si="443"/>
        <v>-1</v>
      </c>
      <c r="EI155">
        <f t="shared" si="443"/>
        <v>-1</v>
      </c>
      <c r="EJ155">
        <f t="shared" si="443"/>
        <v>-1</v>
      </c>
      <c r="EK155">
        <f t="shared" si="443"/>
        <v>-1</v>
      </c>
      <c r="EL155">
        <f t="shared" si="443"/>
        <v>-1</v>
      </c>
      <c r="EM155">
        <f t="shared" si="443"/>
        <v>-1</v>
      </c>
      <c r="EN155">
        <f t="shared" si="443"/>
        <v>-1</v>
      </c>
      <c r="EO155">
        <f t="shared" si="443"/>
        <v>-1</v>
      </c>
    </row>
    <row r="156" spans="1:145" x14ac:dyDescent="0.15">
      <c r="A156" t="e">
        <f t="shared" si="386"/>
        <v>#N/A</v>
      </c>
      <c r="B156" s="218">
        <v>148</v>
      </c>
      <c r="C156">
        <f t="shared" si="386"/>
        <v>-1</v>
      </c>
      <c r="D156">
        <f t="shared" ref="D156:BO156" si="444">IF(OR(D155=-1,AND(IF(D$3&lt;$B156,D155+D$6,IF(D$3=$B156,1,""))&gt;$B$1,D$3&lt;$B156)),-1,IF(D$3&lt;$B156,D155+D$6,IF(D$3=$B156,1,"")))</f>
        <v>-1</v>
      </c>
      <c r="E156">
        <f t="shared" si="444"/>
        <v>-1</v>
      </c>
      <c r="F156">
        <f t="shared" si="444"/>
        <v>-1</v>
      </c>
      <c r="G156">
        <f t="shared" si="444"/>
        <v>-1</v>
      </c>
      <c r="H156">
        <f t="shared" si="444"/>
        <v>-1</v>
      </c>
      <c r="I156">
        <f t="shared" si="444"/>
        <v>-1</v>
      </c>
      <c r="J156">
        <f t="shared" si="444"/>
        <v>-1</v>
      </c>
      <c r="K156">
        <f t="shared" si="444"/>
        <v>-1</v>
      </c>
      <c r="L156">
        <f t="shared" si="444"/>
        <v>-1</v>
      </c>
      <c r="M156">
        <f t="shared" si="444"/>
        <v>-1</v>
      </c>
      <c r="N156">
        <f t="shared" si="444"/>
        <v>-1</v>
      </c>
      <c r="O156">
        <f t="shared" si="444"/>
        <v>-1</v>
      </c>
      <c r="P156">
        <f t="shared" si="444"/>
        <v>-1</v>
      </c>
      <c r="Q156">
        <f t="shared" si="444"/>
        <v>-1</v>
      </c>
      <c r="R156">
        <f t="shared" si="444"/>
        <v>-1</v>
      </c>
      <c r="S156">
        <f t="shared" si="444"/>
        <v>-1</v>
      </c>
      <c r="T156">
        <f t="shared" si="444"/>
        <v>-1</v>
      </c>
      <c r="U156">
        <f t="shared" si="444"/>
        <v>-1</v>
      </c>
      <c r="V156">
        <f t="shared" si="444"/>
        <v>-1</v>
      </c>
      <c r="W156">
        <f t="shared" si="444"/>
        <v>-1</v>
      </c>
      <c r="X156">
        <f t="shared" si="444"/>
        <v>-1</v>
      </c>
      <c r="Y156">
        <f t="shared" si="444"/>
        <v>-1</v>
      </c>
      <c r="Z156">
        <f t="shared" si="444"/>
        <v>-1</v>
      </c>
      <c r="AA156">
        <f t="shared" si="444"/>
        <v>-1</v>
      </c>
      <c r="AB156">
        <f t="shared" si="444"/>
        <v>-1</v>
      </c>
      <c r="AC156">
        <f t="shared" si="444"/>
        <v>-1</v>
      </c>
      <c r="AD156">
        <f t="shared" si="444"/>
        <v>-1</v>
      </c>
      <c r="AE156">
        <f t="shared" si="444"/>
        <v>-1</v>
      </c>
      <c r="AF156">
        <f t="shared" si="444"/>
        <v>-1</v>
      </c>
      <c r="AG156">
        <f t="shared" si="444"/>
        <v>-1</v>
      </c>
      <c r="AH156">
        <f t="shared" si="444"/>
        <v>-1</v>
      </c>
      <c r="AI156">
        <f t="shared" si="444"/>
        <v>-1</v>
      </c>
      <c r="AJ156">
        <f t="shared" si="444"/>
        <v>-1</v>
      </c>
      <c r="AK156">
        <f t="shared" si="444"/>
        <v>-1</v>
      </c>
      <c r="AL156">
        <f t="shared" si="444"/>
        <v>-1</v>
      </c>
      <c r="AM156">
        <f t="shared" si="444"/>
        <v>-1</v>
      </c>
      <c r="AN156">
        <f t="shared" si="444"/>
        <v>-1</v>
      </c>
      <c r="AO156">
        <f t="shared" si="444"/>
        <v>-1</v>
      </c>
      <c r="AP156">
        <f t="shared" si="444"/>
        <v>-1</v>
      </c>
      <c r="AQ156">
        <f t="shared" si="444"/>
        <v>-1</v>
      </c>
      <c r="AR156">
        <f t="shared" si="444"/>
        <v>-1</v>
      </c>
      <c r="AS156">
        <f t="shared" si="444"/>
        <v>-1</v>
      </c>
      <c r="AT156">
        <f t="shared" si="444"/>
        <v>-1</v>
      </c>
      <c r="AU156">
        <f t="shared" si="444"/>
        <v>-1</v>
      </c>
      <c r="AV156">
        <f t="shared" si="444"/>
        <v>-1</v>
      </c>
      <c r="AW156">
        <f t="shared" si="444"/>
        <v>-1</v>
      </c>
      <c r="AX156">
        <f t="shared" si="444"/>
        <v>-1</v>
      </c>
      <c r="AY156">
        <f t="shared" si="444"/>
        <v>-1</v>
      </c>
      <c r="AZ156">
        <f t="shared" si="444"/>
        <v>-1</v>
      </c>
      <c r="BA156">
        <f t="shared" si="444"/>
        <v>-1</v>
      </c>
      <c r="BB156">
        <f t="shared" si="444"/>
        <v>-1</v>
      </c>
      <c r="BC156">
        <f t="shared" si="444"/>
        <v>-1</v>
      </c>
      <c r="BD156">
        <f t="shared" si="444"/>
        <v>-1</v>
      </c>
      <c r="BE156">
        <f t="shared" si="444"/>
        <v>-1</v>
      </c>
      <c r="BF156">
        <f t="shared" si="444"/>
        <v>-1</v>
      </c>
      <c r="BG156">
        <f t="shared" si="444"/>
        <v>-1</v>
      </c>
      <c r="BH156">
        <f t="shared" si="444"/>
        <v>-1</v>
      </c>
      <c r="BI156">
        <f t="shared" si="444"/>
        <v>-1</v>
      </c>
      <c r="BJ156">
        <f t="shared" si="444"/>
        <v>-1</v>
      </c>
      <c r="BK156">
        <f t="shared" si="444"/>
        <v>-1</v>
      </c>
      <c r="BL156">
        <f t="shared" si="444"/>
        <v>-1</v>
      </c>
      <c r="BM156">
        <f t="shared" si="444"/>
        <v>-1</v>
      </c>
      <c r="BN156">
        <f t="shared" si="444"/>
        <v>-1</v>
      </c>
      <c r="BO156">
        <f t="shared" si="444"/>
        <v>-1</v>
      </c>
      <c r="BP156">
        <f t="shared" ref="BP156:EA156" si="445">IF(OR(BP155=-1,AND(IF(BP$3&lt;$B156,BP155+BP$6,IF(BP$3=$B156,1,""))&gt;$B$1,BP$3&lt;$B156)),-1,IF(BP$3&lt;$B156,BP155+BP$6,IF(BP$3=$B156,1,"")))</f>
        <v>-1</v>
      </c>
      <c r="BQ156">
        <f t="shared" si="445"/>
        <v>-1</v>
      </c>
      <c r="BR156">
        <f t="shared" si="445"/>
        <v>-1</v>
      </c>
      <c r="BS156">
        <f t="shared" si="445"/>
        <v>-1</v>
      </c>
      <c r="BT156">
        <f t="shared" si="445"/>
        <v>-1</v>
      </c>
      <c r="BU156">
        <f t="shared" si="445"/>
        <v>-1</v>
      </c>
      <c r="BV156">
        <f t="shared" si="445"/>
        <v>-1</v>
      </c>
      <c r="BW156">
        <f t="shared" si="445"/>
        <v>-1</v>
      </c>
      <c r="BX156">
        <f t="shared" si="445"/>
        <v>-1</v>
      </c>
      <c r="BY156">
        <f t="shared" si="445"/>
        <v>71.800000000000026</v>
      </c>
      <c r="BZ156">
        <f t="shared" si="445"/>
        <v>68.20000000000006</v>
      </c>
      <c r="CA156">
        <f t="shared" si="445"/>
        <v>64.600000000000094</v>
      </c>
      <c r="CB156">
        <f t="shared" si="445"/>
        <v>61.000000000000099</v>
      </c>
      <c r="CC156">
        <f t="shared" si="445"/>
        <v>57.400000000000091</v>
      </c>
      <c r="CD156">
        <f t="shared" si="445"/>
        <v>53.800000000000082</v>
      </c>
      <c r="CE156">
        <f t="shared" si="445"/>
        <v>50.200000000000074</v>
      </c>
      <c r="CF156">
        <f t="shared" si="445"/>
        <v>46.600000000000065</v>
      </c>
      <c r="CG156">
        <f t="shared" si="445"/>
        <v>43.000000000000057</v>
      </c>
      <c r="CH156">
        <f t="shared" si="445"/>
        <v>39.400000000000048</v>
      </c>
      <c r="CI156">
        <f t="shared" si="445"/>
        <v>35.80000000000004</v>
      </c>
      <c r="CJ156">
        <f t="shared" si="445"/>
        <v>32.200000000000031</v>
      </c>
      <c r="CK156">
        <f t="shared" si="445"/>
        <v>28.600000000000023</v>
      </c>
      <c r="CL156">
        <f t="shared" si="445"/>
        <v>25.000000000000014</v>
      </c>
      <c r="CM156">
        <f t="shared" si="445"/>
        <v>21.400000000000006</v>
      </c>
      <c r="CN156">
        <f t="shared" si="445"/>
        <v>17.799999999999997</v>
      </c>
      <c r="CO156">
        <f t="shared" si="445"/>
        <v>62</v>
      </c>
      <c r="CP156">
        <f t="shared" si="445"/>
        <v>49</v>
      </c>
      <c r="CQ156">
        <f t="shared" si="445"/>
        <v>-1</v>
      </c>
      <c r="CR156">
        <f t="shared" si="445"/>
        <v>-1</v>
      </c>
      <c r="CS156">
        <f t="shared" si="445"/>
        <v>-1</v>
      </c>
      <c r="CT156">
        <f t="shared" si="445"/>
        <v>-1</v>
      </c>
      <c r="CU156">
        <f t="shared" si="445"/>
        <v>-1</v>
      </c>
      <c r="CV156">
        <f t="shared" si="445"/>
        <v>-1</v>
      </c>
      <c r="CW156">
        <f t="shared" si="445"/>
        <v>-1</v>
      </c>
      <c r="CX156">
        <f t="shared" si="445"/>
        <v>-1</v>
      </c>
      <c r="CY156">
        <f t="shared" si="445"/>
        <v>-1</v>
      </c>
      <c r="CZ156">
        <f t="shared" si="445"/>
        <v>-1</v>
      </c>
      <c r="DA156">
        <f t="shared" si="445"/>
        <v>-1</v>
      </c>
      <c r="DB156">
        <f t="shared" si="445"/>
        <v>-1</v>
      </c>
      <c r="DC156">
        <f t="shared" si="445"/>
        <v>-1</v>
      </c>
      <c r="DD156">
        <f t="shared" si="445"/>
        <v>-1</v>
      </c>
      <c r="DE156">
        <f t="shared" si="445"/>
        <v>-1</v>
      </c>
      <c r="DF156">
        <f t="shared" si="445"/>
        <v>-1</v>
      </c>
      <c r="DG156">
        <f t="shared" si="445"/>
        <v>-1</v>
      </c>
      <c r="DH156">
        <f t="shared" si="445"/>
        <v>-1</v>
      </c>
      <c r="DI156">
        <f t="shared" si="445"/>
        <v>-1</v>
      </c>
      <c r="DJ156">
        <f t="shared" si="445"/>
        <v>-1</v>
      </c>
      <c r="DK156">
        <f t="shared" si="445"/>
        <v>-1</v>
      </c>
      <c r="DL156">
        <f t="shared" si="445"/>
        <v>-1</v>
      </c>
      <c r="DM156">
        <f t="shared" si="445"/>
        <v>-1</v>
      </c>
      <c r="DN156">
        <f t="shared" si="445"/>
        <v>-1</v>
      </c>
      <c r="DO156">
        <f t="shared" si="445"/>
        <v>-1</v>
      </c>
      <c r="DP156">
        <f t="shared" si="445"/>
        <v>-1</v>
      </c>
      <c r="DQ156">
        <f t="shared" si="445"/>
        <v>-1</v>
      </c>
      <c r="DR156">
        <f t="shared" si="445"/>
        <v>-1</v>
      </c>
      <c r="DS156">
        <f t="shared" si="445"/>
        <v>-1</v>
      </c>
      <c r="DT156">
        <f t="shared" si="445"/>
        <v>-1</v>
      </c>
      <c r="DU156">
        <f t="shared" si="445"/>
        <v>-1</v>
      </c>
      <c r="DV156">
        <f t="shared" si="445"/>
        <v>-1</v>
      </c>
      <c r="DW156">
        <f t="shared" si="445"/>
        <v>-1</v>
      </c>
      <c r="DX156">
        <f t="shared" si="445"/>
        <v>-1</v>
      </c>
      <c r="DY156">
        <f t="shared" si="445"/>
        <v>-1</v>
      </c>
      <c r="DZ156">
        <f t="shared" si="445"/>
        <v>-1</v>
      </c>
      <c r="EA156">
        <f t="shared" si="445"/>
        <v>-1</v>
      </c>
      <c r="EB156">
        <f t="shared" ref="EB156:EO156" si="446">IF(OR(EB155=-1,AND(IF(EB$3&lt;$B156,EB155+EB$6,IF(EB$3=$B156,1,""))&gt;$B$1,EB$3&lt;$B156)),-1,IF(EB$3&lt;$B156,EB155+EB$6,IF(EB$3=$B156,1,"")))</f>
        <v>-1</v>
      </c>
      <c r="EC156">
        <f t="shared" si="446"/>
        <v>-1</v>
      </c>
      <c r="ED156">
        <f t="shared" si="446"/>
        <v>-1</v>
      </c>
      <c r="EE156">
        <f t="shared" si="446"/>
        <v>-1</v>
      </c>
      <c r="EF156">
        <f t="shared" si="446"/>
        <v>-1</v>
      </c>
      <c r="EG156">
        <f t="shared" si="446"/>
        <v>-1</v>
      </c>
      <c r="EH156">
        <f t="shared" si="446"/>
        <v>-1</v>
      </c>
      <c r="EI156">
        <f t="shared" si="446"/>
        <v>-1</v>
      </c>
      <c r="EJ156">
        <f t="shared" si="446"/>
        <v>-1</v>
      </c>
      <c r="EK156">
        <f t="shared" si="446"/>
        <v>-1</v>
      </c>
      <c r="EL156">
        <f t="shared" si="446"/>
        <v>-1</v>
      </c>
      <c r="EM156">
        <f t="shared" si="446"/>
        <v>-1</v>
      </c>
      <c r="EN156">
        <f t="shared" si="446"/>
        <v>-1</v>
      </c>
      <c r="EO156">
        <f t="shared" si="446"/>
        <v>-1</v>
      </c>
    </row>
    <row r="157" spans="1:145" x14ac:dyDescent="0.15">
      <c r="A157" t="e">
        <f t="shared" si="386"/>
        <v>#N/A</v>
      </c>
      <c r="B157" s="218">
        <v>149</v>
      </c>
      <c r="C157">
        <f t="shared" si="386"/>
        <v>-1</v>
      </c>
      <c r="D157">
        <f t="shared" ref="D157:BO157" si="447">IF(OR(D156=-1,AND(IF(D$3&lt;$B157,D156+D$6,IF(D$3=$B157,1,""))&gt;$B$1,D$3&lt;$B157)),-1,IF(D$3&lt;$B157,D156+D$6,IF(D$3=$B157,1,"")))</f>
        <v>-1</v>
      </c>
      <c r="E157">
        <f t="shared" si="447"/>
        <v>-1</v>
      </c>
      <c r="F157">
        <f t="shared" si="447"/>
        <v>-1</v>
      </c>
      <c r="G157">
        <f t="shared" si="447"/>
        <v>-1</v>
      </c>
      <c r="H157">
        <f t="shared" si="447"/>
        <v>-1</v>
      </c>
      <c r="I157">
        <f t="shared" si="447"/>
        <v>-1</v>
      </c>
      <c r="J157">
        <f t="shared" si="447"/>
        <v>-1</v>
      </c>
      <c r="K157">
        <f t="shared" si="447"/>
        <v>-1</v>
      </c>
      <c r="L157">
        <f t="shared" si="447"/>
        <v>-1</v>
      </c>
      <c r="M157">
        <f t="shared" si="447"/>
        <v>-1</v>
      </c>
      <c r="N157">
        <f t="shared" si="447"/>
        <v>-1</v>
      </c>
      <c r="O157">
        <f t="shared" si="447"/>
        <v>-1</v>
      </c>
      <c r="P157">
        <f t="shared" si="447"/>
        <v>-1</v>
      </c>
      <c r="Q157">
        <f t="shared" si="447"/>
        <v>-1</v>
      </c>
      <c r="R157">
        <f t="shared" si="447"/>
        <v>-1</v>
      </c>
      <c r="S157">
        <f t="shared" si="447"/>
        <v>-1</v>
      </c>
      <c r="T157">
        <f t="shared" si="447"/>
        <v>-1</v>
      </c>
      <c r="U157">
        <f t="shared" si="447"/>
        <v>-1</v>
      </c>
      <c r="V157">
        <f t="shared" si="447"/>
        <v>-1</v>
      </c>
      <c r="W157">
        <f t="shared" si="447"/>
        <v>-1</v>
      </c>
      <c r="X157">
        <f t="shared" si="447"/>
        <v>-1</v>
      </c>
      <c r="Y157">
        <f t="shared" si="447"/>
        <v>-1</v>
      </c>
      <c r="Z157">
        <f t="shared" si="447"/>
        <v>-1</v>
      </c>
      <c r="AA157">
        <f t="shared" si="447"/>
        <v>-1</v>
      </c>
      <c r="AB157">
        <f t="shared" si="447"/>
        <v>-1</v>
      </c>
      <c r="AC157">
        <f t="shared" si="447"/>
        <v>-1</v>
      </c>
      <c r="AD157">
        <f t="shared" si="447"/>
        <v>-1</v>
      </c>
      <c r="AE157">
        <f t="shared" si="447"/>
        <v>-1</v>
      </c>
      <c r="AF157">
        <f t="shared" si="447"/>
        <v>-1</v>
      </c>
      <c r="AG157">
        <f t="shared" si="447"/>
        <v>-1</v>
      </c>
      <c r="AH157">
        <f t="shared" si="447"/>
        <v>-1</v>
      </c>
      <c r="AI157">
        <f t="shared" si="447"/>
        <v>-1</v>
      </c>
      <c r="AJ157">
        <f t="shared" si="447"/>
        <v>-1</v>
      </c>
      <c r="AK157">
        <f t="shared" si="447"/>
        <v>-1</v>
      </c>
      <c r="AL157">
        <f t="shared" si="447"/>
        <v>-1</v>
      </c>
      <c r="AM157">
        <f t="shared" si="447"/>
        <v>-1</v>
      </c>
      <c r="AN157">
        <f t="shared" si="447"/>
        <v>-1</v>
      </c>
      <c r="AO157">
        <f t="shared" si="447"/>
        <v>-1</v>
      </c>
      <c r="AP157">
        <f t="shared" si="447"/>
        <v>-1</v>
      </c>
      <c r="AQ157">
        <f t="shared" si="447"/>
        <v>-1</v>
      </c>
      <c r="AR157">
        <f t="shared" si="447"/>
        <v>-1</v>
      </c>
      <c r="AS157">
        <f t="shared" si="447"/>
        <v>-1</v>
      </c>
      <c r="AT157">
        <f t="shared" si="447"/>
        <v>-1</v>
      </c>
      <c r="AU157">
        <f t="shared" si="447"/>
        <v>-1</v>
      </c>
      <c r="AV157">
        <f t="shared" si="447"/>
        <v>-1</v>
      </c>
      <c r="AW157">
        <f t="shared" si="447"/>
        <v>-1</v>
      </c>
      <c r="AX157">
        <f t="shared" si="447"/>
        <v>-1</v>
      </c>
      <c r="AY157">
        <f t="shared" si="447"/>
        <v>-1</v>
      </c>
      <c r="AZ157">
        <f t="shared" si="447"/>
        <v>-1</v>
      </c>
      <c r="BA157">
        <f t="shared" si="447"/>
        <v>-1</v>
      </c>
      <c r="BB157">
        <f t="shared" si="447"/>
        <v>-1</v>
      </c>
      <c r="BC157">
        <f t="shared" si="447"/>
        <v>-1</v>
      </c>
      <c r="BD157">
        <f t="shared" si="447"/>
        <v>-1</v>
      </c>
      <c r="BE157">
        <f t="shared" si="447"/>
        <v>-1</v>
      </c>
      <c r="BF157">
        <f t="shared" si="447"/>
        <v>-1</v>
      </c>
      <c r="BG157">
        <f t="shared" si="447"/>
        <v>-1</v>
      </c>
      <c r="BH157">
        <f t="shared" si="447"/>
        <v>-1</v>
      </c>
      <c r="BI157">
        <f t="shared" si="447"/>
        <v>-1</v>
      </c>
      <c r="BJ157">
        <f t="shared" si="447"/>
        <v>-1</v>
      </c>
      <c r="BK157">
        <f t="shared" si="447"/>
        <v>-1</v>
      </c>
      <c r="BL157">
        <f t="shared" si="447"/>
        <v>-1</v>
      </c>
      <c r="BM157">
        <f t="shared" si="447"/>
        <v>-1</v>
      </c>
      <c r="BN157">
        <f t="shared" si="447"/>
        <v>-1</v>
      </c>
      <c r="BO157">
        <f t="shared" si="447"/>
        <v>-1</v>
      </c>
      <c r="BP157">
        <f t="shared" ref="BP157:EA157" si="448">IF(OR(BP156=-1,AND(IF(BP$3&lt;$B157,BP156+BP$6,IF(BP$3=$B157,1,""))&gt;$B$1,BP$3&lt;$B157)),-1,IF(BP$3&lt;$B157,BP156+BP$6,IF(BP$3=$B157,1,"")))</f>
        <v>-1</v>
      </c>
      <c r="BQ157">
        <f t="shared" si="448"/>
        <v>-1</v>
      </c>
      <c r="BR157">
        <f t="shared" si="448"/>
        <v>-1</v>
      </c>
      <c r="BS157">
        <f t="shared" si="448"/>
        <v>-1</v>
      </c>
      <c r="BT157">
        <f t="shared" si="448"/>
        <v>-1</v>
      </c>
      <c r="BU157">
        <f t="shared" si="448"/>
        <v>-1</v>
      </c>
      <c r="BV157">
        <f t="shared" si="448"/>
        <v>-1</v>
      </c>
      <c r="BW157">
        <f t="shared" si="448"/>
        <v>-1</v>
      </c>
      <c r="BX157">
        <f t="shared" si="448"/>
        <v>-1</v>
      </c>
      <c r="BY157">
        <f t="shared" si="448"/>
        <v>72.40000000000002</v>
      </c>
      <c r="BZ157">
        <f t="shared" si="448"/>
        <v>68.800000000000054</v>
      </c>
      <c r="CA157">
        <f t="shared" si="448"/>
        <v>65.200000000000088</v>
      </c>
      <c r="CB157">
        <f t="shared" si="448"/>
        <v>61.600000000000101</v>
      </c>
      <c r="CC157">
        <f t="shared" si="448"/>
        <v>58.000000000000092</v>
      </c>
      <c r="CD157">
        <f t="shared" si="448"/>
        <v>54.400000000000084</v>
      </c>
      <c r="CE157">
        <f t="shared" si="448"/>
        <v>50.800000000000075</v>
      </c>
      <c r="CF157">
        <f t="shared" si="448"/>
        <v>47.200000000000067</v>
      </c>
      <c r="CG157">
        <f t="shared" si="448"/>
        <v>43.600000000000058</v>
      </c>
      <c r="CH157">
        <f t="shared" si="448"/>
        <v>40.00000000000005</v>
      </c>
      <c r="CI157">
        <f t="shared" si="448"/>
        <v>36.400000000000041</v>
      </c>
      <c r="CJ157">
        <f t="shared" si="448"/>
        <v>32.800000000000033</v>
      </c>
      <c r="CK157">
        <f t="shared" si="448"/>
        <v>29.200000000000024</v>
      </c>
      <c r="CL157">
        <f t="shared" si="448"/>
        <v>25.600000000000016</v>
      </c>
      <c r="CM157">
        <f t="shared" si="448"/>
        <v>22.000000000000007</v>
      </c>
      <c r="CN157">
        <f t="shared" si="448"/>
        <v>18.399999999999999</v>
      </c>
      <c r="CO157">
        <f t="shared" si="448"/>
        <v>62.5</v>
      </c>
      <c r="CP157">
        <f t="shared" si="448"/>
        <v>49.5</v>
      </c>
      <c r="CQ157">
        <f t="shared" si="448"/>
        <v>-1</v>
      </c>
      <c r="CR157">
        <f t="shared" si="448"/>
        <v>-1</v>
      </c>
      <c r="CS157">
        <f t="shared" si="448"/>
        <v>-1</v>
      </c>
      <c r="CT157">
        <f t="shared" si="448"/>
        <v>-1</v>
      </c>
      <c r="CU157">
        <f t="shared" si="448"/>
        <v>-1</v>
      </c>
      <c r="CV157">
        <f t="shared" si="448"/>
        <v>-1</v>
      </c>
      <c r="CW157">
        <f t="shared" si="448"/>
        <v>-1</v>
      </c>
      <c r="CX157">
        <f t="shared" si="448"/>
        <v>-1</v>
      </c>
      <c r="CY157">
        <f t="shared" si="448"/>
        <v>-1</v>
      </c>
      <c r="CZ157">
        <f t="shared" si="448"/>
        <v>-1</v>
      </c>
      <c r="DA157">
        <f t="shared" si="448"/>
        <v>-1</v>
      </c>
      <c r="DB157">
        <f t="shared" si="448"/>
        <v>-1</v>
      </c>
      <c r="DC157">
        <f t="shared" si="448"/>
        <v>-1</v>
      </c>
      <c r="DD157">
        <f t="shared" si="448"/>
        <v>-1</v>
      </c>
      <c r="DE157">
        <f t="shared" si="448"/>
        <v>-1</v>
      </c>
      <c r="DF157">
        <f t="shared" si="448"/>
        <v>-1</v>
      </c>
      <c r="DG157">
        <f t="shared" si="448"/>
        <v>-1</v>
      </c>
      <c r="DH157">
        <f t="shared" si="448"/>
        <v>-1</v>
      </c>
      <c r="DI157">
        <f t="shared" si="448"/>
        <v>-1</v>
      </c>
      <c r="DJ157">
        <f t="shared" si="448"/>
        <v>-1</v>
      </c>
      <c r="DK157">
        <f t="shared" si="448"/>
        <v>-1</v>
      </c>
      <c r="DL157">
        <f t="shared" si="448"/>
        <v>-1</v>
      </c>
      <c r="DM157">
        <f t="shared" si="448"/>
        <v>-1</v>
      </c>
      <c r="DN157">
        <f t="shared" si="448"/>
        <v>-1</v>
      </c>
      <c r="DO157">
        <f t="shared" si="448"/>
        <v>-1</v>
      </c>
      <c r="DP157">
        <f t="shared" si="448"/>
        <v>-1</v>
      </c>
      <c r="DQ157">
        <f t="shared" si="448"/>
        <v>-1</v>
      </c>
      <c r="DR157">
        <f t="shared" si="448"/>
        <v>-1</v>
      </c>
      <c r="DS157">
        <f t="shared" si="448"/>
        <v>-1</v>
      </c>
      <c r="DT157">
        <f t="shared" si="448"/>
        <v>-1</v>
      </c>
      <c r="DU157">
        <f t="shared" si="448"/>
        <v>-1</v>
      </c>
      <c r="DV157">
        <f t="shared" si="448"/>
        <v>-1</v>
      </c>
      <c r="DW157">
        <f t="shared" si="448"/>
        <v>-1</v>
      </c>
      <c r="DX157">
        <f t="shared" si="448"/>
        <v>-1</v>
      </c>
      <c r="DY157">
        <f t="shared" si="448"/>
        <v>-1</v>
      </c>
      <c r="DZ157">
        <f t="shared" si="448"/>
        <v>-1</v>
      </c>
      <c r="EA157">
        <f t="shared" si="448"/>
        <v>-1</v>
      </c>
      <c r="EB157">
        <f t="shared" ref="EB157:EO157" si="449">IF(OR(EB156=-1,AND(IF(EB$3&lt;$B157,EB156+EB$6,IF(EB$3=$B157,1,""))&gt;$B$1,EB$3&lt;$B157)),-1,IF(EB$3&lt;$B157,EB156+EB$6,IF(EB$3=$B157,1,"")))</f>
        <v>-1</v>
      </c>
      <c r="EC157">
        <f t="shared" si="449"/>
        <v>-1</v>
      </c>
      <c r="ED157">
        <f t="shared" si="449"/>
        <v>-1</v>
      </c>
      <c r="EE157">
        <f t="shared" si="449"/>
        <v>-1</v>
      </c>
      <c r="EF157">
        <f t="shared" si="449"/>
        <v>-1</v>
      </c>
      <c r="EG157">
        <f t="shared" si="449"/>
        <v>-1</v>
      </c>
      <c r="EH157">
        <f t="shared" si="449"/>
        <v>-1</v>
      </c>
      <c r="EI157">
        <f t="shared" si="449"/>
        <v>-1</v>
      </c>
      <c r="EJ157">
        <f t="shared" si="449"/>
        <v>-1</v>
      </c>
      <c r="EK157">
        <f t="shared" si="449"/>
        <v>-1</v>
      </c>
      <c r="EL157">
        <f t="shared" si="449"/>
        <v>-1</v>
      </c>
      <c r="EM157">
        <f t="shared" si="449"/>
        <v>-1</v>
      </c>
      <c r="EN157">
        <f t="shared" si="449"/>
        <v>-1</v>
      </c>
      <c r="EO157">
        <f t="shared" si="449"/>
        <v>-1</v>
      </c>
    </row>
    <row r="158" spans="1:145" x14ac:dyDescent="0.15">
      <c r="A158" t="e">
        <f t="shared" si="386"/>
        <v>#N/A</v>
      </c>
      <c r="B158" s="218">
        <v>150</v>
      </c>
      <c r="C158">
        <f t="shared" si="386"/>
        <v>-1</v>
      </c>
      <c r="D158">
        <f t="shared" ref="D158:BO158" si="450">IF(OR(D157=-1,AND(IF(D$3&lt;$B158,D157+D$6,IF(D$3=$B158,1,""))&gt;$B$1,D$3&lt;$B158)),-1,IF(D$3&lt;$B158,D157+D$6,IF(D$3=$B158,1,"")))</f>
        <v>-1</v>
      </c>
      <c r="E158">
        <f t="shared" si="450"/>
        <v>-1</v>
      </c>
      <c r="F158">
        <f t="shared" si="450"/>
        <v>-1</v>
      </c>
      <c r="G158">
        <f t="shared" si="450"/>
        <v>-1</v>
      </c>
      <c r="H158">
        <f t="shared" si="450"/>
        <v>-1</v>
      </c>
      <c r="I158">
        <f t="shared" si="450"/>
        <v>-1</v>
      </c>
      <c r="J158">
        <f t="shared" si="450"/>
        <v>-1</v>
      </c>
      <c r="K158">
        <f t="shared" si="450"/>
        <v>-1</v>
      </c>
      <c r="L158">
        <f t="shared" si="450"/>
        <v>-1</v>
      </c>
      <c r="M158">
        <f t="shared" si="450"/>
        <v>-1</v>
      </c>
      <c r="N158">
        <f t="shared" si="450"/>
        <v>-1</v>
      </c>
      <c r="O158">
        <f t="shared" si="450"/>
        <v>-1</v>
      </c>
      <c r="P158">
        <f t="shared" si="450"/>
        <v>-1</v>
      </c>
      <c r="Q158">
        <f t="shared" si="450"/>
        <v>-1</v>
      </c>
      <c r="R158">
        <f t="shared" si="450"/>
        <v>-1</v>
      </c>
      <c r="S158">
        <f t="shared" si="450"/>
        <v>-1</v>
      </c>
      <c r="T158">
        <f t="shared" si="450"/>
        <v>-1</v>
      </c>
      <c r="U158">
        <f t="shared" si="450"/>
        <v>-1</v>
      </c>
      <c r="V158">
        <f t="shared" si="450"/>
        <v>-1</v>
      </c>
      <c r="W158">
        <f t="shared" si="450"/>
        <v>-1</v>
      </c>
      <c r="X158">
        <f t="shared" si="450"/>
        <v>-1</v>
      </c>
      <c r="Y158">
        <f t="shared" si="450"/>
        <v>-1</v>
      </c>
      <c r="Z158">
        <f t="shared" si="450"/>
        <v>-1</v>
      </c>
      <c r="AA158">
        <f t="shared" si="450"/>
        <v>-1</v>
      </c>
      <c r="AB158">
        <f t="shared" si="450"/>
        <v>-1</v>
      </c>
      <c r="AC158">
        <f t="shared" si="450"/>
        <v>-1</v>
      </c>
      <c r="AD158">
        <f t="shared" si="450"/>
        <v>-1</v>
      </c>
      <c r="AE158">
        <f t="shared" si="450"/>
        <v>-1</v>
      </c>
      <c r="AF158">
        <f t="shared" si="450"/>
        <v>-1</v>
      </c>
      <c r="AG158">
        <f t="shared" si="450"/>
        <v>-1</v>
      </c>
      <c r="AH158">
        <f t="shared" si="450"/>
        <v>-1</v>
      </c>
      <c r="AI158">
        <f t="shared" si="450"/>
        <v>-1</v>
      </c>
      <c r="AJ158">
        <f t="shared" si="450"/>
        <v>-1</v>
      </c>
      <c r="AK158">
        <f t="shared" si="450"/>
        <v>-1</v>
      </c>
      <c r="AL158">
        <f t="shared" si="450"/>
        <v>-1</v>
      </c>
      <c r="AM158">
        <f t="shared" si="450"/>
        <v>-1</v>
      </c>
      <c r="AN158">
        <f t="shared" si="450"/>
        <v>-1</v>
      </c>
      <c r="AO158">
        <f t="shared" si="450"/>
        <v>-1</v>
      </c>
      <c r="AP158">
        <f t="shared" si="450"/>
        <v>-1</v>
      </c>
      <c r="AQ158">
        <f t="shared" si="450"/>
        <v>-1</v>
      </c>
      <c r="AR158">
        <f t="shared" si="450"/>
        <v>-1</v>
      </c>
      <c r="AS158">
        <f t="shared" si="450"/>
        <v>-1</v>
      </c>
      <c r="AT158">
        <f t="shared" si="450"/>
        <v>-1</v>
      </c>
      <c r="AU158">
        <f t="shared" si="450"/>
        <v>-1</v>
      </c>
      <c r="AV158">
        <f t="shared" si="450"/>
        <v>-1</v>
      </c>
      <c r="AW158">
        <f t="shared" si="450"/>
        <v>-1</v>
      </c>
      <c r="AX158">
        <f t="shared" si="450"/>
        <v>-1</v>
      </c>
      <c r="AY158">
        <f t="shared" si="450"/>
        <v>-1</v>
      </c>
      <c r="AZ158">
        <f t="shared" si="450"/>
        <v>-1</v>
      </c>
      <c r="BA158">
        <f t="shared" si="450"/>
        <v>-1</v>
      </c>
      <c r="BB158">
        <f t="shared" si="450"/>
        <v>-1</v>
      </c>
      <c r="BC158">
        <f t="shared" si="450"/>
        <v>-1</v>
      </c>
      <c r="BD158">
        <f t="shared" si="450"/>
        <v>-1</v>
      </c>
      <c r="BE158">
        <f t="shared" si="450"/>
        <v>-1</v>
      </c>
      <c r="BF158">
        <f t="shared" si="450"/>
        <v>-1</v>
      </c>
      <c r="BG158">
        <f t="shared" si="450"/>
        <v>-1</v>
      </c>
      <c r="BH158">
        <f t="shared" si="450"/>
        <v>-1</v>
      </c>
      <c r="BI158">
        <f t="shared" si="450"/>
        <v>-1</v>
      </c>
      <c r="BJ158">
        <f t="shared" si="450"/>
        <v>-1</v>
      </c>
      <c r="BK158">
        <f t="shared" si="450"/>
        <v>-1</v>
      </c>
      <c r="BL158">
        <f t="shared" si="450"/>
        <v>-1</v>
      </c>
      <c r="BM158">
        <f t="shared" si="450"/>
        <v>-1</v>
      </c>
      <c r="BN158">
        <f t="shared" si="450"/>
        <v>-1</v>
      </c>
      <c r="BO158">
        <f t="shared" si="450"/>
        <v>-1</v>
      </c>
      <c r="BP158">
        <f t="shared" ref="BP158:EA158" si="451">IF(OR(BP157=-1,AND(IF(BP$3&lt;$B158,BP157+BP$6,IF(BP$3=$B158,1,""))&gt;$B$1,BP$3&lt;$B158)),-1,IF(BP$3&lt;$B158,BP157+BP$6,IF(BP$3=$B158,1,"")))</f>
        <v>-1</v>
      </c>
      <c r="BQ158">
        <f t="shared" si="451"/>
        <v>-1</v>
      </c>
      <c r="BR158">
        <f t="shared" si="451"/>
        <v>-1</v>
      </c>
      <c r="BS158">
        <f t="shared" si="451"/>
        <v>-1</v>
      </c>
      <c r="BT158">
        <f t="shared" si="451"/>
        <v>-1</v>
      </c>
      <c r="BU158">
        <f t="shared" si="451"/>
        <v>-1</v>
      </c>
      <c r="BV158">
        <f t="shared" si="451"/>
        <v>-1</v>
      </c>
      <c r="BW158">
        <f t="shared" si="451"/>
        <v>-1</v>
      </c>
      <c r="BX158">
        <f t="shared" si="451"/>
        <v>-1</v>
      </c>
      <c r="BY158">
        <f t="shared" si="451"/>
        <v>73.000000000000014</v>
      </c>
      <c r="BZ158">
        <f t="shared" si="451"/>
        <v>69.400000000000048</v>
      </c>
      <c r="CA158">
        <f t="shared" si="451"/>
        <v>65.800000000000082</v>
      </c>
      <c r="CB158">
        <f t="shared" si="451"/>
        <v>62.200000000000102</v>
      </c>
      <c r="CC158">
        <f t="shared" si="451"/>
        <v>58.600000000000094</v>
      </c>
      <c r="CD158">
        <f t="shared" si="451"/>
        <v>55.000000000000085</v>
      </c>
      <c r="CE158">
        <f t="shared" si="451"/>
        <v>51.400000000000077</v>
      </c>
      <c r="CF158">
        <f t="shared" si="451"/>
        <v>47.800000000000068</v>
      </c>
      <c r="CG158">
        <f t="shared" si="451"/>
        <v>44.20000000000006</v>
      </c>
      <c r="CH158">
        <f t="shared" si="451"/>
        <v>40.600000000000051</v>
      </c>
      <c r="CI158">
        <f t="shared" si="451"/>
        <v>37.000000000000043</v>
      </c>
      <c r="CJ158">
        <f t="shared" si="451"/>
        <v>33.400000000000034</v>
      </c>
      <c r="CK158">
        <f t="shared" si="451"/>
        <v>29.800000000000026</v>
      </c>
      <c r="CL158">
        <f t="shared" si="451"/>
        <v>26.200000000000017</v>
      </c>
      <c r="CM158">
        <f t="shared" si="451"/>
        <v>22.600000000000009</v>
      </c>
      <c r="CN158">
        <f t="shared" si="451"/>
        <v>19</v>
      </c>
      <c r="CO158">
        <f t="shared" si="451"/>
        <v>63</v>
      </c>
      <c r="CP158">
        <f t="shared" si="451"/>
        <v>50</v>
      </c>
      <c r="CQ158">
        <f t="shared" si="451"/>
        <v>-1</v>
      </c>
      <c r="CR158">
        <f t="shared" si="451"/>
        <v>-1</v>
      </c>
      <c r="CS158">
        <f t="shared" si="451"/>
        <v>-1</v>
      </c>
      <c r="CT158">
        <f t="shared" si="451"/>
        <v>-1</v>
      </c>
      <c r="CU158">
        <f t="shared" si="451"/>
        <v>-1</v>
      </c>
      <c r="CV158">
        <f t="shared" si="451"/>
        <v>-1</v>
      </c>
      <c r="CW158">
        <f t="shared" si="451"/>
        <v>-1</v>
      </c>
      <c r="CX158">
        <f t="shared" si="451"/>
        <v>-1</v>
      </c>
      <c r="CY158">
        <f t="shared" si="451"/>
        <v>-1</v>
      </c>
      <c r="CZ158">
        <f t="shared" si="451"/>
        <v>-1</v>
      </c>
      <c r="DA158">
        <f t="shared" si="451"/>
        <v>-1</v>
      </c>
      <c r="DB158">
        <f t="shared" si="451"/>
        <v>-1</v>
      </c>
      <c r="DC158">
        <f t="shared" si="451"/>
        <v>-1</v>
      </c>
      <c r="DD158">
        <f t="shared" si="451"/>
        <v>-1</v>
      </c>
      <c r="DE158">
        <f t="shared" si="451"/>
        <v>-1</v>
      </c>
      <c r="DF158">
        <f t="shared" si="451"/>
        <v>-1</v>
      </c>
      <c r="DG158">
        <f t="shared" si="451"/>
        <v>-1</v>
      </c>
      <c r="DH158">
        <f t="shared" si="451"/>
        <v>-1</v>
      </c>
      <c r="DI158">
        <f t="shared" si="451"/>
        <v>-1</v>
      </c>
      <c r="DJ158">
        <f t="shared" si="451"/>
        <v>-1</v>
      </c>
      <c r="DK158">
        <f t="shared" si="451"/>
        <v>-1</v>
      </c>
      <c r="DL158">
        <f t="shared" si="451"/>
        <v>-1</v>
      </c>
      <c r="DM158">
        <f t="shared" si="451"/>
        <v>-1</v>
      </c>
      <c r="DN158">
        <f t="shared" si="451"/>
        <v>-1</v>
      </c>
      <c r="DO158">
        <f t="shared" si="451"/>
        <v>-1</v>
      </c>
      <c r="DP158">
        <f t="shared" si="451"/>
        <v>-1</v>
      </c>
      <c r="DQ158">
        <f t="shared" si="451"/>
        <v>-1</v>
      </c>
      <c r="DR158">
        <f t="shared" si="451"/>
        <v>-1</v>
      </c>
      <c r="DS158">
        <f t="shared" si="451"/>
        <v>-1</v>
      </c>
      <c r="DT158">
        <f t="shared" si="451"/>
        <v>-1</v>
      </c>
      <c r="DU158">
        <f t="shared" si="451"/>
        <v>-1</v>
      </c>
      <c r="DV158">
        <f t="shared" si="451"/>
        <v>-1</v>
      </c>
      <c r="DW158">
        <f t="shared" si="451"/>
        <v>-1</v>
      </c>
      <c r="DX158">
        <f t="shared" si="451"/>
        <v>-1</v>
      </c>
      <c r="DY158">
        <f t="shared" si="451"/>
        <v>-1</v>
      </c>
      <c r="DZ158">
        <f t="shared" si="451"/>
        <v>-1</v>
      </c>
      <c r="EA158">
        <f t="shared" si="451"/>
        <v>-1</v>
      </c>
      <c r="EB158">
        <f t="shared" ref="EB158:EO158" si="452">IF(OR(EB157=-1,AND(IF(EB$3&lt;$B158,EB157+EB$6,IF(EB$3=$B158,1,""))&gt;$B$1,EB$3&lt;$B158)),-1,IF(EB$3&lt;$B158,EB157+EB$6,IF(EB$3=$B158,1,"")))</f>
        <v>-1</v>
      </c>
      <c r="EC158">
        <f t="shared" si="452"/>
        <v>-1</v>
      </c>
      <c r="ED158">
        <f t="shared" si="452"/>
        <v>-1</v>
      </c>
      <c r="EE158">
        <f t="shared" si="452"/>
        <v>-1</v>
      </c>
      <c r="EF158">
        <f t="shared" si="452"/>
        <v>-1</v>
      </c>
      <c r="EG158">
        <f t="shared" si="452"/>
        <v>-1</v>
      </c>
      <c r="EH158">
        <f t="shared" si="452"/>
        <v>-1</v>
      </c>
      <c r="EI158">
        <f t="shared" si="452"/>
        <v>-1</v>
      </c>
      <c r="EJ158">
        <f t="shared" si="452"/>
        <v>-1</v>
      </c>
      <c r="EK158">
        <f t="shared" si="452"/>
        <v>-1</v>
      </c>
      <c r="EL158">
        <f t="shared" si="452"/>
        <v>-1</v>
      </c>
      <c r="EM158">
        <f t="shared" si="452"/>
        <v>-1</v>
      </c>
      <c r="EN158">
        <f t="shared" si="452"/>
        <v>-1</v>
      </c>
      <c r="EO158">
        <f t="shared" si="452"/>
        <v>-1</v>
      </c>
    </row>
    <row r="159" spans="1:145" x14ac:dyDescent="0.15">
      <c r="A159" t="e">
        <f t="shared" si="386"/>
        <v>#N/A</v>
      </c>
      <c r="B159" s="218">
        <v>151</v>
      </c>
      <c r="C159">
        <f t="shared" si="386"/>
        <v>-1</v>
      </c>
      <c r="D159">
        <f t="shared" ref="D159:BO159" si="453">IF(OR(D158=-1,AND(IF(D$3&lt;$B159,D158+D$6,IF(D$3=$B159,1,""))&gt;$B$1,D$3&lt;$B159)),-1,IF(D$3&lt;$B159,D158+D$6,IF(D$3=$B159,1,"")))</f>
        <v>-1</v>
      </c>
      <c r="E159">
        <f t="shared" si="453"/>
        <v>-1</v>
      </c>
      <c r="F159">
        <f t="shared" si="453"/>
        <v>-1</v>
      </c>
      <c r="G159">
        <f t="shared" si="453"/>
        <v>-1</v>
      </c>
      <c r="H159">
        <f t="shared" si="453"/>
        <v>-1</v>
      </c>
      <c r="I159">
        <f t="shared" si="453"/>
        <v>-1</v>
      </c>
      <c r="J159">
        <f t="shared" si="453"/>
        <v>-1</v>
      </c>
      <c r="K159">
        <f t="shared" si="453"/>
        <v>-1</v>
      </c>
      <c r="L159">
        <f t="shared" si="453"/>
        <v>-1</v>
      </c>
      <c r="M159">
        <f t="shared" si="453"/>
        <v>-1</v>
      </c>
      <c r="N159">
        <f t="shared" si="453"/>
        <v>-1</v>
      </c>
      <c r="O159">
        <f t="shared" si="453"/>
        <v>-1</v>
      </c>
      <c r="P159">
        <f t="shared" si="453"/>
        <v>-1</v>
      </c>
      <c r="Q159">
        <f t="shared" si="453"/>
        <v>-1</v>
      </c>
      <c r="R159">
        <f t="shared" si="453"/>
        <v>-1</v>
      </c>
      <c r="S159">
        <f t="shared" si="453"/>
        <v>-1</v>
      </c>
      <c r="T159">
        <f t="shared" si="453"/>
        <v>-1</v>
      </c>
      <c r="U159">
        <f t="shared" si="453"/>
        <v>-1</v>
      </c>
      <c r="V159">
        <f t="shared" si="453"/>
        <v>-1</v>
      </c>
      <c r="W159">
        <f t="shared" si="453"/>
        <v>-1</v>
      </c>
      <c r="X159">
        <f t="shared" si="453"/>
        <v>-1</v>
      </c>
      <c r="Y159">
        <f t="shared" si="453"/>
        <v>-1</v>
      </c>
      <c r="Z159">
        <f t="shared" si="453"/>
        <v>-1</v>
      </c>
      <c r="AA159">
        <f t="shared" si="453"/>
        <v>-1</v>
      </c>
      <c r="AB159">
        <f t="shared" si="453"/>
        <v>-1</v>
      </c>
      <c r="AC159">
        <f t="shared" si="453"/>
        <v>-1</v>
      </c>
      <c r="AD159">
        <f t="shared" si="453"/>
        <v>-1</v>
      </c>
      <c r="AE159">
        <f t="shared" si="453"/>
        <v>-1</v>
      </c>
      <c r="AF159">
        <f t="shared" si="453"/>
        <v>-1</v>
      </c>
      <c r="AG159">
        <f t="shared" si="453"/>
        <v>-1</v>
      </c>
      <c r="AH159">
        <f t="shared" si="453"/>
        <v>-1</v>
      </c>
      <c r="AI159">
        <f t="shared" si="453"/>
        <v>-1</v>
      </c>
      <c r="AJ159">
        <f t="shared" si="453"/>
        <v>-1</v>
      </c>
      <c r="AK159">
        <f t="shared" si="453"/>
        <v>-1</v>
      </c>
      <c r="AL159">
        <f t="shared" si="453"/>
        <v>-1</v>
      </c>
      <c r="AM159">
        <f t="shared" si="453"/>
        <v>-1</v>
      </c>
      <c r="AN159">
        <f t="shared" si="453"/>
        <v>-1</v>
      </c>
      <c r="AO159">
        <f t="shared" si="453"/>
        <v>-1</v>
      </c>
      <c r="AP159">
        <f t="shared" si="453"/>
        <v>-1</v>
      </c>
      <c r="AQ159">
        <f t="shared" si="453"/>
        <v>-1</v>
      </c>
      <c r="AR159">
        <f t="shared" si="453"/>
        <v>-1</v>
      </c>
      <c r="AS159">
        <f t="shared" si="453"/>
        <v>-1</v>
      </c>
      <c r="AT159">
        <f t="shared" si="453"/>
        <v>-1</v>
      </c>
      <c r="AU159">
        <f t="shared" si="453"/>
        <v>-1</v>
      </c>
      <c r="AV159">
        <f t="shared" si="453"/>
        <v>-1</v>
      </c>
      <c r="AW159">
        <f t="shared" si="453"/>
        <v>-1</v>
      </c>
      <c r="AX159">
        <f t="shared" si="453"/>
        <v>-1</v>
      </c>
      <c r="AY159">
        <f t="shared" si="453"/>
        <v>-1</v>
      </c>
      <c r="AZ159">
        <f t="shared" si="453"/>
        <v>-1</v>
      </c>
      <c r="BA159">
        <f t="shared" si="453"/>
        <v>-1</v>
      </c>
      <c r="BB159">
        <f t="shared" si="453"/>
        <v>-1</v>
      </c>
      <c r="BC159">
        <f t="shared" si="453"/>
        <v>-1</v>
      </c>
      <c r="BD159">
        <f t="shared" si="453"/>
        <v>-1</v>
      </c>
      <c r="BE159">
        <f t="shared" si="453"/>
        <v>-1</v>
      </c>
      <c r="BF159">
        <f t="shared" si="453"/>
        <v>-1</v>
      </c>
      <c r="BG159">
        <f t="shared" si="453"/>
        <v>-1</v>
      </c>
      <c r="BH159">
        <f t="shared" si="453"/>
        <v>-1</v>
      </c>
      <c r="BI159">
        <f t="shared" si="453"/>
        <v>-1</v>
      </c>
      <c r="BJ159">
        <f t="shared" si="453"/>
        <v>-1</v>
      </c>
      <c r="BK159">
        <f t="shared" si="453"/>
        <v>-1</v>
      </c>
      <c r="BL159">
        <f t="shared" si="453"/>
        <v>-1</v>
      </c>
      <c r="BM159">
        <f t="shared" si="453"/>
        <v>-1</v>
      </c>
      <c r="BN159">
        <f t="shared" si="453"/>
        <v>-1</v>
      </c>
      <c r="BO159">
        <f t="shared" si="453"/>
        <v>-1</v>
      </c>
      <c r="BP159">
        <f t="shared" ref="BP159:EA159" si="454">IF(OR(BP158=-1,AND(IF(BP$3&lt;$B159,BP158+BP$6,IF(BP$3=$B159,1,""))&gt;$B$1,BP$3&lt;$B159)),-1,IF(BP$3&lt;$B159,BP158+BP$6,IF(BP$3=$B159,1,"")))</f>
        <v>-1</v>
      </c>
      <c r="BQ159">
        <f t="shared" si="454"/>
        <v>-1</v>
      </c>
      <c r="BR159">
        <f t="shared" si="454"/>
        <v>-1</v>
      </c>
      <c r="BS159">
        <f t="shared" si="454"/>
        <v>-1</v>
      </c>
      <c r="BT159">
        <f t="shared" si="454"/>
        <v>-1</v>
      </c>
      <c r="BU159">
        <f t="shared" si="454"/>
        <v>-1</v>
      </c>
      <c r="BV159">
        <f t="shared" si="454"/>
        <v>-1</v>
      </c>
      <c r="BW159">
        <f t="shared" si="454"/>
        <v>-1</v>
      </c>
      <c r="BX159">
        <f t="shared" si="454"/>
        <v>-1</v>
      </c>
      <c r="BY159">
        <f t="shared" si="454"/>
        <v>73.600000000000009</v>
      </c>
      <c r="BZ159">
        <f t="shared" si="454"/>
        <v>70.000000000000043</v>
      </c>
      <c r="CA159">
        <f t="shared" si="454"/>
        <v>66.400000000000077</v>
      </c>
      <c r="CB159">
        <f t="shared" si="454"/>
        <v>62.800000000000104</v>
      </c>
      <c r="CC159">
        <f t="shared" si="454"/>
        <v>59.200000000000095</v>
      </c>
      <c r="CD159">
        <f t="shared" si="454"/>
        <v>55.600000000000087</v>
      </c>
      <c r="CE159">
        <f t="shared" si="454"/>
        <v>52.000000000000078</v>
      </c>
      <c r="CF159">
        <f t="shared" si="454"/>
        <v>48.40000000000007</v>
      </c>
      <c r="CG159">
        <f t="shared" si="454"/>
        <v>44.800000000000061</v>
      </c>
      <c r="CH159">
        <f t="shared" si="454"/>
        <v>41.200000000000053</v>
      </c>
      <c r="CI159">
        <f t="shared" si="454"/>
        <v>37.600000000000044</v>
      </c>
      <c r="CJ159">
        <f t="shared" si="454"/>
        <v>34.000000000000036</v>
      </c>
      <c r="CK159">
        <f t="shared" si="454"/>
        <v>30.400000000000027</v>
      </c>
      <c r="CL159">
        <f t="shared" si="454"/>
        <v>26.800000000000018</v>
      </c>
      <c r="CM159">
        <f t="shared" si="454"/>
        <v>23.20000000000001</v>
      </c>
      <c r="CN159">
        <f t="shared" si="454"/>
        <v>19.600000000000001</v>
      </c>
      <c r="CO159">
        <f t="shared" si="454"/>
        <v>63.5</v>
      </c>
      <c r="CP159">
        <f t="shared" si="454"/>
        <v>50.5</v>
      </c>
      <c r="CQ159">
        <f t="shared" si="454"/>
        <v>-1</v>
      </c>
      <c r="CR159">
        <f t="shared" si="454"/>
        <v>-1</v>
      </c>
      <c r="CS159">
        <f t="shared" si="454"/>
        <v>-1</v>
      </c>
      <c r="CT159">
        <f t="shared" si="454"/>
        <v>-1</v>
      </c>
      <c r="CU159">
        <f t="shared" si="454"/>
        <v>-1</v>
      </c>
      <c r="CV159">
        <f t="shared" si="454"/>
        <v>-1</v>
      </c>
      <c r="CW159">
        <f t="shared" si="454"/>
        <v>-1</v>
      </c>
      <c r="CX159">
        <f t="shared" si="454"/>
        <v>-1</v>
      </c>
      <c r="CY159">
        <f t="shared" si="454"/>
        <v>-1</v>
      </c>
      <c r="CZ159">
        <f t="shared" si="454"/>
        <v>-1</v>
      </c>
      <c r="DA159">
        <f t="shared" si="454"/>
        <v>-1</v>
      </c>
      <c r="DB159">
        <f t="shared" si="454"/>
        <v>-1</v>
      </c>
      <c r="DC159">
        <f t="shared" si="454"/>
        <v>-1</v>
      </c>
      <c r="DD159">
        <f t="shared" si="454"/>
        <v>-1</v>
      </c>
      <c r="DE159">
        <f t="shared" si="454"/>
        <v>-1</v>
      </c>
      <c r="DF159">
        <f t="shared" si="454"/>
        <v>-1</v>
      </c>
      <c r="DG159">
        <f t="shared" si="454"/>
        <v>-1</v>
      </c>
      <c r="DH159">
        <f t="shared" si="454"/>
        <v>-1</v>
      </c>
      <c r="DI159">
        <f t="shared" si="454"/>
        <v>-1</v>
      </c>
      <c r="DJ159">
        <f t="shared" si="454"/>
        <v>-1</v>
      </c>
      <c r="DK159">
        <f t="shared" si="454"/>
        <v>-1</v>
      </c>
      <c r="DL159">
        <f t="shared" si="454"/>
        <v>-1</v>
      </c>
      <c r="DM159">
        <f t="shared" si="454"/>
        <v>-1</v>
      </c>
      <c r="DN159">
        <f t="shared" si="454"/>
        <v>-1</v>
      </c>
      <c r="DO159">
        <f t="shared" si="454"/>
        <v>-1</v>
      </c>
      <c r="DP159">
        <f t="shared" si="454"/>
        <v>-1</v>
      </c>
      <c r="DQ159">
        <f t="shared" si="454"/>
        <v>-1</v>
      </c>
      <c r="DR159">
        <f t="shared" si="454"/>
        <v>-1</v>
      </c>
      <c r="DS159">
        <f t="shared" si="454"/>
        <v>-1</v>
      </c>
      <c r="DT159">
        <f t="shared" si="454"/>
        <v>-1</v>
      </c>
      <c r="DU159">
        <f t="shared" si="454"/>
        <v>-1</v>
      </c>
      <c r="DV159">
        <f t="shared" si="454"/>
        <v>-1</v>
      </c>
      <c r="DW159">
        <f t="shared" si="454"/>
        <v>-1</v>
      </c>
      <c r="DX159">
        <f t="shared" si="454"/>
        <v>-1</v>
      </c>
      <c r="DY159">
        <f t="shared" si="454"/>
        <v>-1</v>
      </c>
      <c r="DZ159">
        <f t="shared" si="454"/>
        <v>-1</v>
      </c>
      <c r="EA159">
        <f t="shared" si="454"/>
        <v>-1</v>
      </c>
      <c r="EB159">
        <f t="shared" ref="EB159:EO159" si="455">IF(OR(EB158=-1,AND(IF(EB$3&lt;$B159,EB158+EB$6,IF(EB$3=$B159,1,""))&gt;$B$1,EB$3&lt;$B159)),-1,IF(EB$3&lt;$B159,EB158+EB$6,IF(EB$3=$B159,1,"")))</f>
        <v>-1</v>
      </c>
      <c r="EC159">
        <f t="shared" si="455"/>
        <v>-1</v>
      </c>
      <c r="ED159">
        <f t="shared" si="455"/>
        <v>-1</v>
      </c>
      <c r="EE159">
        <f t="shared" si="455"/>
        <v>-1</v>
      </c>
      <c r="EF159">
        <f t="shared" si="455"/>
        <v>-1</v>
      </c>
      <c r="EG159">
        <f t="shared" si="455"/>
        <v>-1</v>
      </c>
      <c r="EH159">
        <f t="shared" si="455"/>
        <v>-1</v>
      </c>
      <c r="EI159">
        <f t="shared" si="455"/>
        <v>-1</v>
      </c>
      <c r="EJ159">
        <f t="shared" si="455"/>
        <v>-1</v>
      </c>
      <c r="EK159">
        <f t="shared" si="455"/>
        <v>-1</v>
      </c>
      <c r="EL159">
        <f t="shared" si="455"/>
        <v>-1</v>
      </c>
      <c r="EM159">
        <f t="shared" si="455"/>
        <v>-1</v>
      </c>
      <c r="EN159">
        <f t="shared" si="455"/>
        <v>-1</v>
      </c>
      <c r="EO159">
        <f t="shared" si="455"/>
        <v>-1</v>
      </c>
    </row>
    <row r="160" spans="1:145" x14ac:dyDescent="0.15">
      <c r="A160" t="e">
        <f t="shared" si="386"/>
        <v>#N/A</v>
      </c>
      <c r="B160" s="218">
        <v>152</v>
      </c>
      <c r="C160">
        <f t="shared" si="386"/>
        <v>-1</v>
      </c>
      <c r="D160">
        <f t="shared" ref="D160:BO160" si="456">IF(OR(D159=-1,AND(IF(D$3&lt;$B160,D159+D$6,IF(D$3=$B160,1,""))&gt;$B$1,D$3&lt;$B160)),-1,IF(D$3&lt;$B160,D159+D$6,IF(D$3=$B160,1,"")))</f>
        <v>-1</v>
      </c>
      <c r="E160">
        <f t="shared" si="456"/>
        <v>-1</v>
      </c>
      <c r="F160">
        <f t="shared" si="456"/>
        <v>-1</v>
      </c>
      <c r="G160">
        <f t="shared" si="456"/>
        <v>-1</v>
      </c>
      <c r="H160">
        <f t="shared" si="456"/>
        <v>-1</v>
      </c>
      <c r="I160">
        <f t="shared" si="456"/>
        <v>-1</v>
      </c>
      <c r="J160">
        <f t="shared" si="456"/>
        <v>-1</v>
      </c>
      <c r="K160">
        <f t="shared" si="456"/>
        <v>-1</v>
      </c>
      <c r="L160">
        <f t="shared" si="456"/>
        <v>-1</v>
      </c>
      <c r="M160">
        <f t="shared" si="456"/>
        <v>-1</v>
      </c>
      <c r="N160">
        <f t="shared" si="456"/>
        <v>-1</v>
      </c>
      <c r="O160">
        <f t="shared" si="456"/>
        <v>-1</v>
      </c>
      <c r="P160">
        <f t="shared" si="456"/>
        <v>-1</v>
      </c>
      <c r="Q160">
        <f t="shared" si="456"/>
        <v>-1</v>
      </c>
      <c r="R160">
        <f t="shared" si="456"/>
        <v>-1</v>
      </c>
      <c r="S160">
        <f t="shared" si="456"/>
        <v>-1</v>
      </c>
      <c r="T160">
        <f t="shared" si="456"/>
        <v>-1</v>
      </c>
      <c r="U160">
        <f t="shared" si="456"/>
        <v>-1</v>
      </c>
      <c r="V160">
        <f t="shared" si="456"/>
        <v>-1</v>
      </c>
      <c r="W160">
        <f t="shared" si="456"/>
        <v>-1</v>
      </c>
      <c r="X160">
        <f t="shared" si="456"/>
        <v>-1</v>
      </c>
      <c r="Y160">
        <f t="shared" si="456"/>
        <v>-1</v>
      </c>
      <c r="Z160">
        <f t="shared" si="456"/>
        <v>-1</v>
      </c>
      <c r="AA160">
        <f t="shared" si="456"/>
        <v>-1</v>
      </c>
      <c r="AB160">
        <f t="shared" si="456"/>
        <v>-1</v>
      </c>
      <c r="AC160">
        <f t="shared" si="456"/>
        <v>-1</v>
      </c>
      <c r="AD160">
        <f t="shared" si="456"/>
        <v>-1</v>
      </c>
      <c r="AE160">
        <f t="shared" si="456"/>
        <v>-1</v>
      </c>
      <c r="AF160">
        <f t="shared" si="456"/>
        <v>-1</v>
      </c>
      <c r="AG160">
        <f t="shared" si="456"/>
        <v>-1</v>
      </c>
      <c r="AH160">
        <f t="shared" si="456"/>
        <v>-1</v>
      </c>
      <c r="AI160">
        <f t="shared" si="456"/>
        <v>-1</v>
      </c>
      <c r="AJ160">
        <f t="shared" si="456"/>
        <v>-1</v>
      </c>
      <c r="AK160">
        <f t="shared" si="456"/>
        <v>-1</v>
      </c>
      <c r="AL160">
        <f t="shared" si="456"/>
        <v>-1</v>
      </c>
      <c r="AM160">
        <f t="shared" si="456"/>
        <v>-1</v>
      </c>
      <c r="AN160">
        <f t="shared" si="456"/>
        <v>-1</v>
      </c>
      <c r="AO160">
        <f t="shared" si="456"/>
        <v>-1</v>
      </c>
      <c r="AP160">
        <f t="shared" si="456"/>
        <v>-1</v>
      </c>
      <c r="AQ160">
        <f t="shared" si="456"/>
        <v>-1</v>
      </c>
      <c r="AR160">
        <f t="shared" si="456"/>
        <v>-1</v>
      </c>
      <c r="AS160">
        <f t="shared" si="456"/>
        <v>-1</v>
      </c>
      <c r="AT160">
        <f t="shared" si="456"/>
        <v>-1</v>
      </c>
      <c r="AU160">
        <f t="shared" si="456"/>
        <v>-1</v>
      </c>
      <c r="AV160">
        <f t="shared" si="456"/>
        <v>-1</v>
      </c>
      <c r="AW160">
        <f t="shared" si="456"/>
        <v>-1</v>
      </c>
      <c r="AX160">
        <f t="shared" si="456"/>
        <v>-1</v>
      </c>
      <c r="AY160">
        <f t="shared" si="456"/>
        <v>-1</v>
      </c>
      <c r="AZ160">
        <f t="shared" si="456"/>
        <v>-1</v>
      </c>
      <c r="BA160">
        <f t="shared" si="456"/>
        <v>-1</v>
      </c>
      <c r="BB160">
        <f t="shared" si="456"/>
        <v>-1</v>
      </c>
      <c r="BC160">
        <f t="shared" si="456"/>
        <v>-1</v>
      </c>
      <c r="BD160">
        <f t="shared" si="456"/>
        <v>-1</v>
      </c>
      <c r="BE160">
        <f t="shared" si="456"/>
        <v>-1</v>
      </c>
      <c r="BF160">
        <f t="shared" si="456"/>
        <v>-1</v>
      </c>
      <c r="BG160">
        <f t="shared" si="456"/>
        <v>-1</v>
      </c>
      <c r="BH160">
        <f t="shared" si="456"/>
        <v>-1</v>
      </c>
      <c r="BI160">
        <f t="shared" si="456"/>
        <v>-1</v>
      </c>
      <c r="BJ160">
        <f t="shared" si="456"/>
        <v>-1</v>
      </c>
      <c r="BK160">
        <f t="shared" si="456"/>
        <v>-1</v>
      </c>
      <c r="BL160">
        <f t="shared" si="456"/>
        <v>-1</v>
      </c>
      <c r="BM160">
        <f t="shared" si="456"/>
        <v>-1</v>
      </c>
      <c r="BN160">
        <f t="shared" si="456"/>
        <v>-1</v>
      </c>
      <c r="BO160">
        <f t="shared" si="456"/>
        <v>-1</v>
      </c>
      <c r="BP160">
        <f t="shared" ref="BP160:EA160" si="457">IF(OR(BP159=-1,AND(IF(BP$3&lt;$B160,BP159+BP$6,IF(BP$3=$B160,1,""))&gt;$B$1,BP$3&lt;$B160)),-1,IF(BP$3&lt;$B160,BP159+BP$6,IF(BP$3=$B160,1,"")))</f>
        <v>-1</v>
      </c>
      <c r="BQ160">
        <f t="shared" si="457"/>
        <v>-1</v>
      </c>
      <c r="BR160">
        <f t="shared" si="457"/>
        <v>-1</v>
      </c>
      <c r="BS160">
        <f t="shared" si="457"/>
        <v>-1</v>
      </c>
      <c r="BT160">
        <f t="shared" si="457"/>
        <v>-1</v>
      </c>
      <c r="BU160">
        <f t="shared" si="457"/>
        <v>-1</v>
      </c>
      <c r="BV160">
        <f t="shared" si="457"/>
        <v>-1</v>
      </c>
      <c r="BW160">
        <f t="shared" si="457"/>
        <v>-1</v>
      </c>
      <c r="BX160">
        <f t="shared" si="457"/>
        <v>-1</v>
      </c>
      <c r="BY160">
        <f t="shared" si="457"/>
        <v>74.2</v>
      </c>
      <c r="BZ160">
        <f t="shared" si="457"/>
        <v>70.600000000000037</v>
      </c>
      <c r="CA160">
        <f t="shared" si="457"/>
        <v>67.000000000000071</v>
      </c>
      <c r="CB160">
        <f t="shared" si="457"/>
        <v>63.400000000000105</v>
      </c>
      <c r="CC160">
        <f t="shared" si="457"/>
        <v>59.800000000000097</v>
      </c>
      <c r="CD160">
        <f t="shared" si="457"/>
        <v>56.200000000000088</v>
      </c>
      <c r="CE160">
        <f t="shared" si="457"/>
        <v>52.60000000000008</v>
      </c>
      <c r="CF160">
        <f t="shared" si="457"/>
        <v>49.000000000000071</v>
      </c>
      <c r="CG160">
        <f t="shared" si="457"/>
        <v>45.400000000000063</v>
      </c>
      <c r="CH160">
        <f t="shared" si="457"/>
        <v>41.800000000000054</v>
      </c>
      <c r="CI160">
        <f t="shared" si="457"/>
        <v>38.200000000000045</v>
      </c>
      <c r="CJ160">
        <f t="shared" si="457"/>
        <v>34.600000000000037</v>
      </c>
      <c r="CK160">
        <f t="shared" si="457"/>
        <v>31.000000000000028</v>
      </c>
      <c r="CL160">
        <f t="shared" si="457"/>
        <v>27.40000000000002</v>
      </c>
      <c r="CM160">
        <f t="shared" si="457"/>
        <v>23.800000000000011</v>
      </c>
      <c r="CN160">
        <f t="shared" si="457"/>
        <v>20.200000000000003</v>
      </c>
      <c r="CO160">
        <f t="shared" si="457"/>
        <v>64</v>
      </c>
      <c r="CP160">
        <f t="shared" si="457"/>
        <v>51</v>
      </c>
      <c r="CQ160">
        <f t="shared" si="457"/>
        <v>-1</v>
      </c>
      <c r="CR160">
        <f t="shared" si="457"/>
        <v>-1</v>
      </c>
      <c r="CS160">
        <f t="shared" si="457"/>
        <v>-1</v>
      </c>
      <c r="CT160">
        <f t="shared" si="457"/>
        <v>-1</v>
      </c>
      <c r="CU160">
        <f t="shared" si="457"/>
        <v>-1</v>
      </c>
      <c r="CV160">
        <f t="shared" si="457"/>
        <v>-1</v>
      </c>
      <c r="CW160">
        <f t="shared" si="457"/>
        <v>-1</v>
      </c>
      <c r="CX160">
        <f t="shared" si="457"/>
        <v>-1</v>
      </c>
      <c r="CY160">
        <f t="shared" si="457"/>
        <v>-1</v>
      </c>
      <c r="CZ160">
        <f t="shared" si="457"/>
        <v>-1</v>
      </c>
      <c r="DA160">
        <f t="shared" si="457"/>
        <v>-1</v>
      </c>
      <c r="DB160">
        <f t="shared" si="457"/>
        <v>-1</v>
      </c>
      <c r="DC160">
        <f t="shared" si="457"/>
        <v>-1</v>
      </c>
      <c r="DD160">
        <f t="shared" si="457"/>
        <v>-1</v>
      </c>
      <c r="DE160">
        <f t="shared" si="457"/>
        <v>-1</v>
      </c>
      <c r="DF160">
        <f t="shared" si="457"/>
        <v>-1</v>
      </c>
      <c r="DG160">
        <f t="shared" si="457"/>
        <v>-1</v>
      </c>
      <c r="DH160">
        <f t="shared" si="457"/>
        <v>-1</v>
      </c>
      <c r="DI160">
        <f t="shared" si="457"/>
        <v>-1</v>
      </c>
      <c r="DJ160">
        <f t="shared" si="457"/>
        <v>-1</v>
      </c>
      <c r="DK160">
        <f t="shared" si="457"/>
        <v>-1</v>
      </c>
      <c r="DL160">
        <f t="shared" si="457"/>
        <v>-1</v>
      </c>
      <c r="DM160">
        <f t="shared" si="457"/>
        <v>-1</v>
      </c>
      <c r="DN160">
        <f t="shared" si="457"/>
        <v>-1</v>
      </c>
      <c r="DO160">
        <f t="shared" si="457"/>
        <v>-1</v>
      </c>
      <c r="DP160">
        <f t="shared" si="457"/>
        <v>-1</v>
      </c>
      <c r="DQ160">
        <f t="shared" si="457"/>
        <v>-1</v>
      </c>
      <c r="DR160">
        <f t="shared" si="457"/>
        <v>-1</v>
      </c>
      <c r="DS160">
        <f t="shared" si="457"/>
        <v>-1</v>
      </c>
      <c r="DT160">
        <f t="shared" si="457"/>
        <v>-1</v>
      </c>
      <c r="DU160">
        <f t="shared" si="457"/>
        <v>-1</v>
      </c>
      <c r="DV160">
        <f t="shared" si="457"/>
        <v>-1</v>
      </c>
      <c r="DW160">
        <f t="shared" si="457"/>
        <v>-1</v>
      </c>
      <c r="DX160">
        <f t="shared" si="457"/>
        <v>-1</v>
      </c>
      <c r="DY160">
        <f t="shared" si="457"/>
        <v>-1</v>
      </c>
      <c r="DZ160">
        <f t="shared" si="457"/>
        <v>-1</v>
      </c>
      <c r="EA160">
        <f t="shared" si="457"/>
        <v>-1</v>
      </c>
      <c r="EB160">
        <f t="shared" ref="EB160:EO160" si="458">IF(OR(EB159=-1,AND(IF(EB$3&lt;$B160,EB159+EB$6,IF(EB$3=$B160,1,""))&gt;$B$1,EB$3&lt;$B160)),-1,IF(EB$3&lt;$B160,EB159+EB$6,IF(EB$3=$B160,1,"")))</f>
        <v>-1</v>
      </c>
      <c r="EC160">
        <f t="shared" si="458"/>
        <v>-1</v>
      </c>
      <c r="ED160">
        <f t="shared" si="458"/>
        <v>-1</v>
      </c>
      <c r="EE160">
        <f t="shared" si="458"/>
        <v>-1</v>
      </c>
      <c r="EF160">
        <f t="shared" si="458"/>
        <v>-1</v>
      </c>
      <c r="EG160">
        <f t="shared" si="458"/>
        <v>-1</v>
      </c>
      <c r="EH160">
        <f t="shared" si="458"/>
        <v>-1</v>
      </c>
      <c r="EI160">
        <f t="shared" si="458"/>
        <v>-1</v>
      </c>
      <c r="EJ160">
        <f t="shared" si="458"/>
        <v>-1</v>
      </c>
      <c r="EK160">
        <f t="shared" si="458"/>
        <v>-1</v>
      </c>
      <c r="EL160">
        <f t="shared" si="458"/>
        <v>-1</v>
      </c>
      <c r="EM160">
        <f t="shared" si="458"/>
        <v>-1</v>
      </c>
      <c r="EN160">
        <f t="shared" si="458"/>
        <v>-1</v>
      </c>
      <c r="EO160">
        <f t="shared" si="458"/>
        <v>-1</v>
      </c>
    </row>
    <row r="161" spans="1:145" x14ac:dyDescent="0.15">
      <c r="A161" t="e">
        <f t="shared" si="386"/>
        <v>#N/A</v>
      </c>
      <c r="B161" s="218">
        <v>153</v>
      </c>
      <c r="C161">
        <f t="shared" si="386"/>
        <v>-1</v>
      </c>
      <c r="D161">
        <f t="shared" ref="D161:BO161" si="459">IF(OR(D160=-1,AND(IF(D$3&lt;$B161,D160+D$6,IF(D$3=$B161,1,""))&gt;$B$1,D$3&lt;$B161)),-1,IF(D$3&lt;$B161,D160+D$6,IF(D$3=$B161,1,"")))</f>
        <v>-1</v>
      </c>
      <c r="E161">
        <f t="shared" si="459"/>
        <v>-1</v>
      </c>
      <c r="F161">
        <f t="shared" si="459"/>
        <v>-1</v>
      </c>
      <c r="G161">
        <f t="shared" si="459"/>
        <v>-1</v>
      </c>
      <c r="H161">
        <f t="shared" si="459"/>
        <v>-1</v>
      </c>
      <c r="I161">
        <f t="shared" si="459"/>
        <v>-1</v>
      </c>
      <c r="J161">
        <f t="shared" si="459"/>
        <v>-1</v>
      </c>
      <c r="K161">
        <f t="shared" si="459"/>
        <v>-1</v>
      </c>
      <c r="L161">
        <f t="shared" si="459"/>
        <v>-1</v>
      </c>
      <c r="M161">
        <f t="shared" si="459"/>
        <v>-1</v>
      </c>
      <c r="N161">
        <f t="shared" si="459"/>
        <v>-1</v>
      </c>
      <c r="O161">
        <f t="shared" si="459"/>
        <v>-1</v>
      </c>
      <c r="P161">
        <f t="shared" si="459"/>
        <v>-1</v>
      </c>
      <c r="Q161">
        <f t="shared" si="459"/>
        <v>-1</v>
      </c>
      <c r="R161">
        <f t="shared" si="459"/>
        <v>-1</v>
      </c>
      <c r="S161">
        <f t="shared" si="459"/>
        <v>-1</v>
      </c>
      <c r="T161">
        <f t="shared" si="459"/>
        <v>-1</v>
      </c>
      <c r="U161">
        <f t="shared" si="459"/>
        <v>-1</v>
      </c>
      <c r="V161">
        <f t="shared" si="459"/>
        <v>-1</v>
      </c>
      <c r="W161">
        <f t="shared" si="459"/>
        <v>-1</v>
      </c>
      <c r="X161">
        <f t="shared" si="459"/>
        <v>-1</v>
      </c>
      <c r="Y161">
        <f t="shared" si="459"/>
        <v>-1</v>
      </c>
      <c r="Z161">
        <f t="shared" si="459"/>
        <v>-1</v>
      </c>
      <c r="AA161">
        <f t="shared" si="459"/>
        <v>-1</v>
      </c>
      <c r="AB161">
        <f t="shared" si="459"/>
        <v>-1</v>
      </c>
      <c r="AC161">
        <f t="shared" si="459"/>
        <v>-1</v>
      </c>
      <c r="AD161">
        <f t="shared" si="459"/>
        <v>-1</v>
      </c>
      <c r="AE161">
        <f t="shared" si="459"/>
        <v>-1</v>
      </c>
      <c r="AF161">
        <f t="shared" si="459"/>
        <v>-1</v>
      </c>
      <c r="AG161">
        <f t="shared" si="459"/>
        <v>-1</v>
      </c>
      <c r="AH161">
        <f t="shared" si="459"/>
        <v>-1</v>
      </c>
      <c r="AI161">
        <f t="shared" si="459"/>
        <v>-1</v>
      </c>
      <c r="AJ161">
        <f t="shared" si="459"/>
        <v>-1</v>
      </c>
      <c r="AK161">
        <f t="shared" si="459"/>
        <v>-1</v>
      </c>
      <c r="AL161">
        <f t="shared" si="459"/>
        <v>-1</v>
      </c>
      <c r="AM161">
        <f t="shared" si="459"/>
        <v>-1</v>
      </c>
      <c r="AN161">
        <f t="shared" si="459"/>
        <v>-1</v>
      </c>
      <c r="AO161">
        <f t="shared" si="459"/>
        <v>-1</v>
      </c>
      <c r="AP161">
        <f t="shared" si="459"/>
        <v>-1</v>
      </c>
      <c r="AQ161">
        <f t="shared" si="459"/>
        <v>-1</v>
      </c>
      <c r="AR161">
        <f t="shared" si="459"/>
        <v>-1</v>
      </c>
      <c r="AS161">
        <f t="shared" si="459"/>
        <v>-1</v>
      </c>
      <c r="AT161">
        <f t="shared" si="459"/>
        <v>-1</v>
      </c>
      <c r="AU161">
        <f t="shared" si="459"/>
        <v>-1</v>
      </c>
      <c r="AV161">
        <f t="shared" si="459"/>
        <v>-1</v>
      </c>
      <c r="AW161">
        <f t="shared" si="459"/>
        <v>-1</v>
      </c>
      <c r="AX161">
        <f t="shared" si="459"/>
        <v>-1</v>
      </c>
      <c r="AY161">
        <f t="shared" si="459"/>
        <v>-1</v>
      </c>
      <c r="AZ161">
        <f t="shared" si="459"/>
        <v>-1</v>
      </c>
      <c r="BA161">
        <f t="shared" si="459"/>
        <v>-1</v>
      </c>
      <c r="BB161">
        <f t="shared" si="459"/>
        <v>-1</v>
      </c>
      <c r="BC161">
        <f t="shared" si="459"/>
        <v>-1</v>
      </c>
      <c r="BD161">
        <f t="shared" si="459"/>
        <v>-1</v>
      </c>
      <c r="BE161">
        <f t="shared" si="459"/>
        <v>-1</v>
      </c>
      <c r="BF161">
        <f t="shared" si="459"/>
        <v>-1</v>
      </c>
      <c r="BG161">
        <f t="shared" si="459"/>
        <v>-1</v>
      </c>
      <c r="BH161">
        <f t="shared" si="459"/>
        <v>-1</v>
      </c>
      <c r="BI161">
        <f t="shared" si="459"/>
        <v>-1</v>
      </c>
      <c r="BJ161">
        <f t="shared" si="459"/>
        <v>-1</v>
      </c>
      <c r="BK161">
        <f t="shared" si="459"/>
        <v>-1</v>
      </c>
      <c r="BL161">
        <f t="shared" si="459"/>
        <v>-1</v>
      </c>
      <c r="BM161">
        <f t="shared" si="459"/>
        <v>-1</v>
      </c>
      <c r="BN161">
        <f t="shared" si="459"/>
        <v>-1</v>
      </c>
      <c r="BO161">
        <f t="shared" si="459"/>
        <v>-1</v>
      </c>
      <c r="BP161">
        <f t="shared" ref="BP161:EA161" si="460">IF(OR(BP160=-1,AND(IF(BP$3&lt;$B161,BP160+BP$6,IF(BP$3=$B161,1,""))&gt;$B$1,BP$3&lt;$B161)),-1,IF(BP$3&lt;$B161,BP160+BP$6,IF(BP$3=$B161,1,"")))</f>
        <v>-1</v>
      </c>
      <c r="BQ161">
        <f t="shared" si="460"/>
        <v>-1</v>
      </c>
      <c r="BR161">
        <f t="shared" si="460"/>
        <v>-1</v>
      </c>
      <c r="BS161">
        <f t="shared" si="460"/>
        <v>-1</v>
      </c>
      <c r="BT161">
        <f t="shared" si="460"/>
        <v>-1</v>
      </c>
      <c r="BU161">
        <f t="shared" si="460"/>
        <v>-1</v>
      </c>
      <c r="BV161">
        <f t="shared" si="460"/>
        <v>-1</v>
      </c>
      <c r="BW161">
        <f t="shared" si="460"/>
        <v>-1</v>
      </c>
      <c r="BX161">
        <f t="shared" si="460"/>
        <v>-1</v>
      </c>
      <c r="BY161">
        <f t="shared" si="460"/>
        <v>74.8</v>
      </c>
      <c r="BZ161">
        <f t="shared" si="460"/>
        <v>71.200000000000031</v>
      </c>
      <c r="CA161">
        <f t="shared" si="460"/>
        <v>67.600000000000065</v>
      </c>
      <c r="CB161">
        <f t="shared" si="460"/>
        <v>64.000000000000099</v>
      </c>
      <c r="CC161">
        <f t="shared" si="460"/>
        <v>60.400000000000098</v>
      </c>
      <c r="CD161">
        <f t="shared" si="460"/>
        <v>56.80000000000009</v>
      </c>
      <c r="CE161">
        <f t="shared" si="460"/>
        <v>53.200000000000081</v>
      </c>
      <c r="CF161">
        <f t="shared" si="460"/>
        <v>49.600000000000072</v>
      </c>
      <c r="CG161">
        <f t="shared" si="460"/>
        <v>46.000000000000064</v>
      </c>
      <c r="CH161">
        <f t="shared" si="460"/>
        <v>42.400000000000055</v>
      </c>
      <c r="CI161">
        <f t="shared" si="460"/>
        <v>38.800000000000047</v>
      </c>
      <c r="CJ161">
        <f t="shared" si="460"/>
        <v>35.200000000000038</v>
      </c>
      <c r="CK161">
        <f t="shared" si="460"/>
        <v>31.60000000000003</v>
      </c>
      <c r="CL161">
        <f t="shared" si="460"/>
        <v>28.000000000000021</v>
      </c>
      <c r="CM161">
        <f t="shared" si="460"/>
        <v>24.400000000000013</v>
      </c>
      <c r="CN161">
        <f t="shared" si="460"/>
        <v>20.800000000000004</v>
      </c>
      <c r="CO161">
        <f t="shared" si="460"/>
        <v>64.5</v>
      </c>
      <c r="CP161">
        <f t="shared" si="460"/>
        <v>51.5</v>
      </c>
      <c r="CQ161">
        <f t="shared" si="460"/>
        <v>-1</v>
      </c>
      <c r="CR161">
        <f t="shared" si="460"/>
        <v>-1</v>
      </c>
      <c r="CS161">
        <f t="shared" si="460"/>
        <v>-1</v>
      </c>
      <c r="CT161">
        <f t="shared" si="460"/>
        <v>-1</v>
      </c>
      <c r="CU161">
        <f t="shared" si="460"/>
        <v>-1</v>
      </c>
      <c r="CV161">
        <f t="shared" si="460"/>
        <v>-1</v>
      </c>
      <c r="CW161">
        <f t="shared" si="460"/>
        <v>-1</v>
      </c>
      <c r="CX161">
        <f t="shared" si="460"/>
        <v>-1</v>
      </c>
      <c r="CY161">
        <f t="shared" si="460"/>
        <v>-1</v>
      </c>
      <c r="CZ161">
        <f t="shared" si="460"/>
        <v>-1</v>
      </c>
      <c r="DA161">
        <f t="shared" si="460"/>
        <v>-1</v>
      </c>
      <c r="DB161">
        <f t="shared" si="460"/>
        <v>-1</v>
      </c>
      <c r="DC161">
        <f t="shared" si="460"/>
        <v>-1</v>
      </c>
      <c r="DD161">
        <f t="shared" si="460"/>
        <v>-1</v>
      </c>
      <c r="DE161">
        <f t="shared" si="460"/>
        <v>-1</v>
      </c>
      <c r="DF161">
        <f t="shared" si="460"/>
        <v>-1</v>
      </c>
      <c r="DG161">
        <f t="shared" si="460"/>
        <v>-1</v>
      </c>
      <c r="DH161">
        <f t="shared" si="460"/>
        <v>-1</v>
      </c>
      <c r="DI161">
        <f t="shared" si="460"/>
        <v>-1</v>
      </c>
      <c r="DJ161">
        <f t="shared" si="460"/>
        <v>-1</v>
      </c>
      <c r="DK161">
        <f t="shared" si="460"/>
        <v>-1</v>
      </c>
      <c r="DL161">
        <f t="shared" si="460"/>
        <v>-1</v>
      </c>
      <c r="DM161">
        <f t="shared" si="460"/>
        <v>-1</v>
      </c>
      <c r="DN161">
        <f t="shared" si="460"/>
        <v>-1</v>
      </c>
      <c r="DO161">
        <f t="shared" si="460"/>
        <v>-1</v>
      </c>
      <c r="DP161">
        <f t="shared" si="460"/>
        <v>-1</v>
      </c>
      <c r="DQ161">
        <f t="shared" si="460"/>
        <v>-1</v>
      </c>
      <c r="DR161">
        <f t="shared" si="460"/>
        <v>-1</v>
      </c>
      <c r="DS161">
        <f t="shared" si="460"/>
        <v>-1</v>
      </c>
      <c r="DT161">
        <f t="shared" si="460"/>
        <v>-1</v>
      </c>
      <c r="DU161">
        <f t="shared" si="460"/>
        <v>-1</v>
      </c>
      <c r="DV161">
        <f t="shared" si="460"/>
        <v>-1</v>
      </c>
      <c r="DW161">
        <f t="shared" si="460"/>
        <v>-1</v>
      </c>
      <c r="DX161">
        <f t="shared" si="460"/>
        <v>-1</v>
      </c>
      <c r="DY161">
        <f t="shared" si="460"/>
        <v>-1</v>
      </c>
      <c r="DZ161">
        <f t="shared" si="460"/>
        <v>-1</v>
      </c>
      <c r="EA161">
        <f t="shared" si="460"/>
        <v>-1</v>
      </c>
      <c r="EB161">
        <f t="shared" ref="EB161:EO161" si="461">IF(OR(EB160=-1,AND(IF(EB$3&lt;$B161,EB160+EB$6,IF(EB$3=$B161,1,""))&gt;$B$1,EB$3&lt;$B161)),-1,IF(EB$3&lt;$B161,EB160+EB$6,IF(EB$3=$B161,1,"")))</f>
        <v>-1</v>
      </c>
      <c r="EC161">
        <f t="shared" si="461"/>
        <v>-1</v>
      </c>
      <c r="ED161">
        <f t="shared" si="461"/>
        <v>-1</v>
      </c>
      <c r="EE161">
        <f t="shared" si="461"/>
        <v>-1</v>
      </c>
      <c r="EF161">
        <f t="shared" si="461"/>
        <v>-1</v>
      </c>
      <c r="EG161">
        <f t="shared" si="461"/>
        <v>-1</v>
      </c>
      <c r="EH161">
        <f t="shared" si="461"/>
        <v>-1</v>
      </c>
      <c r="EI161">
        <f t="shared" si="461"/>
        <v>-1</v>
      </c>
      <c r="EJ161">
        <f t="shared" si="461"/>
        <v>-1</v>
      </c>
      <c r="EK161">
        <f t="shared" si="461"/>
        <v>-1</v>
      </c>
      <c r="EL161">
        <f t="shared" si="461"/>
        <v>-1</v>
      </c>
      <c r="EM161">
        <f t="shared" si="461"/>
        <v>-1</v>
      </c>
      <c r="EN161">
        <f t="shared" si="461"/>
        <v>-1</v>
      </c>
      <c r="EO161">
        <f t="shared" si="461"/>
        <v>-1</v>
      </c>
    </row>
    <row r="162" spans="1:145" x14ac:dyDescent="0.15">
      <c r="A162" t="e">
        <f t="shared" si="386"/>
        <v>#N/A</v>
      </c>
      <c r="B162" s="218">
        <v>154</v>
      </c>
      <c r="C162">
        <f t="shared" si="386"/>
        <v>-1</v>
      </c>
      <c r="D162">
        <f t="shared" ref="D162:BO162" si="462">IF(OR(D161=-1,AND(IF(D$3&lt;$B162,D161+D$6,IF(D$3=$B162,1,""))&gt;$B$1,D$3&lt;$B162)),-1,IF(D$3&lt;$B162,D161+D$6,IF(D$3=$B162,1,"")))</f>
        <v>-1</v>
      </c>
      <c r="E162">
        <f t="shared" si="462"/>
        <v>-1</v>
      </c>
      <c r="F162">
        <f t="shared" si="462"/>
        <v>-1</v>
      </c>
      <c r="G162">
        <f t="shared" si="462"/>
        <v>-1</v>
      </c>
      <c r="H162">
        <f t="shared" si="462"/>
        <v>-1</v>
      </c>
      <c r="I162">
        <f t="shared" si="462"/>
        <v>-1</v>
      </c>
      <c r="J162">
        <f t="shared" si="462"/>
        <v>-1</v>
      </c>
      <c r="K162">
        <f t="shared" si="462"/>
        <v>-1</v>
      </c>
      <c r="L162">
        <f t="shared" si="462"/>
        <v>-1</v>
      </c>
      <c r="M162">
        <f t="shared" si="462"/>
        <v>-1</v>
      </c>
      <c r="N162">
        <f t="shared" si="462"/>
        <v>-1</v>
      </c>
      <c r="O162">
        <f t="shared" si="462"/>
        <v>-1</v>
      </c>
      <c r="P162">
        <f t="shared" si="462"/>
        <v>-1</v>
      </c>
      <c r="Q162">
        <f t="shared" si="462"/>
        <v>-1</v>
      </c>
      <c r="R162">
        <f t="shared" si="462"/>
        <v>-1</v>
      </c>
      <c r="S162">
        <f t="shared" si="462"/>
        <v>-1</v>
      </c>
      <c r="T162">
        <f t="shared" si="462"/>
        <v>-1</v>
      </c>
      <c r="U162">
        <f t="shared" si="462"/>
        <v>-1</v>
      </c>
      <c r="V162">
        <f t="shared" si="462"/>
        <v>-1</v>
      </c>
      <c r="W162">
        <f t="shared" si="462"/>
        <v>-1</v>
      </c>
      <c r="X162">
        <f t="shared" si="462"/>
        <v>-1</v>
      </c>
      <c r="Y162">
        <f t="shared" si="462"/>
        <v>-1</v>
      </c>
      <c r="Z162">
        <f t="shared" si="462"/>
        <v>-1</v>
      </c>
      <c r="AA162">
        <f t="shared" si="462"/>
        <v>-1</v>
      </c>
      <c r="AB162">
        <f t="shared" si="462"/>
        <v>-1</v>
      </c>
      <c r="AC162">
        <f t="shared" si="462"/>
        <v>-1</v>
      </c>
      <c r="AD162">
        <f t="shared" si="462"/>
        <v>-1</v>
      </c>
      <c r="AE162">
        <f t="shared" si="462"/>
        <v>-1</v>
      </c>
      <c r="AF162">
        <f t="shared" si="462"/>
        <v>-1</v>
      </c>
      <c r="AG162">
        <f t="shared" si="462"/>
        <v>-1</v>
      </c>
      <c r="AH162">
        <f t="shared" si="462"/>
        <v>-1</v>
      </c>
      <c r="AI162">
        <f t="shared" si="462"/>
        <v>-1</v>
      </c>
      <c r="AJ162">
        <f t="shared" si="462"/>
        <v>-1</v>
      </c>
      <c r="AK162">
        <f t="shared" si="462"/>
        <v>-1</v>
      </c>
      <c r="AL162">
        <f t="shared" si="462"/>
        <v>-1</v>
      </c>
      <c r="AM162">
        <f t="shared" si="462"/>
        <v>-1</v>
      </c>
      <c r="AN162">
        <f t="shared" si="462"/>
        <v>-1</v>
      </c>
      <c r="AO162">
        <f t="shared" si="462"/>
        <v>-1</v>
      </c>
      <c r="AP162">
        <f t="shared" si="462"/>
        <v>-1</v>
      </c>
      <c r="AQ162">
        <f t="shared" si="462"/>
        <v>-1</v>
      </c>
      <c r="AR162">
        <f t="shared" si="462"/>
        <v>-1</v>
      </c>
      <c r="AS162">
        <f t="shared" si="462"/>
        <v>-1</v>
      </c>
      <c r="AT162">
        <f t="shared" si="462"/>
        <v>-1</v>
      </c>
      <c r="AU162">
        <f t="shared" si="462"/>
        <v>-1</v>
      </c>
      <c r="AV162">
        <f t="shared" si="462"/>
        <v>-1</v>
      </c>
      <c r="AW162">
        <f t="shared" si="462"/>
        <v>-1</v>
      </c>
      <c r="AX162">
        <f t="shared" si="462"/>
        <v>-1</v>
      </c>
      <c r="AY162">
        <f t="shared" si="462"/>
        <v>-1</v>
      </c>
      <c r="AZ162">
        <f t="shared" si="462"/>
        <v>-1</v>
      </c>
      <c r="BA162">
        <f t="shared" si="462"/>
        <v>-1</v>
      </c>
      <c r="BB162">
        <f t="shared" si="462"/>
        <v>-1</v>
      </c>
      <c r="BC162">
        <f t="shared" si="462"/>
        <v>-1</v>
      </c>
      <c r="BD162">
        <f t="shared" si="462"/>
        <v>-1</v>
      </c>
      <c r="BE162">
        <f t="shared" si="462"/>
        <v>-1</v>
      </c>
      <c r="BF162">
        <f t="shared" si="462"/>
        <v>-1</v>
      </c>
      <c r="BG162">
        <f t="shared" si="462"/>
        <v>-1</v>
      </c>
      <c r="BH162">
        <f t="shared" si="462"/>
        <v>-1</v>
      </c>
      <c r="BI162">
        <f t="shared" si="462"/>
        <v>-1</v>
      </c>
      <c r="BJ162">
        <f t="shared" si="462"/>
        <v>-1</v>
      </c>
      <c r="BK162">
        <f t="shared" si="462"/>
        <v>-1</v>
      </c>
      <c r="BL162">
        <f t="shared" si="462"/>
        <v>-1</v>
      </c>
      <c r="BM162">
        <f t="shared" si="462"/>
        <v>-1</v>
      </c>
      <c r="BN162">
        <f t="shared" si="462"/>
        <v>-1</v>
      </c>
      <c r="BO162">
        <f t="shared" si="462"/>
        <v>-1</v>
      </c>
      <c r="BP162">
        <f t="shared" ref="BP162:EA162" si="463">IF(OR(BP161=-1,AND(IF(BP$3&lt;$B162,BP161+BP$6,IF(BP$3=$B162,1,""))&gt;$B$1,BP$3&lt;$B162)),-1,IF(BP$3&lt;$B162,BP161+BP$6,IF(BP$3=$B162,1,"")))</f>
        <v>-1</v>
      </c>
      <c r="BQ162">
        <f t="shared" si="463"/>
        <v>-1</v>
      </c>
      <c r="BR162">
        <f t="shared" si="463"/>
        <v>-1</v>
      </c>
      <c r="BS162">
        <f t="shared" si="463"/>
        <v>-1</v>
      </c>
      <c r="BT162">
        <f t="shared" si="463"/>
        <v>-1</v>
      </c>
      <c r="BU162">
        <f t="shared" si="463"/>
        <v>-1</v>
      </c>
      <c r="BV162">
        <f t="shared" si="463"/>
        <v>-1</v>
      </c>
      <c r="BW162">
        <f t="shared" si="463"/>
        <v>-1</v>
      </c>
      <c r="BX162">
        <f t="shared" si="463"/>
        <v>-1</v>
      </c>
      <c r="BY162">
        <f t="shared" si="463"/>
        <v>-1</v>
      </c>
      <c r="BZ162">
        <f t="shared" si="463"/>
        <v>71.800000000000026</v>
      </c>
      <c r="CA162">
        <f t="shared" si="463"/>
        <v>68.20000000000006</v>
      </c>
      <c r="CB162">
        <f t="shared" si="463"/>
        <v>64.600000000000094</v>
      </c>
      <c r="CC162">
        <f t="shared" si="463"/>
        <v>61.000000000000099</v>
      </c>
      <c r="CD162">
        <f t="shared" si="463"/>
        <v>57.400000000000091</v>
      </c>
      <c r="CE162">
        <f t="shared" si="463"/>
        <v>53.800000000000082</v>
      </c>
      <c r="CF162">
        <f t="shared" si="463"/>
        <v>50.200000000000074</v>
      </c>
      <c r="CG162">
        <f t="shared" si="463"/>
        <v>46.600000000000065</v>
      </c>
      <c r="CH162">
        <f t="shared" si="463"/>
        <v>43.000000000000057</v>
      </c>
      <c r="CI162">
        <f t="shared" si="463"/>
        <v>39.400000000000048</v>
      </c>
      <c r="CJ162">
        <f t="shared" si="463"/>
        <v>35.80000000000004</v>
      </c>
      <c r="CK162">
        <f t="shared" si="463"/>
        <v>32.200000000000031</v>
      </c>
      <c r="CL162">
        <f t="shared" si="463"/>
        <v>28.600000000000023</v>
      </c>
      <c r="CM162">
        <f t="shared" si="463"/>
        <v>25.000000000000014</v>
      </c>
      <c r="CN162">
        <f t="shared" si="463"/>
        <v>21.400000000000006</v>
      </c>
      <c r="CO162">
        <f t="shared" si="463"/>
        <v>65</v>
      </c>
      <c r="CP162">
        <f t="shared" si="463"/>
        <v>52</v>
      </c>
      <c r="CQ162">
        <f t="shared" si="463"/>
        <v>-1</v>
      </c>
      <c r="CR162">
        <f t="shared" si="463"/>
        <v>-1</v>
      </c>
      <c r="CS162">
        <f t="shared" si="463"/>
        <v>-1</v>
      </c>
      <c r="CT162">
        <f t="shared" si="463"/>
        <v>-1</v>
      </c>
      <c r="CU162">
        <f t="shared" si="463"/>
        <v>-1</v>
      </c>
      <c r="CV162">
        <f t="shared" si="463"/>
        <v>-1</v>
      </c>
      <c r="CW162">
        <f t="shared" si="463"/>
        <v>-1</v>
      </c>
      <c r="CX162">
        <f t="shared" si="463"/>
        <v>-1</v>
      </c>
      <c r="CY162">
        <f t="shared" si="463"/>
        <v>-1</v>
      </c>
      <c r="CZ162">
        <f t="shared" si="463"/>
        <v>-1</v>
      </c>
      <c r="DA162">
        <f t="shared" si="463"/>
        <v>-1</v>
      </c>
      <c r="DB162">
        <f t="shared" si="463"/>
        <v>-1</v>
      </c>
      <c r="DC162">
        <f t="shared" si="463"/>
        <v>-1</v>
      </c>
      <c r="DD162">
        <f t="shared" si="463"/>
        <v>-1</v>
      </c>
      <c r="DE162">
        <f t="shared" si="463"/>
        <v>-1</v>
      </c>
      <c r="DF162">
        <f t="shared" si="463"/>
        <v>-1</v>
      </c>
      <c r="DG162">
        <f t="shared" si="463"/>
        <v>-1</v>
      </c>
      <c r="DH162">
        <f t="shared" si="463"/>
        <v>-1</v>
      </c>
      <c r="DI162">
        <f t="shared" si="463"/>
        <v>-1</v>
      </c>
      <c r="DJ162">
        <f t="shared" si="463"/>
        <v>-1</v>
      </c>
      <c r="DK162">
        <f t="shared" si="463"/>
        <v>-1</v>
      </c>
      <c r="DL162">
        <f t="shared" si="463"/>
        <v>-1</v>
      </c>
      <c r="DM162">
        <f t="shared" si="463"/>
        <v>-1</v>
      </c>
      <c r="DN162">
        <f t="shared" si="463"/>
        <v>-1</v>
      </c>
      <c r="DO162">
        <f t="shared" si="463"/>
        <v>-1</v>
      </c>
      <c r="DP162">
        <f t="shared" si="463"/>
        <v>-1</v>
      </c>
      <c r="DQ162">
        <f t="shared" si="463"/>
        <v>-1</v>
      </c>
      <c r="DR162">
        <f t="shared" si="463"/>
        <v>-1</v>
      </c>
      <c r="DS162">
        <f t="shared" si="463"/>
        <v>-1</v>
      </c>
      <c r="DT162">
        <f t="shared" si="463"/>
        <v>-1</v>
      </c>
      <c r="DU162">
        <f t="shared" si="463"/>
        <v>-1</v>
      </c>
      <c r="DV162">
        <f t="shared" si="463"/>
        <v>-1</v>
      </c>
      <c r="DW162">
        <f t="shared" si="463"/>
        <v>-1</v>
      </c>
      <c r="DX162">
        <f t="shared" si="463"/>
        <v>-1</v>
      </c>
      <c r="DY162">
        <f t="shared" si="463"/>
        <v>-1</v>
      </c>
      <c r="DZ162">
        <f t="shared" si="463"/>
        <v>-1</v>
      </c>
      <c r="EA162">
        <f t="shared" si="463"/>
        <v>-1</v>
      </c>
      <c r="EB162">
        <f t="shared" ref="EB162:EO162" si="464">IF(OR(EB161=-1,AND(IF(EB$3&lt;$B162,EB161+EB$6,IF(EB$3=$B162,1,""))&gt;$B$1,EB$3&lt;$B162)),-1,IF(EB$3&lt;$B162,EB161+EB$6,IF(EB$3=$B162,1,"")))</f>
        <v>-1</v>
      </c>
      <c r="EC162">
        <f t="shared" si="464"/>
        <v>-1</v>
      </c>
      <c r="ED162">
        <f t="shared" si="464"/>
        <v>-1</v>
      </c>
      <c r="EE162">
        <f t="shared" si="464"/>
        <v>-1</v>
      </c>
      <c r="EF162">
        <f t="shared" si="464"/>
        <v>-1</v>
      </c>
      <c r="EG162">
        <f t="shared" si="464"/>
        <v>-1</v>
      </c>
      <c r="EH162">
        <f t="shared" si="464"/>
        <v>-1</v>
      </c>
      <c r="EI162">
        <f t="shared" si="464"/>
        <v>-1</v>
      </c>
      <c r="EJ162">
        <f t="shared" si="464"/>
        <v>-1</v>
      </c>
      <c r="EK162">
        <f t="shared" si="464"/>
        <v>-1</v>
      </c>
      <c r="EL162">
        <f t="shared" si="464"/>
        <v>-1</v>
      </c>
      <c r="EM162">
        <f t="shared" si="464"/>
        <v>-1</v>
      </c>
      <c r="EN162">
        <f t="shared" si="464"/>
        <v>-1</v>
      </c>
      <c r="EO162">
        <f t="shared" si="464"/>
        <v>-1</v>
      </c>
    </row>
    <row r="163" spans="1:145" x14ac:dyDescent="0.15">
      <c r="A163" t="e">
        <f t="shared" si="386"/>
        <v>#N/A</v>
      </c>
      <c r="B163" s="218">
        <v>155</v>
      </c>
      <c r="C163">
        <f t="shared" si="386"/>
        <v>-1</v>
      </c>
      <c r="D163">
        <f t="shared" ref="D163:BO163" si="465">IF(OR(D162=-1,AND(IF(D$3&lt;$B163,D162+D$6,IF(D$3=$B163,1,""))&gt;$B$1,D$3&lt;$B163)),-1,IF(D$3&lt;$B163,D162+D$6,IF(D$3=$B163,1,"")))</f>
        <v>-1</v>
      </c>
      <c r="E163">
        <f t="shared" si="465"/>
        <v>-1</v>
      </c>
      <c r="F163">
        <f t="shared" si="465"/>
        <v>-1</v>
      </c>
      <c r="G163">
        <f t="shared" si="465"/>
        <v>-1</v>
      </c>
      <c r="H163">
        <f t="shared" si="465"/>
        <v>-1</v>
      </c>
      <c r="I163">
        <f t="shared" si="465"/>
        <v>-1</v>
      </c>
      <c r="J163">
        <f t="shared" si="465"/>
        <v>-1</v>
      </c>
      <c r="K163">
        <f t="shared" si="465"/>
        <v>-1</v>
      </c>
      <c r="L163">
        <f t="shared" si="465"/>
        <v>-1</v>
      </c>
      <c r="M163">
        <f t="shared" si="465"/>
        <v>-1</v>
      </c>
      <c r="N163">
        <f t="shared" si="465"/>
        <v>-1</v>
      </c>
      <c r="O163">
        <f t="shared" si="465"/>
        <v>-1</v>
      </c>
      <c r="P163">
        <f t="shared" si="465"/>
        <v>-1</v>
      </c>
      <c r="Q163">
        <f t="shared" si="465"/>
        <v>-1</v>
      </c>
      <c r="R163">
        <f t="shared" si="465"/>
        <v>-1</v>
      </c>
      <c r="S163">
        <f t="shared" si="465"/>
        <v>-1</v>
      </c>
      <c r="T163">
        <f t="shared" si="465"/>
        <v>-1</v>
      </c>
      <c r="U163">
        <f t="shared" si="465"/>
        <v>-1</v>
      </c>
      <c r="V163">
        <f t="shared" si="465"/>
        <v>-1</v>
      </c>
      <c r="W163">
        <f t="shared" si="465"/>
        <v>-1</v>
      </c>
      <c r="X163">
        <f t="shared" si="465"/>
        <v>-1</v>
      </c>
      <c r="Y163">
        <f t="shared" si="465"/>
        <v>-1</v>
      </c>
      <c r="Z163">
        <f t="shared" si="465"/>
        <v>-1</v>
      </c>
      <c r="AA163">
        <f t="shared" si="465"/>
        <v>-1</v>
      </c>
      <c r="AB163">
        <f t="shared" si="465"/>
        <v>-1</v>
      </c>
      <c r="AC163">
        <f t="shared" si="465"/>
        <v>-1</v>
      </c>
      <c r="AD163">
        <f t="shared" si="465"/>
        <v>-1</v>
      </c>
      <c r="AE163">
        <f t="shared" si="465"/>
        <v>-1</v>
      </c>
      <c r="AF163">
        <f t="shared" si="465"/>
        <v>-1</v>
      </c>
      <c r="AG163">
        <f t="shared" si="465"/>
        <v>-1</v>
      </c>
      <c r="AH163">
        <f t="shared" si="465"/>
        <v>-1</v>
      </c>
      <c r="AI163">
        <f t="shared" si="465"/>
        <v>-1</v>
      </c>
      <c r="AJ163">
        <f t="shared" si="465"/>
        <v>-1</v>
      </c>
      <c r="AK163">
        <f t="shared" si="465"/>
        <v>-1</v>
      </c>
      <c r="AL163">
        <f t="shared" si="465"/>
        <v>-1</v>
      </c>
      <c r="AM163">
        <f t="shared" si="465"/>
        <v>-1</v>
      </c>
      <c r="AN163">
        <f t="shared" si="465"/>
        <v>-1</v>
      </c>
      <c r="AO163">
        <f t="shared" si="465"/>
        <v>-1</v>
      </c>
      <c r="AP163">
        <f t="shared" si="465"/>
        <v>-1</v>
      </c>
      <c r="AQ163">
        <f t="shared" si="465"/>
        <v>-1</v>
      </c>
      <c r="AR163">
        <f t="shared" si="465"/>
        <v>-1</v>
      </c>
      <c r="AS163">
        <f t="shared" si="465"/>
        <v>-1</v>
      </c>
      <c r="AT163">
        <f t="shared" si="465"/>
        <v>-1</v>
      </c>
      <c r="AU163">
        <f t="shared" si="465"/>
        <v>-1</v>
      </c>
      <c r="AV163">
        <f t="shared" si="465"/>
        <v>-1</v>
      </c>
      <c r="AW163">
        <f t="shared" si="465"/>
        <v>-1</v>
      </c>
      <c r="AX163">
        <f t="shared" si="465"/>
        <v>-1</v>
      </c>
      <c r="AY163">
        <f t="shared" si="465"/>
        <v>-1</v>
      </c>
      <c r="AZ163">
        <f t="shared" si="465"/>
        <v>-1</v>
      </c>
      <c r="BA163">
        <f t="shared" si="465"/>
        <v>-1</v>
      </c>
      <c r="BB163">
        <f t="shared" si="465"/>
        <v>-1</v>
      </c>
      <c r="BC163">
        <f t="shared" si="465"/>
        <v>-1</v>
      </c>
      <c r="BD163">
        <f t="shared" si="465"/>
        <v>-1</v>
      </c>
      <c r="BE163">
        <f t="shared" si="465"/>
        <v>-1</v>
      </c>
      <c r="BF163">
        <f t="shared" si="465"/>
        <v>-1</v>
      </c>
      <c r="BG163">
        <f t="shared" si="465"/>
        <v>-1</v>
      </c>
      <c r="BH163">
        <f t="shared" si="465"/>
        <v>-1</v>
      </c>
      <c r="BI163">
        <f t="shared" si="465"/>
        <v>-1</v>
      </c>
      <c r="BJ163">
        <f t="shared" si="465"/>
        <v>-1</v>
      </c>
      <c r="BK163">
        <f t="shared" si="465"/>
        <v>-1</v>
      </c>
      <c r="BL163">
        <f t="shared" si="465"/>
        <v>-1</v>
      </c>
      <c r="BM163">
        <f t="shared" si="465"/>
        <v>-1</v>
      </c>
      <c r="BN163">
        <f t="shared" si="465"/>
        <v>-1</v>
      </c>
      <c r="BO163">
        <f t="shared" si="465"/>
        <v>-1</v>
      </c>
      <c r="BP163">
        <f t="shared" ref="BP163:EA163" si="466">IF(OR(BP162=-1,AND(IF(BP$3&lt;$B163,BP162+BP$6,IF(BP$3=$B163,1,""))&gt;$B$1,BP$3&lt;$B163)),-1,IF(BP$3&lt;$B163,BP162+BP$6,IF(BP$3=$B163,1,"")))</f>
        <v>-1</v>
      </c>
      <c r="BQ163">
        <f t="shared" si="466"/>
        <v>-1</v>
      </c>
      <c r="BR163">
        <f t="shared" si="466"/>
        <v>-1</v>
      </c>
      <c r="BS163">
        <f t="shared" si="466"/>
        <v>-1</v>
      </c>
      <c r="BT163">
        <f t="shared" si="466"/>
        <v>-1</v>
      </c>
      <c r="BU163">
        <f t="shared" si="466"/>
        <v>-1</v>
      </c>
      <c r="BV163">
        <f t="shared" si="466"/>
        <v>-1</v>
      </c>
      <c r="BW163">
        <f t="shared" si="466"/>
        <v>-1</v>
      </c>
      <c r="BX163">
        <f t="shared" si="466"/>
        <v>-1</v>
      </c>
      <c r="BY163">
        <f t="shared" si="466"/>
        <v>-1</v>
      </c>
      <c r="BZ163">
        <f t="shared" si="466"/>
        <v>72.40000000000002</v>
      </c>
      <c r="CA163">
        <f t="shared" si="466"/>
        <v>68.800000000000054</v>
      </c>
      <c r="CB163">
        <f t="shared" si="466"/>
        <v>65.200000000000088</v>
      </c>
      <c r="CC163">
        <f t="shared" si="466"/>
        <v>61.600000000000101</v>
      </c>
      <c r="CD163">
        <f t="shared" si="466"/>
        <v>58.000000000000092</v>
      </c>
      <c r="CE163">
        <f t="shared" si="466"/>
        <v>54.400000000000084</v>
      </c>
      <c r="CF163">
        <f t="shared" si="466"/>
        <v>50.800000000000075</v>
      </c>
      <c r="CG163">
        <f t="shared" si="466"/>
        <v>47.200000000000067</v>
      </c>
      <c r="CH163">
        <f t="shared" si="466"/>
        <v>43.600000000000058</v>
      </c>
      <c r="CI163">
        <f t="shared" si="466"/>
        <v>40.00000000000005</v>
      </c>
      <c r="CJ163">
        <f t="shared" si="466"/>
        <v>36.400000000000041</v>
      </c>
      <c r="CK163">
        <f t="shared" si="466"/>
        <v>32.800000000000033</v>
      </c>
      <c r="CL163">
        <f t="shared" si="466"/>
        <v>29.200000000000024</v>
      </c>
      <c r="CM163">
        <f t="shared" si="466"/>
        <v>25.600000000000016</v>
      </c>
      <c r="CN163">
        <f t="shared" si="466"/>
        <v>22.000000000000007</v>
      </c>
      <c r="CO163">
        <f t="shared" si="466"/>
        <v>65.5</v>
      </c>
      <c r="CP163">
        <f t="shared" si="466"/>
        <v>52.5</v>
      </c>
      <c r="CQ163">
        <f t="shared" si="466"/>
        <v>-1</v>
      </c>
      <c r="CR163">
        <f t="shared" si="466"/>
        <v>-1</v>
      </c>
      <c r="CS163">
        <f t="shared" si="466"/>
        <v>-1</v>
      </c>
      <c r="CT163">
        <f t="shared" si="466"/>
        <v>-1</v>
      </c>
      <c r="CU163">
        <f t="shared" si="466"/>
        <v>-1</v>
      </c>
      <c r="CV163">
        <f t="shared" si="466"/>
        <v>-1</v>
      </c>
      <c r="CW163">
        <f t="shared" si="466"/>
        <v>-1</v>
      </c>
      <c r="CX163">
        <f t="shared" si="466"/>
        <v>-1</v>
      </c>
      <c r="CY163">
        <f t="shared" si="466"/>
        <v>-1</v>
      </c>
      <c r="CZ163">
        <f t="shared" si="466"/>
        <v>-1</v>
      </c>
      <c r="DA163">
        <f t="shared" si="466"/>
        <v>-1</v>
      </c>
      <c r="DB163">
        <f t="shared" si="466"/>
        <v>-1</v>
      </c>
      <c r="DC163">
        <f t="shared" si="466"/>
        <v>-1</v>
      </c>
      <c r="DD163">
        <f t="shared" si="466"/>
        <v>-1</v>
      </c>
      <c r="DE163">
        <f t="shared" si="466"/>
        <v>-1</v>
      </c>
      <c r="DF163">
        <f t="shared" si="466"/>
        <v>-1</v>
      </c>
      <c r="DG163">
        <f t="shared" si="466"/>
        <v>-1</v>
      </c>
      <c r="DH163">
        <f t="shared" si="466"/>
        <v>-1</v>
      </c>
      <c r="DI163">
        <f t="shared" si="466"/>
        <v>-1</v>
      </c>
      <c r="DJ163">
        <f t="shared" si="466"/>
        <v>-1</v>
      </c>
      <c r="DK163">
        <f t="shared" si="466"/>
        <v>-1</v>
      </c>
      <c r="DL163">
        <f t="shared" si="466"/>
        <v>-1</v>
      </c>
      <c r="DM163">
        <f t="shared" si="466"/>
        <v>-1</v>
      </c>
      <c r="DN163">
        <f t="shared" si="466"/>
        <v>-1</v>
      </c>
      <c r="DO163">
        <f t="shared" si="466"/>
        <v>-1</v>
      </c>
      <c r="DP163">
        <f t="shared" si="466"/>
        <v>-1</v>
      </c>
      <c r="DQ163">
        <f t="shared" si="466"/>
        <v>-1</v>
      </c>
      <c r="DR163">
        <f t="shared" si="466"/>
        <v>-1</v>
      </c>
      <c r="DS163">
        <f t="shared" si="466"/>
        <v>-1</v>
      </c>
      <c r="DT163">
        <f t="shared" si="466"/>
        <v>-1</v>
      </c>
      <c r="DU163">
        <f t="shared" si="466"/>
        <v>-1</v>
      </c>
      <c r="DV163">
        <f t="shared" si="466"/>
        <v>-1</v>
      </c>
      <c r="DW163">
        <f t="shared" si="466"/>
        <v>-1</v>
      </c>
      <c r="DX163">
        <f t="shared" si="466"/>
        <v>-1</v>
      </c>
      <c r="DY163">
        <f t="shared" si="466"/>
        <v>-1</v>
      </c>
      <c r="DZ163">
        <f t="shared" si="466"/>
        <v>-1</v>
      </c>
      <c r="EA163">
        <f t="shared" si="466"/>
        <v>-1</v>
      </c>
      <c r="EB163">
        <f t="shared" ref="EB163:EO163" si="467">IF(OR(EB162=-1,AND(IF(EB$3&lt;$B163,EB162+EB$6,IF(EB$3=$B163,1,""))&gt;$B$1,EB$3&lt;$B163)),-1,IF(EB$3&lt;$B163,EB162+EB$6,IF(EB$3=$B163,1,"")))</f>
        <v>-1</v>
      </c>
      <c r="EC163">
        <f t="shared" si="467"/>
        <v>-1</v>
      </c>
      <c r="ED163">
        <f t="shared" si="467"/>
        <v>-1</v>
      </c>
      <c r="EE163">
        <f t="shared" si="467"/>
        <v>-1</v>
      </c>
      <c r="EF163">
        <f t="shared" si="467"/>
        <v>-1</v>
      </c>
      <c r="EG163">
        <f t="shared" si="467"/>
        <v>-1</v>
      </c>
      <c r="EH163">
        <f t="shared" si="467"/>
        <v>-1</v>
      </c>
      <c r="EI163">
        <f t="shared" si="467"/>
        <v>-1</v>
      </c>
      <c r="EJ163">
        <f t="shared" si="467"/>
        <v>-1</v>
      </c>
      <c r="EK163">
        <f t="shared" si="467"/>
        <v>-1</v>
      </c>
      <c r="EL163">
        <f t="shared" si="467"/>
        <v>-1</v>
      </c>
      <c r="EM163">
        <f t="shared" si="467"/>
        <v>-1</v>
      </c>
      <c r="EN163">
        <f t="shared" si="467"/>
        <v>-1</v>
      </c>
      <c r="EO163">
        <f t="shared" si="467"/>
        <v>-1</v>
      </c>
    </row>
    <row r="164" spans="1:145" x14ac:dyDescent="0.15">
      <c r="A164" t="e">
        <f t="shared" si="386"/>
        <v>#N/A</v>
      </c>
      <c r="B164" s="218">
        <v>156</v>
      </c>
      <c r="C164">
        <f t="shared" si="386"/>
        <v>-1</v>
      </c>
      <c r="D164">
        <f t="shared" ref="D164:BO164" si="468">IF(OR(D163=-1,AND(IF(D$3&lt;$B164,D163+D$6,IF(D$3=$B164,1,""))&gt;$B$1,D$3&lt;$B164)),-1,IF(D$3&lt;$B164,D163+D$6,IF(D$3=$B164,1,"")))</f>
        <v>-1</v>
      </c>
      <c r="E164">
        <f t="shared" si="468"/>
        <v>-1</v>
      </c>
      <c r="F164">
        <f t="shared" si="468"/>
        <v>-1</v>
      </c>
      <c r="G164">
        <f t="shared" si="468"/>
        <v>-1</v>
      </c>
      <c r="H164">
        <f t="shared" si="468"/>
        <v>-1</v>
      </c>
      <c r="I164">
        <f t="shared" si="468"/>
        <v>-1</v>
      </c>
      <c r="J164">
        <f t="shared" si="468"/>
        <v>-1</v>
      </c>
      <c r="K164">
        <f t="shared" si="468"/>
        <v>-1</v>
      </c>
      <c r="L164">
        <f t="shared" si="468"/>
        <v>-1</v>
      </c>
      <c r="M164">
        <f t="shared" si="468"/>
        <v>-1</v>
      </c>
      <c r="N164">
        <f t="shared" si="468"/>
        <v>-1</v>
      </c>
      <c r="O164">
        <f t="shared" si="468"/>
        <v>-1</v>
      </c>
      <c r="P164">
        <f t="shared" si="468"/>
        <v>-1</v>
      </c>
      <c r="Q164">
        <f t="shared" si="468"/>
        <v>-1</v>
      </c>
      <c r="R164">
        <f t="shared" si="468"/>
        <v>-1</v>
      </c>
      <c r="S164">
        <f t="shared" si="468"/>
        <v>-1</v>
      </c>
      <c r="T164">
        <f t="shared" si="468"/>
        <v>-1</v>
      </c>
      <c r="U164">
        <f t="shared" si="468"/>
        <v>-1</v>
      </c>
      <c r="V164">
        <f t="shared" si="468"/>
        <v>-1</v>
      </c>
      <c r="W164">
        <f t="shared" si="468"/>
        <v>-1</v>
      </c>
      <c r="X164">
        <f t="shared" si="468"/>
        <v>-1</v>
      </c>
      <c r="Y164">
        <f t="shared" si="468"/>
        <v>-1</v>
      </c>
      <c r="Z164">
        <f t="shared" si="468"/>
        <v>-1</v>
      </c>
      <c r="AA164">
        <f t="shared" si="468"/>
        <v>-1</v>
      </c>
      <c r="AB164">
        <f t="shared" si="468"/>
        <v>-1</v>
      </c>
      <c r="AC164">
        <f t="shared" si="468"/>
        <v>-1</v>
      </c>
      <c r="AD164">
        <f t="shared" si="468"/>
        <v>-1</v>
      </c>
      <c r="AE164">
        <f t="shared" si="468"/>
        <v>-1</v>
      </c>
      <c r="AF164">
        <f t="shared" si="468"/>
        <v>-1</v>
      </c>
      <c r="AG164">
        <f t="shared" si="468"/>
        <v>-1</v>
      </c>
      <c r="AH164">
        <f t="shared" si="468"/>
        <v>-1</v>
      </c>
      <c r="AI164">
        <f t="shared" si="468"/>
        <v>-1</v>
      </c>
      <c r="AJ164">
        <f t="shared" si="468"/>
        <v>-1</v>
      </c>
      <c r="AK164">
        <f t="shared" si="468"/>
        <v>-1</v>
      </c>
      <c r="AL164">
        <f t="shared" si="468"/>
        <v>-1</v>
      </c>
      <c r="AM164">
        <f t="shared" si="468"/>
        <v>-1</v>
      </c>
      <c r="AN164">
        <f t="shared" si="468"/>
        <v>-1</v>
      </c>
      <c r="AO164">
        <f t="shared" si="468"/>
        <v>-1</v>
      </c>
      <c r="AP164">
        <f t="shared" si="468"/>
        <v>-1</v>
      </c>
      <c r="AQ164">
        <f t="shared" si="468"/>
        <v>-1</v>
      </c>
      <c r="AR164">
        <f t="shared" si="468"/>
        <v>-1</v>
      </c>
      <c r="AS164">
        <f t="shared" si="468"/>
        <v>-1</v>
      </c>
      <c r="AT164">
        <f t="shared" si="468"/>
        <v>-1</v>
      </c>
      <c r="AU164">
        <f t="shared" si="468"/>
        <v>-1</v>
      </c>
      <c r="AV164">
        <f t="shared" si="468"/>
        <v>-1</v>
      </c>
      <c r="AW164">
        <f t="shared" si="468"/>
        <v>-1</v>
      </c>
      <c r="AX164">
        <f t="shared" si="468"/>
        <v>-1</v>
      </c>
      <c r="AY164">
        <f t="shared" si="468"/>
        <v>-1</v>
      </c>
      <c r="AZ164">
        <f t="shared" si="468"/>
        <v>-1</v>
      </c>
      <c r="BA164">
        <f t="shared" si="468"/>
        <v>-1</v>
      </c>
      <c r="BB164">
        <f t="shared" si="468"/>
        <v>-1</v>
      </c>
      <c r="BC164">
        <f t="shared" si="468"/>
        <v>-1</v>
      </c>
      <c r="BD164">
        <f t="shared" si="468"/>
        <v>-1</v>
      </c>
      <c r="BE164">
        <f t="shared" si="468"/>
        <v>-1</v>
      </c>
      <c r="BF164">
        <f t="shared" si="468"/>
        <v>-1</v>
      </c>
      <c r="BG164">
        <f t="shared" si="468"/>
        <v>-1</v>
      </c>
      <c r="BH164">
        <f t="shared" si="468"/>
        <v>-1</v>
      </c>
      <c r="BI164">
        <f t="shared" si="468"/>
        <v>-1</v>
      </c>
      <c r="BJ164">
        <f t="shared" si="468"/>
        <v>-1</v>
      </c>
      <c r="BK164">
        <f t="shared" si="468"/>
        <v>-1</v>
      </c>
      <c r="BL164">
        <f t="shared" si="468"/>
        <v>-1</v>
      </c>
      <c r="BM164">
        <f t="shared" si="468"/>
        <v>-1</v>
      </c>
      <c r="BN164">
        <f t="shared" si="468"/>
        <v>-1</v>
      </c>
      <c r="BO164">
        <f t="shared" si="468"/>
        <v>-1</v>
      </c>
      <c r="BP164">
        <f t="shared" ref="BP164:EA164" si="469">IF(OR(BP163=-1,AND(IF(BP$3&lt;$B164,BP163+BP$6,IF(BP$3=$B164,1,""))&gt;$B$1,BP$3&lt;$B164)),-1,IF(BP$3&lt;$B164,BP163+BP$6,IF(BP$3=$B164,1,"")))</f>
        <v>-1</v>
      </c>
      <c r="BQ164">
        <f t="shared" si="469"/>
        <v>-1</v>
      </c>
      <c r="BR164">
        <f t="shared" si="469"/>
        <v>-1</v>
      </c>
      <c r="BS164">
        <f t="shared" si="469"/>
        <v>-1</v>
      </c>
      <c r="BT164">
        <f t="shared" si="469"/>
        <v>-1</v>
      </c>
      <c r="BU164">
        <f t="shared" si="469"/>
        <v>-1</v>
      </c>
      <c r="BV164">
        <f t="shared" si="469"/>
        <v>-1</v>
      </c>
      <c r="BW164">
        <f t="shared" si="469"/>
        <v>-1</v>
      </c>
      <c r="BX164">
        <f t="shared" si="469"/>
        <v>-1</v>
      </c>
      <c r="BY164">
        <f t="shared" si="469"/>
        <v>-1</v>
      </c>
      <c r="BZ164">
        <f t="shared" si="469"/>
        <v>73.000000000000014</v>
      </c>
      <c r="CA164">
        <f t="shared" si="469"/>
        <v>69.400000000000048</v>
      </c>
      <c r="CB164">
        <f t="shared" si="469"/>
        <v>65.800000000000082</v>
      </c>
      <c r="CC164">
        <f t="shared" si="469"/>
        <v>62.200000000000102</v>
      </c>
      <c r="CD164">
        <f t="shared" si="469"/>
        <v>58.600000000000094</v>
      </c>
      <c r="CE164">
        <f t="shared" si="469"/>
        <v>55.000000000000085</v>
      </c>
      <c r="CF164">
        <f t="shared" si="469"/>
        <v>51.400000000000077</v>
      </c>
      <c r="CG164">
        <f t="shared" si="469"/>
        <v>47.800000000000068</v>
      </c>
      <c r="CH164">
        <f t="shared" si="469"/>
        <v>44.20000000000006</v>
      </c>
      <c r="CI164">
        <f t="shared" si="469"/>
        <v>40.600000000000051</v>
      </c>
      <c r="CJ164">
        <f t="shared" si="469"/>
        <v>37.000000000000043</v>
      </c>
      <c r="CK164">
        <f t="shared" si="469"/>
        <v>33.400000000000034</v>
      </c>
      <c r="CL164">
        <f t="shared" si="469"/>
        <v>29.800000000000026</v>
      </c>
      <c r="CM164">
        <f t="shared" si="469"/>
        <v>26.200000000000017</v>
      </c>
      <c r="CN164">
        <f t="shared" si="469"/>
        <v>22.600000000000009</v>
      </c>
      <c r="CO164">
        <f t="shared" si="469"/>
        <v>66</v>
      </c>
      <c r="CP164">
        <f t="shared" si="469"/>
        <v>53</v>
      </c>
      <c r="CQ164">
        <f t="shared" si="469"/>
        <v>-1</v>
      </c>
      <c r="CR164">
        <f t="shared" si="469"/>
        <v>-1</v>
      </c>
      <c r="CS164">
        <f t="shared" si="469"/>
        <v>-1</v>
      </c>
      <c r="CT164">
        <f t="shared" si="469"/>
        <v>-1</v>
      </c>
      <c r="CU164">
        <f t="shared" si="469"/>
        <v>-1</v>
      </c>
      <c r="CV164">
        <f t="shared" si="469"/>
        <v>-1</v>
      </c>
      <c r="CW164">
        <f t="shared" si="469"/>
        <v>-1</v>
      </c>
      <c r="CX164">
        <f t="shared" si="469"/>
        <v>-1</v>
      </c>
      <c r="CY164">
        <f t="shared" si="469"/>
        <v>-1</v>
      </c>
      <c r="CZ164">
        <f t="shared" si="469"/>
        <v>-1</v>
      </c>
      <c r="DA164">
        <f t="shared" si="469"/>
        <v>-1</v>
      </c>
      <c r="DB164">
        <f t="shared" si="469"/>
        <v>-1</v>
      </c>
      <c r="DC164">
        <f t="shared" si="469"/>
        <v>-1</v>
      </c>
      <c r="DD164">
        <f t="shared" si="469"/>
        <v>-1</v>
      </c>
      <c r="DE164">
        <f t="shared" si="469"/>
        <v>-1</v>
      </c>
      <c r="DF164">
        <f t="shared" si="469"/>
        <v>-1</v>
      </c>
      <c r="DG164">
        <f t="shared" si="469"/>
        <v>-1</v>
      </c>
      <c r="DH164">
        <f t="shared" si="469"/>
        <v>-1</v>
      </c>
      <c r="DI164">
        <f t="shared" si="469"/>
        <v>-1</v>
      </c>
      <c r="DJ164">
        <f t="shared" si="469"/>
        <v>-1</v>
      </c>
      <c r="DK164">
        <f t="shared" si="469"/>
        <v>-1</v>
      </c>
      <c r="DL164">
        <f t="shared" si="469"/>
        <v>-1</v>
      </c>
      <c r="DM164">
        <f t="shared" si="469"/>
        <v>-1</v>
      </c>
      <c r="DN164">
        <f t="shared" si="469"/>
        <v>-1</v>
      </c>
      <c r="DO164">
        <f t="shared" si="469"/>
        <v>-1</v>
      </c>
      <c r="DP164">
        <f t="shared" si="469"/>
        <v>-1</v>
      </c>
      <c r="DQ164">
        <f t="shared" si="469"/>
        <v>-1</v>
      </c>
      <c r="DR164">
        <f t="shared" si="469"/>
        <v>-1</v>
      </c>
      <c r="DS164">
        <f t="shared" si="469"/>
        <v>-1</v>
      </c>
      <c r="DT164">
        <f t="shared" si="469"/>
        <v>-1</v>
      </c>
      <c r="DU164">
        <f t="shared" si="469"/>
        <v>-1</v>
      </c>
      <c r="DV164">
        <f t="shared" si="469"/>
        <v>-1</v>
      </c>
      <c r="DW164">
        <f t="shared" si="469"/>
        <v>-1</v>
      </c>
      <c r="DX164">
        <f t="shared" si="469"/>
        <v>-1</v>
      </c>
      <c r="DY164">
        <f t="shared" si="469"/>
        <v>-1</v>
      </c>
      <c r="DZ164">
        <f t="shared" si="469"/>
        <v>-1</v>
      </c>
      <c r="EA164">
        <f t="shared" si="469"/>
        <v>-1</v>
      </c>
      <c r="EB164">
        <f t="shared" ref="EB164:EO164" si="470">IF(OR(EB163=-1,AND(IF(EB$3&lt;$B164,EB163+EB$6,IF(EB$3=$B164,1,""))&gt;$B$1,EB$3&lt;$B164)),-1,IF(EB$3&lt;$B164,EB163+EB$6,IF(EB$3=$B164,1,"")))</f>
        <v>-1</v>
      </c>
      <c r="EC164">
        <f t="shared" si="470"/>
        <v>-1</v>
      </c>
      <c r="ED164">
        <f t="shared" si="470"/>
        <v>-1</v>
      </c>
      <c r="EE164">
        <f t="shared" si="470"/>
        <v>-1</v>
      </c>
      <c r="EF164">
        <f t="shared" si="470"/>
        <v>-1</v>
      </c>
      <c r="EG164">
        <f t="shared" si="470"/>
        <v>-1</v>
      </c>
      <c r="EH164">
        <f t="shared" si="470"/>
        <v>-1</v>
      </c>
      <c r="EI164">
        <f t="shared" si="470"/>
        <v>-1</v>
      </c>
      <c r="EJ164">
        <f t="shared" si="470"/>
        <v>-1</v>
      </c>
      <c r="EK164">
        <f t="shared" si="470"/>
        <v>-1</v>
      </c>
      <c r="EL164">
        <f t="shared" si="470"/>
        <v>-1</v>
      </c>
      <c r="EM164">
        <f t="shared" si="470"/>
        <v>-1</v>
      </c>
      <c r="EN164">
        <f t="shared" si="470"/>
        <v>-1</v>
      </c>
      <c r="EO164">
        <f t="shared" si="470"/>
        <v>-1</v>
      </c>
    </row>
    <row r="165" spans="1:145" x14ac:dyDescent="0.15">
      <c r="A165" t="e">
        <f t="shared" si="386"/>
        <v>#N/A</v>
      </c>
      <c r="B165" s="218">
        <v>157</v>
      </c>
      <c r="C165">
        <f t="shared" si="386"/>
        <v>-1</v>
      </c>
      <c r="D165">
        <f t="shared" ref="D165:BO165" si="471">IF(OR(D164=-1,AND(IF(D$3&lt;$B165,D164+D$6,IF(D$3=$B165,1,""))&gt;$B$1,D$3&lt;$B165)),-1,IF(D$3&lt;$B165,D164+D$6,IF(D$3=$B165,1,"")))</f>
        <v>-1</v>
      </c>
      <c r="E165">
        <f t="shared" si="471"/>
        <v>-1</v>
      </c>
      <c r="F165">
        <f t="shared" si="471"/>
        <v>-1</v>
      </c>
      <c r="G165">
        <f t="shared" si="471"/>
        <v>-1</v>
      </c>
      <c r="H165">
        <f t="shared" si="471"/>
        <v>-1</v>
      </c>
      <c r="I165">
        <f t="shared" si="471"/>
        <v>-1</v>
      </c>
      <c r="J165">
        <f t="shared" si="471"/>
        <v>-1</v>
      </c>
      <c r="K165">
        <f t="shared" si="471"/>
        <v>-1</v>
      </c>
      <c r="L165">
        <f t="shared" si="471"/>
        <v>-1</v>
      </c>
      <c r="M165">
        <f t="shared" si="471"/>
        <v>-1</v>
      </c>
      <c r="N165">
        <f t="shared" si="471"/>
        <v>-1</v>
      </c>
      <c r="O165">
        <f t="shared" si="471"/>
        <v>-1</v>
      </c>
      <c r="P165">
        <f t="shared" si="471"/>
        <v>-1</v>
      </c>
      <c r="Q165">
        <f t="shared" si="471"/>
        <v>-1</v>
      </c>
      <c r="R165">
        <f t="shared" si="471"/>
        <v>-1</v>
      </c>
      <c r="S165">
        <f t="shared" si="471"/>
        <v>-1</v>
      </c>
      <c r="T165">
        <f t="shared" si="471"/>
        <v>-1</v>
      </c>
      <c r="U165">
        <f t="shared" si="471"/>
        <v>-1</v>
      </c>
      <c r="V165">
        <f t="shared" si="471"/>
        <v>-1</v>
      </c>
      <c r="W165">
        <f t="shared" si="471"/>
        <v>-1</v>
      </c>
      <c r="X165">
        <f t="shared" si="471"/>
        <v>-1</v>
      </c>
      <c r="Y165">
        <f t="shared" si="471"/>
        <v>-1</v>
      </c>
      <c r="Z165">
        <f t="shared" si="471"/>
        <v>-1</v>
      </c>
      <c r="AA165">
        <f t="shared" si="471"/>
        <v>-1</v>
      </c>
      <c r="AB165">
        <f t="shared" si="471"/>
        <v>-1</v>
      </c>
      <c r="AC165">
        <f t="shared" si="471"/>
        <v>-1</v>
      </c>
      <c r="AD165">
        <f t="shared" si="471"/>
        <v>-1</v>
      </c>
      <c r="AE165">
        <f t="shared" si="471"/>
        <v>-1</v>
      </c>
      <c r="AF165">
        <f t="shared" si="471"/>
        <v>-1</v>
      </c>
      <c r="AG165">
        <f t="shared" si="471"/>
        <v>-1</v>
      </c>
      <c r="AH165">
        <f t="shared" si="471"/>
        <v>-1</v>
      </c>
      <c r="AI165">
        <f t="shared" si="471"/>
        <v>-1</v>
      </c>
      <c r="AJ165">
        <f t="shared" si="471"/>
        <v>-1</v>
      </c>
      <c r="AK165">
        <f t="shared" si="471"/>
        <v>-1</v>
      </c>
      <c r="AL165">
        <f t="shared" si="471"/>
        <v>-1</v>
      </c>
      <c r="AM165">
        <f t="shared" si="471"/>
        <v>-1</v>
      </c>
      <c r="AN165">
        <f t="shared" si="471"/>
        <v>-1</v>
      </c>
      <c r="AO165">
        <f t="shared" si="471"/>
        <v>-1</v>
      </c>
      <c r="AP165">
        <f t="shared" si="471"/>
        <v>-1</v>
      </c>
      <c r="AQ165">
        <f t="shared" si="471"/>
        <v>-1</v>
      </c>
      <c r="AR165">
        <f t="shared" si="471"/>
        <v>-1</v>
      </c>
      <c r="AS165">
        <f t="shared" si="471"/>
        <v>-1</v>
      </c>
      <c r="AT165">
        <f t="shared" si="471"/>
        <v>-1</v>
      </c>
      <c r="AU165">
        <f t="shared" si="471"/>
        <v>-1</v>
      </c>
      <c r="AV165">
        <f t="shared" si="471"/>
        <v>-1</v>
      </c>
      <c r="AW165">
        <f t="shared" si="471"/>
        <v>-1</v>
      </c>
      <c r="AX165">
        <f t="shared" si="471"/>
        <v>-1</v>
      </c>
      <c r="AY165">
        <f t="shared" si="471"/>
        <v>-1</v>
      </c>
      <c r="AZ165">
        <f t="shared" si="471"/>
        <v>-1</v>
      </c>
      <c r="BA165">
        <f t="shared" si="471"/>
        <v>-1</v>
      </c>
      <c r="BB165">
        <f t="shared" si="471"/>
        <v>-1</v>
      </c>
      <c r="BC165">
        <f t="shared" si="471"/>
        <v>-1</v>
      </c>
      <c r="BD165">
        <f t="shared" si="471"/>
        <v>-1</v>
      </c>
      <c r="BE165">
        <f t="shared" si="471"/>
        <v>-1</v>
      </c>
      <c r="BF165">
        <f t="shared" si="471"/>
        <v>-1</v>
      </c>
      <c r="BG165">
        <f t="shared" si="471"/>
        <v>-1</v>
      </c>
      <c r="BH165">
        <f t="shared" si="471"/>
        <v>-1</v>
      </c>
      <c r="BI165">
        <f t="shared" si="471"/>
        <v>-1</v>
      </c>
      <c r="BJ165">
        <f t="shared" si="471"/>
        <v>-1</v>
      </c>
      <c r="BK165">
        <f t="shared" si="471"/>
        <v>-1</v>
      </c>
      <c r="BL165">
        <f t="shared" si="471"/>
        <v>-1</v>
      </c>
      <c r="BM165">
        <f t="shared" si="471"/>
        <v>-1</v>
      </c>
      <c r="BN165">
        <f t="shared" si="471"/>
        <v>-1</v>
      </c>
      <c r="BO165">
        <f t="shared" si="471"/>
        <v>-1</v>
      </c>
      <c r="BP165">
        <f t="shared" ref="BP165:EA165" si="472">IF(OR(BP164=-1,AND(IF(BP$3&lt;$B165,BP164+BP$6,IF(BP$3=$B165,1,""))&gt;$B$1,BP$3&lt;$B165)),-1,IF(BP$3&lt;$B165,BP164+BP$6,IF(BP$3=$B165,1,"")))</f>
        <v>-1</v>
      </c>
      <c r="BQ165">
        <f t="shared" si="472"/>
        <v>-1</v>
      </c>
      <c r="BR165">
        <f t="shared" si="472"/>
        <v>-1</v>
      </c>
      <c r="BS165">
        <f t="shared" si="472"/>
        <v>-1</v>
      </c>
      <c r="BT165">
        <f t="shared" si="472"/>
        <v>-1</v>
      </c>
      <c r="BU165">
        <f t="shared" si="472"/>
        <v>-1</v>
      </c>
      <c r="BV165">
        <f t="shared" si="472"/>
        <v>-1</v>
      </c>
      <c r="BW165">
        <f t="shared" si="472"/>
        <v>-1</v>
      </c>
      <c r="BX165">
        <f t="shared" si="472"/>
        <v>-1</v>
      </c>
      <c r="BY165">
        <f t="shared" si="472"/>
        <v>-1</v>
      </c>
      <c r="BZ165">
        <f t="shared" si="472"/>
        <v>73.600000000000009</v>
      </c>
      <c r="CA165">
        <f t="shared" si="472"/>
        <v>70.000000000000043</v>
      </c>
      <c r="CB165">
        <f t="shared" si="472"/>
        <v>66.400000000000077</v>
      </c>
      <c r="CC165">
        <f t="shared" si="472"/>
        <v>62.800000000000104</v>
      </c>
      <c r="CD165">
        <f t="shared" si="472"/>
        <v>59.200000000000095</v>
      </c>
      <c r="CE165">
        <f t="shared" si="472"/>
        <v>55.600000000000087</v>
      </c>
      <c r="CF165">
        <f t="shared" si="472"/>
        <v>52.000000000000078</v>
      </c>
      <c r="CG165">
        <f t="shared" si="472"/>
        <v>48.40000000000007</v>
      </c>
      <c r="CH165">
        <f t="shared" si="472"/>
        <v>44.800000000000061</v>
      </c>
      <c r="CI165">
        <f t="shared" si="472"/>
        <v>41.200000000000053</v>
      </c>
      <c r="CJ165">
        <f t="shared" si="472"/>
        <v>37.600000000000044</v>
      </c>
      <c r="CK165">
        <f t="shared" si="472"/>
        <v>34.000000000000036</v>
      </c>
      <c r="CL165">
        <f t="shared" si="472"/>
        <v>30.400000000000027</v>
      </c>
      <c r="CM165">
        <f t="shared" si="472"/>
        <v>26.800000000000018</v>
      </c>
      <c r="CN165">
        <f t="shared" si="472"/>
        <v>23.20000000000001</v>
      </c>
      <c r="CO165">
        <f t="shared" si="472"/>
        <v>66.5</v>
      </c>
      <c r="CP165">
        <f t="shared" si="472"/>
        <v>53.5</v>
      </c>
      <c r="CQ165">
        <f t="shared" si="472"/>
        <v>-1</v>
      </c>
      <c r="CR165">
        <f t="shared" si="472"/>
        <v>-1</v>
      </c>
      <c r="CS165">
        <f t="shared" si="472"/>
        <v>-1</v>
      </c>
      <c r="CT165">
        <f t="shared" si="472"/>
        <v>-1</v>
      </c>
      <c r="CU165">
        <f t="shared" si="472"/>
        <v>-1</v>
      </c>
      <c r="CV165">
        <f t="shared" si="472"/>
        <v>-1</v>
      </c>
      <c r="CW165">
        <f t="shared" si="472"/>
        <v>-1</v>
      </c>
      <c r="CX165">
        <f t="shared" si="472"/>
        <v>-1</v>
      </c>
      <c r="CY165">
        <f t="shared" si="472"/>
        <v>-1</v>
      </c>
      <c r="CZ165">
        <f t="shared" si="472"/>
        <v>-1</v>
      </c>
      <c r="DA165">
        <f t="shared" si="472"/>
        <v>-1</v>
      </c>
      <c r="DB165">
        <f t="shared" si="472"/>
        <v>-1</v>
      </c>
      <c r="DC165">
        <f t="shared" si="472"/>
        <v>-1</v>
      </c>
      <c r="DD165">
        <f t="shared" si="472"/>
        <v>-1</v>
      </c>
      <c r="DE165">
        <f t="shared" si="472"/>
        <v>-1</v>
      </c>
      <c r="DF165">
        <f t="shared" si="472"/>
        <v>-1</v>
      </c>
      <c r="DG165">
        <f t="shared" si="472"/>
        <v>-1</v>
      </c>
      <c r="DH165">
        <f t="shared" si="472"/>
        <v>-1</v>
      </c>
      <c r="DI165">
        <f t="shared" si="472"/>
        <v>-1</v>
      </c>
      <c r="DJ165">
        <f t="shared" si="472"/>
        <v>-1</v>
      </c>
      <c r="DK165">
        <f t="shared" si="472"/>
        <v>-1</v>
      </c>
      <c r="DL165">
        <f t="shared" si="472"/>
        <v>-1</v>
      </c>
      <c r="DM165">
        <f t="shared" si="472"/>
        <v>-1</v>
      </c>
      <c r="DN165">
        <f t="shared" si="472"/>
        <v>-1</v>
      </c>
      <c r="DO165">
        <f t="shared" si="472"/>
        <v>-1</v>
      </c>
      <c r="DP165">
        <f t="shared" si="472"/>
        <v>-1</v>
      </c>
      <c r="DQ165">
        <f t="shared" si="472"/>
        <v>-1</v>
      </c>
      <c r="DR165">
        <f t="shared" si="472"/>
        <v>-1</v>
      </c>
      <c r="DS165">
        <f t="shared" si="472"/>
        <v>-1</v>
      </c>
      <c r="DT165">
        <f t="shared" si="472"/>
        <v>-1</v>
      </c>
      <c r="DU165">
        <f t="shared" si="472"/>
        <v>-1</v>
      </c>
      <c r="DV165">
        <f t="shared" si="472"/>
        <v>-1</v>
      </c>
      <c r="DW165">
        <f t="shared" si="472"/>
        <v>-1</v>
      </c>
      <c r="DX165">
        <f t="shared" si="472"/>
        <v>-1</v>
      </c>
      <c r="DY165">
        <f t="shared" si="472"/>
        <v>-1</v>
      </c>
      <c r="DZ165">
        <f t="shared" si="472"/>
        <v>-1</v>
      </c>
      <c r="EA165">
        <f t="shared" si="472"/>
        <v>-1</v>
      </c>
      <c r="EB165">
        <f t="shared" ref="EB165:EO165" si="473">IF(OR(EB164=-1,AND(IF(EB$3&lt;$B165,EB164+EB$6,IF(EB$3=$B165,1,""))&gt;$B$1,EB$3&lt;$B165)),-1,IF(EB$3&lt;$B165,EB164+EB$6,IF(EB$3=$B165,1,"")))</f>
        <v>-1</v>
      </c>
      <c r="EC165">
        <f t="shared" si="473"/>
        <v>-1</v>
      </c>
      <c r="ED165">
        <f t="shared" si="473"/>
        <v>-1</v>
      </c>
      <c r="EE165">
        <f t="shared" si="473"/>
        <v>-1</v>
      </c>
      <c r="EF165">
        <f t="shared" si="473"/>
        <v>-1</v>
      </c>
      <c r="EG165">
        <f t="shared" si="473"/>
        <v>-1</v>
      </c>
      <c r="EH165">
        <f t="shared" si="473"/>
        <v>-1</v>
      </c>
      <c r="EI165">
        <f t="shared" si="473"/>
        <v>-1</v>
      </c>
      <c r="EJ165">
        <f t="shared" si="473"/>
        <v>-1</v>
      </c>
      <c r="EK165">
        <f t="shared" si="473"/>
        <v>-1</v>
      </c>
      <c r="EL165">
        <f t="shared" si="473"/>
        <v>-1</v>
      </c>
      <c r="EM165">
        <f t="shared" si="473"/>
        <v>-1</v>
      </c>
      <c r="EN165">
        <f t="shared" si="473"/>
        <v>-1</v>
      </c>
      <c r="EO165">
        <f t="shared" si="473"/>
        <v>-1</v>
      </c>
    </row>
    <row r="166" spans="1:145" x14ac:dyDescent="0.15">
      <c r="A166" t="e">
        <f t="shared" si="386"/>
        <v>#N/A</v>
      </c>
      <c r="B166" s="218">
        <v>158</v>
      </c>
      <c r="C166">
        <f t="shared" si="386"/>
        <v>-1</v>
      </c>
      <c r="D166">
        <f t="shared" ref="D166:BO166" si="474">IF(OR(D165=-1,AND(IF(D$3&lt;$B166,D165+D$6,IF(D$3=$B166,1,""))&gt;$B$1,D$3&lt;$B166)),-1,IF(D$3&lt;$B166,D165+D$6,IF(D$3=$B166,1,"")))</f>
        <v>-1</v>
      </c>
      <c r="E166">
        <f t="shared" si="474"/>
        <v>-1</v>
      </c>
      <c r="F166">
        <f t="shared" si="474"/>
        <v>-1</v>
      </c>
      <c r="G166">
        <f t="shared" si="474"/>
        <v>-1</v>
      </c>
      <c r="H166">
        <f t="shared" si="474"/>
        <v>-1</v>
      </c>
      <c r="I166">
        <f t="shared" si="474"/>
        <v>-1</v>
      </c>
      <c r="J166">
        <f t="shared" si="474"/>
        <v>-1</v>
      </c>
      <c r="K166">
        <f t="shared" si="474"/>
        <v>-1</v>
      </c>
      <c r="L166">
        <f t="shared" si="474"/>
        <v>-1</v>
      </c>
      <c r="M166">
        <f t="shared" si="474"/>
        <v>-1</v>
      </c>
      <c r="N166">
        <f t="shared" si="474"/>
        <v>-1</v>
      </c>
      <c r="O166">
        <f t="shared" si="474"/>
        <v>-1</v>
      </c>
      <c r="P166">
        <f t="shared" si="474"/>
        <v>-1</v>
      </c>
      <c r="Q166">
        <f t="shared" si="474"/>
        <v>-1</v>
      </c>
      <c r="R166">
        <f t="shared" si="474"/>
        <v>-1</v>
      </c>
      <c r="S166">
        <f t="shared" si="474"/>
        <v>-1</v>
      </c>
      <c r="T166">
        <f t="shared" si="474"/>
        <v>-1</v>
      </c>
      <c r="U166">
        <f t="shared" si="474"/>
        <v>-1</v>
      </c>
      <c r="V166">
        <f t="shared" si="474"/>
        <v>-1</v>
      </c>
      <c r="W166">
        <f t="shared" si="474"/>
        <v>-1</v>
      </c>
      <c r="X166">
        <f t="shared" si="474"/>
        <v>-1</v>
      </c>
      <c r="Y166">
        <f t="shared" si="474"/>
        <v>-1</v>
      </c>
      <c r="Z166">
        <f t="shared" si="474"/>
        <v>-1</v>
      </c>
      <c r="AA166">
        <f t="shared" si="474"/>
        <v>-1</v>
      </c>
      <c r="AB166">
        <f t="shared" si="474"/>
        <v>-1</v>
      </c>
      <c r="AC166">
        <f t="shared" si="474"/>
        <v>-1</v>
      </c>
      <c r="AD166">
        <f t="shared" si="474"/>
        <v>-1</v>
      </c>
      <c r="AE166">
        <f t="shared" si="474"/>
        <v>-1</v>
      </c>
      <c r="AF166">
        <f t="shared" si="474"/>
        <v>-1</v>
      </c>
      <c r="AG166">
        <f t="shared" si="474"/>
        <v>-1</v>
      </c>
      <c r="AH166">
        <f t="shared" si="474"/>
        <v>-1</v>
      </c>
      <c r="AI166">
        <f t="shared" si="474"/>
        <v>-1</v>
      </c>
      <c r="AJ166">
        <f t="shared" si="474"/>
        <v>-1</v>
      </c>
      <c r="AK166">
        <f t="shared" si="474"/>
        <v>-1</v>
      </c>
      <c r="AL166">
        <f t="shared" si="474"/>
        <v>-1</v>
      </c>
      <c r="AM166">
        <f t="shared" si="474"/>
        <v>-1</v>
      </c>
      <c r="AN166">
        <f t="shared" si="474"/>
        <v>-1</v>
      </c>
      <c r="AO166">
        <f t="shared" si="474"/>
        <v>-1</v>
      </c>
      <c r="AP166">
        <f t="shared" si="474"/>
        <v>-1</v>
      </c>
      <c r="AQ166">
        <f t="shared" si="474"/>
        <v>-1</v>
      </c>
      <c r="AR166">
        <f t="shared" si="474"/>
        <v>-1</v>
      </c>
      <c r="AS166">
        <f t="shared" si="474"/>
        <v>-1</v>
      </c>
      <c r="AT166">
        <f t="shared" si="474"/>
        <v>-1</v>
      </c>
      <c r="AU166">
        <f t="shared" si="474"/>
        <v>-1</v>
      </c>
      <c r="AV166">
        <f t="shared" si="474"/>
        <v>-1</v>
      </c>
      <c r="AW166">
        <f t="shared" si="474"/>
        <v>-1</v>
      </c>
      <c r="AX166">
        <f t="shared" si="474"/>
        <v>-1</v>
      </c>
      <c r="AY166">
        <f t="shared" si="474"/>
        <v>-1</v>
      </c>
      <c r="AZ166">
        <f t="shared" si="474"/>
        <v>-1</v>
      </c>
      <c r="BA166">
        <f t="shared" si="474"/>
        <v>-1</v>
      </c>
      <c r="BB166">
        <f t="shared" si="474"/>
        <v>-1</v>
      </c>
      <c r="BC166">
        <f t="shared" si="474"/>
        <v>-1</v>
      </c>
      <c r="BD166">
        <f t="shared" si="474"/>
        <v>-1</v>
      </c>
      <c r="BE166">
        <f t="shared" si="474"/>
        <v>-1</v>
      </c>
      <c r="BF166">
        <f t="shared" si="474"/>
        <v>-1</v>
      </c>
      <c r="BG166">
        <f t="shared" si="474"/>
        <v>-1</v>
      </c>
      <c r="BH166">
        <f t="shared" si="474"/>
        <v>-1</v>
      </c>
      <c r="BI166">
        <f t="shared" si="474"/>
        <v>-1</v>
      </c>
      <c r="BJ166">
        <f t="shared" si="474"/>
        <v>-1</v>
      </c>
      <c r="BK166">
        <f t="shared" si="474"/>
        <v>-1</v>
      </c>
      <c r="BL166">
        <f t="shared" si="474"/>
        <v>-1</v>
      </c>
      <c r="BM166">
        <f t="shared" si="474"/>
        <v>-1</v>
      </c>
      <c r="BN166">
        <f t="shared" si="474"/>
        <v>-1</v>
      </c>
      <c r="BO166">
        <f t="shared" si="474"/>
        <v>-1</v>
      </c>
      <c r="BP166">
        <f t="shared" ref="BP166:EA166" si="475">IF(OR(BP165=-1,AND(IF(BP$3&lt;$B166,BP165+BP$6,IF(BP$3=$B166,1,""))&gt;$B$1,BP$3&lt;$B166)),-1,IF(BP$3&lt;$B166,BP165+BP$6,IF(BP$3=$B166,1,"")))</f>
        <v>-1</v>
      </c>
      <c r="BQ166">
        <f t="shared" si="475"/>
        <v>-1</v>
      </c>
      <c r="BR166">
        <f t="shared" si="475"/>
        <v>-1</v>
      </c>
      <c r="BS166">
        <f t="shared" si="475"/>
        <v>-1</v>
      </c>
      <c r="BT166">
        <f t="shared" si="475"/>
        <v>-1</v>
      </c>
      <c r="BU166">
        <f t="shared" si="475"/>
        <v>-1</v>
      </c>
      <c r="BV166">
        <f t="shared" si="475"/>
        <v>-1</v>
      </c>
      <c r="BW166">
        <f t="shared" si="475"/>
        <v>-1</v>
      </c>
      <c r="BX166">
        <f t="shared" si="475"/>
        <v>-1</v>
      </c>
      <c r="BY166">
        <f t="shared" si="475"/>
        <v>-1</v>
      </c>
      <c r="BZ166">
        <f t="shared" si="475"/>
        <v>74.2</v>
      </c>
      <c r="CA166">
        <f t="shared" si="475"/>
        <v>70.600000000000037</v>
      </c>
      <c r="CB166">
        <f t="shared" si="475"/>
        <v>67.000000000000071</v>
      </c>
      <c r="CC166">
        <f t="shared" si="475"/>
        <v>63.400000000000105</v>
      </c>
      <c r="CD166">
        <f t="shared" si="475"/>
        <v>59.800000000000097</v>
      </c>
      <c r="CE166">
        <f t="shared" si="475"/>
        <v>56.200000000000088</v>
      </c>
      <c r="CF166">
        <f t="shared" si="475"/>
        <v>52.60000000000008</v>
      </c>
      <c r="CG166">
        <f t="shared" si="475"/>
        <v>49.000000000000071</v>
      </c>
      <c r="CH166">
        <f t="shared" si="475"/>
        <v>45.400000000000063</v>
      </c>
      <c r="CI166">
        <f t="shared" si="475"/>
        <v>41.800000000000054</v>
      </c>
      <c r="CJ166">
        <f t="shared" si="475"/>
        <v>38.200000000000045</v>
      </c>
      <c r="CK166">
        <f t="shared" si="475"/>
        <v>34.600000000000037</v>
      </c>
      <c r="CL166">
        <f t="shared" si="475"/>
        <v>31.000000000000028</v>
      </c>
      <c r="CM166">
        <f t="shared" si="475"/>
        <v>27.40000000000002</v>
      </c>
      <c r="CN166">
        <f t="shared" si="475"/>
        <v>23.800000000000011</v>
      </c>
      <c r="CO166">
        <f t="shared" si="475"/>
        <v>67</v>
      </c>
      <c r="CP166">
        <f t="shared" si="475"/>
        <v>54</v>
      </c>
      <c r="CQ166">
        <f t="shared" si="475"/>
        <v>-1</v>
      </c>
      <c r="CR166">
        <f t="shared" si="475"/>
        <v>-1</v>
      </c>
      <c r="CS166">
        <f t="shared" si="475"/>
        <v>-1</v>
      </c>
      <c r="CT166">
        <f t="shared" si="475"/>
        <v>-1</v>
      </c>
      <c r="CU166">
        <f t="shared" si="475"/>
        <v>-1</v>
      </c>
      <c r="CV166">
        <f t="shared" si="475"/>
        <v>-1</v>
      </c>
      <c r="CW166">
        <f t="shared" si="475"/>
        <v>-1</v>
      </c>
      <c r="CX166">
        <f t="shared" si="475"/>
        <v>-1</v>
      </c>
      <c r="CY166">
        <f t="shared" si="475"/>
        <v>-1</v>
      </c>
      <c r="CZ166">
        <f t="shared" si="475"/>
        <v>-1</v>
      </c>
      <c r="DA166">
        <f t="shared" si="475"/>
        <v>-1</v>
      </c>
      <c r="DB166">
        <f t="shared" si="475"/>
        <v>-1</v>
      </c>
      <c r="DC166">
        <f t="shared" si="475"/>
        <v>-1</v>
      </c>
      <c r="DD166">
        <f t="shared" si="475"/>
        <v>-1</v>
      </c>
      <c r="DE166">
        <f t="shared" si="475"/>
        <v>-1</v>
      </c>
      <c r="DF166">
        <f t="shared" si="475"/>
        <v>-1</v>
      </c>
      <c r="DG166">
        <f t="shared" si="475"/>
        <v>-1</v>
      </c>
      <c r="DH166">
        <f t="shared" si="475"/>
        <v>-1</v>
      </c>
      <c r="DI166">
        <f t="shared" si="475"/>
        <v>-1</v>
      </c>
      <c r="DJ166">
        <f t="shared" si="475"/>
        <v>-1</v>
      </c>
      <c r="DK166">
        <f t="shared" si="475"/>
        <v>-1</v>
      </c>
      <c r="DL166">
        <f t="shared" si="475"/>
        <v>-1</v>
      </c>
      <c r="DM166">
        <f t="shared" si="475"/>
        <v>-1</v>
      </c>
      <c r="DN166">
        <f t="shared" si="475"/>
        <v>-1</v>
      </c>
      <c r="DO166">
        <f t="shared" si="475"/>
        <v>-1</v>
      </c>
      <c r="DP166">
        <f t="shared" si="475"/>
        <v>-1</v>
      </c>
      <c r="DQ166">
        <f t="shared" si="475"/>
        <v>-1</v>
      </c>
      <c r="DR166">
        <f t="shared" si="475"/>
        <v>-1</v>
      </c>
      <c r="DS166">
        <f t="shared" si="475"/>
        <v>-1</v>
      </c>
      <c r="DT166">
        <f t="shared" si="475"/>
        <v>-1</v>
      </c>
      <c r="DU166">
        <f t="shared" si="475"/>
        <v>-1</v>
      </c>
      <c r="DV166">
        <f t="shared" si="475"/>
        <v>-1</v>
      </c>
      <c r="DW166">
        <f t="shared" si="475"/>
        <v>-1</v>
      </c>
      <c r="DX166">
        <f t="shared" si="475"/>
        <v>-1</v>
      </c>
      <c r="DY166">
        <f t="shared" si="475"/>
        <v>-1</v>
      </c>
      <c r="DZ166">
        <f t="shared" si="475"/>
        <v>-1</v>
      </c>
      <c r="EA166">
        <f t="shared" si="475"/>
        <v>-1</v>
      </c>
      <c r="EB166">
        <f t="shared" ref="EB166:EO166" si="476">IF(OR(EB165=-1,AND(IF(EB$3&lt;$B166,EB165+EB$6,IF(EB$3=$B166,1,""))&gt;$B$1,EB$3&lt;$B166)),-1,IF(EB$3&lt;$B166,EB165+EB$6,IF(EB$3=$B166,1,"")))</f>
        <v>-1</v>
      </c>
      <c r="EC166">
        <f t="shared" si="476"/>
        <v>-1</v>
      </c>
      <c r="ED166">
        <f t="shared" si="476"/>
        <v>-1</v>
      </c>
      <c r="EE166">
        <f t="shared" si="476"/>
        <v>-1</v>
      </c>
      <c r="EF166">
        <f t="shared" si="476"/>
        <v>-1</v>
      </c>
      <c r="EG166">
        <f t="shared" si="476"/>
        <v>-1</v>
      </c>
      <c r="EH166">
        <f t="shared" si="476"/>
        <v>-1</v>
      </c>
      <c r="EI166">
        <f t="shared" si="476"/>
        <v>-1</v>
      </c>
      <c r="EJ166">
        <f t="shared" si="476"/>
        <v>-1</v>
      </c>
      <c r="EK166">
        <f t="shared" si="476"/>
        <v>-1</v>
      </c>
      <c r="EL166">
        <f t="shared" si="476"/>
        <v>-1</v>
      </c>
      <c r="EM166">
        <f t="shared" si="476"/>
        <v>-1</v>
      </c>
      <c r="EN166">
        <f t="shared" si="476"/>
        <v>-1</v>
      </c>
      <c r="EO166">
        <f t="shared" si="476"/>
        <v>-1</v>
      </c>
    </row>
    <row r="167" spans="1:145" x14ac:dyDescent="0.15">
      <c r="A167" t="e">
        <f t="shared" si="386"/>
        <v>#N/A</v>
      </c>
      <c r="B167" s="218">
        <v>159</v>
      </c>
      <c r="C167">
        <f t="shared" si="386"/>
        <v>-1</v>
      </c>
      <c r="D167">
        <f t="shared" ref="D167:BO167" si="477">IF(OR(D166=-1,AND(IF(D$3&lt;$B167,D166+D$6,IF(D$3=$B167,1,""))&gt;$B$1,D$3&lt;$B167)),-1,IF(D$3&lt;$B167,D166+D$6,IF(D$3=$B167,1,"")))</f>
        <v>-1</v>
      </c>
      <c r="E167">
        <f t="shared" si="477"/>
        <v>-1</v>
      </c>
      <c r="F167">
        <f t="shared" si="477"/>
        <v>-1</v>
      </c>
      <c r="G167">
        <f t="shared" si="477"/>
        <v>-1</v>
      </c>
      <c r="H167">
        <f t="shared" si="477"/>
        <v>-1</v>
      </c>
      <c r="I167">
        <f t="shared" si="477"/>
        <v>-1</v>
      </c>
      <c r="J167">
        <f t="shared" si="477"/>
        <v>-1</v>
      </c>
      <c r="K167">
        <f t="shared" si="477"/>
        <v>-1</v>
      </c>
      <c r="L167">
        <f t="shared" si="477"/>
        <v>-1</v>
      </c>
      <c r="M167">
        <f t="shared" si="477"/>
        <v>-1</v>
      </c>
      <c r="N167">
        <f t="shared" si="477"/>
        <v>-1</v>
      </c>
      <c r="O167">
        <f t="shared" si="477"/>
        <v>-1</v>
      </c>
      <c r="P167">
        <f t="shared" si="477"/>
        <v>-1</v>
      </c>
      <c r="Q167">
        <f t="shared" si="477"/>
        <v>-1</v>
      </c>
      <c r="R167">
        <f t="shared" si="477"/>
        <v>-1</v>
      </c>
      <c r="S167">
        <f t="shared" si="477"/>
        <v>-1</v>
      </c>
      <c r="T167">
        <f t="shared" si="477"/>
        <v>-1</v>
      </c>
      <c r="U167">
        <f t="shared" si="477"/>
        <v>-1</v>
      </c>
      <c r="V167">
        <f t="shared" si="477"/>
        <v>-1</v>
      </c>
      <c r="W167">
        <f t="shared" si="477"/>
        <v>-1</v>
      </c>
      <c r="X167">
        <f t="shared" si="477"/>
        <v>-1</v>
      </c>
      <c r="Y167">
        <f t="shared" si="477"/>
        <v>-1</v>
      </c>
      <c r="Z167">
        <f t="shared" si="477"/>
        <v>-1</v>
      </c>
      <c r="AA167">
        <f t="shared" si="477"/>
        <v>-1</v>
      </c>
      <c r="AB167">
        <f t="shared" si="477"/>
        <v>-1</v>
      </c>
      <c r="AC167">
        <f t="shared" si="477"/>
        <v>-1</v>
      </c>
      <c r="AD167">
        <f t="shared" si="477"/>
        <v>-1</v>
      </c>
      <c r="AE167">
        <f t="shared" si="477"/>
        <v>-1</v>
      </c>
      <c r="AF167">
        <f t="shared" si="477"/>
        <v>-1</v>
      </c>
      <c r="AG167">
        <f t="shared" si="477"/>
        <v>-1</v>
      </c>
      <c r="AH167">
        <f t="shared" si="477"/>
        <v>-1</v>
      </c>
      <c r="AI167">
        <f t="shared" si="477"/>
        <v>-1</v>
      </c>
      <c r="AJ167">
        <f t="shared" si="477"/>
        <v>-1</v>
      </c>
      <c r="AK167">
        <f t="shared" si="477"/>
        <v>-1</v>
      </c>
      <c r="AL167">
        <f t="shared" si="477"/>
        <v>-1</v>
      </c>
      <c r="AM167">
        <f t="shared" si="477"/>
        <v>-1</v>
      </c>
      <c r="AN167">
        <f t="shared" si="477"/>
        <v>-1</v>
      </c>
      <c r="AO167">
        <f t="shared" si="477"/>
        <v>-1</v>
      </c>
      <c r="AP167">
        <f t="shared" si="477"/>
        <v>-1</v>
      </c>
      <c r="AQ167">
        <f t="shared" si="477"/>
        <v>-1</v>
      </c>
      <c r="AR167">
        <f t="shared" si="477"/>
        <v>-1</v>
      </c>
      <c r="AS167">
        <f t="shared" si="477"/>
        <v>-1</v>
      </c>
      <c r="AT167">
        <f t="shared" si="477"/>
        <v>-1</v>
      </c>
      <c r="AU167">
        <f t="shared" si="477"/>
        <v>-1</v>
      </c>
      <c r="AV167">
        <f t="shared" si="477"/>
        <v>-1</v>
      </c>
      <c r="AW167">
        <f t="shared" si="477"/>
        <v>-1</v>
      </c>
      <c r="AX167">
        <f t="shared" si="477"/>
        <v>-1</v>
      </c>
      <c r="AY167">
        <f t="shared" si="477"/>
        <v>-1</v>
      </c>
      <c r="AZ167">
        <f t="shared" si="477"/>
        <v>-1</v>
      </c>
      <c r="BA167">
        <f t="shared" si="477"/>
        <v>-1</v>
      </c>
      <c r="BB167">
        <f t="shared" si="477"/>
        <v>-1</v>
      </c>
      <c r="BC167">
        <f t="shared" si="477"/>
        <v>-1</v>
      </c>
      <c r="BD167">
        <f t="shared" si="477"/>
        <v>-1</v>
      </c>
      <c r="BE167">
        <f t="shared" si="477"/>
        <v>-1</v>
      </c>
      <c r="BF167">
        <f t="shared" si="477"/>
        <v>-1</v>
      </c>
      <c r="BG167">
        <f t="shared" si="477"/>
        <v>-1</v>
      </c>
      <c r="BH167">
        <f t="shared" si="477"/>
        <v>-1</v>
      </c>
      <c r="BI167">
        <f t="shared" si="477"/>
        <v>-1</v>
      </c>
      <c r="BJ167">
        <f t="shared" si="477"/>
        <v>-1</v>
      </c>
      <c r="BK167">
        <f t="shared" si="477"/>
        <v>-1</v>
      </c>
      <c r="BL167">
        <f t="shared" si="477"/>
        <v>-1</v>
      </c>
      <c r="BM167">
        <f t="shared" si="477"/>
        <v>-1</v>
      </c>
      <c r="BN167">
        <f t="shared" si="477"/>
        <v>-1</v>
      </c>
      <c r="BO167">
        <f t="shared" si="477"/>
        <v>-1</v>
      </c>
      <c r="BP167">
        <f t="shared" ref="BP167:EA167" si="478">IF(OR(BP166=-1,AND(IF(BP$3&lt;$B167,BP166+BP$6,IF(BP$3=$B167,1,""))&gt;$B$1,BP$3&lt;$B167)),-1,IF(BP$3&lt;$B167,BP166+BP$6,IF(BP$3=$B167,1,"")))</f>
        <v>-1</v>
      </c>
      <c r="BQ167">
        <f t="shared" si="478"/>
        <v>-1</v>
      </c>
      <c r="BR167">
        <f t="shared" si="478"/>
        <v>-1</v>
      </c>
      <c r="BS167">
        <f t="shared" si="478"/>
        <v>-1</v>
      </c>
      <c r="BT167">
        <f t="shared" si="478"/>
        <v>-1</v>
      </c>
      <c r="BU167">
        <f t="shared" si="478"/>
        <v>-1</v>
      </c>
      <c r="BV167">
        <f t="shared" si="478"/>
        <v>-1</v>
      </c>
      <c r="BW167">
        <f t="shared" si="478"/>
        <v>-1</v>
      </c>
      <c r="BX167">
        <f t="shared" si="478"/>
        <v>-1</v>
      </c>
      <c r="BY167">
        <f t="shared" si="478"/>
        <v>-1</v>
      </c>
      <c r="BZ167">
        <f t="shared" si="478"/>
        <v>74.8</v>
      </c>
      <c r="CA167">
        <f t="shared" si="478"/>
        <v>71.200000000000031</v>
      </c>
      <c r="CB167">
        <f t="shared" si="478"/>
        <v>67.600000000000065</v>
      </c>
      <c r="CC167">
        <f t="shared" si="478"/>
        <v>64.000000000000099</v>
      </c>
      <c r="CD167">
        <f t="shared" si="478"/>
        <v>60.400000000000098</v>
      </c>
      <c r="CE167">
        <f t="shared" si="478"/>
        <v>56.80000000000009</v>
      </c>
      <c r="CF167">
        <f t="shared" si="478"/>
        <v>53.200000000000081</v>
      </c>
      <c r="CG167">
        <f t="shared" si="478"/>
        <v>49.600000000000072</v>
      </c>
      <c r="CH167">
        <f t="shared" si="478"/>
        <v>46.000000000000064</v>
      </c>
      <c r="CI167">
        <f t="shared" si="478"/>
        <v>42.400000000000055</v>
      </c>
      <c r="CJ167">
        <f t="shared" si="478"/>
        <v>38.800000000000047</v>
      </c>
      <c r="CK167">
        <f t="shared" si="478"/>
        <v>35.200000000000038</v>
      </c>
      <c r="CL167">
        <f t="shared" si="478"/>
        <v>31.60000000000003</v>
      </c>
      <c r="CM167">
        <f t="shared" si="478"/>
        <v>28.000000000000021</v>
      </c>
      <c r="CN167">
        <f t="shared" si="478"/>
        <v>24.400000000000013</v>
      </c>
      <c r="CO167">
        <f t="shared" si="478"/>
        <v>67.5</v>
      </c>
      <c r="CP167">
        <f t="shared" si="478"/>
        <v>54.5</v>
      </c>
      <c r="CQ167">
        <f t="shared" si="478"/>
        <v>-1</v>
      </c>
      <c r="CR167">
        <f t="shared" si="478"/>
        <v>-1</v>
      </c>
      <c r="CS167">
        <f t="shared" si="478"/>
        <v>-1</v>
      </c>
      <c r="CT167">
        <f t="shared" si="478"/>
        <v>-1</v>
      </c>
      <c r="CU167">
        <f t="shared" si="478"/>
        <v>-1</v>
      </c>
      <c r="CV167">
        <f t="shared" si="478"/>
        <v>-1</v>
      </c>
      <c r="CW167">
        <f t="shared" si="478"/>
        <v>-1</v>
      </c>
      <c r="CX167">
        <f t="shared" si="478"/>
        <v>-1</v>
      </c>
      <c r="CY167">
        <f t="shared" si="478"/>
        <v>-1</v>
      </c>
      <c r="CZ167">
        <f t="shared" si="478"/>
        <v>-1</v>
      </c>
      <c r="DA167">
        <f t="shared" si="478"/>
        <v>-1</v>
      </c>
      <c r="DB167">
        <f t="shared" si="478"/>
        <v>-1</v>
      </c>
      <c r="DC167">
        <f t="shared" si="478"/>
        <v>-1</v>
      </c>
      <c r="DD167">
        <f t="shared" si="478"/>
        <v>-1</v>
      </c>
      <c r="DE167">
        <f t="shared" si="478"/>
        <v>-1</v>
      </c>
      <c r="DF167">
        <f t="shared" si="478"/>
        <v>-1</v>
      </c>
      <c r="DG167">
        <f t="shared" si="478"/>
        <v>-1</v>
      </c>
      <c r="DH167">
        <f t="shared" si="478"/>
        <v>-1</v>
      </c>
      <c r="DI167">
        <f t="shared" si="478"/>
        <v>-1</v>
      </c>
      <c r="DJ167">
        <f t="shared" si="478"/>
        <v>-1</v>
      </c>
      <c r="DK167">
        <f t="shared" si="478"/>
        <v>-1</v>
      </c>
      <c r="DL167">
        <f t="shared" si="478"/>
        <v>-1</v>
      </c>
      <c r="DM167">
        <f t="shared" si="478"/>
        <v>-1</v>
      </c>
      <c r="DN167">
        <f t="shared" si="478"/>
        <v>-1</v>
      </c>
      <c r="DO167">
        <f t="shared" si="478"/>
        <v>-1</v>
      </c>
      <c r="DP167">
        <f t="shared" si="478"/>
        <v>-1</v>
      </c>
      <c r="DQ167">
        <f t="shared" si="478"/>
        <v>-1</v>
      </c>
      <c r="DR167">
        <f t="shared" si="478"/>
        <v>-1</v>
      </c>
      <c r="DS167">
        <f t="shared" si="478"/>
        <v>-1</v>
      </c>
      <c r="DT167">
        <f t="shared" si="478"/>
        <v>-1</v>
      </c>
      <c r="DU167">
        <f t="shared" si="478"/>
        <v>-1</v>
      </c>
      <c r="DV167">
        <f t="shared" si="478"/>
        <v>-1</v>
      </c>
      <c r="DW167">
        <f t="shared" si="478"/>
        <v>-1</v>
      </c>
      <c r="DX167">
        <f t="shared" si="478"/>
        <v>-1</v>
      </c>
      <c r="DY167">
        <f t="shared" si="478"/>
        <v>-1</v>
      </c>
      <c r="DZ167">
        <f t="shared" si="478"/>
        <v>-1</v>
      </c>
      <c r="EA167">
        <f t="shared" si="478"/>
        <v>-1</v>
      </c>
      <c r="EB167">
        <f t="shared" ref="EB167:EO167" si="479">IF(OR(EB166=-1,AND(IF(EB$3&lt;$B167,EB166+EB$6,IF(EB$3=$B167,1,""))&gt;$B$1,EB$3&lt;$B167)),-1,IF(EB$3&lt;$B167,EB166+EB$6,IF(EB$3=$B167,1,"")))</f>
        <v>-1</v>
      </c>
      <c r="EC167">
        <f t="shared" si="479"/>
        <v>-1</v>
      </c>
      <c r="ED167">
        <f t="shared" si="479"/>
        <v>-1</v>
      </c>
      <c r="EE167">
        <f t="shared" si="479"/>
        <v>-1</v>
      </c>
      <c r="EF167">
        <f t="shared" si="479"/>
        <v>-1</v>
      </c>
      <c r="EG167">
        <f t="shared" si="479"/>
        <v>-1</v>
      </c>
      <c r="EH167">
        <f t="shared" si="479"/>
        <v>-1</v>
      </c>
      <c r="EI167">
        <f t="shared" si="479"/>
        <v>-1</v>
      </c>
      <c r="EJ167">
        <f t="shared" si="479"/>
        <v>-1</v>
      </c>
      <c r="EK167">
        <f t="shared" si="479"/>
        <v>-1</v>
      </c>
      <c r="EL167">
        <f t="shared" si="479"/>
        <v>-1</v>
      </c>
      <c r="EM167">
        <f t="shared" si="479"/>
        <v>-1</v>
      </c>
      <c r="EN167">
        <f t="shared" si="479"/>
        <v>-1</v>
      </c>
      <c r="EO167">
        <f t="shared" si="479"/>
        <v>-1</v>
      </c>
    </row>
    <row r="168" spans="1:145" x14ac:dyDescent="0.15">
      <c r="A168" t="e">
        <f t="shared" si="386"/>
        <v>#N/A</v>
      </c>
      <c r="B168" s="218">
        <v>160</v>
      </c>
      <c r="C168">
        <f t="shared" si="386"/>
        <v>-1</v>
      </c>
      <c r="D168">
        <f t="shared" ref="D168:BO168" si="480">IF(OR(D167=-1,AND(IF(D$3&lt;$B168,D167+D$6,IF(D$3=$B168,1,""))&gt;$B$1,D$3&lt;$B168)),-1,IF(D$3&lt;$B168,D167+D$6,IF(D$3=$B168,1,"")))</f>
        <v>-1</v>
      </c>
      <c r="E168">
        <f t="shared" si="480"/>
        <v>-1</v>
      </c>
      <c r="F168">
        <f t="shared" si="480"/>
        <v>-1</v>
      </c>
      <c r="G168">
        <f t="shared" si="480"/>
        <v>-1</v>
      </c>
      <c r="H168">
        <f t="shared" si="480"/>
        <v>-1</v>
      </c>
      <c r="I168">
        <f t="shared" si="480"/>
        <v>-1</v>
      </c>
      <c r="J168">
        <f t="shared" si="480"/>
        <v>-1</v>
      </c>
      <c r="K168">
        <f t="shared" si="480"/>
        <v>-1</v>
      </c>
      <c r="L168">
        <f t="shared" si="480"/>
        <v>-1</v>
      </c>
      <c r="M168">
        <f t="shared" si="480"/>
        <v>-1</v>
      </c>
      <c r="N168">
        <f t="shared" si="480"/>
        <v>-1</v>
      </c>
      <c r="O168">
        <f t="shared" si="480"/>
        <v>-1</v>
      </c>
      <c r="P168">
        <f t="shared" si="480"/>
        <v>-1</v>
      </c>
      <c r="Q168">
        <f t="shared" si="480"/>
        <v>-1</v>
      </c>
      <c r="R168">
        <f t="shared" si="480"/>
        <v>-1</v>
      </c>
      <c r="S168">
        <f t="shared" si="480"/>
        <v>-1</v>
      </c>
      <c r="T168">
        <f t="shared" si="480"/>
        <v>-1</v>
      </c>
      <c r="U168">
        <f t="shared" si="480"/>
        <v>-1</v>
      </c>
      <c r="V168">
        <f t="shared" si="480"/>
        <v>-1</v>
      </c>
      <c r="W168">
        <f t="shared" si="480"/>
        <v>-1</v>
      </c>
      <c r="X168">
        <f t="shared" si="480"/>
        <v>-1</v>
      </c>
      <c r="Y168">
        <f t="shared" si="480"/>
        <v>-1</v>
      </c>
      <c r="Z168">
        <f t="shared" si="480"/>
        <v>-1</v>
      </c>
      <c r="AA168">
        <f t="shared" si="480"/>
        <v>-1</v>
      </c>
      <c r="AB168">
        <f t="shared" si="480"/>
        <v>-1</v>
      </c>
      <c r="AC168">
        <f t="shared" si="480"/>
        <v>-1</v>
      </c>
      <c r="AD168">
        <f t="shared" si="480"/>
        <v>-1</v>
      </c>
      <c r="AE168">
        <f t="shared" si="480"/>
        <v>-1</v>
      </c>
      <c r="AF168">
        <f t="shared" si="480"/>
        <v>-1</v>
      </c>
      <c r="AG168">
        <f t="shared" si="480"/>
        <v>-1</v>
      </c>
      <c r="AH168">
        <f t="shared" si="480"/>
        <v>-1</v>
      </c>
      <c r="AI168">
        <f t="shared" si="480"/>
        <v>-1</v>
      </c>
      <c r="AJ168">
        <f t="shared" si="480"/>
        <v>-1</v>
      </c>
      <c r="AK168">
        <f t="shared" si="480"/>
        <v>-1</v>
      </c>
      <c r="AL168">
        <f t="shared" si="480"/>
        <v>-1</v>
      </c>
      <c r="AM168">
        <f t="shared" si="480"/>
        <v>-1</v>
      </c>
      <c r="AN168">
        <f t="shared" si="480"/>
        <v>-1</v>
      </c>
      <c r="AO168">
        <f t="shared" si="480"/>
        <v>-1</v>
      </c>
      <c r="AP168">
        <f t="shared" si="480"/>
        <v>-1</v>
      </c>
      <c r="AQ168">
        <f t="shared" si="480"/>
        <v>-1</v>
      </c>
      <c r="AR168">
        <f t="shared" si="480"/>
        <v>-1</v>
      </c>
      <c r="AS168">
        <f t="shared" si="480"/>
        <v>-1</v>
      </c>
      <c r="AT168">
        <f t="shared" si="480"/>
        <v>-1</v>
      </c>
      <c r="AU168">
        <f t="shared" si="480"/>
        <v>-1</v>
      </c>
      <c r="AV168">
        <f t="shared" si="480"/>
        <v>-1</v>
      </c>
      <c r="AW168">
        <f t="shared" si="480"/>
        <v>-1</v>
      </c>
      <c r="AX168">
        <f t="shared" si="480"/>
        <v>-1</v>
      </c>
      <c r="AY168">
        <f t="shared" si="480"/>
        <v>-1</v>
      </c>
      <c r="AZ168">
        <f t="shared" si="480"/>
        <v>-1</v>
      </c>
      <c r="BA168">
        <f t="shared" si="480"/>
        <v>-1</v>
      </c>
      <c r="BB168">
        <f t="shared" si="480"/>
        <v>-1</v>
      </c>
      <c r="BC168">
        <f t="shared" si="480"/>
        <v>-1</v>
      </c>
      <c r="BD168">
        <f t="shared" si="480"/>
        <v>-1</v>
      </c>
      <c r="BE168">
        <f t="shared" si="480"/>
        <v>-1</v>
      </c>
      <c r="BF168">
        <f t="shared" si="480"/>
        <v>-1</v>
      </c>
      <c r="BG168">
        <f t="shared" si="480"/>
        <v>-1</v>
      </c>
      <c r="BH168">
        <f t="shared" si="480"/>
        <v>-1</v>
      </c>
      <c r="BI168">
        <f t="shared" si="480"/>
        <v>-1</v>
      </c>
      <c r="BJ168">
        <f t="shared" si="480"/>
        <v>-1</v>
      </c>
      <c r="BK168">
        <f t="shared" si="480"/>
        <v>-1</v>
      </c>
      <c r="BL168">
        <f t="shared" si="480"/>
        <v>-1</v>
      </c>
      <c r="BM168">
        <f t="shared" si="480"/>
        <v>-1</v>
      </c>
      <c r="BN168">
        <f t="shared" si="480"/>
        <v>-1</v>
      </c>
      <c r="BO168">
        <f t="shared" si="480"/>
        <v>-1</v>
      </c>
      <c r="BP168">
        <f t="shared" ref="BP168:EA168" si="481">IF(OR(BP167=-1,AND(IF(BP$3&lt;$B168,BP167+BP$6,IF(BP$3=$B168,1,""))&gt;$B$1,BP$3&lt;$B168)),-1,IF(BP$3&lt;$B168,BP167+BP$6,IF(BP$3=$B168,1,"")))</f>
        <v>-1</v>
      </c>
      <c r="BQ168">
        <f t="shared" si="481"/>
        <v>-1</v>
      </c>
      <c r="BR168">
        <f t="shared" si="481"/>
        <v>-1</v>
      </c>
      <c r="BS168">
        <f t="shared" si="481"/>
        <v>-1</v>
      </c>
      <c r="BT168">
        <f t="shared" si="481"/>
        <v>-1</v>
      </c>
      <c r="BU168">
        <f t="shared" si="481"/>
        <v>-1</v>
      </c>
      <c r="BV168">
        <f t="shared" si="481"/>
        <v>-1</v>
      </c>
      <c r="BW168">
        <f t="shared" si="481"/>
        <v>-1</v>
      </c>
      <c r="BX168">
        <f t="shared" si="481"/>
        <v>-1</v>
      </c>
      <c r="BY168">
        <f t="shared" si="481"/>
        <v>-1</v>
      </c>
      <c r="BZ168">
        <f t="shared" si="481"/>
        <v>-1</v>
      </c>
      <c r="CA168">
        <f t="shared" si="481"/>
        <v>71.800000000000026</v>
      </c>
      <c r="CB168">
        <f t="shared" si="481"/>
        <v>68.20000000000006</v>
      </c>
      <c r="CC168">
        <f t="shared" si="481"/>
        <v>64.600000000000094</v>
      </c>
      <c r="CD168">
        <f t="shared" si="481"/>
        <v>61.000000000000099</v>
      </c>
      <c r="CE168">
        <f t="shared" si="481"/>
        <v>57.400000000000091</v>
      </c>
      <c r="CF168">
        <f t="shared" si="481"/>
        <v>53.800000000000082</v>
      </c>
      <c r="CG168">
        <f t="shared" si="481"/>
        <v>50.200000000000074</v>
      </c>
      <c r="CH168">
        <f t="shared" si="481"/>
        <v>46.600000000000065</v>
      </c>
      <c r="CI168">
        <f t="shared" si="481"/>
        <v>43.000000000000057</v>
      </c>
      <c r="CJ168">
        <f t="shared" si="481"/>
        <v>39.400000000000048</v>
      </c>
      <c r="CK168">
        <f t="shared" si="481"/>
        <v>35.80000000000004</v>
      </c>
      <c r="CL168">
        <f t="shared" si="481"/>
        <v>32.200000000000031</v>
      </c>
      <c r="CM168">
        <f t="shared" si="481"/>
        <v>28.600000000000023</v>
      </c>
      <c r="CN168">
        <f t="shared" si="481"/>
        <v>25.000000000000014</v>
      </c>
      <c r="CO168">
        <f t="shared" si="481"/>
        <v>68</v>
      </c>
      <c r="CP168">
        <f t="shared" si="481"/>
        <v>55</v>
      </c>
      <c r="CQ168">
        <f t="shared" si="481"/>
        <v>-1</v>
      </c>
      <c r="CR168">
        <f t="shared" si="481"/>
        <v>-1</v>
      </c>
      <c r="CS168">
        <f t="shared" si="481"/>
        <v>-1</v>
      </c>
      <c r="CT168">
        <f t="shared" si="481"/>
        <v>-1</v>
      </c>
      <c r="CU168">
        <f t="shared" si="481"/>
        <v>-1</v>
      </c>
      <c r="CV168">
        <f t="shared" si="481"/>
        <v>-1</v>
      </c>
      <c r="CW168">
        <f t="shared" si="481"/>
        <v>-1</v>
      </c>
      <c r="CX168">
        <f t="shared" si="481"/>
        <v>-1</v>
      </c>
      <c r="CY168">
        <f t="shared" si="481"/>
        <v>-1</v>
      </c>
      <c r="CZ168">
        <f t="shared" si="481"/>
        <v>-1</v>
      </c>
      <c r="DA168">
        <f t="shared" si="481"/>
        <v>-1</v>
      </c>
      <c r="DB168">
        <f t="shared" si="481"/>
        <v>-1</v>
      </c>
      <c r="DC168">
        <f t="shared" si="481"/>
        <v>-1</v>
      </c>
      <c r="DD168">
        <f t="shared" si="481"/>
        <v>-1</v>
      </c>
      <c r="DE168">
        <f t="shared" si="481"/>
        <v>-1</v>
      </c>
      <c r="DF168">
        <f t="shared" si="481"/>
        <v>-1</v>
      </c>
      <c r="DG168">
        <f t="shared" si="481"/>
        <v>-1</v>
      </c>
      <c r="DH168">
        <f t="shared" si="481"/>
        <v>-1</v>
      </c>
      <c r="DI168">
        <f t="shared" si="481"/>
        <v>-1</v>
      </c>
      <c r="DJ168">
        <f t="shared" si="481"/>
        <v>-1</v>
      </c>
      <c r="DK168">
        <f t="shared" si="481"/>
        <v>-1</v>
      </c>
      <c r="DL168">
        <f t="shared" si="481"/>
        <v>-1</v>
      </c>
      <c r="DM168">
        <f t="shared" si="481"/>
        <v>-1</v>
      </c>
      <c r="DN168">
        <f t="shared" si="481"/>
        <v>-1</v>
      </c>
      <c r="DO168">
        <f t="shared" si="481"/>
        <v>-1</v>
      </c>
      <c r="DP168">
        <f t="shared" si="481"/>
        <v>-1</v>
      </c>
      <c r="DQ168">
        <f t="shared" si="481"/>
        <v>-1</v>
      </c>
      <c r="DR168">
        <f t="shared" si="481"/>
        <v>-1</v>
      </c>
      <c r="DS168">
        <f t="shared" si="481"/>
        <v>-1</v>
      </c>
      <c r="DT168">
        <f t="shared" si="481"/>
        <v>-1</v>
      </c>
      <c r="DU168">
        <f t="shared" si="481"/>
        <v>-1</v>
      </c>
      <c r="DV168">
        <f t="shared" si="481"/>
        <v>-1</v>
      </c>
      <c r="DW168">
        <f t="shared" si="481"/>
        <v>-1</v>
      </c>
      <c r="DX168">
        <f t="shared" si="481"/>
        <v>-1</v>
      </c>
      <c r="DY168">
        <f t="shared" si="481"/>
        <v>-1</v>
      </c>
      <c r="DZ168">
        <f t="shared" si="481"/>
        <v>-1</v>
      </c>
      <c r="EA168">
        <f t="shared" si="481"/>
        <v>-1</v>
      </c>
      <c r="EB168">
        <f t="shared" ref="EB168:EO168" si="482">IF(OR(EB167=-1,AND(IF(EB$3&lt;$B168,EB167+EB$6,IF(EB$3=$B168,1,""))&gt;$B$1,EB$3&lt;$B168)),-1,IF(EB$3&lt;$B168,EB167+EB$6,IF(EB$3=$B168,1,"")))</f>
        <v>-1</v>
      </c>
      <c r="EC168">
        <f t="shared" si="482"/>
        <v>-1</v>
      </c>
      <c r="ED168">
        <f t="shared" si="482"/>
        <v>-1</v>
      </c>
      <c r="EE168">
        <f t="shared" si="482"/>
        <v>-1</v>
      </c>
      <c r="EF168">
        <f t="shared" si="482"/>
        <v>-1</v>
      </c>
      <c r="EG168">
        <f t="shared" si="482"/>
        <v>-1</v>
      </c>
      <c r="EH168">
        <f t="shared" si="482"/>
        <v>-1</v>
      </c>
      <c r="EI168">
        <f t="shared" si="482"/>
        <v>-1</v>
      </c>
      <c r="EJ168">
        <f t="shared" si="482"/>
        <v>-1</v>
      </c>
      <c r="EK168">
        <f t="shared" si="482"/>
        <v>-1</v>
      </c>
      <c r="EL168">
        <f t="shared" si="482"/>
        <v>-1</v>
      </c>
      <c r="EM168">
        <f t="shared" si="482"/>
        <v>-1</v>
      </c>
      <c r="EN168">
        <f t="shared" si="482"/>
        <v>-1</v>
      </c>
      <c r="EO168">
        <f t="shared" si="482"/>
        <v>-1</v>
      </c>
    </row>
    <row r="169" spans="1:145" x14ac:dyDescent="0.15">
      <c r="A169" t="e">
        <f t="shared" si="386"/>
        <v>#N/A</v>
      </c>
      <c r="B169" s="218">
        <v>161</v>
      </c>
      <c r="C169">
        <f t="shared" si="386"/>
        <v>-1</v>
      </c>
      <c r="D169">
        <f t="shared" ref="D169:BO169" si="483">IF(OR(D168=-1,AND(IF(D$3&lt;$B169,D168+D$6,IF(D$3=$B169,1,""))&gt;$B$1,D$3&lt;$B169)),-1,IF(D$3&lt;$B169,D168+D$6,IF(D$3=$B169,1,"")))</f>
        <v>-1</v>
      </c>
      <c r="E169">
        <f t="shared" si="483"/>
        <v>-1</v>
      </c>
      <c r="F169">
        <f t="shared" si="483"/>
        <v>-1</v>
      </c>
      <c r="G169">
        <f t="shared" si="483"/>
        <v>-1</v>
      </c>
      <c r="H169">
        <f t="shared" si="483"/>
        <v>-1</v>
      </c>
      <c r="I169">
        <f t="shared" si="483"/>
        <v>-1</v>
      </c>
      <c r="J169">
        <f t="shared" si="483"/>
        <v>-1</v>
      </c>
      <c r="K169">
        <f t="shared" si="483"/>
        <v>-1</v>
      </c>
      <c r="L169">
        <f t="shared" si="483"/>
        <v>-1</v>
      </c>
      <c r="M169">
        <f t="shared" si="483"/>
        <v>-1</v>
      </c>
      <c r="N169">
        <f t="shared" si="483"/>
        <v>-1</v>
      </c>
      <c r="O169">
        <f t="shared" si="483"/>
        <v>-1</v>
      </c>
      <c r="P169">
        <f t="shared" si="483"/>
        <v>-1</v>
      </c>
      <c r="Q169">
        <f t="shared" si="483"/>
        <v>-1</v>
      </c>
      <c r="R169">
        <f t="shared" si="483"/>
        <v>-1</v>
      </c>
      <c r="S169">
        <f t="shared" si="483"/>
        <v>-1</v>
      </c>
      <c r="T169">
        <f t="shared" si="483"/>
        <v>-1</v>
      </c>
      <c r="U169">
        <f t="shared" si="483"/>
        <v>-1</v>
      </c>
      <c r="V169">
        <f t="shared" si="483"/>
        <v>-1</v>
      </c>
      <c r="W169">
        <f t="shared" si="483"/>
        <v>-1</v>
      </c>
      <c r="X169">
        <f t="shared" si="483"/>
        <v>-1</v>
      </c>
      <c r="Y169">
        <f t="shared" si="483"/>
        <v>-1</v>
      </c>
      <c r="Z169">
        <f t="shared" si="483"/>
        <v>-1</v>
      </c>
      <c r="AA169">
        <f t="shared" si="483"/>
        <v>-1</v>
      </c>
      <c r="AB169">
        <f t="shared" si="483"/>
        <v>-1</v>
      </c>
      <c r="AC169">
        <f t="shared" si="483"/>
        <v>-1</v>
      </c>
      <c r="AD169">
        <f t="shared" si="483"/>
        <v>-1</v>
      </c>
      <c r="AE169">
        <f t="shared" si="483"/>
        <v>-1</v>
      </c>
      <c r="AF169">
        <f t="shared" si="483"/>
        <v>-1</v>
      </c>
      <c r="AG169">
        <f t="shared" si="483"/>
        <v>-1</v>
      </c>
      <c r="AH169">
        <f t="shared" si="483"/>
        <v>-1</v>
      </c>
      <c r="AI169">
        <f t="shared" si="483"/>
        <v>-1</v>
      </c>
      <c r="AJ169">
        <f t="shared" si="483"/>
        <v>-1</v>
      </c>
      <c r="AK169">
        <f t="shared" si="483"/>
        <v>-1</v>
      </c>
      <c r="AL169">
        <f t="shared" si="483"/>
        <v>-1</v>
      </c>
      <c r="AM169">
        <f t="shared" si="483"/>
        <v>-1</v>
      </c>
      <c r="AN169">
        <f t="shared" si="483"/>
        <v>-1</v>
      </c>
      <c r="AO169">
        <f t="shared" si="483"/>
        <v>-1</v>
      </c>
      <c r="AP169">
        <f t="shared" si="483"/>
        <v>-1</v>
      </c>
      <c r="AQ169">
        <f t="shared" si="483"/>
        <v>-1</v>
      </c>
      <c r="AR169">
        <f t="shared" si="483"/>
        <v>-1</v>
      </c>
      <c r="AS169">
        <f t="shared" si="483"/>
        <v>-1</v>
      </c>
      <c r="AT169">
        <f t="shared" si="483"/>
        <v>-1</v>
      </c>
      <c r="AU169">
        <f t="shared" si="483"/>
        <v>-1</v>
      </c>
      <c r="AV169">
        <f t="shared" si="483"/>
        <v>-1</v>
      </c>
      <c r="AW169">
        <f t="shared" si="483"/>
        <v>-1</v>
      </c>
      <c r="AX169">
        <f t="shared" si="483"/>
        <v>-1</v>
      </c>
      <c r="AY169">
        <f t="shared" si="483"/>
        <v>-1</v>
      </c>
      <c r="AZ169">
        <f t="shared" si="483"/>
        <v>-1</v>
      </c>
      <c r="BA169">
        <f t="shared" si="483"/>
        <v>-1</v>
      </c>
      <c r="BB169">
        <f t="shared" si="483"/>
        <v>-1</v>
      </c>
      <c r="BC169">
        <f t="shared" si="483"/>
        <v>-1</v>
      </c>
      <c r="BD169">
        <f t="shared" si="483"/>
        <v>-1</v>
      </c>
      <c r="BE169">
        <f t="shared" si="483"/>
        <v>-1</v>
      </c>
      <c r="BF169">
        <f t="shared" si="483"/>
        <v>-1</v>
      </c>
      <c r="BG169">
        <f t="shared" si="483"/>
        <v>-1</v>
      </c>
      <c r="BH169">
        <f t="shared" si="483"/>
        <v>-1</v>
      </c>
      <c r="BI169">
        <f t="shared" si="483"/>
        <v>-1</v>
      </c>
      <c r="BJ169">
        <f t="shared" si="483"/>
        <v>-1</v>
      </c>
      <c r="BK169">
        <f t="shared" si="483"/>
        <v>-1</v>
      </c>
      <c r="BL169">
        <f t="shared" si="483"/>
        <v>-1</v>
      </c>
      <c r="BM169">
        <f t="shared" si="483"/>
        <v>-1</v>
      </c>
      <c r="BN169">
        <f t="shared" si="483"/>
        <v>-1</v>
      </c>
      <c r="BO169">
        <f t="shared" si="483"/>
        <v>-1</v>
      </c>
      <c r="BP169">
        <f t="shared" ref="BP169:EA169" si="484">IF(OR(BP168=-1,AND(IF(BP$3&lt;$B169,BP168+BP$6,IF(BP$3=$B169,1,""))&gt;$B$1,BP$3&lt;$B169)),-1,IF(BP$3&lt;$B169,BP168+BP$6,IF(BP$3=$B169,1,"")))</f>
        <v>-1</v>
      </c>
      <c r="BQ169">
        <f t="shared" si="484"/>
        <v>-1</v>
      </c>
      <c r="BR169">
        <f t="shared" si="484"/>
        <v>-1</v>
      </c>
      <c r="BS169">
        <f t="shared" si="484"/>
        <v>-1</v>
      </c>
      <c r="BT169">
        <f t="shared" si="484"/>
        <v>-1</v>
      </c>
      <c r="BU169">
        <f t="shared" si="484"/>
        <v>-1</v>
      </c>
      <c r="BV169">
        <f t="shared" si="484"/>
        <v>-1</v>
      </c>
      <c r="BW169">
        <f t="shared" si="484"/>
        <v>-1</v>
      </c>
      <c r="BX169">
        <f t="shared" si="484"/>
        <v>-1</v>
      </c>
      <c r="BY169">
        <f t="shared" si="484"/>
        <v>-1</v>
      </c>
      <c r="BZ169">
        <f t="shared" si="484"/>
        <v>-1</v>
      </c>
      <c r="CA169">
        <f t="shared" si="484"/>
        <v>72.40000000000002</v>
      </c>
      <c r="CB169">
        <f t="shared" si="484"/>
        <v>68.800000000000054</v>
      </c>
      <c r="CC169">
        <f t="shared" si="484"/>
        <v>65.200000000000088</v>
      </c>
      <c r="CD169">
        <f t="shared" si="484"/>
        <v>61.600000000000101</v>
      </c>
      <c r="CE169">
        <f t="shared" si="484"/>
        <v>58.000000000000092</v>
      </c>
      <c r="CF169">
        <f t="shared" si="484"/>
        <v>54.400000000000084</v>
      </c>
      <c r="CG169">
        <f t="shared" si="484"/>
        <v>50.800000000000075</v>
      </c>
      <c r="CH169">
        <f t="shared" si="484"/>
        <v>47.200000000000067</v>
      </c>
      <c r="CI169">
        <f t="shared" si="484"/>
        <v>43.600000000000058</v>
      </c>
      <c r="CJ169">
        <f t="shared" si="484"/>
        <v>40.00000000000005</v>
      </c>
      <c r="CK169">
        <f t="shared" si="484"/>
        <v>36.400000000000041</v>
      </c>
      <c r="CL169">
        <f t="shared" si="484"/>
        <v>32.800000000000033</v>
      </c>
      <c r="CM169">
        <f t="shared" si="484"/>
        <v>29.200000000000024</v>
      </c>
      <c r="CN169">
        <f t="shared" si="484"/>
        <v>25.600000000000016</v>
      </c>
      <c r="CO169">
        <f t="shared" si="484"/>
        <v>68.5</v>
      </c>
      <c r="CP169">
        <f t="shared" si="484"/>
        <v>55.5</v>
      </c>
      <c r="CQ169">
        <f t="shared" si="484"/>
        <v>-1</v>
      </c>
      <c r="CR169">
        <f t="shared" si="484"/>
        <v>-1</v>
      </c>
      <c r="CS169">
        <f t="shared" si="484"/>
        <v>-1</v>
      </c>
      <c r="CT169">
        <f t="shared" si="484"/>
        <v>-1</v>
      </c>
      <c r="CU169">
        <f t="shared" si="484"/>
        <v>-1</v>
      </c>
      <c r="CV169">
        <f t="shared" si="484"/>
        <v>-1</v>
      </c>
      <c r="CW169">
        <f t="shared" si="484"/>
        <v>-1</v>
      </c>
      <c r="CX169">
        <f t="shared" si="484"/>
        <v>-1</v>
      </c>
      <c r="CY169">
        <f t="shared" si="484"/>
        <v>-1</v>
      </c>
      <c r="CZ169">
        <f t="shared" si="484"/>
        <v>-1</v>
      </c>
      <c r="DA169">
        <f t="shared" si="484"/>
        <v>-1</v>
      </c>
      <c r="DB169">
        <f t="shared" si="484"/>
        <v>-1</v>
      </c>
      <c r="DC169">
        <f t="shared" si="484"/>
        <v>-1</v>
      </c>
      <c r="DD169">
        <f t="shared" si="484"/>
        <v>-1</v>
      </c>
      <c r="DE169">
        <f t="shared" si="484"/>
        <v>-1</v>
      </c>
      <c r="DF169">
        <f t="shared" si="484"/>
        <v>-1</v>
      </c>
      <c r="DG169">
        <f t="shared" si="484"/>
        <v>-1</v>
      </c>
      <c r="DH169">
        <f t="shared" si="484"/>
        <v>-1</v>
      </c>
      <c r="DI169">
        <f t="shared" si="484"/>
        <v>-1</v>
      </c>
      <c r="DJ169">
        <f t="shared" si="484"/>
        <v>-1</v>
      </c>
      <c r="DK169">
        <f t="shared" si="484"/>
        <v>-1</v>
      </c>
      <c r="DL169">
        <f t="shared" si="484"/>
        <v>-1</v>
      </c>
      <c r="DM169">
        <f t="shared" si="484"/>
        <v>-1</v>
      </c>
      <c r="DN169">
        <f t="shared" si="484"/>
        <v>-1</v>
      </c>
      <c r="DO169">
        <f t="shared" si="484"/>
        <v>-1</v>
      </c>
      <c r="DP169">
        <f t="shared" si="484"/>
        <v>-1</v>
      </c>
      <c r="DQ169">
        <f t="shared" si="484"/>
        <v>-1</v>
      </c>
      <c r="DR169">
        <f t="shared" si="484"/>
        <v>-1</v>
      </c>
      <c r="DS169">
        <f t="shared" si="484"/>
        <v>-1</v>
      </c>
      <c r="DT169">
        <f t="shared" si="484"/>
        <v>-1</v>
      </c>
      <c r="DU169">
        <f t="shared" si="484"/>
        <v>-1</v>
      </c>
      <c r="DV169">
        <f t="shared" si="484"/>
        <v>-1</v>
      </c>
      <c r="DW169">
        <f t="shared" si="484"/>
        <v>-1</v>
      </c>
      <c r="DX169">
        <f t="shared" si="484"/>
        <v>-1</v>
      </c>
      <c r="DY169">
        <f t="shared" si="484"/>
        <v>-1</v>
      </c>
      <c r="DZ169">
        <f t="shared" si="484"/>
        <v>-1</v>
      </c>
      <c r="EA169">
        <f t="shared" si="484"/>
        <v>-1</v>
      </c>
      <c r="EB169">
        <f t="shared" ref="EB169:EO169" si="485">IF(OR(EB168=-1,AND(IF(EB$3&lt;$B169,EB168+EB$6,IF(EB$3=$B169,1,""))&gt;$B$1,EB$3&lt;$B169)),-1,IF(EB$3&lt;$B169,EB168+EB$6,IF(EB$3=$B169,1,"")))</f>
        <v>-1</v>
      </c>
      <c r="EC169">
        <f t="shared" si="485"/>
        <v>-1</v>
      </c>
      <c r="ED169">
        <f t="shared" si="485"/>
        <v>-1</v>
      </c>
      <c r="EE169">
        <f t="shared" si="485"/>
        <v>-1</v>
      </c>
      <c r="EF169">
        <f t="shared" si="485"/>
        <v>-1</v>
      </c>
      <c r="EG169">
        <f t="shared" si="485"/>
        <v>-1</v>
      </c>
      <c r="EH169">
        <f t="shared" si="485"/>
        <v>-1</v>
      </c>
      <c r="EI169">
        <f t="shared" si="485"/>
        <v>-1</v>
      </c>
      <c r="EJ169">
        <f t="shared" si="485"/>
        <v>-1</v>
      </c>
      <c r="EK169">
        <f t="shared" si="485"/>
        <v>-1</v>
      </c>
      <c r="EL169">
        <f t="shared" si="485"/>
        <v>-1</v>
      </c>
      <c r="EM169">
        <f t="shared" si="485"/>
        <v>-1</v>
      </c>
      <c r="EN169">
        <f t="shared" si="485"/>
        <v>-1</v>
      </c>
      <c r="EO169">
        <f t="shared" si="485"/>
        <v>-1</v>
      </c>
    </row>
    <row r="170" spans="1:145" x14ac:dyDescent="0.15">
      <c r="A170" t="e">
        <f t="shared" si="386"/>
        <v>#N/A</v>
      </c>
      <c r="B170" s="218">
        <v>162</v>
      </c>
      <c r="C170">
        <f t="shared" si="386"/>
        <v>-1</v>
      </c>
      <c r="D170">
        <f t="shared" ref="D170:BO170" si="486">IF(OR(D169=-1,AND(IF(D$3&lt;$B170,D169+D$6,IF(D$3=$B170,1,""))&gt;$B$1,D$3&lt;$B170)),-1,IF(D$3&lt;$B170,D169+D$6,IF(D$3=$B170,1,"")))</f>
        <v>-1</v>
      </c>
      <c r="E170">
        <f t="shared" si="486"/>
        <v>-1</v>
      </c>
      <c r="F170">
        <f t="shared" si="486"/>
        <v>-1</v>
      </c>
      <c r="G170">
        <f t="shared" si="486"/>
        <v>-1</v>
      </c>
      <c r="H170">
        <f t="shared" si="486"/>
        <v>-1</v>
      </c>
      <c r="I170">
        <f t="shared" si="486"/>
        <v>-1</v>
      </c>
      <c r="J170">
        <f t="shared" si="486"/>
        <v>-1</v>
      </c>
      <c r="K170">
        <f t="shared" si="486"/>
        <v>-1</v>
      </c>
      <c r="L170">
        <f t="shared" si="486"/>
        <v>-1</v>
      </c>
      <c r="M170">
        <f t="shared" si="486"/>
        <v>-1</v>
      </c>
      <c r="N170">
        <f t="shared" si="486"/>
        <v>-1</v>
      </c>
      <c r="O170">
        <f t="shared" si="486"/>
        <v>-1</v>
      </c>
      <c r="P170">
        <f t="shared" si="486"/>
        <v>-1</v>
      </c>
      <c r="Q170">
        <f t="shared" si="486"/>
        <v>-1</v>
      </c>
      <c r="R170">
        <f t="shared" si="486"/>
        <v>-1</v>
      </c>
      <c r="S170">
        <f t="shared" si="486"/>
        <v>-1</v>
      </c>
      <c r="T170">
        <f t="shared" si="486"/>
        <v>-1</v>
      </c>
      <c r="U170">
        <f t="shared" si="486"/>
        <v>-1</v>
      </c>
      <c r="V170">
        <f t="shared" si="486"/>
        <v>-1</v>
      </c>
      <c r="W170">
        <f t="shared" si="486"/>
        <v>-1</v>
      </c>
      <c r="X170">
        <f t="shared" si="486"/>
        <v>-1</v>
      </c>
      <c r="Y170">
        <f t="shared" si="486"/>
        <v>-1</v>
      </c>
      <c r="Z170">
        <f t="shared" si="486"/>
        <v>-1</v>
      </c>
      <c r="AA170">
        <f t="shared" si="486"/>
        <v>-1</v>
      </c>
      <c r="AB170">
        <f t="shared" si="486"/>
        <v>-1</v>
      </c>
      <c r="AC170">
        <f t="shared" si="486"/>
        <v>-1</v>
      </c>
      <c r="AD170">
        <f t="shared" si="486"/>
        <v>-1</v>
      </c>
      <c r="AE170">
        <f t="shared" si="486"/>
        <v>-1</v>
      </c>
      <c r="AF170">
        <f t="shared" si="486"/>
        <v>-1</v>
      </c>
      <c r="AG170">
        <f t="shared" si="486"/>
        <v>-1</v>
      </c>
      <c r="AH170">
        <f t="shared" si="486"/>
        <v>-1</v>
      </c>
      <c r="AI170">
        <f t="shared" si="486"/>
        <v>-1</v>
      </c>
      <c r="AJ170">
        <f t="shared" si="486"/>
        <v>-1</v>
      </c>
      <c r="AK170">
        <f t="shared" si="486"/>
        <v>-1</v>
      </c>
      <c r="AL170">
        <f t="shared" si="486"/>
        <v>-1</v>
      </c>
      <c r="AM170">
        <f t="shared" si="486"/>
        <v>-1</v>
      </c>
      <c r="AN170">
        <f t="shared" si="486"/>
        <v>-1</v>
      </c>
      <c r="AO170">
        <f t="shared" si="486"/>
        <v>-1</v>
      </c>
      <c r="AP170">
        <f t="shared" si="486"/>
        <v>-1</v>
      </c>
      <c r="AQ170">
        <f t="shared" si="486"/>
        <v>-1</v>
      </c>
      <c r="AR170">
        <f t="shared" si="486"/>
        <v>-1</v>
      </c>
      <c r="AS170">
        <f t="shared" si="486"/>
        <v>-1</v>
      </c>
      <c r="AT170">
        <f t="shared" si="486"/>
        <v>-1</v>
      </c>
      <c r="AU170">
        <f t="shared" si="486"/>
        <v>-1</v>
      </c>
      <c r="AV170">
        <f t="shared" si="486"/>
        <v>-1</v>
      </c>
      <c r="AW170">
        <f t="shared" si="486"/>
        <v>-1</v>
      </c>
      <c r="AX170">
        <f t="shared" si="486"/>
        <v>-1</v>
      </c>
      <c r="AY170">
        <f t="shared" si="486"/>
        <v>-1</v>
      </c>
      <c r="AZ170">
        <f t="shared" si="486"/>
        <v>-1</v>
      </c>
      <c r="BA170">
        <f t="shared" si="486"/>
        <v>-1</v>
      </c>
      <c r="BB170">
        <f t="shared" si="486"/>
        <v>-1</v>
      </c>
      <c r="BC170">
        <f t="shared" si="486"/>
        <v>-1</v>
      </c>
      <c r="BD170">
        <f t="shared" si="486"/>
        <v>-1</v>
      </c>
      <c r="BE170">
        <f t="shared" si="486"/>
        <v>-1</v>
      </c>
      <c r="BF170">
        <f t="shared" si="486"/>
        <v>-1</v>
      </c>
      <c r="BG170">
        <f t="shared" si="486"/>
        <v>-1</v>
      </c>
      <c r="BH170">
        <f t="shared" si="486"/>
        <v>-1</v>
      </c>
      <c r="BI170">
        <f t="shared" si="486"/>
        <v>-1</v>
      </c>
      <c r="BJ170">
        <f t="shared" si="486"/>
        <v>-1</v>
      </c>
      <c r="BK170">
        <f t="shared" si="486"/>
        <v>-1</v>
      </c>
      <c r="BL170">
        <f t="shared" si="486"/>
        <v>-1</v>
      </c>
      <c r="BM170">
        <f t="shared" si="486"/>
        <v>-1</v>
      </c>
      <c r="BN170">
        <f t="shared" si="486"/>
        <v>-1</v>
      </c>
      <c r="BO170">
        <f t="shared" si="486"/>
        <v>-1</v>
      </c>
      <c r="BP170">
        <f t="shared" ref="BP170:EA170" si="487">IF(OR(BP169=-1,AND(IF(BP$3&lt;$B170,BP169+BP$6,IF(BP$3=$B170,1,""))&gt;$B$1,BP$3&lt;$B170)),-1,IF(BP$3&lt;$B170,BP169+BP$6,IF(BP$3=$B170,1,"")))</f>
        <v>-1</v>
      </c>
      <c r="BQ170">
        <f t="shared" si="487"/>
        <v>-1</v>
      </c>
      <c r="BR170">
        <f t="shared" si="487"/>
        <v>-1</v>
      </c>
      <c r="BS170">
        <f t="shared" si="487"/>
        <v>-1</v>
      </c>
      <c r="BT170">
        <f t="shared" si="487"/>
        <v>-1</v>
      </c>
      <c r="BU170">
        <f t="shared" si="487"/>
        <v>-1</v>
      </c>
      <c r="BV170">
        <f t="shared" si="487"/>
        <v>-1</v>
      </c>
      <c r="BW170">
        <f t="shared" si="487"/>
        <v>-1</v>
      </c>
      <c r="BX170">
        <f t="shared" si="487"/>
        <v>-1</v>
      </c>
      <c r="BY170">
        <f t="shared" si="487"/>
        <v>-1</v>
      </c>
      <c r="BZ170">
        <f t="shared" si="487"/>
        <v>-1</v>
      </c>
      <c r="CA170">
        <f t="shared" si="487"/>
        <v>73.000000000000014</v>
      </c>
      <c r="CB170">
        <f t="shared" si="487"/>
        <v>69.400000000000048</v>
      </c>
      <c r="CC170">
        <f t="shared" si="487"/>
        <v>65.800000000000082</v>
      </c>
      <c r="CD170">
        <f t="shared" si="487"/>
        <v>62.200000000000102</v>
      </c>
      <c r="CE170">
        <f t="shared" si="487"/>
        <v>58.600000000000094</v>
      </c>
      <c r="CF170">
        <f t="shared" si="487"/>
        <v>55.000000000000085</v>
      </c>
      <c r="CG170">
        <f t="shared" si="487"/>
        <v>51.400000000000077</v>
      </c>
      <c r="CH170">
        <f t="shared" si="487"/>
        <v>47.800000000000068</v>
      </c>
      <c r="CI170">
        <f t="shared" si="487"/>
        <v>44.20000000000006</v>
      </c>
      <c r="CJ170">
        <f t="shared" si="487"/>
        <v>40.600000000000051</v>
      </c>
      <c r="CK170">
        <f t="shared" si="487"/>
        <v>37.000000000000043</v>
      </c>
      <c r="CL170">
        <f t="shared" si="487"/>
        <v>33.400000000000034</v>
      </c>
      <c r="CM170">
        <f t="shared" si="487"/>
        <v>29.800000000000026</v>
      </c>
      <c r="CN170">
        <f t="shared" si="487"/>
        <v>26.200000000000017</v>
      </c>
      <c r="CO170">
        <f t="shared" si="487"/>
        <v>69</v>
      </c>
      <c r="CP170">
        <f t="shared" si="487"/>
        <v>56</v>
      </c>
      <c r="CQ170">
        <f t="shared" si="487"/>
        <v>-1</v>
      </c>
      <c r="CR170">
        <f t="shared" si="487"/>
        <v>-1</v>
      </c>
      <c r="CS170">
        <f t="shared" si="487"/>
        <v>-1</v>
      </c>
      <c r="CT170">
        <f t="shared" si="487"/>
        <v>-1</v>
      </c>
      <c r="CU170">
        <f t="shared" si="487"/>
        <v>-1</v>
      </c>
      <c r="CV170">
        <f t="shared" si="487"/>
        <v>-1</v>
      </c>
      <c r="CW170">
        <f t="shared" si="487"/>
        <v>-1</v>
      </c>
      <c r="CX170">
        <f t="shared" si="487"/>
        <v>-1</v>
      </c>
      <c r="CY170">
        <f t="shared" si="487"/>
        <v>-1</v>
      </c>
      <c r="CZ170">
        <f t="shared" si="487"/>
        <v>-1</v>
      </c>
      <c r="DA170">
        <f t="shared" si="487"/>
        <v>-1</v>
      </c>
      <c r="DB170">
        <f t="shared" si="487"/>
        <v>-1</v>
      </c>
      <c r="DC170">
        <f t="shared" si="487"/>
        <v>-1</v>
      </c>
      <c r="DD170">
        <f t="shared" si="487"/>
        <v>-1</v>
      </c>
      <c r="DE170">
        <f t="shared" si="487"/>
        <v>-1</v>
      </c>
      <c r="DF170">
        <f t="shared" si="487"/>
        <v>-1</v>
      </c>
      <c r="DG170">
        <f t="shared" si="487"/>
        <v>-1</v>
      </c>
      <c r="DH170">
        <f t="shared" si="487"/>
        <v>-1</v>
      </c>
      <c r="DI170">
        <f t="shared" si="487"/>
        <v>-1</v>
      </c>
      <c r="DJ170">
        <f t="shared" si="487"/>
        <v>-1</v>
      </c>
      <c r="DK170">
        <f t="shared" si="487"/>
        <v>-1</v>
      </c>
      <c r="DL170">
        <f t="shared" si="487"/>
        <v>-1</v>
      </c>
      <c r="DM170">
        <f t="shared" si="487"/>
        <v>-1</v>
      </c>
      <c r="DN170">
        <f t="shared" si="487"/>
        <v>-1</v>
      </c>
      <c r="DO170">
        <f t="shared" si="487"/>
        <v>-1</v>
      </c>
      <c r="DP170">
        <f t="shared" si="487"/>
        <v>-1</v>
      </c>
      <c r="DQ170">
        <f t="shared" si="487"/>
        <v>-1</v>
      </c>
      <c r="DR170">
        <f t="shared" si="487"/>
        <v>-1</v>
      </c>
      <c r="DS170">
        <f t="shared" si="487"/>
        <v>-1</v>
      </c>
      <c r="DT170">
        <f t="shared" si="487"/>
        <v>-1</v>
      </c>
      <c r="DU170">
        <f t="shared" si="487"/>
        <v>-1</v>
      </c>
      <c r="DV170">
        <f t="shared" si="487"/>
        <v>-1</v>
      </c>
      <c r="DW170">
        <f t="shared" si="487"/>
        <v>-1</v>
      </c>
      <c r="DX170">
        <f t="shared" si="487"/>
        <v>-1</v>
      </c>
      <c r="DY170">
        <f t="shared" si="487"/>
        <v>-1</v>
      </c>
      <c r="DZ170">
        <f t="shared" si="487"/>
        <v>-1</v>
      </c>
      <c r="EA170">
        <f t="shared" si="487"/>
        <v>-1</v>
      </c>
      <c r="EB170">
        <f t="shared" ref="EB170:EO170" si="488">IF(OR(EB169=-1,AND(IF(EB$3&lt;$B170,EB169+EB$6,IF(EB$3=$B170,1,""))&gt;$B$1,EB$3&lt;$B170)),-1,IF(EB$3&lt;$B170,EB169+EB$6,IF(EB$3=$B170,1,"")))</f>
        <v>-1</v>
      </c>
      <c r="EC170">
        <f t="shared" si="488"/>
        <v>-1</v>
      </c>
      <c r="ED170">
        <f t="shared" si="488"/>
        <v>-1</v>
      </c>
      <c r="EE170">
        <f t="shared" si="488"/>
        <v>-1</v>
      </c>
      <c r="EF170">
        <f t="shared" si="488"/>
        <v>-1</v>
      </c>
      <c r="EG170">
        <f t="shared" si="488"/>
        <v>-1</v>
      </c>
      <c r="EH170">
        <f t="shared" si="488"/>
        <v>-1</v>
      </c>
      <c r="EI170">
        <f t="shared" si="488"/>
        <v>-1</v>
      </c>
      <c r="EJ170">
        <f t="shared" si="488"/>
        <v>-1</v>
      </c>
      <c r="EK170">
        <f t="shared" si="488"/>
        <v>-1</v>
      </c>
      <c r="EL170">
        <f t="shared" si="488"/>
        <v>-1</v>
      </c>
      <c r="EM170">
        <f t="shared" si="488"/>
        <v>-1</v>
      </c>
      <c r="EN170">
        <f t="shared" si="488"/>
        <v>-1</v>
      </c>
      <c r="EO170">
        <f t="shared" si="488"/>
        <v>-1</v>
      </c>
    </row>
    <row r="171" spans="1:145" x14ac:dyDescent="0.15">
      <c r="A171" t="e">
        <f t="shared" si="386"/>
        <v>#N/A</v>
      </c>
      <c r="B171" s="218">
        <v>163</v>
      </c>
      <c r="C171">
        <f t="shared" si="386"/>
        <v>-1</v>
      </c>
      <c r="D171">
        <f t="shared" ref="D171:BO171" si="489">IF(OR(D170=-1,AND(IF(D$3&lt;$B171,D170+D$6,IF(D$3=$B171,1,""))&gt;$B$1,D$3&lt;$B171)),-1,IF(D$3&lt;$B171,D170+D$6,IF(D$3=$B171,1,"")))</f>
        <v>-1</v>
      </c>
      <c r="E171">
        <f t="shared" si="489"/>
        <v>-1</v>
      </c>
      <c r="F171">
        <f t="shared" si="489"/>
        <v>-1</v>
      </c>
      <c r="G171">
        <f t="shared" si="489"/>
        <v>-1</v>
      </c>
      <c r="H171">
        <f t="shared" si="489"/>
        <v>-1</v>
      </c>
      <c r="I171">
        <f t="shared" si="489"/>
        <v>-1</v>
      </c>
      <c r="J171">
        <f t="shared" si="489"/>
        <v>-1</v>
      </c>
      <c r="K171">
        <f t="shared" si="489"/>
        <v>-1</v>
      </c>
      <c r="L171">
        <f t="shared" si="489"/>
        <v>-1</v>
      </c>
      <c r="M171">
        <f t="shared" si="489"/>
        <v>-1</v>
      </c>
      <c r="N171">
        <f t="shared" si="489"/>
        <v>-1</v>
      </c>
      <c r="O171">
        <f t="shared" si="489"/>
        <v>-1</v>
      </c>
      <c r="P171">
        <f t="shared" si="489"/>
        <v>-1</v>
      </c>
      <c r="Q171">
        <f t="shared" si="489"/>
        <v>-1</v>
      </c>
      <c r="R171">
        <f t="shared" si="489"/>
        <v>-1</v>
      </c>
      <c r="S171">
        <f t="shared" si="489"/>
        <v>-1</v>
      </c>
      <c r="T171">
        <f t="shared" si="489"/>
        <v>-1</v>
      </c>
      <c r="U171">
        <f t="shared" si="489"/>
        <v>-1</v>
      </c>
      <c r="V171">
        <f t="shared" si="489"/>
        <v>-1</v>
      </c>
      <c r="W171">
        <f t="shared" si="489"/>
        <v>-1</v>
      </c>
      <c r="X171">
        <f t="shared" si="489"/>
        <v>-1</v>
      </c>
      <c r="Y171">
        <f t="shared" si="489"/>
        <v>-1</v>
      </c>
      <c r="Z171">
        <f t="shared" si="489"/>
        <v>-1</v>
      </c>
      <c r="AA171">
        <f t="shared" si="489"/>
        <v>-1</v>
      </c>
      <c r="AB171">
        <f t="shared" si="489"/>
        <v>-1</v>
      </c>
      <c r="AC171">
        <f t="shared" si="489"/>
        <v>-1</v>
      </c>
      <c r="AD171">
        <f t="shared" si="489"/>
        <v>-1</v>
      </c>
      <c r="AE171">
        <f t="shared" si="489"/>
        <v>-1</v>
      </c>
      <c r="AF171">
        <f t="shared" si="489"/>
        <v>-1</v>
      </c>
      <c r="AG171">
        <f t="shared" si="489"/>
        <v>-1</v>
      </c>
      <c r="AH171">
        <f t="shared" si="489"/>
        <v>-1</v>
      </c>
      <c r="AI171">
        <f t="shared" si="489"/>
        <v>-1</v>
      </c>
      <c r="AJ171">
        <f t="shared" si="489"/>
        <v>-1</v>
      </c>
      <c r="AK171">
        <f t="shared" si="489"/>
        <v>-1</v>
      </c>
      <c r="AL171">
        <f t="shared" si="489"/>
        <v>-1</v>
      </c>
      <c r="AM171">
        <f t="shared" si="489"/>
        <v>-1</v>
      </c>
      <c r="AN171">
        <f t="shared" si="489"/>
        <v>-1</v>
      </c>
      <c r="AO171">
        <f t="shared" si="489"/>
        <v>-1</v>
      </c>
      <c r="AP171">
        <f t="shared" si="489"/>
        <v>-1</v>
      </c>
      <c r="AQ171">
        <f t="shared" si="489"/>
        <v>-1</v>
      </c>
      <c r="AR171">
        <f t="shared" si="489"/>
        <v>-1</v>
      </c>
      <c r="AS171">
        <f t="shared" si="489"/>
        <v>-1</v>
      </c>
      <c r="AT171">
        <f t="shared" si="489"/>
        <v>-1</v>
      </c>
      <c r="AU171">
        <f t="shared" si="489"/>
        <v>-1</v>
      </c>
      <c r="AV171">
        <f t="shared" si="489"/>
        <v>-1</v>
      </c>
      <c r="AW171">
        <f t="shared" si="489"/>
        <v>-1</v>
      </c>
      <c r="AX171">
        <f t="shared" si="489"/>
        <v>-1</v>
      </c>
      <c r="AY171">
        <f t="shared" si="489"/>
        <v>-1</v>
      </c>
      <c r="AZ171">
        <f t="shared" si="489"/>
        <v>-1</v>
      </c>
      <c r="BA171">
        <f t="shared" si="489"/>
        <v>-1</v>
      </c>
      <c r="BB171">
        <f t="shared" si="489"/>
        <v>-1</v>
      </c>
      <c r="BC171">
        <f t="shared" si="489"/>
        <v>-1</v>
      </c>
      <c r="BD171">
        <f t="shared" si="489"/>
        <v>-1</v>
      </c>
      <c r="BE171">
        <f t="shared" si="489"/>
        <v>-1</v>
      </c>
      <c r="BF171">
        <f t="shared" si="489"/>
        <v>-1</v>
      </c>
      <c r="BG171">
        <f t="shared" si="489"/>
        <v>-1</v>
      </c>
      <c r="BH171">
        <f t="shared" si="489"/>
        <v>-1</v>
      </c>
      <c r="BI171">
        <f t="shared" si="489"/>
        <v>-1</v>
      </c>
      <c r="BJ171">
        <f t="shared" si="489"/>
        <v>-1</v>
      </c>
      <c r="BK171">
        <f t="shared" si="489"/>
        <v>-1</v>
      </c>
      <c r="BL171">
        <f t="shared" si="489"/>
        <v>-1</v>
      </c>
      <c r="BM171">
        <f t="shared" si="489"/>
        <v>-1</v>
      </c>
      <c r="BN171">
        <f t="shared" si="489"/>
        <v>-1</v>
      </c>
      <c r="BO171">
        <f t="shared" si="489"/>
        <v>-1</v>
      </c>
      <c r="BP171">
        <f t="shared" ref="BP171:EA171" si="490">IF(OR(BP170=-1,AND(IF(BP$3&lt;$B171,BP170+BP$6,IF(BP$3=$B171,1,""))&gt;$B$1,BP$3&lt;$B171)),-1,IF(BP$3&lt;$B171,BP170+BP$6,IF(BP$3=$B171,1,"")))</f>
        <v>-1</v>
      </c>
      <c r="BQ171">
        <f t="shared" si="490"/>
        <v>-1</v>
      </c>
      <c r="BR171">
        <f t="shared" si="490"/>
        <v>-1</v>
      </c>
      <c r="BS171">
        <f t="shared" si="490"/>
        <v>-1</v>
      </c>
      <c r="BT171">
        <f t="shared" si="490"/>
        <v>-1</v>
      </c>
      <c r="BU171">
        <f t="shared" si="490"/>
        <v>-1</v>
      </c>
      <c r="BV171">
        <f t="shared" si="490"/>
        <v>-1</v>
      </c>
      <c r="BW171">
        <f t="shared" si="490"/>
        <v>-1</v>
      </c>
      <c r="BX171">
        <f t="shared" si="490"/>
        <v>-1</v>
      </c>
      <c r="BY171">
        <f t="shared" si="490"/>
        <v>-1</v>
      </c>
      <c r="BZ171">
        <f t="shared" si="490"/>
        <v>-1</v>
      </c>
      <c r="CA171">
        <f t="shared" si="490"/>
        <v>73.600000000000009</v>
      </c>
      <c r="CB171">
        <f t="shared" si="490"/>
        <v>70.000000000000043</v>
      </c>
      <c r="CC171">
        <f t="shared" si="490"/>
        <v>66.400000000000077</v>
      </c>
      <c r="CD171">
        <f t="shared" si="490"/>
        <v>62.800000000000104</v>
      </c>
      <c r="CE171">
        <f t="shared" si="490"/>
        <v>59.200000000000095</v>
      </c>
      <c r="CF171">
        <f t="shared" si="490"/>
        <v>55.600000000000087</v>
      </c>
      <c r="CG171">
        <f t="shared" si="490"/>
        <v>52.000000000000078</v>
      </c>
      <c r="CH171">
        <f t="shared" si="490"/>
        <v>48.40000000000007</v>
      </c>
      <c r="CI171">
        <f t="shared" si="490"/>
        <v>44.800000000000061</v>
      </c>
      <c r="CJ171">
        <f t="shared" si="490"/>
        <v>41.200000000000053</v>
      </c>
      <c r="CK171">
        <f t="shared" si="490"/>
        <v>37.600000000000044</v>
      </c>
      <c r="CL171">
        <f t="shared" si="490"/>
        <v>34.000000000000036</v>
      </c>
      <c r="CM171">
        <f t="shared" si="490"/>
        <v>30.400000000000027</v>
      </c>
      <c r="CN171">
        <f t="shared" si="490"/>
        <v>26.800000000000018</v>
      </c>
      <c r="CO171">
        <f t="shared" si="490"/>
        <v>69.5</v>
      </c>
      <c r="CP171">
        <f t="shared" si="490"/>
        <v>56.5</v>
      </c>
      <c r="CQ171">
        <f t="shared" si="490"/>
        <v>-1</v>
      </c>
      <c r="CR171">
        <f t="shared" si="490"/>
        <v>-1</v>
      </c>
      <c r="CS171">
        <f t="shared" si="490"/>
        <v>-1</v>
      </c>
      <c r="CT171">
        <f t="shared" si="490"/>
        <v>-1</v>
      </c>
      <c r="CU171">
        <f t="shared" si="490"/>
        <v>-1</v>
      </c>
      <c r="CV171">
        <f t="shared" si="490"/>
        <v>-1</v>
      </c>
      <c r="CW171">
        <f t="shared" si="490"/>
        <v>-1</v>
      </c>
      <c r="CX171">
        <f t="shared" si="490"/>
        <v>-1</v>
      </c>
      <c r="CY171">
        <f t="shared" si="490"/>
        <v>-1</v>
      </c>
      <c r="CZ171">
        <f t="shared" si="490"/>
        <v>-1</v>
      </c>
      <c r="DA171">
        <f t="shared" si="490"/>
        <v>-1</v>
      </c>
      <c r="DB171">
        <f t="shared" si="490"/>
        <v>-1</v>
      </c>
      <c r="DC171">
        <f t="shared" si="490"/>
        <v>-1</v>
      </c>
      <c r="DD171">
        <f t="shared" si="490"/>
        <v>-1</v>
      </c>
      <c r="DE171">
        <f t="shared" si="490"/>
        <v>-1</v>
      </c>
      <c r="DF171">
        <f t="shared" si="490"/>
        <v>-1</v>
      </c>
      <c r="DG171">
        <f t="shared" si="490"/>
        <v>-1</v>
      </c>
      <c r="DH171">
        <f t="shared" si="490"/>
        <v>-1</v>
      </c>
      <c r="DI171">
        <f t="shared" si="490"/>
        <v>-1</v>
      </c>
      <c r="DJ171">
        <f t="shared" si="490"/>
        <v>-1</v>
      </c>
      <c r="DK171">
        <f t="shared" si="490"/>
        <v>-1</v>
      </c>
      <c r="DL171">
        <f t="shared" si="490"/>
        <v>-1</v>
      </c>
      <c r="DM171">
        <f t="shared" si="490"/>
        <v>-1</v>
      </c>
      <c r="DN171">
        <f t="shared" si="490"/>
        <v>-1</v>
      </c>
      <c r="DO171">
        <f t="shared" si="490"/>
        <v>-1</v>
      </c>
      <c r="DP171">
        <f t="shared" si="490"/>
        <v>-1</v>
      </c>
      <c r="DQ171">
        <f t="shared" si="490"/>
        <v>-1</v>
      </c>
      <c r="DR171">
        <f t="shared" si="490"/>
        <v>-1</v>
      </c>
      <c r="DS171">
        <f t="shared" si="490"/>
        <v>-1</v>
      </c>
      <c r="DT171">
        <f t="shared" si="490"/>
        <v>-1</v>
      </c>
      <c r="DU171">
        <f t="shared" si="490"/>
        <v>-1</v>
      </c>
      <c r="DV171">
        <f t="shared" si="490"/>
        <v>-1</v>
      </c>
      <c r="DW171">
        <f t="shared" si="490"/>
        <v>-1</v>
      </c>
      <c r="DX171">
        <f t="shared" si="490"/>
        <v>-1</v>
      </c>
      <c r="DY171">
        <f t="shared" si="490"/>
        <v>-1</v>
      </c>
      <c r="DZ171">
        <f t="shared" si="490"/>
        <v>-1</v>
      </c>
      <c r="EA171">
        <f t="shared" si="490"/>
        <v>-1</v>
      </c>
      <c r="EB171">
        <f t="shared" ref="EB171:EO171" si="491">IF(OR(EB170=-1,AND(IF(EB$3&lt;$B171,EB170+EB$6,IF(EB$3=$B171,1,""))&gt;$B$1,EB$3&lt;$B171)),-1,IF(EB$3&lt;$B171,EB170+EB$6,IF(EB$3=$B171,1,"")))</f>
        <v>-1</v>
      </c>
      <c r="EC171">
        <f t="shared" si="491"/>
        <v>-1</v>
      </c>
      <c r="ED171">
        <f t="shared" si="491"/>
        <v>-1</v>
      </c>
      <c r="EE171">
        <f t="shared" si="491"/>
        <v>-1</v>
      </c>
      <c r="EF171">
        <f t="shared" si="491"/>
        <v>-1</v>
      </c>
      <c r="EG171">
        <f t="shared" si="491"/>
        <v>-1</v>
      </c>
      <c r="EH171">
        <f t="shared" si="491"/>
        <v>-1</v>
      </c>
      <c r="EI171">
        <f t="shared" si="491"/>
        <v>-1</v>
      </c>
      <c r="EJ171">
        <f t="shared" si="491"/>
        <v>-1</v>
      </c>
      <c r="EK171">
        <f t="shared" si="491"/>
        <v>-1</v>
      </c>
      <c r="EL171">
        <f t="shared" si="491"/>
        <v>-1</v>
      </c>
      <c r="EM171">
        <f t="shared" si="491"/>
        <v>-1</v>
      </c>
      <c r="EN171">
        <f t="shared" si="491"/>
        <v>-1</v>
      </c>
      <c r="EO171">
        <f t="shared" si="491"/>
        <v>-1</v>
      </c>
    </row>
    <row r="172" spans="1:145" x14ac:dyDescent="0.15">
      <c r="A172" t="e">
        <f t="shared" si="386"/>
        <v>#N/A</v>
      </c>
      <c r="B172" s="218">
        <v>164</v>
      </c>
      <c r="C172">
        <f t="shared" si="386"/>
        <v>-1</v>
      </c>
      <c r="D172">
        <f t="shared" ref="D172:BO172" si="492">IF(OR(D171=-1,AND(IF(D$3&lt;$B172,D171+D$6,IF(D$3=$B172,1,""))&gt;$B$1,D$3&lt;$B172)),-1,IF(D$3&lt;$B172,D171+D$6,IF(D$3=$B172,1,"")))</f>
        <v>-1</v>
      </c>
      <c r="E172">
        <f t="shared" si="492"/>
        <v>-1</v>
      </c>
      <c r="F172">
        <f t="shared" si="492"/>
        <v>-1</v>
      </c>
      <c r="G172">
        <f t="shared" si="492"/>
        <v>-1</v>
      </c>
      <c r="H172">
        <f t="shared" si="492"/>
        <v>-1</v>
      </c>
      <c r="I172">
        <f t="shared" si="492"/>
        <v>-1</v>
      </c>
      <c r="J172">
        <f t="shared" si="492"/>
        <v>-1</v>
      </c>
      <c r="K172">
        <f t="shared" si="492"/>
        <v>-1</v>
      </c>
      <c r="L172">
        <f t="shared" si="492"/>
        <v>-1</v>
      </c>
      <c r="M172">
        <f t="shared" si="492"/>
        <v>-1</v>
      </c>
      <c r="N172">
        <f t="shared" si="492"/>
        <v>-1</v>
      </c>
      <c r="O172">
        <f t="shared" si="492"/>
        <v>-1</v>
      </c>
      <c r="P172">
        <f t="shared" si="492"/>
        <v>-1</v>
      </c>
      <c r="Q172">
        <f t="shared" si="492"/>
        <v>-1</v>
      </c>
      <c r="R172">
        <f t="shared" si="492"/>
        <v>-1</v>
      </c>
      <c r="S172">
        <f t="shared" si="492"/>
        <v>-1</v>
      </c>
      <c r="T172">
        <f t="shared" si="492"/>
        <v>-1</v>
      </c>
      <c r="U172">
        <f t="shared" si="492"/>
        <v>-1</v>
      </c>
      <c r="V172">
        <f t="shared" si="492"/>
        <v>-1</v>
      </c>
      <c r="W172">
        <f t="shared" si="492"/>
        <v>-1</v>
      </c>
      <c r="X172">
        <f t="shared" si="492"/>
        <v>-1</v>
      </c>
      <c r="Y172">
        <f t="shared" si="492"/>
        <v>-1</v>
      </c>
      <c r="Z172">
        <f t="shared" si="492"/>
        <v>-1</v>
      </c>
      <c r="AA172">
        <f t="shared" si="492"/>
        <v>-1</v>
      </c>
      <c r="AB172">
        <f t="shared" si="492"/>
        <v>-1</v>
      </c>
      <c r="AC172">
        <f t="shared" si="492"/>
        <v>-1</v>
      </c>
      <c r="AD172">
        <f t="shared" si="492"/>
        <v>-1</v>
      </c>
      <c r="AE172">
        <f t="shared" si="492"/>
        <v>-1</v>
      </c>
      <c r="AF172">
        <f t="shared" si="492"/>
        <v>-1</v>
      </c>
      <c r="AG172">
        <f t="shared" si="492"/>
        <v>-1</v>
      </c>
      <c r="AH172">
        <f t="shared" si="492"/>
        <v>-1</v>
      </c>
      <c r="AI172">
        <f t="shared" si="492"/>
        <v>-1</v>
      </c>
      <c r="AJ172">
        <f t="shared" si="492"/>
        <v>-1</v>
      </c>
      <c r="AK172">
        <f t="shared" si="492"/>
        <v>-1</v>
      </c>
      <c r="AL172">
        <f t="shared" si="492"/>
        <v>-1</v>
      </c>
      <c r="AM172">
        <f t="shared" si="492"/>
        <v>-1</v>
      </c>
      <c r="AN172">
        <f t="shared" si="492"/>
        <v>-1</v>
      </c>
      <c r="AO172">
        <f t="shared" si="492"/>
        <v>-1</v>
      </c>
      <c r="AP172">
        <f t="shared" si="492"/>
        <v>-1</v>
      </c>
      <c r="AQ172">
        <f t="shared" si="492"/>
        <v>-1</v>
      </c>
      <c r="AR172">
        <f t="shared" si="492"/>
        <v>-1</v>
      </c>
      <c r="AS172">
        <f t="shared" si="492"/>
        <v>-1</v>
      </c>
      <c r="AT172">
        <f t="shared" si="492"/>
        <v>-1</v>
      </c>
      <c r="AU172">
        <f t="shared" si="492"/>
        <v>-1</v>
      </c>
      <c r="AV172">
        <f t="shared" si="492"/>
        <v>-1</v>
      </c>
      <c r="AW172">
        <f t="shared" si="492"/>
        <v>-1</v>
      </c>
      <c r="AX172">
        <f t="shared" si="492"/>
        <v>-1</v>
      </c>
      <c r="AY172">
        <f t="shared" si="492"/>
        <v>-1</v>
      </c>
      <c r="AZ172">
        <f t="shared" si="492"/>
        <v>-1</v>
      </c>
      <c r="BA172">
        <f t="shared" si="492"/>
        <v>-1</v>
      </c>
      <c r="BB172">
        <f t="shared" si="492"/>
        <v>-1</v>
      </c>
      <c r="BC172">
        <f t="shared" si="492"/>
        <v>-1</v>
      </c>
      <c r="BD172">
        <f t="shared" si="492"/>
        <v>-1</v>
      </c>
      <c r="BE172">
        <f t="shared" si="492"/>
        <v>-1</v>
      </c>
      <c r="BF172">
        <f t="shared" si="492"/>
        <v>-1</v>
      </c>
      <c r="BG172">
        <f t="shared" si="492"/>
        <v>-1</v>
      </c>
      <c r="BH172">
        <f t="shared" si="492"/>
        <v>-1</v>
      </c>
      <c r="BI172">
        <f t="shared" si="492"/>
        <v>-1</v>
      </c>
      <c r="BJ172">
        <f t="shared" si="492"/>
        <v>-1</v>
      </c>
      <c r="BK172">
        <f t="shared" si="492"/>
        <v>-1</v>
      </c>
      <c r="BL172">
        <f t="shared" si="492"/>
        <v>-1</v>
      </c>
      <c r="BM172">
        <f t="shared" si="492"/>
        <v>-1</v>
      </c>
      <c r="BN172">
        <f t="shared" si="492"/>
        <v>-1</v>
      </c>
      <c r="BO172">
        <f t="shared" si="492"/>
        <v>-1</v>
      </c>
      <c r="BP172">
        <f t="shared" ref="BP172:EA172" si="493">IF(OR(BP171=-1,AND(IF(BP$3&lt;$B172,BP171+BP$6,IF(BP$3=$B172,1,""))&gt;$B$1,BP$3&lt;$B172)),-1,IF(BP$3&lt;$B172,BP171+BP$6,IF(BP$3=$B172,1,"")))</f>
        <v>-1</v>
      </c>
      <c r="BQ172">
        <f t="shared" si="493"/>
        <v>-1</v>
      </c>
      <c r="BR172">
        <f t="shared" si="493"/>
        <v>-1</v>
      </c>
      <c r="BS172">
        <f t="shared" si="493"/>
        <v>-1</v>
      </c>
      <c r="BT172">
        <f t="shared" si="493"/>
        <v>-1</v>
      </c>
      <c r="BU172">
        <f t="shared" si="493"/>
        <v>-1</v>
      </c>
      <c r="BV172">
        <f t="shared" si="493"/>
        <v>-1</v>
      </c>
      <c r="BW172">
        <f t="shared" si="493"/>
        <v>-1</v>
      </c>
      <c r="BX172">
        <f t="shared" si="493"/>
        <v>-1</v>
      </c>
      <c r="BY172">
        <f t="shared" si="493"/>
        <v>-1</v>
      </c>
      <c r="BZ172">
        <f t="shared" si="493"/>
        <v>-1</v>
      </c>
      <c r="CA172">
        <f t="shared" si="493"/>
        <v>74.2</v>
      </c>
      <c r="CB172">
        <f t="shared" si="493"/>
        <v>70.600000000000037</v>
      </c>
      <c r="CC172">
        <f t="shared" si="493"/>
        <v>67.000000000000071</v>
      </c>
      <c r="CD172">
        <f t="shared" si="493"/>
        <v>63.400000000000105</v>
      </c>
      <c r="CE172">
        <f t="shared" si="493"/>
        <v>59.800000000000097</v>
      </c>
      <c r="CF172">
        <f t="shared" si="493"/>
        <v>56.200000000000088</v>
      </c>
      <c r="CG172">
        <f t="shared" si="493"/>
        <v>52.60000000000008</v>
      </c>
      <c r="CH172">
        <f t="shared" si="493"/>
        <v>49.000000000000071</v>
      </c>
      <c r="CI172">
        <f t="shared" si="493"/>
        <v>45.400000000000063</v>
      </c>
      <c r="CJ172">
        <f t="shared" si="493"/>
        <v>41.800000000000054</v>
      </c>
      <c r="CK172">
        <f t="shared" si="493"/>
        <v>38.200000000000045</v>
      </c>
      <c r="CL172">
        <f t="shared" si="493"/>
        <v>34.600000000000037</v>
      </c>
      <c r="CM172">
        <f t="shared" si="493"/>
        <v>31.000000000000028</v>
      </c>
      <c r="CN172">
        <f t="shared" si="493"/>
        <v>27.40000000000002</v>
      </c>
      <c r="CO172">
        <f t="shared" si="493"/>
        <v>70</v>
      </c>
      <c r="CP172">
        <f t="shared" si="493"/>
        <v>57</v>
      </c>
      <c r="CQ172">
        <f t="shared" si="493"/>
        <v>-1</v>
      </c>
      <c r="CR172">
        <f t="shared" si="493"/>
        <v>-1</v>
      </c>
      <c r="CS172">
        <f t="shared" si="493"/>
        <v>-1</v>
      </c>
      <c r="CT172">
        <f t="shared" si="493"/>
        <v>-1</v>
      </c>
      <c r="CU172">
        <f t="shared" si="493"/>
        <v>-1</v>
      </c>
      <c r="CV172">
        <f t="shared" si="493"/>
        <v>-1</v>
      </c>
      <c r="CW172">
        <f t="shared" si="493"/>
        <v>-1</v>
      </c>
      <c r="CX172">
        <f t="shared" si="493"/>
        <v>-1</v>
      </c>
      <c r="CY172">
        <f t="shared" si="493"/>
        <v>-1</v>
      </c>
      <c r="CZ172">
        <f t="shared" si="493"/>
        <v>-1</v>
      </c>
      <c r="DA172">
        <f t="shared" si="493"/>
        <v>-1</v>
      </c>
      <c r="DB172">
        <f t="shared" si="493"/>
        <v>-1</v>
      </c>
      <c r="DC172">
        <f t="shared" si="493"/>
        <v>-1</v>
      </c>
      <c r="DD172">
        <f t="shared" si="493"/>
        <v>-1</v>
      </c>
      <c r="DE172">
        <f t="shared" si="493"/>
        <v>-1</v>
      </c>
      <c r="DF172">
        <f t="shared" si="493"/>
        <v>-1</v>
      </c>
      <c r="DG172">
        <f t="shared" si="493"/>
        <v>-1</v>
      </c>
      <c r="DH172">
        <f t="shared" si="493"/>
        <v>-1</v>
      </c>
      <c r="DI172">
        <f t="shared" si="493"/>
        <v>-1</v>
      </c>
      <c r="DJ172">
        <f t="shared" si="493"/>
        <v>-1</v>
      </c>
      <c r="DK172">
        <f t="shared" si="493"/>
        <v>-1</v>
      </c>
      <c r="DL172">
        <f t="shared" si="493"/>
        <v>-1</v>
      </c>
      <c r="DM172">
        <f t="shared" si="493"/>
        <v>-1</v>
      </c>
      <c r="DN172">
        <f t="shared" si="493"/>
        <v>-1</v>
      </c>
      <c r="DO172">
        <f t="shared" si="493"/>
        <v>-1</v>
      </c>
      <c r="DP172">
        <f t="shared" si="493"/>
        <v>-1</v>
      </c>
      <c r="DQ172">
        <f t="shared" si="493"/>
        <v>-1</v>
      </c>
      <c r="DR172">
        <f t="shared" si="493"/>
        <v>-1</v>
      </c>
      <c r="DS172">
        <f t="shared" si="493"/>
        <v>-1</v>
      </c>
      <c r="DT172">
        <f t="shared" si="493"/>
        <v>-1</v>
      </c>
      <c r="DU172">
        <f t="shared" si="493"/>
        <v>-1</v>
      </c>
      <c r="DV172">
        <f t="shared" si="493"/>
        <v>-1</v>
      </c>
      <c r="DW172">
        <f t="shared" si="493"/>
        <v>-1</v>
      </c>
      <c r="DX172">
        <f t="shared" si="493"/>
        <v>-1</v>
      </c>
      <c r="DY172">
        <f t="shared" si="493"/>
        <v>-1</v>
      </c>
      <c r="DZ172">
        <f t="shared" si="493"/>
        <v>-1</v>
      </c>
      <c r="EA172">
        <f t="shared" si="493"/>
        <v>-1</v>
      </c>
      <c r="EB172">
        <f t="shared" ref="EB172:EO172" si="494">IF(OR(EB171=-1,AND(IF(EB$3&lt;$B172,EB171+EB$6,IF(EB$3=$B172,1,""))&gt;$B$1,EB$3&lt;$B172)),-1,IF(EB$3&lt;$B172,EB171+EB$6,IF(EB$3=$B172,1,"")))</f>
        <v>-1</v>
      </c>
      <c r="EC172">
        <f t="shared" si="494"/>
        <v>-1</v>
      </c>
      <c r="ED172">
        <f t="shared" si="494"/>
        <v>-1</v>
      </c>
      <c r="EE172">
        <f t="shared" si="494"/>
        <v>-1</v>
      </c>
      <c r="EF172">
        <f t="shared" si="494"/>
        <v>-1</v>
      </c>
      <c r="EG172">
        <f t="shared" si="494"/>
        <v>-1</v>
      </c>
      <c r="EH172">
        <f t="shared" si="494"/>
        <v>-1</v>
      </c>
      <c r="EI172">
        <f t="shared" si="494"/>
        <v>-1</v>
      </c>
      <c r="EJ172">
        <f t="shared" si="494"/>
        <v>-1</v>
      </c>
      <c r="EK172">
        <f t="shared" si="494"/>
        <v>-1</v>
      </c>
      <c r="EL172">
        <f t="shared" si="494"/>
        <v>-1</v>
      </c>
      <c r="EM172">
        <f t="shared" si="494"/>
        <v>-1</v>
      </c>
      <c r="EN172">
        <f t="shared" si="494"/>
        <v>-1</v>
      </c>
      <c r="EO172">
        <f t="shared" si="494"/>
        <v>-1</v>
      </c>
    </row>
    <row r="173" spans="1:145" x14ac:dyDescent="0.15">
      <c r="A173" t="e">
        <f t="shared" si="386"/>
        <v>#N/A</v>
      </c>
      <c r="B173" s="218">
        <v>165</v>
      </c>
      <c r="C173">
        <f t="shared" si="386"/>
        <v>-1</v>
      </c>
      <c r="D173">
        <f t="shared" ref="D173:BO173" si="495">IF(OR(D172=-1,AND(IF(D$3&lt;$B173,D172+D$6,IF(D$3=$B173,1,""))&gt;$B$1,D$3&lt;$B173)),-1,IF(D$3&lt;$B173,D172+D$6,IF(D$3=$B173,1,"")))</f>
        <v>-1</v>
      </c>
      <c r="E173">
        <f t="shared" si="495"/>
        <v>-1</v>
      </c>
      <c r="F173">
        <f t="shared" si="495"/>
        <v>-1</v>
      </c>
      <c r="G173">
        <f t="shared" si="495"/>
        <v>-1</v>
      </c>
      <c r="H173">
        <f t="shared" si="495"/>
        <v>-1</v>
      </c>
      <c r="I173">
        <f t="shared" si="495"/>
        <v>-1</v>
      </c>
      <c r="J173">
        <f t="shared" si="495"/>
        <v>-1</v>
      </c>
      <c r="K173">
        <f t="shared" si="495"/>
        <v>-1</v>
      </c>
      <c r="L173">
        <f t="shared" si="495"/>
        <v>-1</v>
      </c>
      <c r="M173">
        <f t="shared" si="495"/>
        <v>-1</v>
      </c>
      <c r="N173">
        <f t="shared" si="495"/>
        <v>-1</v>
      </c>
      <c r="O173">
        <f t="shared" si="495"/>
        <v>-1</v>
      </c>
      <c r="P173">
        <f t="shared" si="495"/>
        <v>-1</v>
      </c>
      <c r="Q173">
        <f t="shared" si="495"/>
        <v>-1</v>
      </c>
      <c r="R173">
        <f t="shared" si="495"/>
        <v>-1</v>
      </c>
      <c r="S173">
        <f t="shared" si="495"/>
        <v>-1</v>
      </c>
      <c r="T173">
        <f t="shared" si="495"/>
        <v>-1</v>
      </c>
      <c r="U173">
        <f t="shared" si="495"/>
        <v>-1</v>
      </c>
      <c r="V173">
        <f t="shared" si="495"/>
        <v>-1</v>
      </c>
      <c r="W173">
        <f t="shared" si="495"/>
        <v>-1</v>
      </c>
      <c r="X173">
        <f t="shared" si="495"/>
        <v>-1</v>
      </c>
      <c r="Y173">
        <f t="shared" si="495"/>
        <v>-1</v>
      </c>
      <c r="Z173">
        <f t="shared" si="495"/>
        <v>-1</v>
      </c>
      <c r="AA173">
        <f t="shared" si="495"/>
        <v>-1</v>
      </c>
      <c r="AB173">
        <f t="shared" si="495"/>
        <v>-1</v>
      </c>
      <c r="AC173">
        <f t="shared" si="495"/>
        <v>-1</v>
      </c>
      <c r="AD173">
        <f t="shared" si="495"/>
        <v>-1</v>
      </c>
      <c r="AE173">
        <f t="shared" si="495"/>
        <v>-1</v>
      </c>
      <c r="AF173">
        <f t="shared" si="495"/>
        <v>-1</v>
      </c>
      <c r="AG173">
        <f t="shared" si="495"/>
        <v>-1</v>
      </c>
      <c r="AH173">
        <f t="shared" si="495"/>
        <v>-1</v>
      </c>
      <c r="AI173">
        <f t="shared" si="495"/>
        <v>-1</v>
      </c>
      <c r="AJ173">
        <f t="shared" si="495"/>
        <v>-1</v>
      </c>
      <c r="AK173">
        <f t="shared" si="495"/>
        <v>-1</v>
      </c>
      <c r="AL173">
        <f t="shared" si="495"/>
        <v>-1</v>
      </c>
      <c r="AM173">
        <f t="shared" si="495"/>
        <v>-1</v>
      </c>
      <c r="AN173">
        <f t="shared" si="495"/>
        <v>-1</v>
      </c>
      <c r="AO173">
        <f t="shared" si="495"/>
        <v>-1</v>
      </c>
      <c r="AP173">
        <f t="shared" si="495"/>
        <v>-1</v>
      </c>
      <c r="AQ173">
        <f t="shared" si="495"/>
        <v>-1</v>
      </c>
      <c r="AR173">
        <f t="shared" si="495"/>
        <v>-1</v>
      </c>
      <c r="AS173">
        <f t="shared" si="495"/>
        <v>-1</v>
      </c>
      <c r="AT173">
        <f t="shared" si="495"/>
        <v>-1</v>
      </c>
      <c r="AU173">
        <f t="shared" si="495"/>
        <v>-1</v>
      </c>
      <c r="AV173">
        <f t="shared" si="495"/>
        <v>-1</v>
      </c>
      <c r="AW173">
        <f t="shared" si="495"/>
        <v>-1</v>
      </c>
      <c r="AX173">
        <f t="shared" si="495"/>
        <v>-1</v>
      </c>
      <c r="AY173">
        <f t="shared" si="495"/>
        <v>-1</v>
      </c>
      <c r="AZ173">
        <f t="shared" si="495"/>
        <v>-1</v>
      </c>
      <c r="BA173">
        <f t="shared" si="495"/>
        <v>-1</v>
      </c>
      <c r="BB173">
        <f t="shared" si="495"/>
        <v>-1</v>
      </c>
      <c r="BC173">
        <f t="shared" si="495"/>
        <v>-1</v>
      </c>
      <c r="BD173">
        <f t="shared" si="495"/>
        <v>-1</v>
      </c>
      <c r="BE173">
        <f t="shared" si="495"/>
        <v>-1</v>
      </c>
      <c r="BF173">
        <f t="shared" si="495"/>
        <v>-1</v>
      </c>
      <c r="BG173">
        <f t="shared" si="495"/>
        <v>-1</v>
      </c>
      <c r="BH173">
        <f t="shared" si="495"/>
        <v>-1</v>
      </c>
      <c r="BI173">
        <f t="shared" si="495"/>
        <v>-1</v>
      </c>
      <c r="BJ173">
        <f t="shared" si="495"/>
        <v>-1</v>
      </c>
      <c r="BK173">
        <f t="shared" si="495"/>
        <v>-1</v>
      </c>
      <c r="BL173">
        <f t="shared" si="495"/>
        <v>-1</v>
      </c>
      <c r="BM173">
        <f t="shared" si="495"/>
        <v>-1</v>
      </c>
      <c r="BN173">
        <f t="shared" si="495"/>
        <v>-1</v>
      </c>
      <c r="BO173">
        <f t="shared" si="495"/>
        <v>-1</v>
      </c>
      <c r="BP173">
        <f t="shared" ref="BP173:EA173" si="496">IF(OR(BP172=-1,AND(IF(BP$3&lt;$B173,BP172+BP$6,IF(BP$3=$B173,1,""))&gt;$B$1,BP$3&lt;$B173)),-1,IF(BP$3&lt;$B173,BP172+BP$6,IF(BP$3=$B173,1,"")))</f>
        <v>-1</v>
      </c>
      <c r="BQ173">
        <f t="shared" si="496"/>
        <v>-1</v>
      </c>
      <c r="BR173">
        <f t="shared" si="496"/>
        <v>-1</v>
      </c>
      <c r="BS173">
        <f t="shared" si="496"/>
        <v>-1</v>
      </c>
      <c r="BT173">
        <f t="shared" si="496"/>
        <v>-1</v>
      </c>
      <c r="BU173">
        <f t="shared" si="496"/>
        <v>-1</v>
      </c>
      <c r="BV173">
        <f t="shared" si="496"/>
        <v>-1</v>
      </c>
      <c r="BW173">
        <f t="shared" si="496"/>
        <v>-1</v>
      </c>
      <c r="BX173">
        <f t="shared" si="496"/>
        <v>-1</v>
      </c>
      <c r="BY173">
        <f t="shared" si="496"/>
        <v>-1</v>
      </c>
      <c r="BZ173">
        <f t="shared" si="496"/>
        <v>-1</v>
      </c>
      <c r="CA173">
        <f t="shared" si="496"/>
        <v>74.8</v>
      </c>
      <c r="CB173">
        <f t="shared" si="496"/>
        <v>71.200000000000031</v>
      </c>
      <c r="CC173">
        <f t="shared" si="496"/>
        <v>67.600000000000065</v>
      </c>
      <c r="CD173">
        <f t="shared" si="496"/>
        <v>64.000000000000099</v>
      </c>
      <c r="CE173">
        <f t="shared" si="496"/>
        <v>60.400000000000098</v>
      </c>
      <c r="CF173">
        <f t="shared" si="496"/>
        <v>56.80000000000009</v>
      </c>
      <c r="CG173">
        <f t="shared" si="496"/>
        <v>53.200000000000081</v>
      </c>
      <c r="CH173">
        <f t="shared" si="496"/>
        <v>49.600000000000072</v>
      </c>
      <c r="CI173">
        <f t="shared" si="496"/>
        <v>46.000000000000064</v>
      </c>
      <c r="CJ173">
        <f t="shared" si="496"/>
        <v>42.400000000000055</v>
      </c>
      <c r="CK173">
        <f t="shared" si="496"/>
        <v>38.800000000000047</v>
      </c>
      <c r="CL173">
        <f t="shared" si="496"/>
        <v>35.200000000000038</v>
      </c>
      <c r="CM173">
        <f t="shared" si="496"/>
        <v>31.60000000000003</v>
      </c>
      <c r="CN173">
        <f t="shared" si="496"/>
        <v>28.000000000000021</v>
      </c>
      <c r="CO173">
        <f t="shared" si="496"/>
        <v>70.5</v>
      </c>
      <c r="CP173">
        <f t="shared" si="496"/>
        <v>57.5</v>
      </c>
      <c r="CQ173">
        <f t="shared" si="496"/>
        <v>-1</v>
      </c>
      <c r="CR173">
        <f t="shared" si="496"/>
        <v>-1</v>
      </c>
      <c r="CS173">
        <f t="shared" si="496"/>
        <v>-1</v>
      </c>
      <c r="CT173">
        <f t="shared" si="496"/>
        <v>-1</v>
      </c>
      <c r="CU173">
        <f t="shared" si="496"/>
        <v>-1</v>
      </c>
      <c r="CV173">
        <f t="shared" si="496"/>
        <v>-1</v>
      </c>
      <c r="CW173">
        <f t="shared" si="496"/>
        <v>-1</v>
      </c>
      <c r="CX173">
        <f t="shared" si="496"/>
        <v>-1</v>
      </c>
      <c r="CY173">
        <f t="shared" si="496"/>
        <v>-1</v>
      </c>
      <c r="CZ173">
        <f t="shared" si="496"/>
        <v>-1</v>
      </c>
      <c r="DA173">
        <f t="shared" si="496"/>
        <v>-1</v>
      </c>
      <c r="DB173">
        <f t="shared" si="496"/>
        <v>-1</v>
      </c>
      <c r="DC173">
        <f t="shared" si="496"/>
        <v>-1</v>
      </c>
      <c r="DD173">
        <f t="shared" si="496"/>
        <v>-1</v>
      </c>
      <c r="DE173">
        <f t="shared" si="496"/>
        <v>-1</v>
      </c>
      <c r="DF173">
        <f t="shared" si="496"/>
        <v>-1</v>
      </c>
      <c r="DG173">
        <f t="shared" si="496"/>
        <v>-1</v>
      </c>
      <c r="DH173">
        <f t="shared" si="496"/>
        <v>-1</v>
      </c>
      <c r="DI173">
        <f t="shared" si="496"/>
        <v>-1</v>
      </c>
      <c r="DJ173">
        <f t="shared" si="496"/>
        <v>-1</v>
      </c>
      <c r="DK173">
        <f t="shared" si="496"/>
        <v>-1</v>
      </c>
      <c r="DL173">
        <f t="shared" si="496"/>
        <v>-1</v>
      </c>
      <c r="DM173">
        <f t="shared" si="496"/>
        <v>-1</v>
      </c>
      <c r="DN173">
        <f t="shared" si="496"/>
        <v>-1</v>
      </c>
      <c r="DO173">
        <f t="shared" si="496"/>
        <v>-1</v>
      </c>
      <c r="DP173">
        <f t="shared" si="496"/>
        <v>-1</v>
      </c>
      <c r="DQ173">
        <f t="shared" si="496"/>
        <v>-1</v>
      </c>
      <c r="DR173">
        <f t="shared" si="496"/>
        <v>-1</v>
      </c>
      <c r="DS173">
        <f t="shared" si="496"/>
        <v>-1</v>
      </c>
      <c r="DT173">
        <f t="shared" si="496"/>
        <v>-1</v>
      </c>
      <c r="DU173">
        <f t="shared" si="496"/>
        <v>-1</v>
      </c>
      <c r="DV173">
        <f t="shared" si="496"/>
        <v>-1</v>
      </c>
      <c r="DW173">
        <f t="shared" si="496"/>
        <v>-1</v>
      </c>
      <c r="DX173">
        <f t="shared" si="496"/>
        <v>-1</v>
      </c>
      <c r="DY173">
        <f t="shared" si="496"/>
        <v>-1</v>
      </c>
      <c r="DZ173">
        <f t="shared" si="496"/>
        <v>-1</v>
      </c>
      <c r="EA173">
        <f t="shared" si="496"/>
        <v>-1</v>
      </c>
      <c r="EB173">
        <f t="shared" ref="EB173:EO173" si="497">IF(OR(EB172=-1,AND(IF(EB$3&lt;$B173,EB172+EB$6,IF(EB$3=$B173,1,""))&gt;$B$1,EB$3&lt;$B173)),-1,IF(EB$3&lt;$B173,EB172+EB$6,IF(EB$3=$B173,1,"")))</f>
        <v>-1</v>
      </c>
      <c r="EC173">
        <f t="shared" si="497"/>
        <v>-1</v>
      </c>
      <c r="ED173">
        <f t="shared" si="497"/>
        <v>-1</v>
      </c>
      <c r="EE173">
        <f t="shared" si="497"/>
        <v>-1</v>
      </c>
      <c r="EF173">
        <f t="shared" si="497"/>
        <v>-1</v>
      </c>
      <c r="EG173">
        <f t="shared" si="497"/>
        <v>-1</v>
      </c>
      <c r="EH173">
        <f t="shared" si="497"/>
        <v>-1</v>
      </c>
      <c r="EI173">
        <f t="shared" si="497"/>
        <v>-1</v>
      </c>
      <c r="EJ173">
        <f t="shared" si="497"/>
        <v>-1</v>
      </c>
      <c r="EK173">
        <f t="shared" si="497"/>
        <v>-1</v>
      </c>
      <c r="EL173">
        <f t="shared" si="497"/>
        <v>-1</v>
      </c>
      <c r="EM173">
        <f t="shared" si="497"/>
        <v>-1</v>
      </c>
      <c r="EN173">
        <f t="shared" si="497"/>
        <v>-1</v>
      </c>
      <c r="EO173">
        <f t="shared" si="497"/>
        <v>-1</v>
      </c>
    </row>
    <row r="174" spans="1:145" x14ac:dyDescent="0.15">
      <c r="A174" t="e">
        <f t="shared" si="386"/>
        <v>#N/A</v>
      </c>
      <c r="B174" s="218">
        <v>166</v>
      </c>
      <c r="C174">
        <f t="shared" si="386"/>
        <v>-1</v>
      </c>
      <c r="D174">
        <f t="shared" ref="D174:BO174" si="498">IF(OR(D173=-1,AND(IF(D$3&lt;$B174,D173+D$6,IF(D$3=$B174,1,""))&gt;$B$1,D$3&lt;$B174)),-1,IF(D$3&lt;$B174,D173+D$6,IF(D$3=$B174,1,"")))</f>
        <v>-1</v>
      </c>
      <c r="E174">
        <f t="shared" si="498"/>
        <v>-1</v>
      </c>
      <c r="F174">
        <f t="shared" si="498"/>
        <v>-1</v>
      </c>
      <c r="G174">
        <f t="shared" si="498"/>
        <v>-1</v>
      </c>
      <c r="H174">
        <f t="shared" si="498"/>
        <v>-1</v>
      </c>
      <c r="I174">
        <f t="shared" si="498"/>
        <v>-1</v>
      </c>
      <c r="J174">
        <f t="shared" si="498"/>
        <v>-1</v>
      </c>
      <c r="K174">
        <f t="shared" si="498"/>
        <v>-1</v>
      </c>
      <c r="L174">
        <f t="shared" si="498"/>
        <v>-1</v>
      </c>
      <c r="M174">
        <f t="shared" si="498"/>
        <v>-1</v>
      </c>
      <c r="N174">
        <f t="shared" si="498"/>
        <v>-1</v>
      </c>
      <c r="O174">
        <f t="shared" si="498"/>
        <v>-1</v>
      </c>
      <c r="P174">
        <f t="shared" si="498"/>
        <v>-1</v>
      </c>
      <c r="Q174">
        <f t="shared" si="498"/>
        <v>-1</v>
      </c>
      <c r="R174">
        <f t="shared" si="498"/>
        <v>-1</v>
      </c>
      <c r="S174">
        <f t="shared" si="498"/>
        <v>-1</v>
      </c>
      <c r="T174">
        <f t="shared" si="498"/>
        <v>-1</v>
      </c>
      <c r="U174">
        <f t="shared" si="498"/>
        <v>-1</v>
      </c>
      <c r="V174">
        <f t="shared" si="498"/>
        <v>-1</v>
      </c>
      <c r="W174">
        <f t="shared" si="498"/>
        <v>-1</v>
      </c>
      <c r="X174">
        <f t="shared" si="498"/>
        <v>-1</v>
      </c>
      <c r="Y174">
        <f t="shared" si="498"/>
        <v>-1</v>
      </c>
      <c r="Z174">
        <f t="shared" si="498"/>
        <v>-1</v>
      </c>
      <c r="AA174">
        <f t="shared" si="498"/>
        <v>-1</v>
      </c>
      <c r="AB174">
        <f t="shared" si="498"/>
        <v>-1</v>
      </c>
      <c r="AC174">
        <f t="shared" si="498"/>
        <v>-1</v>
      </c>
      <c r="AD174">
        <f t="shared" si="498"/>
        <v>-1</v>
      </c>
      <c r="AE174">
        <f t="shared" si="498"/>
        <v>-1</v>
      </c>
      <c r="AF174">
        <f t="shared" si="498"/>
        <v>-1</v>
      </c>
      <c r="AG174">
        <f t="shared" si="498"/>
        <v>-1</v>
      </c>
      <c r="AH174">
        <f t="shared" si="498"/>
        <v>-1</v>
      </c>
      <c r="AI174">
        <f t="shared" si="498"/>
        <v>-1</v>
      </c>
      <c r="AJ174">
        <f t="shared" si="498"/>
        <v>-1</v>
      </c>
      <c r="AK174">
        <f t="shared" si="498"/>
        <v>-1</v>
      </c>
      <c r="AL174">
        <f t="shared" si="498"/>
        <v>-1</v>
      </c>
      <c r="AM174">
        <f t="shared" si="498"/>
        <v>-1</v>
      </c>
      <c r="AN174">
        <f t="shared" si="498"/>
        <v>-1</v>
      </c>
      <c r="AO174">
        <f t="shared" si="498"/>
        <v>-1</v>
      </c>
      <c r="AP174">
        <f t="shared" si="498"/>
        <v>-1</v>
      </c>
      <c r="AQ174">
        <f t="shared" si="498"/>
        <v>-1</v>
      </c>
      <c r="AR174">
        <f t="shared" si="498"/>
        <v>-1</v>
      </c>
      <c r="AS174">
        <f t="shared" si="498"/>
        <v>-1</v>
      </c>
      <c r="AT174">
        <f t="shared" si="498"/>
        <v>-1</v>
      </c>
      <c r="AU174">
        <f t="shared" si="498"/>
        <v>-1</v>
      </c>
      <c r="AV174">
        <f t="shared" si="498"/>
        <v>-1</v>
      </c>
      <c r="AW174">
        <f t="shared" si="498"/>
        <v>-1</v>
      </c>
      <c r="AX174">
        <f t="shared" si="498"/>
        <v>-1</v>
      </c>
      <c r="AY174">
        <f t="shared" si="498"/>
        <v>-1</v>
      </c>
      <c r="AZ174">
        <f t="shared" si="498"/>
        <v>-1</v>
      </c>
      <c r="BA174">
        <f t="shared" si="498"/>
        <v>-1</v>
      </c>
      <c r="BB174">
        <f t="shared" si="498"/>
        <v>-1</v>
      </c>
      <c r="BC174">
        <f t="shared" si="498"/>
        <v>-1</v>
      </c>
      <c r="BD174">
        <f t="shared" si="498"/>
        <v>-1</v>
      </c>
      <c r="BE174">
        <f t="shared" si="498"/>
        <v>-1</v>
      </c>
      <c r="BF174">
        <f t="shared" si="498"/>
        <v>-1</v>
      </c>
      <c r="BG174">
        <f t="shared" si="498"/>
        <v>-1</v>
      </c>
      <c r="BH174">
        <f t="shared" si="498"/>
        <v>-1</v>
      </c>
      <c r="BI174">
        <f t="shared" si="498"/>
        <v>-1</v>
      </c>
      <c r="BJ174">
        <f t="shared" si="498"/>
        <v>-1</v>
      </c>
      <c r="BK174">
        <f t="shared" si="498"/>
        <v>-1</v>
      </c>
      <c r="BL174">
        <f t="shared" si="498"/>
        <v>-1</v>
      </c>
      <c r="BM174">
        <f t="shared" si="498"/>
        <v>-1</v>
      </c>
      <c r="BN174">
        <f t="shared" si="498"/>
        <v>-1</v>
      </c>
      <c r="BO174">
        <f t="shared" si="498"/>
        <v>-1</v>
      </c>
      <c r="BP174">
        <f t="shared" ref="BP174:EA174" si="499">IF(OR(BP173=-1,AND(IF(BP$3&lt;$B174,BP173+BP$6,IF(BP$3=$B174,1,""))&gt;$B$1,BP$3&lt;$B174)),-1,IF(BP$3&lt;$B174,BP173+BP$6,IF(BP$3=$B174,1,"")))</f>
        <v>-1</v>
      </c>
      <c r="BQ174">
        <f t="shared" si="499"/>
        <v>-1</v>
      </c>
      <c r="BR174">
        <f t="shared" si="499"/>
        <v>-1</v>
      </c>
      <c r="BS174">
        <f t="shared" si="499"/>
        <v>-1</v>
      </c>
      <c r="BT174">
        <f t="shared" si="499"/>
        <v>-1</v>
      </c>
      <c r="BU174">
        <f t="shared" si="499"/>
        <v>-1</v>
      </c>
      <c r="BV174">
        <f t="shared" si="499"/>
        <v>-1</v>
      </c>
      <c r="BW174">
        <f t="shared" si="499"/>
        <v>-1</v>
      </c>
      <c r="BX174">
        <f t="shared" si="499"/>
        <v>-1</v>
      </c>
      <c r="BY174">
        <f t="shared" si="499"/>
        <v>-1</v>
      </c>
      <c r="BZ174">
        <f t="shared" si="499"/>
        <v>-1</v>
      </c>
      <c r="CA174">
        <f t="shared" si="499"/>
        <v>-1</v>
      </c>
      <c r="CB174">
        <f t="shared" si="499"/>
        <v>71.800000000000026</v>
      </c>
      <c r="CC174">
        <f t="shared" si="499"/>
        <v>68.20000000000006</v>
      </c>
      <c r="CD174">
        <f t="shared" si="499"/>
        <v>64.600000000000094</v>
      </c>
      <c r="CE174">
        <f t="shared" si="499"/>
        <v>61.000000000000099</v>
      </c>
      <c r="CF174">
        <f t="shared" si="499"/>
        <v>57.400000000000091</v>
      </c>
      <c r="CG174">
        <f t="shared" si="499"/>
        <v>53.800000000000082</v>
      </c>
      <c r="CH174">
        <f t="shared" si="499"/>
        <v>50.200000000000074</v>
      </c>
      <c r="CI174">
        <f t="shared" si="499"/>
        <v>46.600000000000065</v>
      </c>
      <c r="CJ174">
        <f t="shared" si="499"/>
        <v>43.000000000000057</v>
      </c>
      <c r="CK174">
        <f t="shared" si="499"/>
        <v>39.400000000000048</v>
      </c>
      <c r="CL174">
        <f t="shared" si="499"/>
        <v>35.80000000000004</v>
      </c>
      <c r="CM174">
        <f t="shared" si="499"/>
        <v>32.200000000000031</v>
      </c>
      <c r="CN174">
        <f t="shared" si="499"/>
        <v>28.600000000000023</v>
      </c>
      <c r="CO174">
        <f t="shared" si="499"/>
        <v>71</v>
      </c>
      <c r="CP174">
        <f t="shared" si="499"/>
        <v>58</v>
      </c>
      <c r="CQ174">
        <f t="shared" si="499"/>
        <v>-1</v>
      </c>
      <c r="CR174">
        <f t="shared" si="499"/>
        <v>-1</v>
      </c>
      <c r="CS174">
        <f t="shared" si="499"/>
        <v>-1</v>
      </c>
      <c r="CT174">
        <f t="shared" si="499"/>
        <v>-1</v>
      </c>
      <c r="CU174">
        <f t="shared" si="499"/>
        <v>-1</v>
      </c>
      <c r="CV174">
        <f t="shared" si="499"/>
        <v>-1</v>
      </c>
      <c r="CW174">
        <f t="shared" si="499"/>
        <v>-1</v>
      </c>
      <c r="CX174">
        <f t="shared" si="499"/>
        <v>-1</v>
      </c>
      <c r="CY174">
        <f t="shared" si="499"/>
        <v>-1</v>
      </c>
      <c r="CZ174">
        <f t="shared" si="499"/>
        <v>-1</v>
      </c>
      <c r="DA174">
        <f t="shared" si="499"/>
        <v>-1</v>
      </c>
      <c r="DB174">
        <f t="shared" si="499"/>
        <v>-1</v>
      </c>
      <c r="DC174">
        <f t="shared" si="499"/>
        <v>-1</v>
      </c>
      <c r="DD174">
        <f t="shared" si="499"/>
        <v>-1</v>
      </c>
      <c r="DE174">
        <f t="shared" si="499"/>
        <v>-1</v>
      </c>
      <c r="DF174">
        <f t="shared" si="499"/>
        <v>-1</v>
      </c>
      <c r="DG174">
        <f t="shared" si="499"/>
        <v>-1</v>
      </c>
      <c r="DH174">
        <f t="shared" si="499"/>
        <v>-1</v>
      </c>
      <c r="DI174">
        <f t="shared" si="499"/>
        <v>-1</v>
      </c>
      <c r="DJ174">
        <f t="shared" si="499"/>
        <v>-1</v>
      </c>
      <c r="DK174">
        <f t="shared" si="499"/>
        <v>-1</v>
      </c>
      <c r="DL174">
        <f t="shared" si="499"/>
        <v>-1</v>
      </c>
      <c r="DM174">
        <f t="shared" si="499"/>
        <v>-1</v>
      </c>
      <c r="DN174">
        <f t="shared" si="499"/>
        <v>-1</v>
      </c>
      <c r="DO174">
        <f t="shared" si="499"/>
        <v>-1</v>
      </c>
      <c r="DP174">
        <f t="shared" si="499"/>
        <v>-1</v>
      </c>
      <c r="DQ174">
        <f t="shared" si="499"/>
        <v>-1</v>
      </c>
      <c r="DR174">
        <f t="shared" si="499"/>
        <v>-1</v>
      </c>
      <c r="DS174">
        <f t="shared" si="499"/>
        <v>-1</v>
      </c>
      <c r="DT174">
        <f t="shared" si="499"/>
        <v>-1</v>
      </c>
      <c r="DU174">
        <f t="shared" si="499"/>
        <v>-1</v>
      </c>
      <c r="DV174">
        <f t="shared" si="499"/>
        <v>-1</v>
      </c>
      <c r="DW174">
        <f t="shared" si="499"/>
        <v>-1</v>
      </c>
      <c r="DX174">
        <f t="shared" si="499"/>
        <v>-1</v>
      </c>
      <c r="DY174">
        <f t="shared" si="499"/>
        <v>-1</v>
      </c>
      <c r="DZ174">
        <f t="shared" si="499"/>
        <v>-1</v>
      </c>
      <c r="EA174">
        <f t="shared" si="499"/>
        <v>-1</v>
      </c>
      <c r="EB174">
        <f t="shared" ref="EB174:EO174" si="500">IF(OR(EB173=-1,AND(IF(EB$3&lt;$B174,EB173+EB$6,IF(EB$3=$B174,1,""))&gt;$B$1,EB$3&lt;$B174)),-1,IF(EB$3&lt;$B174,EB173+EB$6,IF(EB$3=$B174,1,"")))</f>
        <v>-1</v>
      </c>
      <c r="EC174">
        <f t="shared" si="500"/>
        <v>-1</v>
      </c>
      <c r="ED174">
        <f t="shared" si="500"/>
        <v>-1</v>
      </c>
      <c r="EE174">
        <f t="shared" si="500"/>
        <v>-1</v>
      </c>
      <c r="EF174">
        <f t="shared" si="500"/>
        <v>-1</v>
      </c>
      <c r="EG174">
        <f t="shared" si="500"/>
        <v>-1</v>
      </c>
      <c r="EH174">
        <f t="shared" si="500"/>
        <v>-1</v>
      </c>
      <c r="EI174">
        <f t="shared" si="500"/>
        <v>-1</v>
      </c>
      <c r="EJ174">
        <f t="shared" si="500"/>
        <v>-1</v>
      </c>
      <c r="EK174">
        <f t="shared" si="500"/>
        <v>-1</v>
      </c>
      <c r="EL174">
        <f t="shared" si="500"/>
        <v>-1</v>
      </c>
      <c r="EM174">
        <f t="shared" si="500"/>
        <v>-1</v>
      </c>
      <c r="EN174">
        <f t="shared" si="500"/>
        <v>-1</v>
      </c>
      <c r="EO174">
        <f t="shared" si="500"/>
        <v>-1</v>
      </c>
    </row>
    <row r="175" spans="1:145" x14ac:dyDescent="0.15">
      <c r="A175" t="e">
        <f t="shared" si="386"/>
        <v>#N/A</v>
      </c>
      <c r="B175" s="218">
        <v>167</v>
      </c>
      <c r="C175">
        <f t="shared" si="386"/>
        <v>-1</v>
      </c>
      <c r="D175">
        <f t="shared" ref="D175:BO175" si="501">IF(OR(D174=-1,AND(IF(D$3&lt;$B175,D174+D$6,IF(D$3=$B175,1,""))&gt;$B$1,D$3&lt;$B175)),-1,IF(D$3&lt;$B175,D174+D$6,IF(D$3=$B175,1,"")))</f>
        <v>-1</v>
      </c>
      <c r="E175">
        <f t="shared" si="501"/>
        <v>-1</v>
      </c>
      <c r="F175">
        <f t="shared" si="501"/>
        <v>-1</v>
      </c>
      <c r="G175">
        <f t="shared" si="501"/>
        <v>-1</v>
      </c>
      <c r="H175">
        <f t="shared" si="501"/>
        <v>-1</v>
      </c>
      <c r="I175">
        <f t="shared" si="501"/>
        <v>-1</v>
      </c>
      <c r="J175">
        <f t="shared" si="501"/>
        <v>-1</v>
      </c>
      <c r="K175">
        <f t="shared" si="501"/>
        <v>-1</v>
      </c>
      <c r="L175">
        <f t="shared" si="501"/>
        <v>-1</v>
      </c>
      <c r="M175">
        <f t="shared" si="501"/>
        <v>-1</v>
      </c>
      <c r="N175">
        <f t="shared" si="501"/>
        <v>-1</v>
      </c>
      <c r="O175">
        <f t="shared" si="501"/>
        <v>-1</v>
      </c>
      <c r="P175">
        <f t="shared" si="501"/>
        <v>-1</v>
      </c>
      <c r="Q175">
        <f t="shared" si="501"/>
        <v>-1</v>
      </c>
      <c r="R175">
        <f t="shared" si="501"/>
        <v>-1</v>
      </c>
      <c r="S175">
        <f t="shared" si="501"/>
        <v>-1</v>
      </c>
      <c r="T175">
        <f t="shared" si="501"/>
        <v>-1</v>
      </c>
      <c r="U175">
        <f t="shared" si="501"/>
        <v>-1</v>
      </c>
      <c r="V175">
        <f t="shared" si="501"/>
        <v>-1</v>
      </c>
      <c r="W175">
        <f t="shared" si="501"/>
        <v>-1</v>
      </c>
      <c r="X175">
        <f t="shared" si="501"/>
        <v>-1</v>
      </c>
      <c r="Y175">
        <f t="shared" si="501"/>
        <v>-1</v>
      </c>
      <c r="Z175">
        <f t="shared" si="501"/>
        <v>-1</v>
      </c>
      <c r="AA175">
        <f t="shared" si="501"/>
        <v>-1</v>
      </c>
      <c r="AB175">
        <f t="shared" si="501"/>
        <v>-1</v>
      </c>
      <c r="AC175">
        <f t="shared" si="501"/>
        <v>-1</v>
      </c>
      <c r="AD175">
        <f t="shared" si="501"/>
        <v>-1</v>
      </c>
      <c r="AE175">
        <f t="shared" si="501"/>
        <v>-1</v>
      </c>
      <c r="AF175">
        <f t="shared" si="501"/>
        <v>-1</v>
      </c>
      <c r="AG175">
        <f t="shared" si="501"/>
        <v>-1</v>
      </c>
      <c r="AH175">
        <f t="shared" si="501"/>
        <v>-1</v>
      </c>
      <c r="AI175">
        <f t="shared" si="501"/>
        <v>-1</v>
      </c>
      <c r="AJ175">
        <f t="shared" si="501"/>
        <v>-1</v>
      </c>
      <c r="AK175">
        <f t="shared" si="501"/>
        <v>-1</v>
      </c>
      <c r="AL175">
        <f t="shared" si="501"/>
        <v>-1</v>
      </c>
      <c r="AM175">
        <f t="shared" si="501"/>
        <v>-1</v>
      </c>
      <c r="AN175">
        <f t="shared" si="501"/>
        <v>-1</v>
      </c>
      <c r="AO175">
        <f t="shared" si="501"/>
        <v>-1</v>
      </c>
      <c r="AP175">
        <f t="shared" si="501"/>
        <v>-1</v>
      </c>
      <c r="AQ175">
        <f t="shared" si="501"/>
        <v>-1</v>
      </c>
      <c r="AR175">
        <f t="shared" si="501"/>
        <v>-1</v>
      </c>
      <c r="AS175">
        <f t="shared" si="501"/>
        <v>-1</v>
      </c>
      <c r="AT175">
        <f t="shared" si="501"/>
        <v>-1</v>
      </c>
      <c r="AU175">
        <f t="shared" si="501"/>
        <v>-1</v>
      </c>
      <c r="AV175">
        <f t="shared" si="501"/>
        <v>-1</v>
      </c>
      <c r="AW175">
        <f t="shared" si="501"/>
        <v>-1</v>
      </c>
      <c r="AX175">
        <f t="shared" si="501"/>
        <v>-1</v>
      </c>
      <c r="AY175">
        <f t="shared" si="501"/>
        <v>-1</v>
      </c>
      <c r="AZ175">
        <f t="shared" si="501"/>
        <v>-1</v>
      </c>
      <c r="BA175">
        <f t="shared" si="501"/>
        <v>-1</v>
      </c>
      <c r="BB175">
        <f t="shared" si="501"/>
        <v>-1</v>
      </c>
      <c r="BC175">
        <f t="shared" si="501"/>
        <v>-1</v>
      </c>
      <c r="BD175">
        <f t="shared" si="501"/>
        <v>-1</v>
      </c>
      <c r="BE175">
        <f t="shared" si="501"/>
        <v>-1</v>
      </c>
      <c r="BF175">
        <f t="shared" si="501"/>
        <v>-1</v>
      </c>
      <c r="BG175">
        <f t="shared" si="501"/>
        <v>-1</v>
      </c>
      <c r="BH175">
        <f t="shared" si="501"/>
        <v>-1</v>
      </c>
      <c r="BI175">
        <f t="shared" si="501"/>
        <v>-1</v>
      </c>
      <c r="BJ175">
        <f t="shared" si="501"/>
        <v>-1</v>
      </c>
      <c r="BK175">
        <f t="shared" si="501"/>
        <v>-1</v>
      </c>
      <c r="BL175">
        <f t="shared" si="501"/>
        <v>-1</v>
      </c>
      <c r="BM175">
        <f t="shared" si="501"/>
        <v>-1</v>
      </c>
      <c r="BN175">
        <f t="shared" si="501"/>
        <v>-1</v>
      </c>
      <c r="BO175">
        <f t="shared" si="501"/>
        <v>-1</v>
      </c>
      <c r="BP175">
        <f t="shared" ref="BP175:EA175" si="502">IF(OR(BP174=-1,AND(IF(BP$3&lt;$B175,BP174+BP$6,IF(BP$3=$B175,1,""))&gt;$B$1,BP$3&lt;$B175)),-1,IF(BP$3&lt;$B175,BP174+BP$6,IF(BP$3=$B175,1,"")))</f>
        <v>-1</v>
      </c>
      <c r="BQ175">
        <f t="shared" si="502"/>
        <v>-1</v>
      </c>
      <c r="BR175">
        <f t="shared" si="502"/>
        <v>-1</v>
      </c>
      <c r="BS175">
        <f t="shared" si="502"/>
        <v>-1</v>
      </c>
      <c r="BT175">
        <f t="shared" si="502"/>
        <v>-1</v>
      </c>
      <c r="BU175">
        <f t="shared" si="502"/>
        <v>-1</v>
      </c>
      <c r="BV175">
        <f t="shared" si="502"/>
        <v>-1</v>
      </c>
      <c r="BW175">
        <f t="shared" si="502"/>
        <v>-1</v>
      </c>
      <c r="BX175">
        <f t="shared" si="502"/>
        <v>-1</v>
      </c>
      <c r="BY175">
        <f t="shared" si="502"/>
        <v>-1</v>
      </c>
      <c r="BZ175">
        <f t="shared" si="502"/>
        <v>-1</v>
      </c>
      <c r="CA175">
        <f t="shared" si="502"/>
        <v>-1</v>
      </c>
      <c r="CB175">
        <f t="shared" si="502"/>
        <v>72.40000000000002</v>
      </c>
      <c r="CC175">
        <f t="shared" si="502"/>
        <v>68.800000000000054</v>
      </c>
      <c r="CD175">
        <f t="shared" si="502"/>
        <v>65.200000000000088</v>
      </c>
      <c r="CE175">
        <f t="shared" si="502"/>
        <v>61.600000000000101</v>
      </c>
      <c r="CF175">
        <f t="shared" si="502"/>
        <v>58.000000000000092</v>
      </c>
      <c r="CG175">
        <f t="shared" si="502"/>
        <v>54.400000000000084</v>
      </c>
      <c r="CH175">
        <f t="shared" si="502"/>
        <v>50.800000000000075</v>
      </c>
      <c r="CI175">
        <f t="shared" si="502"/>
        <v>47.200000000000067</v>
      </c>
      <c r="CJ175">
        <f t="shared" si="502"/>
        <v>43.600000000000058</v>
      </c>
      <c r="CK175">
        <f t="shared" si="502"/>
        <v>40.00000000000005</v>
      </c>
      <c r="CL175">
        <f t="shared" si="502"/>
        <v>36.400000000000041</v>
      </c>
      <c r="CM175">
        <f t="shared" si="502"/>
        <v>32.800000000000033</v>
      </c>
      <c r="CN175">
        <f t="shared" si="502"/>
        <v>29.200000000000024</v>
      </c>
      <c r="CO175">
        <f t="shared" si="502"/>
        <v>71.5</v>
      </c>
      <c r="CP175">
        <f t="shared" si="502"/>
        <v>58.5</v>
      </c>
      <c r="CQ175">
        <f t="shared" si="502"/>
        <v>-1</v>
      </c>
      <c r="CR175">
        <f t="shared" si="502"/>
        <v>-1</v>
      </c>
      <c r="CS175">
        <f t="shared" si="502"/>
        <v>-1</v>
      </c>
      <c r="CT175">
        <f t="shared" si="502"/>
        <v>-1</v>
      </c>
      <c r="CU175">
        <f t="shared" si="502"/>
        <v>-1</v>
      </c>
      <c r="CV175">
        <f t="shared" si="502"/>
        <v>-1</v>
      </c>
      <c r="CW175">
        <f t="shared" si="502"/>
        <v>-1</v>
      </c>
      <c r="CX175">
        <f t="shared" si="502"/>
        <v>-1</v>
      </c>
      <c r="CY175">
        <f t="shared" si="502"/>
        <v>-1</v>
      </c>
      <c r="CZ175">
        <f t="shared" si="502"/>
        <v>-1</v>
      </c>
      <c r="DA175">
        <f t="shared" si="502"/>
        <v>-1</v>
      </c>
      <c r="DB175">
        <f t="shared" si="502"/>
        <v>-1</v>
      </c>
      <c r="DC175">
        <f t="shared" si="502"/>
        <v>-1</v>
      </c>
      <c r="DD175">
        <f t="shared" si="502"/>
        <v>-1</v>
      </c>
      <c r="DE175">
        <f t="shared" si="502"/>
        <v>-1</v>
      </c>
      <c r="DF175">
        <f t="shared" si="502"/>
        <v>-1</v>
      </c>
      <c r="DG175">
        <f t="shared" si="502"/>
        <v>-1</v>
      </c>
      <c r="DH175">
        <f t="shared" si="502"/>
        <v>-1</v>
      </c>
      <c r="DI175">
        <f t="shared" si="502"/>
        <v>-1</v>
      </c>
      <c r="DJ175">
        <f t="shared" si="502"/>
        <v>-1</v>
      </c>
      <c r="DK175">
        <f t="shared" si="502"/>
        <v>-1</v>
      </c>
      <c r="DL175">
        <f t="shared" si="502"/>
        <v>-1</v>
      </c>
      <c r="DM175">
        <f t="shared" si="502"/>
        <v>-1</v>
      </c>
      <c r="DN175">
        <f t="shared" si="502"/>
        <v>-1</v>
      </c>
      <c r="DO175">
        <f t="shared" si="502"/>
        <v>-1</v>
      </c>
      <c r="DP175">
        <f t="shared" si="502"/>
        <v>-1</v>
      </c>
      <c r="DQ175">
        <f t="shared" si="502"/>
        <v>-1</v>
      </c>
      <c r="DR175">
        <f t="shared" si="502"/>
        <v>-1</v>
      </c>
      <c r="DS175">
        <f t="shared" si="502"/>
        <v>-1</v>
      </c>
      <c r="DT175">
        <f t="shared" si="502"/>
        <v>-1</v>
      </c>
      <c r="DU175">
        <f t="shared" si="502"/>
        <v>-1</v>
      </c>
      <c r="DV175">
        <f t="shared" si="502"/>
        <v>-1</v>
      </c>
      <c r="DW175">
        <f t="shared" si="502"/>
        <v>-1</v>
      </c>
      <c r="DX175">
        <f t="shared" si="502"/>
        <v>-1</v>
      </c>
      <c r="DY175">
        <f t="shared" si="502"/>
        <v>-1</v>
      </c>
      <c r="DZ175">
        <f t="shared" si="502"/>
        <v>-1</v>
      </c>
      <c r="EA175">
        <f t="shared" si="502"/>
        <v>-1</v>
      </c>
      <c r="EB175">
        <f t="shared" ref="EB175:EO175" si="503">IF(OR(EB174=-1,AND(IF(EB$3&lt;$B175,EB174+EB$6,IF(EB$3=$B175,1,""))&gt;$B$1,EB$3&lt;$B175)),-1,IF(EB$3&lt;$B175,EB174+EB$6,IF(EB$3=$B175,1,"")))</f>
        <v>-1</v>
      </c>
      <c r="EC175">
        <f t="shared" si="503"/>
        <v>-1</v>
      </c>
      <c r="ED175">
        <f t="shared" si="503"/>
        <v>-1</v>
      </c>
      <c r="EE175">
        <f t="shared" si="503"/>
        <v>-1</v>
      </c>
      <c r="EF175">
        <f t="shared" si="503"/>
        <v>-1</v>
      </c>
      <c r="EG175">
        <f t="shared" si="503"/>
        <v>-1</v>
      </c>
      <c r="EH175">
        <f t="shared" si="503"/>
        <v>-1</v>
      </c>
      <c r="EI175">
        <f t="shared" si="503"/>
        <v>-1</v>
      </c>
      <c r="EJ175">
        <f t="shared" si="503"/>
        <v>-1</v>
      </c>
      <c r="EK175">
        <f t="shared" si="503"/>
        <v>-1</v>
      </c>
      <c r="EL175">
        <f t="shared" si="503"/>
        <v>-1</v>
      </c>
      <c r="EM175">
        <f t="shared" si="503"/>
        <v>-1</v>
      </c>
      <c r="EN175">
        <f t="shared" si="503"/>
        <v>-1</v>
      </c>
      <c r="EO175">
        <f t="shared" si="503"/>
        <v>-1</v>
      </c>
    </row>
    <row r="176" spans="1:145" x14ac:dyDescent="0.15">
      <c r="A176" t="e">
        <f t="shared" si="386"/>
        <v>#N/A</v>
      </c>
      <c r="B176" s="218">
        <v>168</v>
      </c>
      <c r="C176">
        <f t="shared" si="386"/>
        <v>-1</v>
      </c>
      <c r="D176">
        <f t="shared" ref="D176:BO176" si="504">IF(OR(D175=-1,AND(IF(D$3&lt;$B176,D175+D$6,IF(D$3=$B176,1,""))&gt;$B$1,D$3&lt;$B176)),-1,IF(D$3&lt;$B176,D175+D$6,IF(D$3=$B176,1,"")))</f>
        <v>-1</v>
      </c>
      <c r="E176">
        <f t="shared" si="504"/>
        <v>-1</v>
      </c>
      <c r="F176">
        <f t="shared" si="504"/>
        <v>-1</v>
      </c>
      <c r="G176">
        <f t="shared" si="504"/>
        <v>-1</v>
      </c>
      <c r="H176">
        <f t="shared" si="504"/>
        <v>-1</v>
      </c>
      <c r="I176">
        <f t="shared" si="504"/>
        <v>-1</v>
      </c>
      <c r="J176">
        <f t="shared" si="504"/>
        <v>-1</v>
      </c>
      <c r="K176">
        <f t="shared" si="504"/>
        <v>-1</v>
      </c>
      <c r="L176">
        <f t="shared" si="504"/>
        <v>-1</v>
      </c>
      <c r="M176">
        <f t="shared" si="504"/>
        <v>-1</v>
      </c>
      <c r="N176">
        <f t="shared" si="504"/>
        <v>-1</v>
      </c>
      <c r="O176">
        <f t="shared" si="504"/>
        <v>-1</v>
      </c>
      <c r="P176">
        <f t="shared" si="504"/>
        <v>-1</v>
      </c>
      <c r="Q176">
        <f t="shared" si="504"/>
        <v>-1</v>
      </c>
      <c r="R176">
        <f t="shared" si="504"/>
        <v>-1</v>
      </c>
      <c r="S176">
        <f t="shared" si="504"/>
        <v>-1</v>
      </c>
      <c r="T176">
        <f t="shared" si="504"/>
        <v>-1</v>
      </c>
      <c r="U176">
        <f t="shared" si="504"/>
        <v>-1</v>
      </c>
      <c r="V176">
        <f t="shared" si="504"/>
        <v>-1</v>
      </c>
      <c r="W176">
        <f t="shared" si="504"/>
        <v>-1</v>
      </c>
      <c r="X176">
        <f t="shared" si="504"/>
        <v>-1</v>
      </c>
      <c r="Y176">
        <f t="shared" si="504"/>
        <v>-1</v>
      </c>
      <c r="Z176">
        <f t="shared" si="504"/>
        <v>-1</v>
      </c>
      <c r="AA176">
        <f t="shared" si="504"/>
        <v>-1</v>
      </c>
      <c r="AB176">
        <f t="shared" si="504"/>
        <v>-1</v>
      </c>
      <c r="AC176">
        <f t="shared" si="504"/>
        <v>-1</v>
      </c>
      <c r="AD176">
        <f t="shared" si="504"/>
        <v>-1</v>
      </c>
      <c r="AE176">
        <f t="shared" si="504"/>
        <v>-1</v>
      </c>
      <c r="AF176">
        <f t="shared" si="504"/>
        <v>-1</v>
      </c>
      <c r="AG176">
        <f t="shared" si="504"/>
        <v>-1</v>
      </c>
      <c r="AH176">
        <f t="shared" si="504"/>
        <v>-1</v>
      </c>
      <c r="AI176">
        <f t="shared" si="504"/>
        <v>-1</v>
      </c>
      <c r="AJ176">
        <f t="shared" si="504"/>
        <v>-1</v>
      </c>
      <c r="AK176">
        <f t="shared" si="504"/>
        <v>-1</v>
      </c>
      <c r="AL176">
        <f t="shared" si="504"/>
        <v>-1</v>
      </c>
      <c r="AM176">
        <f t="shared" si="504"/>
        <v>-1</v>
      </c>
      <c r="AN176">
        <f t="shared" si="504"/>
        <v>-1</v>
      </c>
      <c r="AO176">
        <f t="shared" si="504"/>
        <v>-1</v>
      </c>
      <c r="AP176">
        <f t="shared" si="504"/>
        <v>-1</v>
      </c>
      <c r="AQ176">
        <f t="shared" si="504"/>
        <v>-1</v>
      </c>
      <c r="AR176">
        <f t="shared" si="504"/>
        <v>-1</v>
      </c>
      <c r="AS176">
        <f t="shared" si="504"/>
        <v>-1</v>
      </c>
      <c r="AT176">
        <f t="shared" si="504"/>
        <v>-1</v>
      </c>
      <c r="AU176">
        <f t="shared" si="504"/>
        <v>-1</v>
      </c>
      <c r="AV176">
        <f t="shared" si="504"/>
        <v>-1</v>
      </c>
      <c r="AW176">
        <f t="shared" si="504"/>
        <v>-1</v>
      </c>
      <c r="AX176">
        <f t="shared" si="504"/>
        <v>-1</v>
      </c>
      <c r="AY176">
        <f t="shared" si="504"/>
        <v>-1</v>
      </c>
      <c r="AZ176">
        <f t="shared" si="504"/>
        <v>-1</v>
      </c>
      <c r="BA176">
        <f t="shared" si="504"/>
        <v>-1</v>
      </c>
      <c r="BB176">
        <f t="shared" si="504"/>
        <v>-1</v>
      </c>
      <c r="BC176">
        <f t="shared" si="504"/>
        <v>-1</v>
      </c>
      <c r="BD176">
        <f t="shared" si="504"/>
        <v>-1</v>
      </c>
      <c r="BE176">
        <f t="shared" si="504"/>
        <v>-1</v>
      </c>
      <c r="BF176">
        <f t="shared" si="504"/>
        <v>-1</v>
      </c>
      <c r="BG176">
        <f t="shared" si="504"/>
        <v>-1</v>
      </c>
      <c r="BH176">
        <f t="shared" si="504"/>
        <v>-1</v>
      </c>
      <c r="BI176">
        <f t="shared" si="504"/>
        <v>-1</v>
      </c>
      <c r="BJ176">
        <f t="shared" si="504"/>
        <v>-1</v>
      </c>
      <c r="BK176">
        <f t="shared" si="504"/>
        <v>-1</v>
      </c>
      <c r="BL176">
        <f t="shared" si="504"/>
        <v>-1</v>
      </c>
      <c r="BM176">
        <f t="shared" si="504"/>
        <v>-1</v>
      </c>
      <c r="BN176">
        <f t="shared" si="504"/>
        <v>-1</v>
      </c>
      <c r="BO176">
        <f t="shared" si="504"/>
        <v>-1</v>
      </c>
      <c r="BP176">
        <f t="shared" ref="BP176:EA176" si="505">IF(OR(BP175=-1,AND(IF(BP$3&lt;$B176,BP175+BP$6,IF(BP$3=$B176,1,""))&gt;$B$1,BP$3&lt;$B176)),-1,IF(BP$3&lt;$B176,BP175+BP$6,IF(BP$3=$B176,1,"")))</f>
        <v>-1</v>
      </c>
      <c r="BQ176">
        <f t="shared" si="505"/>
        <v>-1</v>
      </c>
      <c r="BR176">
        <f t="shared" si="505"/>
        <v>-1</v>
      </c>
      <c r="BS176">
        <f t="shared" si="505"/>
        <v>-1</v>
      </c>
      <c r="BT176">
        <f t="shared" si="505"/>
        <v>-1</v>
      </c>
      <c r="BU176">
        <f t="shared" si="505"/>
        <v>-1</v>
      </c>
      <c r="BV176">
        <f t="shared" si="505"/>
        <v>-1</v>
      </c>
      <c r="BW176">
        <f t="shared" si="505"/>
        <v>-1</v>
      </c>
      <c r="BX176">
        <f t="shared" si="505"/>
        <v>-1</v>
      </c>
      <c r="BY176">
        <f t="shared" si="505"/>
        <v>-1</v>
      </c>
      <c r="BZ176">
        <f t="shared" si="505"/>
        <v>-1</v>
      </c>
      <c r="CA176">
        <f t="shared" si="505"/>
        <v>-1</v>
      </c>
      <c r="CB176">
        <f t="shared" si="505"/>
        <v>73.000000000000014</v>
      </c>
      <c r="CC176">
        <f t="shared" si="505"/>
        <v>69.400000000000048</v>
      </c>
      <c r="CD176">
        <f t="shared" si="505"/>
        <v>65.800000000000082</v>
      </c>
      <c r="CE176">
        <f t="shared" si="505"/>
        <v>62.200000000000102</v>
      </c>
      <c r="CF176">
        <f t="shared" si="505"/>
        <v>58.600000000000094</v>
      </c>
      <c r="CG176">
        <f t="shared" si="505"/>
        <v>55.000000000000085</v>
      </c>
      <c r="CH176">
        <f t="shared" si="505"/>
        <v>51.400000000000077</v>
      </c>
      <c r="CI176">
        <f t="shared" si="505"/>
        <v>47.800000000000068</v>
      </c>
      <c r="CJ176">
        <f t="shared" si="505"/>
        <v>44.20000000000006</v>
      </c>
      <c r="CK176">
        <f t="shared" si="505"/>
        <v>40.600000000000051</v>
      </c>
      <c r="CL176">
        <f t="shared" si="505"/>
        <v>37.000000000000043</v>
      </c>
      <c r="CM176">
        <f t="shared" si="505"/>
        <v>33.400000000000034</v>
      </c>
      <c r="CN176">
        <f t="shared" si="505"/>
        <v>29.800000000000026</v>
      </c>
      <c r="CO176">
        <f t="shared" si="505"/>
        <v>72</v>
      </c>
      <c r="CP176">
        <f t="shared" si="505"/>
        <v>59</v>
      </c>
      <c r="CQ176">
        <f t="shared" si="505"/>
        <v>-1</v>
      </c>
      <c r="CR176">
        <f t="shared" si="505"/>
        <v>-1</v>
      </c>
      <c r="CS176">
        <f t="shared" si="505"/>
        <v>-1</v>
      </c>
      <c r="CT176">
        <f t="shared" si="505"/>
        <v>-1</v>
      </c>
      <c r="CU176">
        <f t="shared" si="505"/>
        <v>-1</v>
      </c>
      <c r="CV176">
        <f t="shared" si="505"/>
        <v>-1</v>
      </c>
      <c r="CW176">
        <f t="shared" si="505"/>
        <v>-1</v>
      </c>
      <c r="CX176">
        <f t="shared" si="505"/>
        <v>-1</v>
      </c>
      <c r="CY176">
        <f t="shared" si="505"/>
        <v>-1</v>
      </c>
      <c r="CZ176">
        <f t="shared" si="505"/>
        <v>-1</v>
      </c>
      <c r="DA176">
        <f t="shared" si="505"/>
        <v>-1</v>
      </c>
      <c r="DB176">
        <f t="shared" si="505"/>
        <v>-1</v>
      </c>
      <c r="DC176">
        <f t="shared" si="505"/>
        <v>-1</v>
      </c>
      <c r="DD176">
        <f t="shared" si="505"/>
        <v>-1</v>
      </c>
      <c r="DE176">
        <f t="shared" si="505"/>
        <v>-1</v>
      </c>
      <c r="DF176">
        <f t="shared" si="505"/>
        <v>-1</v>
      </c>
      <c r="DG176">
        <f t="shared" si="505"/>
        <v>-1</v>
      </c>
      <c r="DH176">
        <f t="shared" si="505"/>
        <v>-1</v>
      </c>
      <c r="DI176">
        <f t="shared" si="505"/>
        <v>-1</v>
      </c>
      <c r="DJ176">
        <f t="shared" si="505"/>
        <v>-1</v>
      </c>
      <c r="DK176">
        <f t="shared" si="505"/>
        <v>-1</v>
      </c>
      <c r="DL176">
        <f t="shared" si="505"/>
        <v>-1</v>
      </c>
      <c r="DM176">
        <f t="shared" si="505"/>
        <v>-1</v>
      </c>
      <c r="DN176">
        <f t="shared" si="505"/>
        <v>-1</v>
      </c>
      <c r="DO176">
        <f t="shared" si="505"/>
        <v>-1</v>
      </c>
      <c r="DP176">
        <f t="shared" si="505"/>
        <v>-1</v>
      </c>
      <c r="DQ176">
        <f t="shared" si="505"/>
        <v>-1</v>
      </c>
      <c r="DR176">
        <f t="shared" si="505"/>
        <v>-1</v>
      </c>
      <c r="DS176">
        <f t="shared" si="505"/>
        <v>-1</v>
      </c>
      <c r="DT176">
        <f t="shared" si="505"/>
        <v>-1</v>
      </c>
      <c r="DU176">
        <f t="shared" si="505"/>
        <v>-1</v>
      </c>
      <c r="DV176">
        <f t="shared" si="505"/>
        <v>-1</v>
      </c>
      <c r="DW176">
        <f t="shared" si="505"/>
        <v>-1</v>
      </c>
      <c r="DX176">
        <f t="shared" si="505"/>
        <v>-1</v>
      </c>
      <c r="DY176">
        <f t="shared" si="505"/>
        <v>-1</v>
      </c>
      <c r="DZ176">
        <f t="shared" si="505"/>
        <v>-1</v>
      </c>
      <c r="EA176">
        <f t="shared" si="505"/>
        <v>-1</v>
      </c>
      <c r="EB176">
        <f t="shared" ref="EB176:EO176" si="506">IF(OR(EB175=-1,AND(IF(EB$3&lt;$B176,EB175+EB$6,IF(EB$3=$B176,1,""))&gt;$B$1,EB$3&lt;$B176)),-1,IF(EB$3&lt;$B176,EB175+EB$6,IF(EB$3=$B176,1,"")))</f>
        <v>-1</v>
      </c>
      <c r="EC176">
        <f t="shared" si="506"/>
        <v>-1</v>
      </c>
      <c r="ED176">
        <f t="shared" si="506"/>
        <v>-1</v>
      </c>
      <c r="EE176">
        <f t="shared" si="506"/>
        <v>-1</v>
      </c>
      <c r="EF176">
        <f t="shared" si="506"/>
        <v>-1</v>
      </c>
      <c r="EG176">
        <f t="shared" si="506"/>
        <v>-1</v>
      </c>
      <c r="EH176">
        <f t="shared" si="506"/>
        <v>-1</v>
      </c>
      <c r="EI176">
        <f t="shared" si="506"/>
        <v>-1</v>
      </c>
      <c r="EJ176">
        <f t="shared" si="506"/>
        <v>-1</v>
      </c>
      <c r="EK176">
        <f t="shared" si="506"/>
        <v>-1</v>
      </c>
      <c r="EL176">
        <f t="shared" si="506"/>
        <v>-1</v>
      </c>
      <c r="EM176">
        <f t="shared" si="506"/>
        <v>-1</v>
      </c>
      <c r="EN176">
        <f t="shared" si="506"/>
        <v>-1</v>
      </c>
      <c r="EO176">
        <f t="shared" si="506"/>
        <v>-1</v>
      </c>
    </row>
    <row r="177" spans="1:145" x14ac:dyDescent="0.15">
      <c r="A177" t="e">
        <f t="shared" si="386"/>
        <v>#N/A</v>
      </c>
      <c r="B177" s="218">
        <v>169</v>
      </c>
      <c r="C177">
        <f t="shared" si="386"/>
        <v>-1</v>
      </c>
      <c r="D177">
        <f t="shared" ref="D177:BO177" si="507">IF(OR(D176=-1,AND(IF(D$3&lt;$B177,D176+D$6,IF(D$3=$B177,1,""))&gt;$B$1,D$3&lt;$B177)),-1,IF(D$3&lt;$B177,D176+D$6,IF(D$3=$B177,1,"")))</f>
        <v>-1</v>
      </c>
      <c r="E177">
        <f t="shared" si="507"/>
        <v>-1</v>
      </c>
      <c r="F177">
        <f t="shared" si="507"/>
        <v>-1</v>
      </c>
      <c r="G177">
        <f t="shared" si="507"/>
        <v>-1</v>
      </c>
      <c r="H177">
        <f t="shared" si="507"/>
        <v>-1</v>
      </c>
      <c r="I177">
        <f t="shared" si="507"/>
        <v>-1</v>
      </c>
      <c r="J177">
        <f t="shared" si="507"/>
        <v>-1</v>
      </c>
      <c r="K177">
        <f t="shared" si="507"/>
        <v>-1</v>
      </c>
      <c r="L177">
        <f t="shared" si="507"/>
        <v>-1</v>
      </c>
      <c r="M177">
        <f t="shared" si="507"/>
        <v>-1</v>
      </c>
      <c r="N177">
        <f t="shared" si="507"/>
        <v>-1</v>
      </c>
      <c r="O177">
        <f t="shared" si="507"/>
        <v>-1</v>
      </c>
      <c r="P177">
        <f t="shared" si="507"/>
        <v>-1</v>
      </c>
      <c r="Q177">
        <f t="shared" si="507"/>
        <v>-1</v>
      </c>
      <c r="R177">
        <f t="shared" si="507"/>
        <v>-1</v>
      </c>
      <c r="S177">
        <f t="shared" si="507"/>
        <v>-1</v>
      </c>
      <c r="T177">
        <f t="shared" si="507"/>
        <v>-1</v>
      </c>
      <c r="U177">
        <f t="shared" si="507"/>
        <v>-1</v>
      </c>
      <c r="V177">
        <f t="shared" si="507"/>
        <v>-1</v>
      </c>
      <c r="W177">
        <f t="shared" si="507"/>
        <v>-1</v>
      </c>
      <c r="X177">
        <f t="shared" si="507"/>
        <v>-1</v>
      </c>
      <c r="Y177">
        <f t="shared" si="507"/>
        <v>-1</v>
      </c>
      <c r="Z177">
        <f t="shared" si="507"/>
        <v>-1</v>
      </c>
      <c r="AA177">
        <f t="shared" si="507"/>
        <v>-1</v>
      </c>
      <c r="AB177">
        <f t="shared" si="507"/>
        <v>-1</v>
      </c>
      <c r="AC177">
        <f t="shared" si="507"/>
        <v>-1</v>
      </c>
      <c r="AD177">
        <f t="shared" si="507"/>
        <v>-1</v>
      </c>
      <c r="AE177">
        <f t="shared" si="507"/>
        <v>-1</v>
      </c>
      <c r="AF177">
        <f t="shared" si="507"/>
        <v>-1</v>
      </c>
      <c r="AG177">
        <f t="shared" si="507"/>
        <v>-1</v>
      </c>
      <c r="AH177">
        <f t="shared" si="507"/>
        <v>-1</v>
      </c>
      <c r="AI177">
        <f t="shared" si="507"/>
        <v>-1</v>
      </c>
      <c r="AJ177">
        <f t="shared" si="507"/>
        <v>-1</v>
      </c>
      <c r="AK177">
        <f t="shared" si="507"/>
        <v>-1</v>
      </c>
      <c r="AL177">
        <f t="shared" si="507"/>
        <v>-1</v>
      </c>
      <c r="AM177">
        <f t="shared" si="507"/>
        <v>-1</v>
      </c>
      <c r="AN177">
        <f t="shared" si="507"/>
        <v>-1</v>
      </c>
      <c r="AO177">
        <f t="shared" si="507"/>
        <v>-1</v>
      </c>
      <c r="AP177">
        <f t="shared" si="507"/>
        <v>-1</v>
      </c>
      <c r="AQ177">
        <f t="shared" si="507"/>
        <v>-1</v>
      </c>
      <c r="AR177">
        <f t="shared" si="507"/>
        <v>-1</v>
      </c>
      <c r="AS177">
        <f t="shared" si="507"/>
        <v>-1</v>
      </c>
      <c r="AT177">
        <f t="shared" si="507"/>
        <v>-1</v>
      </c>
      <c r="AU177">
        <f t="shared" si="507"/>
        <v>-1</v>
      </c>
      <c r="AV177">
        <f t="shared" si="507"/>
        <v>-1</v>
      </c>
      <c r="AW177">
        <f t="shared" si="507"/>
        <v>-1</v>
      </c>
      <c r="AX177">
        <f t="shared" si="507"/>
        <v>-1</v>
      </c>
      <c r="AY177">
        <f t="shared" si="507"/>
        <v>-1</v>
      </c>
      <c r="AZ177">
        <f t="shared" si="507"/>
        <v>-1</v>
      </c>
      <c r="BA177">
        <f t="shared" si="507"/>
        <v>-1</v>
      </c>
      <c r="BB177">
        <f t="shared" si="507"/>
        <v>-1</v>
      </c>
      <c r="BC177">
        <f t="shared" si="507"/>
        <v>-1</v>
      </c>
      <c r="BD177">
        <f t="shared" si="507"/>
        <v>-1</v>
      </c>
      <c r="BE177">
        <f t="shared" si="507"/>
        <v>-1</v>
      </c>
      <c r="BF177">
        <f t="shared" si="507"/>
        <v>-1</v>
      </c>
      <c r="BG177">
        <f t="shared" si="507"/>
        <v>-1</v>
      </c>
      <c r="BH177">
        <f t="shared" si="507"/>
        <v>-1</v>
      </c>
      <c r="BI177">
        <f t="shared" si="507"/>
        <v>-1</v>
      </c>
      <c r="BJ177">
        <f t="shared" si="507"/>
        <v>-1</v>
      </c>
      <c r="BK177">
        <f t="shared" si="507"/>
        <v>-1</v>
      </c>
      <c r="BL177">
        <f t="shared" si="507"/>
        <v>-1</v>
      </c>
      <c r="BM177">
        <f t="shared" si="507"/>
        <v>-1</v>
      </c>
      <c r="BN177">
        <f t="shared" si="507"/>
        <v>-1</v>
      </c>
      <c r="BO177">
        <f t="shared" si="507"/>
        <v>-1</v>
      </c>
      <c r="BP177">
        <f t="shared" ref="BP177:EA177" si="508">IF(OR(BP176=-1,AND(IF(BP$3&lt;$B177,BP176+BP$6,IF(BP$3=$B177,1,""))&gt;$B$1,BP$3&lt;$B177)),-1,IF(BP$3&lt;$B177,BP176+BP$6,IF(BP$3=$B177,1,"")))</f>
        <v>-1</v>
      </c>
      <c r="BQ177">
        <f t="shared" si="508"/>
        <v>-1</v>
      </c>
      <c r="BR177">
        <f t="shared" si="508"/>
        <v>-1</v>
      </c>
      <c r="BS177">
        <f t="shared" si="508"/>
        <v>-1</v>
      </c>
      <c r="BT177">
        <f t="shared" si="508"/>
        <v>-1</v>
      </c>
      <c r="BU177">
        <f t="shared" si="508"/>
        <v>-1</v>
      </c>
      <c r="BV177">
        <f t="shared" si="508"/>
        <v>-1</v>
      </c>
      <c r="BW177">
        <f t="shared" si="508"/>
        <v>-1</v>
      </c>
      <c r="BX177">
        <f t="shared" si="508"/>
        <v>-1</v>
      </c>
      <c r="BY177">
        <f t="shared" si="508"/>
        <v>-1</v>
      </c>
      <c r="BZ177">
        <f t="shared" si="508"/>
        <v>-1</v>
      </c>
      <c r="CA177">
        <f t="shared" si="508"/>
        <v>-1</v>
      </c>
      <c r="CB177">
        <f t="shared" si="508"/>
        <v>73.600000000000009</v>
      </c>
      <c r="CC177">
        <f t="shared" si="508"/>
        <v>70.000000000000043</v>
      </c>
      <c r="CD177">
        <f t="shared" si="508"/>
        <v>66.400000000000077</v>
      </c>
      <c r="CE177">
        <f t="shared" si="508"/>
        <v>62.800000000000104</v>
      </c>
      <c r="CF177">
        <f t="shared" si="508"/>
        <v>59.200000000000095</v>
      </c>
      <c r="CG177">
        <f t="shared" si="508"/>
        <v>55.600000000000087</v>
      </c>
      <c r="CH177">
        <f t="shared" si="508"/>
        <v>52.000000000000078</v>
      </c>
      <c r="CI177">
        <f t="shared" si="508"/>
        <v>48.40000000000007</v>
      </c>
      <c r="CJ177">
        <f t="shared" si="508"/>
        <v>44.800000000000061</v>
      </c>
      <c r="CK177">
        <f t="shared" si="508"/>
        <v>41.200000000000053</v>
      </c>
      <c r="CL177">
        <f t="shared" si="508"/>
        <v>37.600000000000044</v>
      </c>
      <c r="CM177">
        <f t="shared" si="508"/>
        <v>34.000000000000036</v>
      </c>
      <c r="CN177">
        <f t="shared" si="508"/>
        <v>30.400000000000027</v>
      </c>
      <c r="CO177">
        <f t="shared" si="508"/>
        <v>72.5</v>
      </c>
      <c r="CP177">
        <f t="shared" si="508"/>
        <v>59.5</v>
      </c>
      <c r="CQ177">
        <f t="shared" si="508"/>
        <v>-1</v>
      </c>
      <c r="CR177">
        <f t="shared" si="508"/>
        <v>-1</v>
      </c>
      <c r="CS177">
        <f t="shared" si="508"/>
        <v>-1</v>
      </c>
      <c r="CT177">
        <f t="shared" si="508"/>
        <v>-1</v>
      </c>
      <c r="CU177">
        <f t="shared" si="508"/>
        <v>-1</v>
      </c>
      <c r="CV177">
        <f t="shared" si="508"/>
        <v>-1</v>
      </c>
      <c r="CW177">
        <f t="shared" si="508"/>
        <v>-1</v>
      </c>
      <c r="CX177">
        <f t="shared" si="508"/>
        <v>-1</v>
      </c>
      <c r="CY177">
        <f t="shared" si="508"/>
        <v>-1</v>
      </c>
      <c r="CZ177">
        <f t="shared" si="508"/>
        <v>-1</v>
      </c>
      <c r="DA177">
        <f t="shared" si="508"/>
        <v>-1</v>
      </c>
      <c r="DB177">
        <f t="shared" si="508"/>
        <v>-1</v>
      </c>
      <c r="DC177">
        <f t="shared" si="508"/>
        <v>-1</v>
      </c>
      <c r="DD177">
        <f t="shared" si="508"/>
        <v>-1</v>
      </c>
      <c r="DE177">
        <f t="shared" si="508"/>
        <v>-1</v>
      </c>
      <c r="DF177">
        <f t="shared" si="508"/>
        <v>-1</v>
      </c>
      <c r="DG177">
        <f t="shared" si="508"/>
        <v>-1</v>
      </c>
      <c r="DH177">
        <f t="shared" si="508"/>
        <v>-1</v>
      </c>
      <c r="DI177">
        <f t="shared" si="508"/>
        <v>-1</v>
      </c>
      <c r="DJ177">
        <f t="shared" si="508"/>
        <v>-1</v>
      </c>
      <c r="DK177">
        <f t="shared" si="508"/>
        <v>-1</v>
      </c>
      <c r="DL177">
        <f t="shared" si="508"/>
        <v>-1</v>
      </c>
      <c r="DM177">
        <f t="shared" si="508"/>
        <v>-1</v>
      </c>
      <c r="DN177">
        <f t="shared" si="508"/>
        <v>-1</v>
      </c>
      <c r="DO177">
        <f t="shared" si="508"/>
        <v>-1</v>
      </c>
      <c r="DP177">
        <f t="shared" si="508"/>
        <v>-1</v>
      </c>
      <c r="DQ177">
        <f t="shared" si="508"/>
        <v>-1</v>
      </c>
      <c r="DR177">
        <f t="shared" si="508"/>
        <v>-1</v>
      </c>
      <c r="DS177">
        <f t="shared" si="508"/>
        <v>-1</v>
      </c>
      <c r="DT177">
        <f t="shared" si="508"/>
        <v>-1</v>
      </c>
      <c r="DU177">
        <f t="shared" si="508"/>
        <v>-1</v>
      </c>
      <c r="DV177">
        <f t="shared" si="508"/>
        <v>-1</v>
      </c>
      <c r="DW177">
        <f t="shared" si="508"/>
        <v>-1</v>
      </c>
      <c r="DX177">
        <f t="shared" si="508"/>
        <v>-1</v>
      </c>
      <c r="DY177">
        <f t="shared" si="508"/>
        <v>-1</v>
      </c>
      <c r="DZ177">
        <f t="shared" si="508"/>
        <v>-1</v>
      </c>
      <c r="EA177">
        <f t="shared" si="508"/>
        <v>-1</v>
      </c>
      <c r="EB177">
        <f t="shared" ref="EB177:EO177" si="509">IF(OR(EB176=-1,AND(IF(EB$3&lt;$B177,EB176+EB$6,IF(EB$3=$B177,1,""))&gt;$B$1,EB$3&lt;$B177)),-1,IF(EB$3&lt;$B177,EB176+EB$6,IF(EB$3=$B177,1,"")))</f>
        <v>-1</v>
      </c>
      <c r="EC177">
        <f t="shared" si="509"/>
        <v>-1</v>
      </c>
      <c r="ED177">
        <f t="shared" si="509"/>
        <v>-1</v>
      </c>
      <c r="EE177">
        <f t="shared" si="509"/>
        <v>-1</v>
      </c>
      <c r="EF177">
        <f t="shared" si="509"/>
        <v>-1</v>
      </c>
      <c r="EG177">
        <f t="shared" si="509"/>
        <v>-1</v>
      </c>
      <c r="EH177">
        <f t="shared" si="509"/>
        <v>-1</v>
      </c>
      <c r="EI177">
        <f t="shared" si="509"/>
        <v>-1</v>
      </c>
      <c r="EJ177">
        <f t="shared" si="509"/>
        <v>-1</v>
      </c>
      <c r="EK177">
        <f t="shared" si="509"/>
        <v>-1</v>
      </c>
      <c r="EL177">
        <f t="shared" si="509"/>
        <v>-1</v>
      </c>
      <c r="EM177">
        <f t="shared" si="509"/>
        <v>-1</v>
      </c>
      <c r="EN177">
        <f t="shared" si="509"/>
        <v>-1</v>
      </c>
      <c r="EO177">
        <f t="shared" si="509"/>
        <v>-1</v>
      </c>
    </row>
    <row r="178" spans="1:145" x14ac:dyDescent="0.15">
      <c r="A178" t="e">
        <f t="shared" si="386"/>
        <v>#N/A</v>
      </c>
      <c r="B178" s="218">
        <v>170</v>
      </c>
      <c r="C178">
        <f t="shared" si="386"/>
        <v>-1</v>
      </c>
      <c r="D178">
        <f t="shared" ref="D178:BO178" si="510">IF(OR(D177=-1,AND(IF(D$3&lt;$B178,D177+D$6,IF(D$3=$B178,1,""))&gt;$B$1,D$3&lt;$B178)),-1,IF(D$3&lt;$B178,D177+D$6,IF(D$3=$B178,1,"")))</f>
        <v>-1</v>
      </c>
      <c r="E178">
        <f t="shared" si="510"/>
        <v>-1</v>
      </c>
      <c r="F178">
        <f t="shared" si="510"/>
        <v>-1</v>
      </c>
      <c r="G178">
        <f t="shared" si="510"/>
        <v>-1</v>
      </c>
      <c r="H178">
        <f t="shared" si="510"/>
        <v>-1</v>
      </c>
      <c r="I178">
        <f t="shared" si="510"/>
        <v>-1</v>
      </c>
      <c r="J178">
        <f t="shared" si="510"/>
        <v>-1</v>
      </c>
      <c r="K178">
        <f t="shared" si="510"/>
        <v>-1</v>
      </c>
      <c r="L178">
        <f t="shared" si="510"/>
        <v>-1</v>
      </c>
      <c r="M178">
        <f t="shared" si="510"/>
        <v>-1</v>
      </c>
      <c r="N178">
        <f t="shared" si="510"/>
        <v>-1</v>
      </c>
      <c r="O178">
        <f t="shared" si="510"/>
        <v>-1</v>
      </c>
      <c r="P178">
        <f t="shared" si="510"/>
        <v>-1</v>
      </c>
      <c r="Q178">
        <f t="shared" si="510"/>
        <v>-1</v>
      </c>
      <c r="R178">
        <f t="shared" si="510"/>
        <v>-1</v>
      </c>
      <c r="S178">
        <f t="shared" si="510"/>
        <v>-1</v>
      </c>
      <c r="T178">
        <f t="shared" si="510"/>
        <v>-1</v>
      </c>
      <c r="U178">
        <f t="shared" si="510"/>
        <v>-1</v>
      </c>
      <c r="V178">
        <f t="shared" si="510"/>
        <v>-1</v>
      </c>
      <c r="W178">
        <f t="shared" si="510"/>
        <v>-1</v>
      </c>
      <c r="X178">
        <f t="shared" si="510"/>
        <v>-1</v>
      </c>
      <c r="Y178">
        <f t="shared" si="510"/>
        <v>-1</v>
      </c>
      <c r="Z178">
        <f t="shared" si="510"/>
        <v>-1</v>
      </c>
      <c r="AA178">
        <f t="shared" si="510"/>
        <v>-1</v>
      </c>
      <c r="AB178">
        <f t="shared" si="510"/>
        <v>-1</v>
      </c>
      <c r="AC178">
        <f t="shared" si="510"/>
        <v>-1</v>
      </c>
      <c r="AD178">
        <f t="shared" si="510"/>
        <v>-1</v>
      </c>
      <c r="AE178">
        <f t="shared" si="510"/>
        <v>-1</v>
      </c>
      <c r="AF178">
        <f t="shared" si="510"/>
        <v>-1</v>
      </c>
      <c r="AG178">
        <f t="shared" si="510"/>
        <v>-1</v>
      </c>
      <c r="AH178">
        <f t="shared" si="510"/>
        <v>-1</v>
      </c>
      <c r="AI178">
        <f t="shared" si="510"/>
        <v>-1</v>
      </c>
      <c r="AJ178">
        <f t="shared" si="510"/>
        <v>-1</v>
      </c>
      <c r="AK178">
        <f t="shared" si="510"/>
        <v>-1</v>
      </c>
      <c r="AL178">
        <f t="shared" si="510"/>
        <v>-1</v>
      </c>
      <c r="AM178">
        <f t="shared" si="510"/>
        <v>-1</v>
      </c>
      <c r="AN178">
        <f t="shared" si="510"/>
        <v>-1</v>
      </c>
      <c r="AO178">
        <f t="shared" si="510"/>
        <v>-1</v>
      </c>
      <c r="AP178">
        <f t="shared" si="510"/>
        <v>-1</v>
      </c>
      <c r="AQ178">
        <f t="shared" si="510"/>
        <v>-1</v>
      </c>
      <c r="AR178">
        <f t="shared" si="510"/>
        <v>-1</v>
      </c>
      <c r="AS178">
        <f t="shared" si="510"/>
        <v>-1</v>
      </c>
      <c r="AT178">
        <f t="shared" si="510"/>
        <v>-1</v>
      </c>
      <c r="AU178">
        <f t="shared" si="510"/>
        <v>-1</v>
      </c>
      <c r="AV178">
        <f t="shared" si="510"/>
        <v>-1</v>
      </c>
      <c r="AW178">
        <f t="shared" si="510"/>
        <v>-1</v>
      </c>
      <c r="AX178">
        <f t="shared" si="510"/>
        <v>-1</v>
      </c>
      <c r="AY178">
        <f t="shared" si="510"/>
        <v>-1</v>
      </c>
      <c r="AZ178">
        <f t="shared" si="510"/>
        <v>-1</v>
      </c>
      <c r="BA178">
        <f t="shared" si="510"/>
        <v>-1</v>
      </c>
      <c r="BB178">
        <f t="shared" si="510"/>
        <v>-1</v>
      </c>
      <c r="BC178">
        <f t="shared" si="510"/>
        <v>-1</v>
      </c>
      <c r="BD178">
        <f t="shared" si="510"/>
        <v>-1</v>
      </c>
      <c r="BE178">
        <f t="shared" si="510"/>
        <v>-1</v>
      </c>
      <c r="BF178">
        <f t="shared" si="510"/>
        <v>-1</v>
      </c>
      <c r="BG178">
        <f t="shared" si="510"/>
        <v>-1</v>
      </c>
      <c r="BH178">
        <f t="shared" si="510"/>
        <v>-1</v>
      </c>
      <c r="BI178">
        <f t="shared" si="510"/>
        <v>-1</v>
      </c>
      <c r="BJ178">
        <f t="shared" si="510"/>
        <v>-1</v>
      </c>
      <c r="BK178">
        <f t="shared" si="510"/>
        <v>-1</v>
      </c>
      <c r="BL178">
        <f t="shared" si="510"/>
        <v>-1</v>
      </c>
      <c r="BM178">
        <f t="shared" si="510"/>
        <v>-1</v>
      </c>
      <c r="BN178">
        <f t="shared" si="510"/>
        <v>-1</v>
      </c>
      <c r="BO178">
        <f t="shared" si="510"/>
        <v>-1</v>
      </c>
      <c r="BP178">
        <f t="shared" ref="BP178:EA178" si="511">IF(OR(BP177=-1,AND(IF(BP$3&lt;$B178,BP177+BP$6,IF(BP$3=$B178,1,""))&gt;$B$1,BP$3&lt;$B178)),-1,IF(BP$3&lt;$B178,BP177+BP$6,IF(BP$3=$B178,1,"")))</f>
        <v>-1</v>
      </c>
      <c r="BQ178">
        <f t="shared" si="511"/>
        <v>-1</v>
      </c>
      <c r="BR178">
        <f t="shared" si="511"/>
        <v>-1</v>
      </c>
      <c r="BS178">
        <f t="shared" si="511"/>
        <v>-1</v>
      </c>
      <c r="BT178">
        <f t="shared" si="511"/>
        <v>-1</v>
      </c>
      <c r="BU178">
        <f t="shared" si="511"/>
        <v>-1</v>
      </c>
      <c r="BV178">
        <f t="shared" si="511"/>
        <v>-1</v>
      </c>
      <c r="BW178">
        <f t="shared" si="511"/>
        <v>-1</v>
      </c>
      <c r="BX178">
        <f t="shared" si="511"/>
        <v>-1</v>
      </c>
      <c r="BY178">
        <f t="shared" si="511"/>
        <v>-1</v>
      </c>
      <c r="BZ178">
        <f t="shared" si="511"/>
        <v>-1</v>
      </c>
      <c r="CA178">
        <f t="shared" si="511"/>
        <v>-1</v>
      </c>
      <c r="CB178">
        <f t="shared" si="511"/>
        <v>74.2</v>
      </c>
      <c r="CC178">
        <f t="shared" si="511"/>
        <v>70.600000000000037</v>
      </c>
      <c r="CD178">
        <f t="shared" si="511"/>
        <v>67.000000000000071</v>
      </c>
      <c r="CE178">
        <f t="shared" si="511"/>
        <v>63.400000000000105</v>
      </c>
      <c r="CF178">
        <f t="shared" si="511"/>
        <v>59.800000000000097</v>
      </c>
      <c r="CG178">
        <f t="shared" si="511"/>
        <v>56.200000000000088</v>
      </c>
      <c r="CH178">
        <f t="shared" si="511"/>
        <v>52.60000000000008</v>
      </c>
      <c r="CI178">
        <f t="shared" si="511"/>
        <v>49.000000000000071</v>
      </c>
      <c r="CJ178">
        <f t="shared" si="511"/>
        <v>45.400000000000063</v>
      </c>
      <c r="CK178">
        <f t="shared" si="511"/>
        <v>41.800000000000054</v>
      </c>
      <c r="CL178">
        <f t="shared" si="511"/>
        <v>38.200000000000045</v>
      </c>
      <c r="CM178">
        <f t="shared" si="511"/>
        <v>34.600000000000037</v>
      </c>
      <c r="CN178">
        <f t="shared" si="511"/>
        <v>31.000000000000028</v>
      </c>
      <c r="CO178">
        <f t="shared" si="511"/>
        <v>73</v>
      </c>
      <c r="CP178">
        <f t="shared" si="511"/>
        <v>60</v>
      </c>
      <c r="CQ178">
        <f t="shared" si="511"/>
        <v>-1</v>
      </c>
      <c r="CR178">
        <f t="shared" si="511"/>
        <v>-1</v>
      </c>
      <c r="CS178">
        <f t="shared" si="511"/>
        <v>-1</v>
      </c>
      <c r="CT178">
        <f t="shared" si="511"/>
        <v>-1</v>
      </c>
      <c r="CU178">
        <f t="shared" si="511"/>
        <v>-1</v>
      </c>
      <c r="CV178">
        <f t="shared" si="511"/>
        <v>-1</v>
      </c>
      <c r="CW178">
        <f t="shared" si="511"/>
        <v>-1</v>
      </c>
      <c r="CX178">
        <f t="shared" si="511"/>
        <v>-1</v>
      </c>
      <c r="CY178">
        <f t="shared" si="511"/>
        <v>-1</v>
      </c>
      <c r="CZ178">
        <f t="shared" si="511"/>
        <v>-1</v>
      </c>
      <c r="DA178">
        <f t="shared" si="511"/>
        <v>-1</v>
      </c>
      <c r="DB178">
        <f t="shared" si="511"/>
        <v>-1</v>
      </c>
      <c r="DC178">
        <f t="shared" si="511"/>
        <v>-1</v>
      </c>
      <c r="DD178">
        <f t="shared" si="511"/>
        <v>-1</v>
      </c>
      <c r="DE178">
        <f t="shared" si="511"/>
        <v>-1</v>
      </c>
      <c r="DF178">
        <f t="shared" si="511"/>
        <v>-1</v>
      </c>
      <c r="DG178">
        <f t="shared" si="511"/>
        <v>-1</v>
      </c>
      <c r="DH178">
        <f t="shared" si="511"/>
        <v>-1</v>
      </c>
      <c r="DI178">
        <f t="shared" si="511"/>
        <v>-1</v>
      </c>
      <c r="DJ178">
        <f t="shared" si="511"/>
        <v>-1</v>
      </c>
      <c r="DK178">
        <f t="shared" si="511"/>
        <v>-1</v>
      </c>
      <c r="DL178">
        <f t="shared" si="511"/>
        <v>-1</v>
      </c>
      <c r="DM178">
        <f t="shared" si="511"/>
        <v>-1</v>
      </c>
      <c r="DN178">
        <f t="shared" si="511"/>
        <v>-1</v>
      </c>
      <c r="DO178">
        <f t="shared" si="511"/>
        <v>-1</v>
      </c>
      <c r="DP178">
        <f t="shared" si="511"/>
        <v>-1</v>
      </c>
      <c r="DQ178">
        <f t="shared" si="511"/>
        <v>-1</v>
      </c>
      <c r="DR178">
        <f t="shared" si="511"/>
        <v>-1</v>
      </c>
      <c r="DS178">
        <f t="shared" si="511"/>
        <v>-1</v>
      </c>
      <c r="DT178">
        <f t="shared" si="511"/>
        <v>-1</v>
      </c>
      <c r="DU178">
        <f t="shared" si="511"/>
        <v>-1</v>
      </c>
      <c r="DV178">
        <f t="shared" si="511"/>
        <v>-1</v>
      </c>
      <c r="DW178">
        <f t="shared" si="511"/>
        <v>-1</v>
      </c>
      <c r="DX178">
        <f t="shared" si="511"/>
        <v>-1</v>
      </c>
      <c r="DY178">
        <f t="shared" si="511"/>
        <v>-1</v>
      </c>
      <c r="DZ178">
        <f t="shared" si="511"/>
        <v>-1</v>
      </c>
      <c r="EA178">
        <f t="shared" si="511"/>
        <v>-1</v>
      </c>
      <c r="EB178">
        <f t="shared" ref="EB178:EO178" si="512">IF(OR(EB177=-1,AND(IF(EB$3&lt;$B178,EB177+EB$6,IF(EB$3=$B178,1,""))&gt;$B$1,EB$3&lt;$B178)),-1,IF(EB$3&lt;$B178,EB177+EB$6,IF(EB$3=$B178,1,"")))</f>
        <v>-1</v>
      </c>
      <c r="EC178">
        <f t="shared" si="512"/>
        <v>-1</v>
      </c>
      <c r="ED178">
        <f t="shared" si="512"/>
        <v>-1</v>
      </c>
      <c r="EE178">
        <f t="shared" si="512"/>
        <v>-1</v>
      </c>
      <c r="EF178">
        <f t="shared" si="512"/>
        <v>-1</v>
      </c>
      <c r="EG178">
        <f t="shared" si="512"/>
        <v>-1</v>
      </c>
      <c r="EH178">
        <f t="shared" si="512"/>
        <v>-1</v>
      </c>
      <c r="EI178">
        <f t="shared" si="512"/>
        <v>-1</v>
      </c>
      <c r="EJ178">
        <f t="shared" si="512"/>
        <v>-1</v>
      </c>
      <c r="EK178">
        <f t="shared" si="512"/>
        <v>-1</v>
      </c>
      <c r="EL178">
        <f t="shared" si="512"/>
        <v>-1</v>
      </c>
      <c r="EM178">
        <f t="shared" si="512"/>
        <v>-1</v>
      </c>
      <c r="EN178">
        <f t="shared" si="512"/>
        <v>-1</v>
      </c>
      <c r="EO178">
        <f t="shared" si="512"/>
        <v>-1</v>
      </c>
    </row>
    <row r="179" spans="1:145" x14ac:dyDescent="0.15">
      <c r="A179" t="e">
        <f t="shared" si="386"/>
        <v>#N/A</v>
      </c>
      <c r="B179" s="218">
        <v>171</v>
      </c>
      <c r="C179">
        <f t="shared" si="386"/>
        <v>-1</v>
      </c>
      <c r="D179">
        <f t="shared" ref="D179:BO179" si="513">IF(OR(D178=-1,AND(IF(D$3&lt;$B179,D178+D$6,IF(D$3=$B179,1,""))&gt;$B$1,D$3&lt;$B179)),-1,IF(D$3&lt;$B179,D178+D$6,IF(D$3=$B179,1,"")))</f>
        <v>-1</v>
      </c>
      <c r="E179">
        <f t="shared" si="513"/>
        <v>-1</v>
      </c>
      <c r="F179">
        <f t="shared" si="513"/>
        <v>-1</v>
      </c>
      <c r="G179">
        <f t="shared" si="513"/>
        <v>-1</v>
      </c>
      <c r="H179">
        <f t="shared" si="513"/>
        <v>-1</v>
      </c>
      <c r="I179">
        <f t="shared" si="513"/>
        <v>-1</v>
      </c>
      <c r="J179">
        <f t="shared" si="513"/>
        <v>-1</v>
      </c>
      <c r="K179">
        <f t="shared" si="513"/>
        <v>-1</v>
      </c>
      <c r="L179">
        <f t="shared" si="513"/>
        <v>-1</v>
      </c>
      <c r="M179">
        <f t="shared" si="513"/>
        <v>-1</v>
      </c>
      <c r="N179">
        <f t="shared" si="513"/>
        <v>-1</v>
      </c>
      <c r="O179">
        <f t="shared" si="513"/>
        <v>-1</v>
      </c>
      <c r="P179">
        <f t="shared" si="513"/>
        <v>-1</v>
      </c>
      <c r="Q179">
        <f t="shared" si="513"/>
        <v>-1</v>
      </c>
      <c r="R179">
        <f t="shared" si="513"/>
        <v>-1</v>
      </c>
      <c r="S179">
        <f t="shared" si="513"/>
        <v>-1</v>
      </c>
      <c r="T179">
        <f t="shared" si="513"/>
        <v>-1</v>
      </c>
      <c r="U179">
        <f t="shared" si="513"/>
        <v>-1</v>
      </c>
      <c r="V179">
        <f t="shared" si="513"/>
        <v>-1</v>
      </c>
      <c r="W179">
        <f t="shared" si="513"/>
        <v>-1</v>
      </c>
      <c r="X179">
        <f t="shared" si="513"/>
        <v>-1</v>
      </c>
      <c r="Y179">
        <f t="shared" si="513"/>
        <v>-1</v>
      </c>
      <c r="Z179">
        <f t="shared" si="513"/>
        <v>-1</v>
      </c>
      <c r="AA179">
        <f t="shared" si="513"/>
        <v>-1</v>
      </c>
      <c r="AB179">
        <f t="shared" si="513"/>
        <v>-1</v>
      </c>
      <c r="AC179">
        <f t="shared" si="513"/>
        <v>-1</v>
      </c>
      <c r="AD179">
        <f t="shared" si="513"/>
        <v>-1</v>
      </c>
      <c r="AE179">
        <f t="shared" si="513"/>
        <v>-1</v>
      </c>
      <c r="AF179">
        <f t="shared" si="513"/>
        <v>-1</v>
      </c>
      <c r="AG179">
        <f t="shared" si="513"/>
        <v>-1</v>
      </c>
      <c r="AH179">
        <f t="shared" si="513"/>
        <v>-1</v>
      </c>
      <c r="AI179">
        <f t="shared" si="513"/>
        <v>-1</v>
      </c>
      <c r="AJ179">
        <f t="shared" si="513"/>
        <v>-1</v>
      </c>
      <c r="AK179">
        <f t="shared" si="513"/>
        <v>-1</v>
      </c>
      <c r="AL179">
        <f t="shared" si="513"/>
        <v>-1</v>
      </c>
      <c r="AM179">
        <f t="shared" si="513"/>
        <v>-1</v>
      </c>
      <c r="AN179">
        <f t="shared" si="513"/>
        <v>-1</v>
      </c>
      <c r="AO179">
        <f t="shared" si="513"/>
        <v>-1</v>
      </c>
      <c r="AP179">
        <f t="shared" si="513"/>
        <v>-1</v>
      </c>
      <c r="AQ179">
        <f t="shared" si="513"/>
        <v>-1</v>
      </c>
      <c r="AR179">
        <f t="shared" si="513"/>
        <v>-1</v>
      </c>
      <c r="AS179">
        <f t="shared" si="513"/>
        <v>-1</v>
      </c>
      <c r="AT179">
        <f t="shared" si="513"/>
        <v>-1</v>
      </c>
      <c r="AU179">
        <f t="shared" si="513"/>
        <v>-1</v>
      </c>
      <c r="AV179">
        <f t="shared" si="513"/>
        <v>-1</v>
      </c>
      <c r="AW179">
        <f t="shared" si="513"/>
        <v>-1</v>
      </c>
      <c r="AX179">
        <f t="shared" si="513"/>
        <v>-1</v>
      </c>
      <c r="AY179">
        <f t="shared" si="513"/>
        <v>-1</v>
      </c>
      <c r="AZ179">
        <f t="shared" si="513"/>
        <v>-1</v>
      </c>
      <c r="BA179">
        <f t="shared" si="513"/>
        <v>-1</v>
      </c>
      <c r="BB179">
        <f t="shared" si="513"/>
        <v>-1</v>
      </c>
      <c r="BC179">
        <f t="shared" si="513"/>
        <v>-1</v>
      </c>
      <c r="BD179">
        <f t="shared" si="513"/>
        <v>-1</v>
      </c>
      <c r="BE179">
        <f t="shared" si="513"/>
        <v>-1</v>
      </c>
      <c r="BF179">
        <f t="shared" si="513"/>
        <v>-1</v>
      </c>
      <c r="BG179">
        <f t="shared" si="513"/>
        <v>-1</v>
      </c>
      <c r="BH179">
        <f t="shared" si="513"/>
        <v>-1</v>
      </c>
      <c r="BI179">
        <f t="shared" si="513"/>
        <v>-1</v>
      </c>
      <c r="BJ179">
        <f t="shared" si="513"/>
        <v>-1</v>
      </c>
      <c r="BK179">
        <f t="shared" si="513"/>
        <v>-1</v>
      </c>
      <c r="BL179">
        <f t="shared" si="513"/>
        <v>-1</v>
      </c>
      <c r="BM179">
        <f t="shared" si="513"/>
        <v>-1</v>
      </c>
      <c r="BN179">
        <f t="shared" si="513"/>
        <v>-1</v>
      </c>
      <c r="BO179">
        <f t="shared" si="513"/>
        <v>-1</v>
      </c>
      <c r="BP179">
        <f t="shared" ref="BP179:EA179" si="514">IF(OR(BP178=-1,AND(IF(BP$3&lt;$B179,BP178+BP$6,IF(BP$3=$B179,1,""))&gt;$B$1,BP$3&lt;$B179)),-1,IF(BP$3&lt;$B179,BP178+BP$6,IF(BP$3=$B179,1,"")))</f>
        <v>-1</v>
      </c>
      <c r="BQ179">
        <f t="shared" si="514"/>
        <v>-1</v>
      </c>
      <c r="BR179">
        <f t="shared" si="514"/>
        <v>-1</v>
      </c>
      <c r="BS179">
        <f t="shared" si="514"/>
        <v>-1</v>
      </c>
      <c r="BT179">
        <f t="shared" si="514"/>
        <v>-1</v>
      </c>
      <c r="BU179">
        <f t="shared" si="514"/>
        <v>-1</v>
      </c>
      <c r="BV179">
        <f t="shared" si="514"/>
        <v>-1</v>
      </c>
      <c r="BW179">
        <f t="shared" si="514"/>
        <v>-1</v>
      </c>
      <c r="BX179">
        <f t="shared" si="514"/>
        <v>-1</v>
      </c>
      <c r="BY179">
        <f t="shared" si="514"/>
        <v>-1</v>
      </c>
      <c r="BZ179">
        <f t="shared" si="514"/>
        <v>-1</v>
      </c>
      <c r="CA179">
        <f t="shared" si="514"/>
        <v>-1</v>
      </c>
      <c r="CB179">
        <f t="shared" si="514"/>
        <v>74.8</v>
      </c>
      <c r="CC179">
        <f t="shared" si="514"/>
        <v>71.200000000000031</v>
      </c>
      <c r="CD179">
        <f t="shared" si="514"/>
        <v>67.600000000000065</v>
      </c>
      <c r="CE179">
        <f t="shared" si="514"/>
        <v>64.000000000000099</v>
      </c>
      <c r="CF179">
        <f t="shared" si="514"/>
        <v>60.400000000000098</v>
      </c>
      <c r="CG179">
        <f t="shared" si="514"/>
        <v>56.80000000000009</v>
      </c>
      <c r="CH179">
        <f t="shared" si="514"/>
        <v>53.200000000000081</v>
      </c>
      <c r="CI179">
        <f t="shared" si="514"/>
        <v>49.600000000000072</v>
      </c>
      <c r="CJ179">
        <f t="shared" si="514"/>
        <v>46.000000000000064</v>
      </c>
      <c r="CK179">
        <f t="shared" si="514"/>
        <v>42.400000000000055</v>
      </c>
      <c r="CL179">
        <f t="shared" si="514"/>
        <v>38.800000000000047</v>
      </c>
      <c r="CM179">
        <f t="shared" si="514"/>
        <v>35.200000000000038</v>
      </c>
      <c r="CN179">
        <f t="shared" si="514"/>
        <v>31.60000000000003</v>
      </c>
      <c r="CO179">
        <f t="shared" si="514"/>
        <v>73.5</v>
      </c>
      <c r="CP179">
        <f t="shared" si="514"/>
        <v>60.5</v>
      </c>
      <c r="CQ179">
        <f t="shared" si="514"/>
        <v>-1</v>
      </c>
      <c r="CR179">
        <f t="shared" si="514"/>
        <v>-1</v>
      </c>
      <c r="CS179">
        <f t="shared" si="514"/>
        <v>-1</v>
      </c>
      <c r="CT179">
        <f t="shared" si="514"/>
        <v>-1</v>
      </c>
      <c r="CU179">
        <f t="shared" si="514"/>
        <v>-1</v>
      </c>
      <c r="CV179">
        <f t="shared" si="514"/>
        <v>-1</v>
      </c>
      <c r="CW179">
        <f t="shared" si="514"/>
        <v>-1</v>
      </c>
      <c r="CX179">
        <f t="shared" si="514"/>
        <v>-1</v>
      </c>
      <c r="CY179">
        <f t="shared" si="514"/>
        <v>-1</v>
      </c>
      <c r="CZ179">
        <f t="shared" si="514"/>
        <v>-1</v>
      </c>
      <c r="DA179">
        <f t="shared" si="514"/>
        <v>-1</v>
      </c>
      <c r="DB179">
        <f t="shared" si="514"/>
        <v>-1</v>
      </c>
      <c r="DC179">
        <f t="shared" si="514"/>
        <v>-1</v>
      </c>
      <c r="DD179">
        <f t="shared" si="514"/>
        <v>-1</v>
      </c>
      <c r="DE179">
        <f t="shared" si="514"/>
        <v>-1</v>
      </c>
      <c r="DF179">
        <f t="shared" si="514"/>
        <v>-1</v>
      </c>
      <c r="DG179">
        <f t="shared" si="514"/>
        <v>-1</v>
      </c>
      <c r="DH179">
        <f t="shared" si="514"/>
        <v>-1</v>
      </c>
      <c r="DI179">
        <f t="shared" si="514"/>
        <v>-1</v>
      </c>
      <c r="DJ179">
        <f t="shared" si="514"/>
        <v>-1</v>
      </c>
      <c r="DK179">
        <f t="shared" si="514"/>
        <v>-1</v>
      </c>
      <c r="DL179">
        <f t="shared" si="514"/>
        <v>-1</v>
      </c>
      <c r="DM179">
        <f t="shared" si="514"/>
        <v>-1</v>
      </c>
      <c r="DN179">
        <f t="shared" si="514"/>
        <v>-1</v>
      </c>
      <c r="DO179">
        <f t="shared" si="514"/>
        <v>-1</v>
      </c>
      <c r="DP179">
        <f t="shared" si="514"/>
        <v>-1</v>
      </c>
      <c r="DQ179">
        <f t="shared" si="514"/>
        <v>-1</v>
      </c>
      <c r="DR179">
        <f t="shared" si="514"/>
        <v>-1</v>
      </c>
      <c r="DS179">
        <f t="shared" si="514"/>
        <v>-1</v>
      </c>
      <c r="DT179">
        <f t="shared" si="514"/>
        <v>-1</v>
      </c>
      <c r="DU179">
        <f t="shared" si="514"/>
        <v>-1</v>
      </c>
      <c r="DV179">
        <f t="shared" si="514"/>
        <v>-1</v>
      </c>
      <c r="DW179">
        <f t="shared" si="514"/>
        <v>-1</v>
      </c>
      <c r="DX179">
        <f t="shared" si="514"/>
        <v>-1</v>
      </c>
      <c r="DY179">
        <f t="shared" si="514"/>
        <v>-1</v>
      </c>
      <c r="DZ179">
        <f t="shared" si="514"/>
        <v>-1</v>
      </c>
      <c r="EA179">
        <f t="shared" si="514"/>
        <v>-1</v>
      </c>
      <c r="EB179">
        <f t="shared" ref="EB179:EO179" si="515">IF(OR(EB178=-1,AND(IF(EB$3&lt;$B179,EB178+EB$6,IF(EB$3=$B179,1,""))&gt;$B$1,EB$3&lt;$B179)),-1,IF(EB$3&lt;$B179,EB178+EB$6,IF(EB$3=$B179,1,"")))</f>
        <v>-1</v>
      </c>
      <c r="EC179">
        <f t="shared" si="515"/>
        <v>-1</v>
      </c>
      <c r="ED179">
        <f t="shared" si="515"/>
        <v>-1</v>
      </c>
      <c r="EE179">
        <f t="shared" si="515"/>
        <v>-1</v>
      </c>
      <c r="EF179">
        <f t="shared" si="515"/>
        <v>-1</v>
      </c>
      <c r="EG179">
        <f t="shared" si="515"/>
        <v>-1</v>
      </c>
      <c r="EH179">
        <f t="shared" si="515"/>
        <v>-1</v>
      </c>
      <c r="EI179">
        <f t="shared" si="515"/>
        <v>-1</v>
      </c>
      <c r="EJ179">
        <f t="shared" si="515"/>
        <v>-1</v>
      </c>
      <c r="EK179">
        <f t="shared" si="515"/>
        <v>-1</v>
      </c>
      <c r="EL179">
        <f t="shared" si="515"/>
        <v>-1</v>
      </c>
      <c r="EM179">
        <f t="shared" si="515"/>
        <v>-1</v>
      </c>
      <c r="EN179">
        <f t="shared" si="515"/>
        <v>-1</v>
      </c>
      <c r="EO179">
        <f t="shared" si="515"/>
        <v>-1</v>
      </c>
    </row>
    <row r="180" spans="1:145" x14ac:dyDescent="0.15">
      <c r="A180" t="e">
        <f t="shared" si="386"/>
        <v>#N/A</v>
      </c>
      <c r="B180" s="218">
        <v>172</v>
      </c>
      <c r="C180">
        <f t="shared" si="386"/>
        <v>-1</v>
      </c>
      <c r="D180">
        <f t="shared" ref="D180:BO180" si="516">IF(OR(D179=-1,AND(IF(D$3&lt;$B180,D179+D$6,IF(D$3=$B180,1,""))&gt;$B$1,D$3&lt;$B180)),-1,IF(D$3&lt;$B180,D179+D$6,IF(D$3=$B180,1,"")))</f>
        <v>-1</v>
      </c>
      <c r="E180">
        <f t="shared" si="516"/>
        <v>-1</v>
      </c>
      <c r="F180">
        <f t="shared" si="516"/>
        <v>-1</v>
      </c>
      <c r="G180">
        <f t="shared" si="516"/>
        <v>-1</v>
      </c>
      <c r="H180">
        <f t="shared" si="516"/>
        <v>-1</v>
      </c>
      <c r="I180">
        <f t="shared" si="516"/>
        <v>-1</v>
      </c>
      <c r="J180">
        <f t="shared" si="516"/>
        <v>-1</v>
      </c>
      <c r="K180">
        <f t="shared" si="516"/>
        <v>-1</v>
      </c>
      <c r="L180">
        <f t="shared" si="516"/>
        <v>-1</v>
      </c>
      <c r="M180">
        <f t="shared" si="516"/>
        <v>-1</v>
      </c>
      <c r="N180">
        <f t="shared" si="516"/>
        <v>-1</v>
      </c>
      <c r="O180">
        <f t="shared" si="516"/>
        <v>-1</v>
      </c>
      <c r="P180">
        <f t="shared" si="516"/>
        <v>-1</v>
      </c>
      <c r="Q180">
        <f t="shared" si="516"/>
        <v>-1</v>
      </c>
      <c r="R180">
        <f t="shared" si="516"/>
        <v>-1</v>
      </c>
      <c r="S180">
        <f t="shared" si="516"/>
        <v>-1</v>
      </c>
      <c r="T180">
        <f t="shared" si="516"/>
        <v>-1</v>
      </c>
      <c r="U180">
        <f t="shared" si="516"/>
        <v>-1</v>
      </c>
      <c r="V180">
        <f t="shared" si="516"/>
        <v>-1</v>
      </c>
      <c r="W180">
        <f t="shared" si="516"/>
        <v>-1</v>
      </c>
      <c r="X180">
        <f t="shared" si="516"/>
        <v>-1</v>
      </c>
      <c r="Y180">
        <f t="shared" si="516"/>
        <v>-1</v>
      </c>
      <c r="Z180">
        <f t="shared" si="516"/>
        <v>-1</v>
      </c>
      <c r="AA180">
        <f t="shared" si="516"/>
        <v>-1</v>
      </c>
      <c r="AB180">
        <f t="shared" si="516"/>
        <v>-1</v>
      </c>
      <c r="AC180">
        <f t="shared" si="516"/>
        <v>-1</v>
      </c>
      <c r="AD180">
        <f t="shared" si="516"/>
        <v>-1</v>
      </c>
      <c r="AE180">
        <f t="shared" si="516"/>
        <v>-1</v>
      </c>
      <c r="AF180">
        <f t="shared" si="516"/>
        <v>-1</v>
      </c>
      <c r="AG180">
        <f t="shared" si="516"/>
        <v>-1</v>
      </c>
      <c r="AH180">
        <f t="shared" si="516"/>
        <v>-1</v>
      </c>
      <c r="AI180">
        <f t="shared" si="516"/>
        <v>-1</v>
      </c>
      <c r="AJ180">
        <f t="shared" si="516"/>
        <v>-1</v>
      </c>
      <c r="AK180">
        <f t="shared" si="516"/>
        <v>-1</v>
      </c>
      <c r="AL180">
        <f t="shared" si="516"/>
        <v>-1</v>
      </c>
      <c r="AM180">
        <f t="shared" si="516"/>
        <v>-1</v>
      </c>
      <c r="AN180">
        <f t="shared" si="516"/>
        <v>-1</v>
      </c>
      <c r="AO180">
        <f t="shared" si="516"/>
        <v>-1</v>
      </c>
      <c r="AP180">
        <f t="shared" si="516"/>
        <v>-1</v>
      </c>
      <c r="AQ180">
        <f t="shared" si="516"/>
        <v>-1</v>
      </c>
      <c r="AR180">
        <f t="shared" si="516"/>
        <v>-1</v>
      </c>
      <c r="AS180">
        <f t="shared" si="516"/>
        <v>-1</v>
      </c>
      <c r="AT180">
        <f t="shared" si="516"/>
        <v>-1</v>
      </c>
      <c r="AU180">
        <f t="shared" si="516"/>
        <v>-1</v>
      </c>
      <c r="AV180">
        <f t="shared" si="516"/>
        <v>-1</v>
      </c>
      <c r="AW180">
        <f t="shared" si="516"/>
        <v>-1</v>
      </c>
      <c r="AX180">
        <f t="shared" si="516"/>
        <v>-1</v>
      </c>
      <c r="AY180">
        <f t="shared" si="516"/>
        <v>-1</v>
      </c>
      <c r="AZ180">
        <f t="shared" si="516"/>
        <v>-1</v>
      </c>
      <c r="BA180">
        <f t="shared" si="516"/>
        <v>-1</v>
      </c>
      <c r="BB180">
        <f t="shared" si="516"/>
        <v>-1</v>
      </c>
      <c r="BC180">
        <f t="shared" si="516"/>
        <v>-1</v>
      </c>
      <c r="BD180">
        <f t="shared" si="516"/>
        <v>-1</v>
      </c>
      <c r="BE180">
        <f t="shared" si="516"/>
        <v>-1</v>
      </c>
      <c r="BF180">
        <f t="shared" si="516"/>
        <v>-1</v>
      </c>
      <c r="BG180">
        <f t="shared" si="516"/>
        <v>-1</v>
      </c>
      <c r="BH180">
        <f t="shared" si="516"/>
        <v>-1</v>
      </c>
      <c r="BI180">
        <f t="shared" si="516"/>
        <v>-1</v>
      </c>
      <c r="BJ180">
        <f t="shared" si="516"/>
        <v>-1</v>
      </c>
      <c r="BK180">
        <f t="shared" si="516"/>
        <v>-1</v>
      </c>
      <c r="BL180">
        <f t="shared" si="516"/>
        <v>-1</v>
      </c>
      <c r="BM180">
        <f t="shared" si="516"/>
        <v>-1</v>
      </c>
      <c r="BN180">
        <f t="shared" si="516"/>
        <v>-1</v>
      </c>
      <c r="BO180">
        <f t="shared" si="516"/>
        <v>-1</v>
      </c>
      <c r="BP180">
        <f t="shared" ref="BP180:EA180" si="517">IF(OR(BP179=-1,AND(IF(BP$3&lt;$B180,BP179+BP$6,IF(BP$3=$B180,1,""))&gt;$B$1,BP$3&lt;$B180)),-1,IF(BP$3&lt;$B180,BP179+BP$6,IF(BP$3=$B180,1,"")))</f>
        <v>-1</v>
      </c>
      <c r="BQ180">
        <f t="shared" si="517"/>
        <v>-1</v>
      </c>
      <c r="BR180">
        <f t="shared" si="517"/>
        <v>-1</v>
      </c>
      <c r="BS180">
        <f t="shared" si="517"/>
        <v>-1</v>
      </c>
      <c r="BT180">
        <f t="shared" si="517"/>
        <v>-1</v>
      </c>
      <c r="BU180">
        <f t="shared" si="517"/>
        <v>-1</v>
      </c>
      <c r="BV180">
        <f t="shared" si="517"/>
        <v>-1</v>
      </c>
      <c r="BW180">
        <f t="shared" si="517"/>
        <v>-1</v>
      </c>
      <c r="BX180">
        <f t="shared" si="517"/>
        <v>-1</v>
      </c>
      <c r="BY180">
        <f t="shared" si="517"/>
        <v>-1</v>
      </c>
      <c r="BZ180">
        <f t="shared" si="517"/>
        <v>-1</v>
      </c>
      <c r="CA180">
        <f t="shared" si="517"/>
        <v>-1</v>
      </c>
      <c r="CB180">
        <f t="shared" si="517"/>
        <v>-1</v>
      </c>
      <c r="CC180">
        <f t="shared" si="517"/>
        <v>71.800000000000026</v>
      </c>
      <c r="CD180">
        <f t="shared" si="517"/>
        <v>68.20000000000006</v>
      </c>
      <c r="CE180">
        <f t="shared" si="517"/>
        <v>64.600000000000094</v>
      </c>
      <c r="CF180">
        <f t="shared" si="517"/>
        <v>61.000000000000099</v>
      </c>
      <c r="CG180">
        <f t="shared" si="517"/>
        <v>57.400000000000091</v>
      </c>
      <c r="CH180">
        <f t="shared" si="517"/>
        <v>53.800000000000082</v>
      </c>
      <c r="CI180">
        <f t="shared" si="517"/>
        <v>50.200000000000074</v>
      </c>
      <c r="CJ180">
        <f t="shared" si="517"/>
        <v>46.600000000000065</v>
      </c>
      <c r="CK180">
        <f t="shared" si="517"/>
        <v>43.000000000000057</v>
      </c>
      <c r="CL180">
        <f t="shared" si="517"/>
        <v>39.400000000000048</v>
      </c>
      <c r="CM180">
        <f t="shared" si="517"/>
        <v>35.80000000000004</v>
      </c>
      <c r="CN180">
        <f t="shared" si="517"/>
        <v>32.200000000000031</v>
      </c>
      <c r="CO180">
        <f t="shared" si="517"/>
        <v>74</v>
      </c>
      <c r="CP180">
        <f t="shared" si="517"/>
        <v>61</v>
      </c>
      <c r="CQ180">
        <f t="shared" si="517"/>
        <v>-1</v>
      </c>
      <c r="CR180">
        <f t="shared" si="517"/>
        <v>-1</v>
      </c>
      <c r="CS180">
        <f t="shared" si="517"/>
        <v>-1</v>
      </c>
      <c r="CT180">
        <f t="shared" si="517"/>
        <v>-1</v>
      </c>
      <c r="CU180">
        <f t="shared" si="517"/>
        <v>-1</v>
      </c>
      <c r="CV180">
        <f t="shared" si="517"/>
        <v>-1</v>
      </c>
      <c r="CW180">
        <f t="shared" si="517"/>
        <v>-1</v>
      </c>
      <c r="CX180">
        <f t="shared" si="517"/>
        <v>-1</v>
      </c>
      <c r="CY180">
        <f t="shared" si="517"/>
        <v>-1</v>
      </c>
      <c r="CZ180">
        <f t="shared" si="517"/>
        <v>-1</v>
      </c>
      <c r="DA180">
        <f t="shared" si="517"/>
        <v>-1</v>
      </c>
      <c r="DB180">
        <f t="shared" si="517"/>
        <v>-1</v>
      </c>
      <c r="DC180">
        <f t="shared" si="517"/>
        <v>-1</v>
      </c>
      <c r="DD180">
        <f t="shared" si="517"/>
        <v>-1</v>
      </c>
      <c r="DE180">
        <f t="shared" si="517"/>
        <v>-1</v>
      </c>
      <c r="DF180">
        <f t="shared" si="517"/>
        <v>-1</v>
      </c>
      <c r="DG180">
        <f t="shared" si="517"/>
        <v>-1</v>
      </c>
      <c r="DH180">
        <f t="shared" si="517"/>
        <v>-1</v>
      </c>
      <c r="DI180">
        <f t="shared" si="517"/>
        <v>-1</v>
      </c>
      <c r="DJ180">
        <f t="shared" si="517"/>
        <v>-1</v>
      </c>
      <c r="DK180">
        <f t="shared" si="517"/>
        <v>-1</v>
      </c>
      <c r="DL180">
        <f t="shared" si="517"/>
        <v>-1</v>
      </c>
      <c r="DM180">
        <f t="shared" si="517"/>
        <v>-1</v>
      </c>
      <c r="DN180">
        <f t="shared" si="517"/>
        <v>-1</v>
      </c>
      <c r="DO180">
        <f t="shared" si="517"/>
        <v>-1</v>
      </c>
      <c r="DP180">
        <f t="shared" si="517"/>
        <v>-1</v>
      </c>
      <c r="DQ180">
        <f t="shared" si="517"/>
        <v>-1</v>
      </c>
      <c r="DR180">
        <f t="shared" si="517"/>
        <v>-1</v>
      </c>
      <c r="DS180">
        <f t="shared" si="517"/>
        <v>-1</v>
      </c>
      <c r="DT180">
        <f t="shared" si="517"/>
        <v>-1</v>
      </c>
      <c r="DU180">
        <f t="shared" si="517"/>
        <v>-1</v>
      </c>
      <c r="DV180">
        <f t="shared" si="517"/>
        <v>-1</v>
      </c>
      <c r="DW180">
        <f t="shared" si="517"/>
        <v>-1</v>
      </c>
      <c r="DX180">
        <f t="shared" si="517"/>
        <v>-1</v>
      </c>
      <c r="DY180">
        <f t="shared" si="517"/>
        <v>-1</v>
      </c>
      <c r="DZ180">
        <f t="shared" si="517"/>
        <v>-1</v>
      </c>
      <c r="EA180">
        <f t="shared" si="517"/>
        <v>-1</v>
      </c>
      <c r="EB180">
        <f t="shared" ref="EB180:EO180" si="518">IF(OR(EB179=-1,AND(IF(EB$3&lt;$B180,EB179+EB$6,IF(EB$3=$B180,1,""))&gt;$B$1,EB$3&lt;$B180)),-1,IF(EB$3&lt;$B180,EB179+EB$6,IF(EB$3=$B180,1,"")))</f>
        <v>-1</v>
      </c>
      <c r="EC180">
        <f t="shared" si="518"/>
        <v>-1</v>
      </c>
      <c r="ED180">
        <f t="shared" si="518"/>
        <v>-1</v>
      </c>
      <c r="EE180">
        <f t="shared" si="518"/>
        <v>-1</v>
      </c>
      <c r="EF180">
        <f t="shared" si="518"/>
        <v>-1</v>
      </c>
      <c r="EG180">
        <f t="shared" si="518"/>
        <v>-1</v>
      </c>
      <c r="EH180">
        <f t="shared" si="518"/>
        <v>-1</v>
      </c>
      <c r="EI180">
        <f t="shared" si="518"/>
        <v>-1</v>
      </c>
      <c r="EJ180">
        <f t="shared" si="518"/>
        <v>-1</v>
      </c>
      <c r="EK180">
        <f t="shared" si="518"/>
        <v>-1</v>
      </c>
      <c r="EL180">
        <f t="shared" si="518"/>
        <v>-1</v>
      </c>
      <c r="EM180">
        <f t="shared" si="518"/>
        <v>-1</v>
      </c>
      <c r="EN180">
        <f t="shared" si="518"/>
        <v>-1</v>
      </c>
      <c r="EO180">
        <f t="shared" si="518"/>
        <v>-1</v>
      </c>
    </row>
    <row r="181" spans="1:145" x14ac:dyDescent="0.15">
      <c r="A181" t="e">
        <f t="shared" si="386"/>
        <v>#N/A</v>
      </c>
      <c r="B181" s="218">
        <v>173</v>
      </c>
      <c r="C181">
        <f t="shared" si="386"/>
        <v>-1</v>
      </c>
      <c r="D181">
        <f t="shared" ref="D181:BO181" si="519">IF(OR(D180=-1,AND(IF(D$3&lt;$B181,D180+D$6,IF(D$3=$B181,1,""))&gt;$B$1,D$3&lt;$B181)),-1,IF(D$3&lt;$B181,D180+D$6,IF(D$3=$B181,1,"")))</f>
        <v>-1</v>
      </c>
      <c r="E181">
        <f t="shared" si="519"/>
        <v>-1</v>
      </c>
      <c r="F181">
        <f t="shared" si="519"/>
        <v>-1</v>
      </c>
      <c r="G181">
        <f t="shared" si="519"/>
        <v>-1</v>
      </c>
      <c r="H181">
        <f t="shared" si="519"/>
        <v>-1</v>
      </c>
      <c r="I181">
        <f t="shared" si="519"/>
        <v>-1</v>
      </c>
      <c r="J181">
        <f t="shared" si="519"/>
        <v>-1</v>
      </c>
      <c r="K181">
        <f t="shared" si="519"/>
        <v>-1</v>
      </c>
      <c r="L181">
        <f t="shared" si="519"/>
        <v>-1</v>
      </c>
      <c r="M181">
        <f t="shared" si="519"/>
        <v>-1</v>
      </c>
      <c r="N181">
        <f t="shared" si="519"/>
        <v>-1</v>
      </c>
      <c r="O181">
        <f t="shared" si="519"/>
        <v>-1</v>
      </c>
      <c r="P181">
        <f t="shared" si="519"/>
        <v>-1</v>
      </c>
      <c r="Q181">
        <f t="shared" si="519"/>
        <v>-1</v>
      </c>
      <c r="R181">
        <f t="shared" si="519"/>
        <v>-1</v>
      </c>
      <c r="S181">
        <f t="shared" si="519"/>
        <v>-1</v>
      </c>
      <c r="T181">
        <f t="shared" si="519"/>
        <v>-1</v>
      </c>
      <c r="U181">
        <f t="shared" si="519"/>
        <v>-1</v>
      </c>
      <c r="V181">
        <f t="shared" si="519"/>
        <v>-1</v>
      </c>
      <c r="W181">
        <f t="shared" si="519"/>
        <v>-1</v>
      </c>
      <c r="X181">
        <f t="shared" si="519"/>
        <v>-1</v>
      </c>
      <c r="Y181">
        <f t="shared" si="519"/>
        <v>-1</v>
      </c>
      <c r="Z181">
        <f t="shared" si="519"/>
        <v>-1</v>
      </c>
      <c r="AA181">
        <f t="shared" si="519"/>
        <v>-1</v>
      </c>
      <c r="AB181">
        <f t="shared" si="519"/>
        <v>-1</v>
      </c>
      <c r="AC181">
        <f t="shared" si="519"/>
        <v>-1</v>
      </c>
      <c r="AD181">
        <f t="shared" si="519"/>
        <v>-1</v>
      </c>
      <c r="AE181">
        <f t="shared" si="519"/>
        <v>-1</v>
      </c>
      <c r="AF181">
        <f t="shared" si="519"/>
        <v>-1</v>
      </c>
      <c r="AG181">
        <f t="shared" si="519"/>
        <v>-1</v>
      </c>
      <c r="AH181">
        <f t="shared" si="519"/>
        <v>-1</v>
      </c>
      <c r="AI181">
        <f t="shared" si="519"/>
        <v>-1</v>
      </c>
      <c r="AJ181">
        <f t="shared" si="519"/>
        <v>-1</v>
      </c>
      <c r="AK181">
        <f t="shared" si="519"/>
        <v>-1</v>
      </c>
      <c r="AL181">
        <f t="shared" si="519"/>
        <v>-1</v>
      </c>
      <c r="AM181">
        <f t="shared" si="519"/>
        <v>-1</v>
      </c>
      <c r="AN181">
        <f t="shared" si="519"/>
        <v>-1</v>
      </c>
      <c r="AO181">
        <f t="shared" si="519"/>
        <v>-1</v>
      </c>
      <c r="AP181">
        <f t="shared" si="519"/>
        <v>-1</v>
      </c>
      <c r="AQ181">
        <f t="shared" si="519"/>
        <v>-1</v>
      </c>
      <c r="AR181">
        <f t="shared" si="519"/>
        <v>-1</v>
      </c>
      <c r="AS181">
        <f t="shared" si="519"/>
        <v>-1</v>
      </c>
      <c r="AT181">
        <f t="shared" si="519"/>
        <v>-1</v>
      </c>
      <c r="AU181">
        <f t="shared" si="519"/>
        <v>-1</v>
      </c>
      <c r="AV181">
        <f t="shared" si="519"/>
        <v>-1</v>
      </c>
      <c r="AW181">
        <f t="shared" si="519"/>
        <v>-1</v>
      </c>
      <c r="AX181">
        <f t="shared" si="519"/>
        <v>-1</v>
      </c>
      <c r="AY181">
        <f t="shared" si="519"/>
        <v>-1</v>
      </c>
      <c r="AZ181">
        <f t="shared" si="519"/>
        <v>-1</v>
      </c>
      <c r="BA181">
        <f t="shared" si="519"/>
        <v>-1</v>
      </c>
      <c r="BB181">
        <f t="shared" si="519"/>
        <v>-1</v>
      </c>
      <c r="BC181">
        <f t="shared" si="519"/>
        <v>-1</v>
      </c>
      <c r="BD181">
        <f t="shared" si="519"/>
        <v>-1</v>
      </c>
      <c r="BE181">
        <f t="shared" si="519"/>
        <v>-1</v>
      </c>
      <c r="BF181">
        <f t="shared" si="519"/>
        <v>-1</v>
      </c>
      <c r="BG181">
        <f t="shared" si="519"/>
        <v>-1</v>
      </c>
      <c r="BH181">
        <f t="shared" si="519"/>
        <v>-1</v>
      </c>
      <c r="BI181">
        <f t="shared" si="519"/>
        <v>-1</v>
      </c>
      <c r="BJ181">
        <f t="shared" si="519"/>
        <v>-1</v>
      </c>
      <c r="BK181">
        <f t="shared" si="519"/>
        <v>-1</v>
      </c>
      <c r="BL181">
        <f t="shared" si="519"/>
        <v>-1</v>
      </c>
      <c r="BM181">
        <f t="shared" si="519"/>
        <v>-1</v>
      </c>
      <c r="BN181">
        <f t="shared" si="519"/>
        <v>-1</v>
      </c>
      <c r="BO181">
        <f t="shared" si="519"/>
        <v>-1</v>
      </c>
      <c r="BP181">
        <f t="shared" ref="BP181:EA181" si="520">IF(OR(BP180=-1,AND(IF(BP$3&lt;$B181,BP180+BP$6,IF(BP$3=$B181,1,""))&gt;$B$1,BP$3&lt;$B181)),-1,IF(BP$3&lt;$B181,BP180+BP$6,IF(BP$3=$B181,1,"")))</f>
        <v>-1</v>
      </c>
      <c r="BQ181">
        <f t="shared" si="520"/>
        <v>-1</v>
      </c>
      <c r="BR181">
        <f t="shared" si="520"/>
        <v>-1</v>
      </c>
      <c r="BS181">
        <f t="shared" si="520"/>
        <v>-1</v>
      </c>
      <c r="BT181">
        <f t="shared" si="520"/>
        <v>-1</v>
      </c>
      <c r="BU181">
        <f t="shared" si="520"/>
        <v>-1</v>
      </c>
      <c r="BV181">
        <f t="shared" si="520"/>
        <v>-1</v>
      </c>
      <c r="BW181">
        <f t="shared" si="520"/>
        <v>-1</v>
      </c>
      <c r="BX181">
        <f t="shared" si="520"/>
        <v>-1</v>
      </c>
      <c r="BY181">
        <f t="shared" si="520"/>
        <v>-1</v>
      </c>
      <c r="BZ181">
        <f t="shared" si="520"/>
        <v>-1</v>
      </c>
      <c r="CA181">
        <f t="shared" si="520"/>
        <v>-1</v>
      </c>
      <c r="CB181">
        <f t="shared" si="520"/>
        <v>-1</v>
      </c>
      <c r="CC181">
        <f t="shared" si="520"/>
        <v>72.40000000000002</v>
      </c>
      <c r="CD181">
        <f t="shared" si="520"/>
        <v>68.800000000000054</v>
      </c>
      <c r="CE181">
        <f t="shared" si="520"/>
        <v>65.200000000000088</v>
      </c>
      <c r="CF181">
        <f t="shared" si="520"/>
        <v>61.600000000000101</v>
      </c>
      <c r="CG181">
        <f t="shared" si="520"/>
        <v>58.000000000000092</v>
      </c>
      <c r="CH181">
        <f t="shared" si="520"/>
        <v>54.400000000000084</v>
      </c>
      <c r="CI181">
        <f t="shared" si="520"/>
        <v>50.800000000000075</v>
      </c>
      <c r="CJ181">
        <f t="shared" si="520"/>
        <v>47.200000000000067</v>
      </c>
      <c r="CK181">
        <f t="shared" si="520"/>
        <v>43.600000000000058</v>
      </c>
      <c r="CL181">
        <f t="shared" si="520"/>
        <v>40.00000000000005</v>
      </c>
      <c r="CM181">
        <f t="shared" si="520"/>
        <v>36.400000000000041</v>
      </c>
      <c r="CN181">
        <f t="shared" si="520"/>
        <v>32.800000000000033</v>
      </c>
      <c r="CO181">
        <f t="shared" si="520"/>
        <v>74.5</v>
      </c>
      <c r="CP181">
        <f t="shared" si="520"/>
        <v>61.5</v>
      </c>
      <c r="CQ181">
        <f t="shared" si="520"/>
        <v>-1</v>
      </c>
      <c r="CR181">
        <f t="shared" si="520"/>
        <v>-1</v>
      </c>
      <c r="CS181">
        <f t="shared" si="520"/>
        <v>-1</v>
      </c>
      <c r="CT181">
        <f t="shared" si="520"/>
        <v>-1</v>
      </c>
      <c r="CU181">
        <f t="shared" si="520"/>
        <v>-1</v>
      </c>
      <c r="CV181">
        <f t="shared" si="520"/>
        <v>-1</v>
      </c>
      <c r="CW181">
        <f t="shared" si="520"/>
        <v>-1</v>
      </c>
      <c r="CX181">
        <f t="shared" si="520"/>
        <v>-1</v>
      </c>
      <c r="CY181">
        <f t="shared" si="520"/>
        <v>-1</v>
      </c>
      <c r="CZ181">
        <f t="shared" si="520"/>
        <v>-1</v>
      </c>
      <c r="DA181">
        <f t="shared" si="520"/>
        <v>-1</v>
      </c>
      <c r="DB181">
        <f t="shared" si="520"/>
        <v>-1</v>
      </c>
      <c r="DC181">
        <f t="shared" si="520"/>
        <v>-1</v>
      </c>
      <c r="DD181">
        <f t="shared" si="520"/>
        <v>-1</v>
      </c>
      <c r="DE181">
        <f t="shared" si="520"/>
        <v>-1</v>
      </c>
      <c r="DF181">
        <f t="shared" si="520"/>
        <v>-1</v>
      </c>
      <c r="DG181">
        <f t="shared" si="520"/>
        <v>-1</v>
      </c>
      <c r="DH181">
        <f t="shared" si="520"/>
        <v>-1</v>
      </c>
      <c r="DI181">
        <f t="shared" si="520"/>
        <v>-1</v>
      </c>
      <c r="DJ181">
        <f t="shared" si="520"/>
        <v>-1</v>
      </c>
      <c r="DK181">
        <f t="shared" si="520"/>
        <v>-1</v>
      </c>
      <c r="DL181">
        <f t="shared" si="520"/>
        <v>-1</v>
      </c>
      <c r="DM181">
        <f t="shared" si="520"/>
        <v>-1</v>
      </c>
      <c r="DN181">
        <f t="shared" si="520"/>
        <v>-1</v>
      </c>
      <c r="DO181">
        <f t="shared" si="520"/>
        <v>-1</v>
      </c>
      <c r="DP181">
        <f t="shared" si="520"/>
        <v>-1</v>
      </c>
      <c r="DQ181">
        <f t="shared" si="520"/>
        <v>-1</v>
      </c>
      <c r="DR181">
        <f t="shared" si="520"/>
        <v>-1</v>
      </c>
      <c r="DS181">
        <f t="shared" si="520"/>
        <v>-1</v>
      </c>
      <c r="DT181">
        <f t="shared" si="520"/>
        <v>-1</v>
      </c>
      <c r="DU181">
        <f t="shared" si="520"/>
        <v>-1</v>
      </c>
      <c r="DV181">
        <f t="shared" si="520"/>
        <v>-1</v>
      </c>
      <c r="DW181">
        <f t="shared" si="520"/>
        <v>-1</v>
      </c>
      <c r="DX181">
        <f t="shared" si="520"/>
        <v>-1</v>
      </c>
      <c r="DY181">
        <f t="shared" si="520"/>
        <v>-1</v>
      </c>
      <c r="DZ181">
        <f t="shared" si="520"/>
        <v>-1</v>
      </c>
      <c r="EA181">
        <f t="shared" si="520"/>
        <v>-1</v>
      </c>
      <c r="EB181">
        <f t="shared" ref="EB181:EO181" si="521">IF(OR(EB180=-1,AND(IF(EB$3&lt;$B181,EB180+EB$6,IF(EB$3=$B181,1,""))&gt;$B$1,EB$3&lt;$B181)),-1,IF(EB$3&lt;$B181,EB180+EB$6,IF(EB$3=$B181,1,"")))</f>
        <v>-1</v>
      </c>
      <c r="EC181">
        <f t="shared" si="521"/>
        <v>-1</v>
      </c>
      <c r="ED181">
        <f t="shared" si="521"/>
        <v>-1</v>
      </c>
      <c r="EE181">
        <f t="shared" si="521"/>
        <v>-1</v>
      </c>
      <c r="EF181">
        <f t="shared" si="521"/>
        <v>-1</v>
      </c>
      <c r="EG181">
        <f t="shared" si="521"/>
        <v>-1</v>
      </c>
      <c r="EH181">
        <f t="shared" si="521"/>
        <v>-1</v>
      </c>
      <c r="EI181">
        <f t="shared" si="521"/>
        <v>-1</v>
      </c>
      <c r="EJ181">
        <f t="shared" si="521"/>
        <v>-1</v>
      </c>
      <c r="EK181">
        <f t="shared" si="521"/>
        <v>-1</v>
      </c>
      <c r="EL181">
        <f t="shared" si="521"/>
        <v>-1</v>
      </c>
      <c r="EM181">
        <f t="shared" si="521"/>
        <v>-1</v>
      </c>
      <c r="EN181">
        <f t="shared" si="521"/>
        <v>-1</v>
      </c>
      <c r="EO181">
        <f t="shared" si="521"/>
        <v>-1</v>
      </c>
    </row>
    <row r="182" spans="1:145" x14ac:dyDescent="0.15">
      <c r="A182" t="e">
        <f t="shared" si="386"/>
        <v>#N/A</v>
      </c>
      <c r="B182" s="218">
        <v>174</v>
      </c>
      <c r="C182">
        <f t="shared" si="386"/>
        <v>-1</v>
      </c>
      <c r="D182">
        <f t="shared" ref="D182:BO182" si="522">IF(OR(D181=-1,AND(IF(D$3&lt;$B182,D181+D$6,IF(D$3=$B182,1,""))&gt;$B$1,D$3&lt;$B182)),-1,IF(D$3&lt;$B182,D181+D$6,IF(D$3=$B182,1,"")))</f>
        <v>-1</v>
      </c>
      <c r="E182">
        <f t="shared" si="522"/>
        <v>-1</v>
      </c>
      <c r="F182">
        <f t="shared" si="522"/>
        <v>-1</v>
      </c>
      <c r="G182">
        <f t="shared" si="522"/>
        <v>-1</v>
      </c>
      <c r="H182">
        <f t="shared" si="522"/>
        <v>-1</v>
      </c>
      <c r="I182">
        <f t="shared" si="522"/>
        <v>-1</v>
      </c>
      <c r="J182">
        <f t="shared" si="522"/>
        <v>-1</v>
      </c>
      <c r="K182">
        <f t="shared" si="522"/>
        <v>-1</v>
      </c>
      <c r="L182">
        <f t="shared" si="522"/>
        <v>-1</v>
      </c>
      <c r="M182">
        <f t="shared" si="522"/>
        <v>-1</v>
      </c>
      <c r="N182">
        <f t="shared" si="522"/>
        <v>-1</v>
      </c>
      <c r="O182">
        <f t="shared" si="522"/>
        <v>-1</v>
      </c>
      <c r="P182">
        <f t="shared" si="522"/>
        <v>-1</v>
      </c>
      <c r="Q182">
        <f t="shared" si="522"/>
        <v>-1</v>
      </c>
      <c r="R182">
        <f t="shared" si="522"/>
        <v>-1</v>
      </c>
      <c r="S182">
        <f t="shared" si="522"/>
        <v>-1</v>
      </c>
      <c r="T182">
        <f t="shared" si="522"/>
        <v>-1</v>
      </c>
      <c r="U182">
        <f t="shared" si="522"/>
        <v>-1</v>
      </c>
      <c r="V182">
        <f t="shared" si="522"/>
        <v>-1</v>
      </c>
      <c r="W182">
        <f t="shared" si="522"/>
        <v>-1</v>
      </c>
      <c r="X182">
        <f t="shared" si="522"/>
        <v>-1</v>
      </c>
      <c r="Y182">
        <f t="shared" si="522"/>
        <v>-1</v>
      </c>
      <c r="Z182">
        <f t="shared" si="522"/>
        <v>-1</v>
      </c>
      <c r="AA182">
        <f t="shared" si="522"/>
        <v>-1</v>
      </c>
      <c r="AB182">
        <f t="shared" si="522"/>
        <v>-1</v>
      </c>
      <c r="AC182">
        <f t="shared" si="522"/>
        <v>-1</v>
      </c>
      <c r="AD182">
        <f t="shared" si="522"/>
        <v>-1</v>
      </c>
      <c r="AE182">
        <f t="shared" si="522"/>
        <v>-1</v>
      </c>
      <c r="AF182">
        <f t="shared" si="522"/>
        <v>-1</v>
      </c>
      <c r="AG182">
        <f t="shared" si="522"/>
        <v>-1</v>
      </c>
      <c r="AH182">
        <f t="shared" si="522"/>
        <v>-1</v>
      </c>
      <c r="AI182">
        <f t="shared" si="522"/>
        <v>-1</v>
      </c>
      <c r="AJ182">
        <f t="shared" si="522"/>
        <v>-1</v>
      </c>
      <c r="AK182">
        <f t="shared" si="522"/>
        <v>-1</v>
      </c>
      <c r="AL182">
        <f t="shared" si="522"/>
        <v>-1</v>
      </c>
      <c r="AM182">
        <f t="shared" si="522"/>
        <v>-1</v>
      </c>
      <c r="AN182">
        <f t="shared" si="522"/>
        <v>-1</v>
      </c>
      <c r="AO182">
        <f t="shared" si="522"/>
        <v>-1</v>
      </c>
      <c r="AP182">
        <f t="shared" si="522"/>
        <v>-1</v>
      </c>
      <c r="AQ182">
        <f t="shared" si="522"/>
        <v>-1</v>
      </c>
      <c r="AR182">
        <f t="shared" si="522"/>
        <v>-1</v>
      </c>
      <c r="AS182">
        <f t="shared" si="522"/>
        <v>-1</v>
      </c>
      <c r="AT182">
        <f t="shared" si="522"/>
        <v>-1</v>
      </c>
      <c r="AU182">
        <f t="shared" si="522"/>
        <v>-1</v>
      </c>
      <c r="AV182">
        <f t="shared" si="522"/>
        <v>-1</v>
      </c>
      <c r="AW182">
        <f t="shared" si="522"/>
        <v>-1</v>
      </c>
      <c r="AX182">
        <f t="shared" si="522"/>
        <v>-1</v>
      </c>
      <c r="AY182">
        <f t="shared" si="522"/>
        <v>-1</v>
      </c>
      <c r="AZ182">
        <f t="shared" si="522"/>
        <v>-1</v>
      </c>
      <c r="BA182">
        <f t="shared" si="522"/>
        <v>-1</v>
      </c>
      <c r="BB182">
        <f t="shared" si="522"/>
        <v>-1</v>
      </c>
      <c r="BC182">
        <f t="shared" si="522"/>
        <v>-1</v>
      </c>
      <c r="BD182">
        <f t="shared" si="522"/>
        <v>-1</v>
      </c>
      <c r="BE182">
        <f t="shared" si="522"/>
        <v>-1</v>
      </c>
      <c r="BF182">
        <f t="shared" si="522"/>
        <v>-1</v>
      </c>
      <c r="BG182">
        <f t="shared" si="522"/>
        <v>-1</v>
      </c>
      <c r="BH182">
        <f t="shared" si="522"/>
        <v>-1</v>
      </c>
      <c r="BI182">
        <f t="shared" si="522"/>
        <v>-1</v>
      </c>
      <c r="BJ182">
        <f t="shared" si="522"/>
        <v>-1</v>
      </c>
      <c r="BK182">
        <f t="shared" si="522"/>
        <v>-1</v>
      </c>
      <c r="BL182">
        <f t="shared" si="522"/>
        <v>-1</v>
      </c>
      <c r="BM182">
        <f t="shared" si="522"/>
        <v>-1</v>
      </c>
      <c r="BN182">
        <f t="shared" si="522"/>
        <v>-1</v>
      </c>
      <c r="BO182">
        <f t="shared" si="522"/>
        <v>-1</v>
      </c>
      <c r="BP182">
        <f t="shared" ref="BP182:EA182" si="523">IF(OR(BP181=-1,AND(IF(BP$3&lt;$B182,BP181+BP$6,IF(BP$3=$B182,1,""))&gt;$B$1,BP$3&lt;$B182)),-1,IF(BP$3&lt;$B182,BP181+BP$6,IF(BP$3=$B182,1,"")))</f>
        <v>-1</v>
      </c>
      <c r="BQ182">
        <f t="shared" si="523"/>
        <v>-1</v>
      </c>
      <c r="BR182">
        <f t="shared" si="523"/>
        <v>-1</v>
      </c>
      <c r="BS182">
        <f t="shared" si="523"/>
        <v>-1</v>
      </c>
      <c r="BT182">
        <f t="shared" si="523"/>
        <v>-1</v>
      </c>
      <c r="BU182">
        <f t="shared" si="523"/>
        <v>-1</v>
      </c>
      <c r="BV182">
        <f t="shared" si="523"/>
        <v>-1</v>
      </c>
      <c r="BW182">
        <f t="shared" si="523"/>
        <v>-1</v>
      </c>
      <c r="BX182">
        <f t="shared" si="523"/>
        <v>-1</v>
      </c>
      <c r="BY182">
        <f t="shared" si="523"/>
        <v>-1</v>
      </c>
      <c r="BZ182">
        <f t="shared" si="523"/>
        <v>-1</v>
      </c>
      <c r="CA182">
        <f t="shared" si="523"/>
        <v>-1</v>
      </c>
      <c r="CB182">
        <f t="shared" si="523"/>
        <v>-1</v>
      </c>
      <c r="CC182">
        <f t="shared" si="523"/>
        <v>73.000000000000014</v>
      </c>
      <c r="CD182">
        <f t="shared" si="523"/>
        <v>69.400000000000048</v>
      </c>
      <c r="CE182">
        <f t="shared" si="523"/>
        <v>65.800000000000082</v>
      </c>
      <c r="CF182">
        <f t="shared" si="523"/>
        <v>62.200000000000102</v>
      </c>
      <c r="CG182">
        <f t="shared" si="523"/>
        <v>58.600000000000094</v>
      </c>
      <c r="CH182">
        <f t="shared" si="523"/>
        <v>55.000000000000085</v>
      </c>
      <c r="CI182">
        <f t="shared" si="523"/>
        <v>51.400000000000077</v>
      </c>
      <c r="CJ182">
        <f t="shared" si="523"/>
        <v>47.800000000000068</v>
      </c>
      <c r="CK182">
        <f t="shared" si="523"/>
        <v>44.20000000000006</v>
      </c>
      <c r="CL182">
        <f t="shared" si="523"/>
        <v>40.600000000000051</v>
      </c>
      <c r="CM182">
        <f t="shared" si="523"/>
        <v>37.000000000000043</v>
      </c>
      <c r="CN182">
        <f t="shared" si="523"/>
        <v>33.400000000000034</v>
      </c>
      <c r="CO182">
        <f t="shared" si="523"/>
        <v>75</v>
      </c>
      <c r="CP182">
        <f t="shared" si="523"/>
        <v>62</v>
      </c>
      <c r="CQ182">
        <f t="shared" si="523"/>
        <v>-1</v>
      </c>
      <c r="CR182">
        <f t="shared" si="523"/>
        <v>-1</v>
      </c>
      <c r="CS182">
        <f t="shared" si="523"/>
        <v>-1</v>
      </c>
      <c r="CT182">
        <f t="shared" si="523"/>
        <v>-1</v>
      </c>
      <c r="CU182">
        <f t="shared" si="523"/>
        <v>-1</v>
      </c>
      <c r="CV182">
        <f t="shared" si="523"/>
        <v>-1</v>
      </c>
      <c r="CW182">
        <f t="shared" si="523"/>
        <v>-1</v>
      </c>
      <c r="CX182">
        <f t="shared" si="523"/>
        <v>-1</v>
      </c>
      <c r="CY182">
        <f t="shared" si="523"/>
        <v>-1</v>
      </c>
      <c r="CZ182">
        <f t="shared" si="523"/>
        <v>-1</v>
      </c>
      <c r="DA182">
        <f t="shared" si="523"/>
        <v>-1</v>
      </c>
      <c r="DB182">
        <f t="shared" si="523"/>
        <v>-1</v>
      </c>
      <c r="DC182">
        <f t="shared" si="523"/>
        <v>-1</v>
      </c>
      <c r="DD182">
        <f t="shared" si="523"/>
        <v>-1</v>
      </c>
      <c r="DE182">
        <f t="shared" si="523"/>
        <v>-1</v>
      </c>
      <c r="DF182">
        <f t="shared" si="523"/>
        <v>-1</v>
      </c>
      <c r="DG182">
        <f t="shared" si="523"/>
        <v>-1</v>
      </c>
      <c r="DH182">
        <f t="shared" si="523"/>
        <v>-1</v>
      </c>
      <c r="DI182">
        <f t="shared" si="523"/>
        <v>-1</v>
      </c>
      <c r="DJ182">
        <f t="shared" si="523"/>
        <v>-1</v>
      </c>
      <c r="DK182">
        <f t="shared" si="523"/>
        <v>-1</v>
      </c>
      <c r="DL182">
        <f t="shared" si="523"/>
        <v>-1</v>
      </c>
      <c r="DM182">
        <f t="shared" si="523"/>
        <v>-1</v>
      </c>
      <c r="DN182">
        <f t="shared" si="523"/>
        <v>-1</v>
      </c>
      <c r="DO182">
        <f t="shared" si="523"/>
        <v>-1</v>
      </c>
      <c r="DP182">
        <f t="shared" si="523"/>
        <v>-1</v>
      </c>
      <c r="DQ182">
        <f t="shared" si="523"/>
        <v>-1</v>
      </c>
      <c r="DR182">
        <f t="shared" si="523"/>
        <v>-1</v>
      </c>
      <c r="DS182">
        <f t="shared" si="523"/>
        <v>-1</v>
      </c>
      <c r="DT182">
        <f t="shared" si="523"/>
        <v>-1</v>
      </c>
      <c r="DU182">
        <f t="shared" si="523"/>
        <v>-1</v>
      </c>
      <c r="DV182">
        <f t="shared" si="523"/>
        <v>-1</v>
      </c>
      <c r="DW182">
        <f t="shared" si="523"/>
        <v>-1</v>
      </c>
      <c r="DX182">
        <f t="shared" si="523"/>
        <v>-1</v>
      </c>
      <c r="DY182">
        <f t="shared" si="523"/>
        <v>-1</v>
      </c>
      <c r="DZ182">
        <f t="shared" si="523"/>
        <v>-1</v>
      </c>
      <c r="EA182">
        <f t="shared" si="523"/>
        <v>-1</v>
      </c>
      <c r="EB182">
        <f t="shared" ref="EB182:EO182" si="524">IF(OR(EB181=-1,AND(IF(EB$3&lt;$B182,EB181+EB$6,IF(EB$3=$B182,1,""))&gt;$B$1,EB$3&lt;$B182)),-1,IF(EB$3&lt;$B182,EB181+EB$6,IF(EB$3=$B182,1,"")))</f>
        <v>-1</v>
      </c>
      <c r="EC182">
        <f t="shared" si="524"/>
        <v>-1</v>
      </c>
      <c r="ED182">
        <f t="shared" si="524"/>
        <v>-1</v>
      </c>
      <c r="EE182">
        <f t="shared" si="524"/>
        <v>-1</v>
      </c>
      <c r="EF182">
        <f t="shared" si="524"/>
        <v>-1</v>
      </c>
      <c r="EG182">
        <f t="shared" si="524"/>
        <v>-1</v>
      </c>
      <c r="EH182">
        <f t="shared" si="524"/>
        <v>-1</v>
      </c>
      <c r="EI182">
        <f t="shared" si="524"/>
        <v>-1</v>
      </c>
      <c r="EJ182">
        <f t="shared" si="524"/>
        <v>-1</v>
      </c>
      <c r="EK182">
        <f t="shared" si="524"/>
        <v>-1</v>
      </c>
      <c r="EL182">
        <f t="shared" si="524"/>
        <v>-1</v>
      </c>
      <c r="EM182">
        <f t="shared" si="524"/>
        <v>-1</v>
      </c>
      <c r="EN182">
        <f t="shared" si="524"/>
        <v>-1</v>
      </c>
      <c r="EO182">
        <f t="shared" si="524"/>
        <v>-1</v>
      </c>
    </row>
    <row r="183" spans="1:145" x14ac:dyDescent="0.15">
      <c r="A183" t="e">
        <f t="shared" si="386"/>
        <v>#N/A</v>
      </c>
      <c r="B183" s="218">
        <v>175</v>
      </c>
      <c r="C183">
        <f t="shared" si="386"/>
        <v>-1</v>
      </c>
      <c r="D183">
        <f t="shared" ref="D183:BO183" si="525">IF(OR(D182=-1,AND(IF(D$3&lt;$B183,D182+D$6,IF(D$3=$B183,1,""))&gt;$B$1,D$3&lt;$B183)),-1,IF(D$3&lt;$B183,D182+D$6,IF(D$3=$B183,1,"")))</f>
        <v>-1</v>
      </c>
      <c r="E183">
        <f t="shared" si="525"/>
        <v>-1</v>
      </c>
      <c r="F183">
        <f t="shared" si="525"/>
        <v>-1</v>
      </c>
      <c r="G183">
        <f t="shared" si="525"/>
        <v>-1</v>
      </c>
      <c r="H183">
        <f t="shared" si="525"/>
        <v>-1</v>
      </c>
      <c r="I183">
        <f t="shared" si="525"/>
        <v>-1</v>
      </c>
      <c r="J183">
        <f t="shared" si="525"/>
        <v>-1</v>
      </c>
      <c r="K183">
        <f t="shared" si="525"/>
        <v>-1</v>
      </c>
      <c r="L183">
        <f t="shared" si="525"/>
        <v>-1</v>
      </c>
      <c r="M183">
        <f t="shared" si="525"/>
        <v>-1</v>
      </c>
      <c r="N183">
        <f t="shared" si="525"/>
        <v>-1</v>
      </c>
      <c r="O183">
        <f t="shared" si="525"/>
        <v>-1</v>
      </c>
      <c r="P183">
        <f t="shared" si="525"/>
        <v>-1</v>
      </c>
      <c r="Q183">
        <f t="shared" si="525"/>
        <v>-1</v>
      </c>
      <c r="R183">
        <f t="shared" si="525"/>
        <v>-1</v>
      </c>
      <c r="S183">
        <f t="shared" si="525"/>
        <v>-1</v>
      </c>
      <c r="T183">
        <f t="shared" si="525"/>
        <v>-1</v>
      </c>
      <c r="U183">
        <f t="shared" si="525"/>
        <v>-1</v>
      </c>
      <c r="V183">
        <f t="shared" si="525"/>
        <v>-1</v>
      </c>
      <c r="W183">
        <f t="shared" si="525"/>
        <v>-1</v>
      </c>
      <c r="X183">
        <f t="shared" si="525"/>
        <v>-1</v>
      </c>
      <c r="Y183">
        <f t="shared" si="525"/>
        <v>-1</v>
      </c>
      <c r="Z183">
        <f t="shared" si="525"/>
        <v>-1</v>
      </c>
      <c r="AA183">
        <f t="shared" si="525"/>
        <v>-1</v>
      </c>
      <c r="AB183">
        <f t="shared" si="525"/>
        <v>-1</v>
      </c>
      <c r="AC183">
        <f t="shared" si="525"/>
        <v>-1</v>
      </c>
      <c r="AD183">
        <f t="shared" si="525"/>
        <v>-1</v>
      </c>
      <c r="AE183">
        <f t="shared" si="525"/>
        <v>-1</v>
      </c>
      <c r="AF183">
        <f t="shared" si="525"/>
        <v>-1</v>
      </c>
      <c r="AG183">
        <f t="shared" si="525"/>
        <v>-1</v>
      </c>
      <c r="AH183">
        <f t="shared" si="525"/>
        <v>-1</v>
      </c>
      <c r="AI183">
        <f t="shared" si="525"/>
        <v>-1</v>
      </c>
      <c r="AJ183">
        <f t="shared" si="525"/>
        <v>-1</v>
      </c>
      <c r="AK183">
        <f t="shared" si="525"/>
        <v>-1</v>
      </c>
      <c r="AL183">
        <f t="shared" si="525"/>
        <v>-1</v>
      </c>
      <c r="AM183">
        <f t="shared" si="525"/>
        <v>-1</v>
      </c>
      <c r="AN183">
        <f t="shared" si="525"/>
        <v>-1</v>
      </c>
      <c r="AO183">
        <f t="shared" si="525"/>
        <v>-1</v>
      </c>
      <c r="AP183">
        <f t="shared" si="525"/>
        <v>-1</v>
      </c>
      <c r="AQ183">
        <f t="shared" si="525"/>
        <v>-1</v>
      </c>
      <c r="AR183">
        <f t="shared" si="525"/>
        <v>-1</v>
      </c>
      <c r="AS183">
        <f t="shared" si="525"/>
        <v>-1</v>
      </c>
      <c r="AT183">
        <f t="shared" si="525"/>
        <v>-1</v>
      </c>
      <c r="AU183">
        <f t="shared" si="525"/>
        <v>-1</v>
      </c>
      <c r="AV183">
        <f t="shared" si="525"/>
        <v>-1</v>
      </c>
      <c r="AW183">
        <f t="shared" si="525"/>
        <v>-1</v>
      </c>
      <c r="AX183">
        <f t="shared" si="525"/>
        <v>-1</v>
      </c>
      <c r="AY183">
        <f t="shared" si="525"/>
        <v>-1</v>
      </c>
      <c r="AZ183">
        <f t="shared" si="525"/>
        <v>-1</v>
      </c>
      <c r="BA183">
        <f t="shared" si="525"/>
        <v>-1</v>
      </c>
      <c r="BB183">
        <f t="shared" si="525"/>
        <v>-1</v>
      </c>
      <c r="BC183">
        <f t="shared" si="525"/>
        <v>-1</v>
      </c>
      <c r="BD183">
        <f t="shared" si="525"/>
        <v>-1</v>
      </c>
      <c r="BE183">
        <f t="shared" si="525"/>
        <v>-1</v>
      </c>
      <c r="BF183">
        <f t="shared" si="525"/>
        <v>-1</v>
      </c>
      <c r="BG183">
        <f t="shared" si="525"/>
        <v>-1</v>
      </c>
      <c r="BH183">
        <f t="shared" si="525"/>
        <v>-1</v>
      </c>
      <c r="BI183">
        <f t="shared" si="525"/>
        <v>-1</v>
      </c>
      <c r="BJ183">
        <f t="shared" si="525"/>
        <v>-1</v>
      </c>
      <c r="BK183">
        <f t="shared" si="525"/>
        <v>-1</v>
      </c>
      <c r="BL183">
        <f t="shared" si="525"/>
        <v>-1</v>
      </c>
      <c r="BM183">
        <f t="shared" si="525"/>
        <v>-1</v>
      </c>
      <c r="BN183">
        <f t="shared" si="525"/>
        <v>-1</v>
      </c>
      <c r="BO183">
        <f t="shared" si="525"/>
        <v>-1</v>
      </c>
      <c r="BP183">
        <f t="shared" ref="BP183:EA183" si="526">IF(OR(BP182=-1,AND(IF(BP$3&lt;$B183,BP182+BP$6,IF(BP$3=$B183,1,""))&gt;$B$1,BP$3&lt;$B183)),-1,IF(BP$3&lt;$B183,BP182+BP$6,IF(BP$3=$B183,1,"")))</f>
        <v>-1</v>
      </c>
      <c r="BQ183">
        <f t="shared" si="526"/>
        <v>-1</v>
      </c>
      <c r="BR183">
        <f t="shared" si="526"/>
        <v>-1</v>
      </c>
      <c r="BS183">
        <f t="shared" si="526"/>
        <v>-1</v>
      </c>
      <c r="BT183">
        <f t="shared" si="526"/>
        <v>-1</v>
      </c>
      <c r="BU183">
        <f t="shared" si="526"/>
        <v>-1</v>
      </c>
      <c r="BV183">
        <f t="shared" si="526"/>
        <v>-1</v>
      </c>
      <c r="BW183">
        <f t="shared" si="526"/>
        <v>-1</v>
      </c>
      <c r="BX183">
        <f t="shared" si="526"/>
        <v>-1</v>
      </c>
      <c r="BY183">
        <f t="shared" si="526"/>
        <v>-1</v>
      </c>
      <c r="BZ183">
        <f t="shared" si="526"/>
        <v>-1</v>
      </c>
      <c r="CA183">
        <f t="shared" si="526"/>
        <v>-1</v>
      </c>
      <c r="CB183">
        <f t="shared" si="526"/>
        <v>-1</v>
      </c>
      <c r="CC183">
        <f t="shared" si="526"/>
        <v>73.600000000000009</v>
      </c>
      <c r="CD183">
        <f t="shared" si="526"/>
        <v>70.000000000000043</v>
      </c>
      <c r="CE183">
        <f t="shared" si="526"/>
        <v>66.400000000000077</v>
      </c>
      <c r="CF183">
        <f t="shared" si="526"/>
        <v>62.800000000000104</v>
      </c>
      <c r="CG183">
        <f t="shared" si="526"/>
        <v>59.200000000000095</v>
      </c>
      <c r="CH183">
        <f t="shared" si="526"/>
        <v>55.600000000000087</v>
      </c>
      <c r="CI183">
        <f t="shared" si="526"/>
        <v>52.000000000000078</v>
      </c>
      <c r="CJ183">
        <f t="shared" si="526"/>
        <v>48.40000000000007</v>
      </c>
      <c r="CK183">
        <f t="shared" si="526"/>
        <v>44.800000000000061</v>
      </c>
      <c r="CL183">
        <f t="shared" si="526"/>
        <v>41.200000000000053</v>
      </c>
      <c r="CM183">
        <f t="shared" si="526"/>
        <v>37.600000000000044</v>
      </c>
      <c r="CN183">
        <f t="shared" si="526"/>
        <v>34.000000000000036</v>
      </c>
      <c r="CO183">
        <f t="shared" si="526"/>
        <v>-1</v>
      </c>
      <c r="CP183">
        <f t="shared" si="526"/>
        <v>62.5</v>
      </c>
      <c r="CQ183">
        <f t="shared" si="526"/>
        <v>-1</v>
      </c>
      <c r="CR183">
        <f t="shared" si="526"/>
        <v>-1</v>
      </c>
      <c r="CS183">
        <f t="shared" si="526"/>
        <v>-1</v>
      </c>
      <c r="CT183">
        <f t="shared" si="526"/>
        <v>-1</v>
      </c>
      <c r="CU183">
        <f t="shared" si="526"/>
        <v>-1</v>
      </c>
      <c r="CV183">
        <f t="shared" si="526"/>
        <v>-1</v>
      </c>
      <c r="CW183">
        <f t="shared" si="526"/>
        <v>-1</v>
      </c>
      <c r="CX183">
        <f t="shared" si="526"/>
        <v>-1</v>
      </c>
      <c r="CY183">
        <f t="shared" si="526"/>
        <v>-1</v>
      </c>
      <c r="CZ183">
        <f t="shared" si="526"/>
        <v>-1</v>
      </c>
      <c r="DA183">
        <f t="shared" si="526"/>
        <v>-1</v>
      </c>
      <c r="DB183">
        <f t="shared" si="526"/>
        <v>-1</v>
      </c>
      <c r="DC183">
        <f t="shared" si="526"/>
        <v>-1</v>
      </c>
      <c r="DD183">
        <f t="shared" si="526"/>
        <v>-1</v>
      </c>
      <c r="DE183">
        <f t="shared" si="526"/>
        <v>-1</v>
      </c>
      <c r="DF183">
        <f t="shared" si="526"/>
        <v>-1</v>
      </c>
      <c r="DG183">
        <f t="shared" si="526"/>
        <v>-1</v>
      </c>
      <c r="DH183">
        <f t="shared" si="526"/>
        <v>-1</v>
      </c>
      <c r="DI183">
        <f t="shared" si="526"/>
        <v>-1</v>
      </c>
      <c r="DJ183">
        <f t="shared" si="526"/>
        <v>-1</v>
      </c>
      <c r="DK183">
        <f t="shared" si="526"/>
        <v>-1</v>
      </c>
      <c r="DL183">
        <f t="shared" si="526"/>
        <v>-1</v>
      </c>
      <c r="DM183">
        <f t="shared" si="526"/>
        <v>-1</v>
      </c>
      <c r="DN183">
        <f t="shared" si="526"/>
        <v>-1</v>
      </c>
      <c r="DO183">
        <f t="shared" si="526"/>
        <v>-1</v>
      </c>
      <c r="DP183">
        <f t="shared" si="526"/>
        <v>-1</v>
      </c>
      <c r="DQ183">
        <f t="shared" si="526"/>
        <v>-1</v>
      </c>
      <c r="DR183">
        <f t="shared" si="526"/>
        <v>-1</v>
      </c>
      <c r="DS183">
        <f t="shared" si="526"/>
        <v>-1</v>
      </c>
      <c r="DT183">
        <f t="shared" si="526"/>
        <v>-1</v>
      </c>
      <c r="DU183">
        <f t="shared" si="526"/>
        <v>-1</v>
      </c>
      <c r="DV183">
        <f t="shared" si="526"/>
        <v>-1</v>
      </c>
      <c r="DW183">
        <f t="shared" si="526"/>
        <v>-1</v>
      </c>
      <c r="DX183">
        <f t="shared" si="526"/>
        <v>-1</v>
      </c>
      <c r="DY183">
        <f t="shared" si="526"/>
        <v>-1</v>
      </c>
      <c r="DZ183">
        <f t="shared" si="526"/>
        <v>-1</v>
      </c>
      <c r="EA183">
        <f t="shared" si="526"/>
        <v>-1</v>
      </c>
      <c r="EB183">
        <f t="shared" ref="EB183:EO183" si="527">IF(OR(EB182=-1,AND(IF(EB$3&lt;$B183,EB182+EB$6,IF(EB$3=$B183,1,""))&gt;$B$1,EB$3&lt;$B183)),-1,IF(EB$3&lt;$B183,EB182+EB$6,IF(EB$3=$B183,1,"")))</f>
        <v>-1</v>
      </c>
      <c r="EC183">
        <f t="shared" si="527"/>
        <v>-1</v>
      </c>
      <c r="ED183">
        <f t="shared" si="527"/>
        <v>-1</v>
      </c>
      <c r="EE183">
        <f t="shared" si="527"/>
        <v>-1</v>
      </c>
      <c r="EF183">
        <f t="shared" si="527"/>
        <v>-1</v>
      </c>
      <c r="EG183">
        <f t="shared" si="527"/>
        <v>-1</v>
      </c>
      <c r="EH183">
        <f t="shared" si="527"/>
        <v>-1</v>
      </c>
      <c r="EI183">
        <f t="shared" si="527"/>
        <v>-1</v>
      </c>
      <c r="EJ183">
        <f t="shared" si="527"/>
        <v>-1</v>
      </c>
      <c r="EK183">
        <f t="shared" si="527"/>
        <v>-1</v>
      </c>
      <c r="EL183">
        <f t="shared" si="527"/>
        <v>-1</v>
      </c>
      <c r="EM183">
        <f t="shared" si="527"/>
        <v>-1</v>
      </c>
      <c r="EN183">
        <f t="shared" si="527"/>
        <v>-1</v>
      </c>
      <c r="EO183">
        <f t="shared" si="527"/>
        <v>-1</v>
      </c>
    </row>
    <row r="184" spans="1:145" x14ac:dyDescent="0.15">
      <c r="A184" t="e">
        <f t="shared" si="386"/>
        <v>#N/A</v>
      </c>
      <c r="B184" s="218">
        <v>176</v>
      </c>
      <c r="C184">
        <f t="shared" si="386"/>
        <v>-1</v>
      </c>
      <c r="D184">
        <f t="shared" ref="D184:BO184" si="528">IF(OR(D183=-1,AND(IF(D$3&lt;$B184,D183+D$6,IF(D$3=$B184,1,""))&gt;$B$1,D$3&lt;$B184)),-1,IF(D$3&lt;$B184,D183+D$6,IF(D$3=$B184,1,"")))</f>
        <v>-1</v>
      </c>
      <c r="E184">
        <f t="shared" si="528"/>
        <v>-1</v>
      </c>
      <c r="F184">
        <f t="shared" si="528"/>
        <v>-1</v>
      </c>
      <c r="G184">
        <f t="shared" si="528"/>
        <v>-1</v>
      </c>
      <c r="H184">
        <f t="shared" si="528"/>
        <v>-1</v>
      </c>
      <c r="I184">
        <f t="shared" si="528"/>
        <v>-1</v>
      </c>
      <c r="J184">
        <f t="shared" si="528"/>
        <v>-1</v>
      </c>
      <c r="K184">
        <f t="shared" si="528"/>
        <v>-1</v>
      </c>
      <c r="L184">
        <f t="shared" si="528"/>
        <v>-1</v>
      </c>
      <c r="M184">
        <f t="shared" si="528"/>
        <v>-1</v>
      </c>
      <c r="N184">
        <f t="shared" si="528"/>
        <v>-1</v>
      </c>
      <c r="O184">
        <f t="shared" si="528"/>
        <v>-1</v>
      </c>
      <c r="P184">
        <f t="shared" si="528"/>
        <v>-1</v>
      </c>
      <c r="Q184">
        <f t="shared" si="528"/>
        <v>-1</v>
      </c>
      <c r="R184">
        <f t="shared" si="528"/>
        <v>-1</v>
      </c>
      <c r="S184">
        <f t="shared" si="528"/>
        <v>-1</v>
      </c>
      <c r="T184">
        <f t="shared" si="528"/>
        <v>-1</v>
      </c>
      <c r="U184">
        <f t="shared" si="528"/>
        <v>-1</v>
      </c>
      <c r="V184">
        <f t="shared" si="528"/>
        <v>-1</v>
      </c>
      <c r="W184">
        <f t="shared" si="528"/>
        <v>-1</v>
      </c>
      <c r="X184">
        <f t="shared" si="528"/>
        <v>-1</v>
      </c>
      <c r="Y184">
        <f t="shared" si="528"/>
        <v>-1</v>
      </c>
      <c r="Z184">
        <f t="shared" si="528"/>
        <v>-1</v>
      </c>
      <c r="AA184">
        <f t="shared" si="528"/>
        <v>-1</v>
      </c>
      <c r="AB184">
        <f t="shared" si="528"/>
        <v>-1</v>
      </c>
      <c r="AC184">
        <f t="shared" si="528"/>
        <v>-1</v>
      </c>
      <c r="AD184">
        <f t="shared" si="528"/>
        <v>-1</v>
      </c>
      <c r="AE184">
        <f t="shared" si="528"/>
        <v>-1</v>
      </c>
      <c r="AF184">
        <f t="shared" si="528"/>
        <v>-1</v>
      </c>
      <c r="AG184">
        <f t="shared" si="528"/>
        <v>-1</v>
      </c>
      <c r="AH184">
        <f t="shared" si="528"/>
        <v>-1</v>
      </c>
      <c r="AI184">
        <f t="shared" si="528"/>
        <v>-1</v>
      </c>
      <c r="AJ184">
        <f t="shared" si="528"/>
        <v>-1</v>
      </c>
      <c r="AK184">
        <f t="shared" si="528"/>
        <v>-1</v>
      </c>
      <c r="AL184">
        <f t="shared" si="528"/>
        <v>-1</v>
      </c>
      <c r="AM184">
        <f t="shared" si="528"/>
        <v>-1</v>
      </c>
      <c r="AN184">
        <f t="shared" si="528"/>
        <v>-1</v>
      </c>
      <c r="AO184">
        <f t="shared" si="528"/>
        <v>-1</v>
      </c>
      <c r="AP184">
        <f t="shared" si="528"/>
        <v>-1</v>
      </c>
      <c r="AQ184">
        <f t="shared" si="528"/>
        <v>-1</v>
      </c>
      <c r="AR184">
        <f t="shared" si="528"/>
        <v>-1</v>
      </c>
      <c r="AS184">
        <f t="shared" si="528"/>
        <v>-1</v>
      </c>
      <c r="AT184">
        <f t="shared" si="528"/>
        <v>-1</v>
      </c>
      <c r="AU184">
        <f t="shared" si="528"/>
        <v>-1</v>
      </c>
      <c r="AV184">
        <f t="shared" si="528"/>
        <v>-1</v>
      </c>
      <c r="AW184">
        <f t="shared" si="528"/>
        <v>-1</v>
      </c>
      <c r="AX184">
        <f t="shared" si="528"/>
        <v>-1</v>
      </c>
      <c r="AY184">
        <f t="shared" si="528"/>
        <v>-1</v>
      </c>
      <c r="AZ184">
        <f t="shared" si="528"/>
        <v>-1</v>
      </c>
      <c r="BA184">
        <f t="shared" si="528"/>
        <v>-1</v>
      </c>
      <c r="BB184">
        <f t="shared" si="528"/>
        <v>-1</v>
      </c>
      <c r="BC184">
        <f t="shared" si="528"/>
        <v>-1</v>
      </c>
      <c r="BD184">
        <f t="shared" si="528"/>
        <v>-1</v>
      </c>
      <c r="BE184">
        <f t="shared" si="528"/>
        <v>-1</v>
      </c>
      <c r="BF184">
        <f t="shared" si="528"/>
        <v>-1</v>
      </c>
      <c r="BG184">
        <f t="shared" si="528"/>
        <v>-1</v>
      </c>
      <c r="BH184">
        <f t="shared" si="528"/>
        <v>-1</v>
      </c>
      <c r="BI184">
        <f t="shared" si="528"/>
        <v>-1</v>
      </c>
      <c r="BJ184">
        <f t="shared" si="528"/>
        <v>-1</v>
      </c>
      <c r="BK184">
        <f t="shared" si="528"/>
        <v>-1</v>
      </c>
      <c r="BL184">
        <f t="shared" si="528"/>
        <v>-1</v>
      </c>
      <c r="BM184">
        <f t="shared" si="528"/>
        <v>-1</v>
      </c>
      <c r="BN184">
        <f t="shared" si="528"/>
        <v>-1</v>
      </c>
      <c r="BO184">
        <f t="shared" si="528"/>
        <v>-1</v>
      </c>
      <c r="BP184">
        <f t="shared" ref="BP184:EA184" si="529">IF(OR(BP183=-1,AND(IF(BP$3&lt;$B184,BP183+BP$6,IF(BP$3=$B184,1,""))&gt;$B$1,BP$3&lt;$B184)),-1,IF(BP$3&lt;$B184,BP183+BP$6,IF(BP$3=$B184,1,"")))</f>
        <v>-1</v>
      </c>
      <c r="BQ184">
        <f t="shared" si="529"/>
        <v>-1</v>
      </c>
      <c r="BR184">
        <f t="shared" si="529"/>
        <v>-1</v>
      </c>
      <c r="BS184">
        <f t="shared" si="529"/>
        <v>-1</v>
      </c>
      <c r="BT184">
        <f t="shared" si="529"/>
        <v>-1</v>
      </c>
      <c r="BU184">
        <f t="shared" si="529"/>
        <v>-1</v>
      </c>
      <c r="BV184">
        <f t="shared" si="529"/>
        <v>-1</v>
      </c>
      <c r="BW184">
        <f t="shared" si="529"/>
        <v>-1</v>
      </c>
      <c r="BX184">
        <f t="shared" si="529"/>
        <v>-1</v>
      </c>
      <c r="BY184">
        <f t="shared" si="529"/>
        <v>-1</v>
      </c>
      <c r="BZ184">
        <f t="shared" si="529"/>
        <v>-1</v>
      </c>
      <c r="CA184">
        <f t="shared" si="529"/>
        <v>-1</v>
      </c>
      <c r="CB184">
        <f t="shared" si="529"/>
        <v>-1</v>
      </c>
      <c r="CC184">
        <f t="shared" si="529"/>
        <v>74.2</v>
      </c>
      <c r="CD184">
        <f t="shared" si="529"/>
        <v>70.600000000000037</v>
      </c>
      <c r="CE184">
        <f t="shared" si="529"/>
        <v>67.000000000000071</v>
      </c>
      <c r="CF184">
        <f t="shared" si="529"/>
        <v>63.400000000000105</v>
      </c>
      <c r="CG184">
        <f t="shared" si="529"/>
        <v>59.800000000000097</v>
      </c>
      <c r="CH184">
        <f t="shared" si="529"/>
        <v>56.200000000000088</v>
      </c>
      <c r="CI184">
        <f t="shared" si="529"/>
        <v>52.60000000000008</v>
      </c>
      <c r="CJ184">
        <f t="shared" si="529"/>
        <v>49.000000000000071</v>
      </c>
      <c r="CK184">
        <f t="shared" si="529"/>
        <v>45.400000000000063</v>
      </c>
      <c r="CL184">
        <f t="shared" si="529"/>
        <v>41.800000000000054</v>
      </c>
      <c r="CM184">
        <f t="shared" si="529"/>
        <v>38.200000000000045</v>
      </c>
      <c r="CN184">
        <f t="shared" si="529"/>
        <v>34.600000000000037</v>
      </c>
      <c r="CO184">
        <f t="shared" si="529"/>
        <v>-1</v>
      </c>
      <c r="CP184">
        <f t="shared" si="529"/>
        <v>63</v>
      </c>
      <c r="CQ184">
        <f t="shared" si="529"/>
        <v>-1</v>
      </c>
      <c r="CR184">
        <f t="shared" si="529"/>
        <v>-1</v>
      </c>
      <c r="CS184">
        <f t="shared" si="529"/>
        <v>-1</v>
      </c>
      <c r="CT184">
        <f t="shared" si="529"/>
        <v>-1</v>
      </c>
      <c r="CU184">
        <f t="shared" si="529"/>
        <v>-1</v>
      </c>
      <c r="CV184">
        <f t="shared" si="529"/>
        <v>-1</v>
      </c>
      <c r="CW184">
        <f t="shared" si="529"/>
        <v>-1</v>
      </c>
      <c r="CX184">
        <f t="shared" si="529"/>
        <v>-1</v>
      </c>
      <c r="CY184">
        <f t="shared" si="529"/>
        <v>-1</v>
      </c>
      <c r="CZ184">
        <f t="shared" si="529"/>
        <v>-1</v>
      </c>
      <c r="DA184">
        <f t="shared" si="529"/>
        <v>-1</v>
      </c>
      <c r="DB184">
        <f t="shared" si="529"/>
        <v>-1</v>
      </c>
      <c r="DC184">
        <f t="shared" si="529"/>
        <v>-1</v>
      </c>
      <c r="DD184">
        <f t="shared" si="529"/>
        <v>-1</v>
      </c>
      <c r="DE184">
        <f t="shared" si="529"/>
        <v>-1</v>
      </c>
      <c r="DF184">
        <f t="shared" si="529"/>
        <v>-1</v>
      </c>
      <c r="DG184">
        <f t="shared" si="529"/>
        <v>-1</v>
      </c>
      <c r="DH184">
        <f t="shared" si="529"/>
        <v>-1</v>
      </c>
      <c r="DI184">
        <f t="shared" si="529"/>
        <v>-1</v>
      </c>
      <c r="DJ184">
        <f t="shared" si="529"/>
        <v>-1</v>
      </c>
      <c r="DK184">
        <f t="shared" si="529"/>
        <v>-1</v>
      </c>
      <c r="DL184">
        <f t="shared" si="529"/>
        <v>-1</v>
      </c>
      <c r="DM184">
        <f t="shared" si="529"/>
        <v>-1</v>
      </c>
      <c r="DN184">
        <f t="shared" si="529"/>
        <v>-1</v>
      </c>
      <c r="DO184">
        <f t="shared" si="529"/>
        <v>-1</v>
      </c>
      <c r="DP184">
        <f t="shared" si="529"/>
        <v>-1</v>
      </c>
      <c r="DQ184">
        <f t="shared" si="529"/>
        <v>-1</v>
      </c>
      <c r="DR184">
        <f t="shared" si="529"/>
        <v>-1</v>
      </c>
      <c r="DS184">
        <f t="shared" si="529"/>
        <v>-1</v>
      </c>
      <c r="DT184">
        <f t="shared" si="529"/>
        <v>-1</v>
      </c>
      <c r="DU184">
        <f t="shared" si="529"/>
        <v>-1</v>
      </c>
      <c r="DV184">
        <f t="shared" si="529"/>
        <v>-1</v>
      </c>
      <c r="DW184">
        <f t="shared" si="529"/>
        <v>-1</v>
      </c>
      <c r="DX184">
        <f t="shared" si="529"/>
        <v>-1</v>
      </c>
      <c r="DY184">
        <f t="shared" si="529"/>
        <v>-1</v>
      </c>
      <c r="DZ184">
        <f t="shared" si="529"/>
        <v>-1</v>
      </c>
      <c r="EA184">
        <f t="shared" si="529"/>
        <v>-1</v>
      </c>
      <c r="EB184">
        <f t="shared" ref="EB184:EO184" si="530">IF(OR(EB183=-1,AND(IF(EB$3&lt;$B184,EB183+EB$6,IF(EB$3=$B184,1,""))&gt;$B$1,EB$3&lt;$B184)),-1,IF(EB$3&lt;$B184,EB183+EB$6,IF(EB$3=$B184,1,"")))</f>
        <v>-1</v>
      </c>
      <c r="EC184">
        <f t="shared" si="530"/>
        <v>-1</v>
      </c>
      <c r="ED184">
        <f t="shared" si="530"/>
        <v>-1</v>
      </c>
      <c r="EE184">
        <f t="shared" si="530"/>
        <v>-1</v>
      </c>
      <c r="EF184">
        <f t="shared" si="530"/>
        <v>-1</v>
      </c>
      <c r="EG184">
        <f t="shared" si="530"/>
        <v>-1</v>
      </c>
      <c r="EH184">
        <f t="shared" si="530"/>
        <v>-1</v>
      </c>
      <c r="EI184">
        <f t="shared" si="530"/>
        <v>-1</v>
      </c>
      <c r="EJ184">
        <f t="shared" si="530"/>
        <v>-1</v>
      </c>
      <c r="EK184">
        <f t="shared" si="530"/>
        <v>-1</v>
      </c>
      <c r="EL184">
        <f t="shared" si="530"/>
        <v>-1</v>
      </c>
      <c r="EM184">
        <f t="shared" si="530"/>
        <v>-1</v>
      </c>
      <c r="EN184">
        <f t="shared" si="530"/>
        <v>-1</v>
      </c>
      <c r="EO184">
        <f t="shared" si="530"/>
        <v>-1</v>
      </c>
    </row>
    <row r="185" spans="1:145" x14ac:dyDescent="0.15">
      <c r="A185" t="e">
        <f t="shared" si="386"/>
        <v>#N/A</v>
      </c>
      <c r="B185" s="218">
        <v>177</v>
      </c>
      <c r="C185">
        <f t="shared" si="386"/>
        <v>-1</v>
      </c>
      <c r="D185">
        <f t="shared" ref="D185:BO185" si="531">IF(OR(D184=-1,AND(IF(D$3&lt;$B185,D184+D$6,IF(D$3=$B185,1,""))&gt;$B$1,D$3&lt;$B185)),-1,IF(D$3&lt;$B185,D184+D$6,IF(D$3=$B185,1,"")))</f>
        <v>-1</v>
      </c>
      <c r="E185">
        <f t="shared" si="531"/>
        <v>-1</v>
      </c>
      <c r="F185">
        <f t="shared" si="531"/>
        <v>-1</v>
      </c>
      <c r="G185">
        <f t="shared" si="531"/>
        <v>-1</v>
      </c>
      <c r="H185">
        <f t="shared" si="531"/>
        <v>-1</v>
      </c>
      <c r="I185">
        <f t="shared" si="531"/>
        <v>-1</v>
      </c>
      <c r="J185">
        <f t="shared" si="531"/>
        <v>-1</v>
      </c>
      <c r="K185">
        <f t="shared" si="531"/>
        <v>-1</v>
      </c>
      <c r="L185">
        <f t="shared" si="531"/>
        <v>-1</v>
      </c>
      <c r="M185">
        <f t="shared" si="531"/>
        <v>-1</v>
      </c>
      <c r="N185">
        <f t="shared" si="531"/>
        <v>-1</v>
      </c>
      <c r="O185">
        <f t="shared" si="531"/>
        <v>-1</v>
      </c>
      <c r="P185">
        <f t="shared" si="531"/>
        <v>-1</v>
      </c>
      <c r="Q185">
        <f t="shared" si="531"/>
        <v>-1</v>
      </c>
      <c r="R185">
        <f t="shared" si="531"/>
        <v>-1</v>
      </c>
      <c r="S185">
        <f t="shared" si="531"/>
        <v>-1</v>
      </c>
      <c r="T185">
        <f t="shared" si="531"/>
        <v>-1</v>
      </c>
      <c r="U185">
        <f t="shared" si="531"/>
        <v>-1</v>
      </c>
      <c r="V185">
        <f t="shared" si="531"/>
        <v>-1</v>
      </c>
      <c r="W185">
        <f t="shared" si="531"/>
        <v>-1</v>
      </c>
      <c r="X185">
        <f t="shared" si="531"/>
        <v>-1</v>
      </c>
      <c r="Y185">
        <f t="shared" si="531"/>
        <v>-1</v>
      </c>
      <c r="Z185">
        <f t="shared" si="531"/>
        <v>-1</v>
      </c>
      <c r="AA185">
        <f t="shared" si="531"/>
        <v>-1</v>
      </c>
      <c r="AB185">
        <f t="shared" si="531"/>
        <v>-1</v>
      </c>
      <c r="AC185">
        <f t="shared" si="531"/>
        <v>-1</v>
      </c>
      <c r="AD185">
        <f t="shared" si="531"/>
        <v>-1</v>
      </c>
      <c r="AE185">
        <f t="shared" si="531"/>
        <v>-1</v>
      </c>
      <c r="AF185">
        <f t="shared" si="531"/>
        <v>-1</v>
      </c>
      <c r="AG185">
        <f t="shared" si="531"/>
        <v>-1</v>
      </c>
      <c r="AH185">
        <f t="shared" si="531"/>
        <v>-1</v>
      </c>
      <c r="AI185">
        <f t="shared" si="531"/>
        <v>-1</v>
      </c>
      <c r="AJ185">
        <f t="shared" si="531"/>
        <v>-1</v>
      </c>
      <c r="AK185">
        <f t="shared" si="531"/>
        <v>-1</v>
      </c>
      <c r="AL185">
        <f t="shared" si="531"/>
        <v>-1</v>
      </c>
      <c r="AM185">
        <f t="shared" si="531"/>
        <v>-1</v>
      </c>
      <c r="AN185">
        <f t="shared" si="531"/>
        <v>-1</v>
      </c>
      <c r="AO185">
        <f t="shared" si="531"/>
        <v>-1</v>
      </c>
      <c r="AP185">
        <f t="shared" si="531"/>
        <v>-1</v>
      </c>
      <c r="AQ185">
        <f t="shared" si="531"/>
        <v>-1</v>
      </c>
      <c r="AR185">
        <f t="shared" si="531"/>
        <v>-1</v>
      </c>
      <c r="AS185">
        <f t="shared" si="531"/>
        <v>-1</v>
      </c>
      <c r="AT185">
        <f t="shared" si="531"/>
        <v>-1</v>
      </c>
      <c r="AU185">
        <f t="shared" si="531"/>
        <v>-1</v>
      </c>
      <c r="AV185">
        <f t="shared" si="531"/>
        <v>-1</v>
      </c>
      <c r="AW185">
        <f t="shared" si="531"/>
        <v>-1</v>
      </c>
      <c r="AX185">
        <f t="shared" si="531"/>
        <v>-1</v>
      </c>
      <c r="AY185">
        <f t="shared" si="531"/>
        <v>-1</v>
      </c>
      <c r="AZ185">
        <f t="shared" si="531"/>
        <v>-1</v>
      </c>
      <c r="BA185">
        <f t="shared" si="531"/>
        <v>-1</v>
      </c>
      <c r="BB185">
        <f t="shared" si="531"/>
        <v>-1</v>
      </c>
      <c r="BC185">
        <f t="shared" si="531"/>
        <v>-1</v>
      </c>
      <c r="BD185">
        <f t="shared" si="531"/>
        <v>-1</v>
      </c>
      <c r="BE185">
        <f t="shared" si="531"/>
        <v>-1</v>
      </c>
      <c r="BF185">
        <f t="shared" si="531"/>
        <v>-1</v>
      </c>
      <c r="BG185">
        <f t="shared" si="531"/>
        <v>-1</v>
      </c>
      <c r="BH185">
        <f t="shared" si="531"/>
        <v>-1</v>
      </c>
      <c r="BI185">
        <f t="shared" si="531"/>
        <v>-1</v>
      </c>
      <c r="BJ185">
        <f t="shared" si="531"/>
        <v>-1</v>
      </c>
      <c r="BK185">
        <f t="shared" si="531"/>
        <v>-1</v>
      </c>
      <c r="BL185">
        <f t="shared" si="531"/>
        <v>-1</v>
      </c>
      <c r="BM185">
        <f t="shared" si="531"/>
        <v>-1</v>
      </c>
      <c r="BN185">
        <f t="shared" si="531"/>
        <v>-1</v>
      </c>
      <c r="BO185">
        <f t="shared" si="531"/>
        <v>-1</v>
      </c>
      <c r="BP185">
        <f t="shared" ref="BP185:EA185" si="532">IF(OR(BP184=-1,AND(IF(BP$3&lt;$B185,BP184+BP$6,IF(BP$3=$B185,1,""))&gt;$B$1,BP$3&lt;$B185)),-1,IF(BP$3&lt;$B185,BP184+BP$6,IF(BP$3=$B185,1,"")))</f>
        <v>-1</v>
      </c>
      <c r="BQ185">
        <f t="shared" si="532"/>
        <v>-1</v>
      </c>
      <c r="BR185">
        <f t="shared" si="532"/>
        <v>-1</v>
      </c>
      <c r="BS185">
        <f t="shared" si="532"/>
        <v>-1</v>
      </c>
      <c r="BT185">
        <f t="shared" si="532"/>
        <v>-1</v>
      </c>
      <c r="BU185">
        <f t="shared" si="532"/>
        <v>-1</v>
      </c>
      <c r="BV185">
        <f t="shared" si="532"/>
        <v>-1</v>
      </c>
      <c r="BW185">
        <f t="shared" si="532"/>
        <v>-1</v>
      </c>
      <c r="BX185">
        <f t="shared" si="532"/>
        <v>-1</v>
      </c>
      <c r="BY185">
        <f t="shared" si="532"/>
        <v>-1</v>
      </c>
      <c r="BZ185">
        <f t="shared" si="532"/>
        <v>-1</v>
      </c>
      <c r="CA185">
        <f t="shared" si="532"/>
        <v>-1</v>
      </c>
      <c r="CB185">
        <f t="shared" si="532"/>
        <v>-1</v>
      </c>
      <c r="CC185">
        <f t="shared" si="532"/>
        <v>74.8</v>
      </c>
      <c r="CD185">
        <f t="shared" si="532"/>
        <v>71.200000000000031</v>
      </c>
      <c r="CE185">
        <f t="shared" si="532"/>
        <v>67.600000000000065</v>
      </c>
      <c r="CF185">
        <f t="shared" si="532"/>
        <v>64.000000000000099</v>
      </c>
      <c r="CG185">
        <f t="shared" si="532"/>
        <v>60.400000000000098</v>
      </c>
      <c r="CH185">
        <f t="shared" si="532"/>
        <v>56.80000000000009</v>
      </c>
      <c r="CI185">
        <f t="shared" si="532"/>
        <v>53.200000000000081</v>
      </c>
      <c r="CJ185">
        <f t="shared" si="532"/>
        <v>49.600000000000072</v>
      </c>
      <c r="CK185">
        <f t="shared" si="532"/>
        <v>46.000000000000064</v>
      </c>
      <c r="CL185">
        <f t="shared" si="532"/>
        <v>42.400000000000055</v>
      </c>
      <c r="CM185">
        <f t="shared" si="532"/>
        <v>38.800000000000047</v>
      </c>
      <c r="CN185">
        <f t="shared" si="532"/>
        <v>35.200000000000038</v>
      </c>
      <c r="CO185">
        <f t="shared" si="532"/>
        <v>-1</v>
      </c>
      <c r="CP185">
        <f t="shared" si="532"/>
        <v>63.5</v>
      </c>
      <c r="CQ185">
        <f t="shared" si="532"/>
        <v>-1</v>
      </c>
      <c r="CR185">
        <f t="shared" si="532"/>
        <v>-1</v>
      </c>
      <c r="CS185">
        <f t="shared" si="532"/>
        <v>-1</v>
      </c>
      <c r="CT185">
        <f t="shared" si="532"/>
        <v>-1</v>
      </c>
      <c r="CU185">
        <f t="shared" si="532"/>
        <v>-1</v>
      </c>
      <c r="CV185">
        <f t="shared" si="532"/>
        <v>-1</v>
      </c>
      <c r="CW185">
        <f t="shared" si="532"/>
        <v>-1</v>
      </c>
      <c r="CX185">
        <f t="shared" si="532"/>
        <v>-1</v>
      </c>
      <c r="CY185">
        <f t="shared" si="532"/>
        <v>-1</v>
      </c>
      <c r="CZ185">
        <f t="shared" si="532"/>
        <v>-1</v>
      </c>
      <c r="DA185">
        <f t="shared" si="532"/>
        <v>-1</v>
      </c>
      <c r="DB185">
        <f t="shared" si="532"/>
        <v>-1</v>
      </c>
      <c r="DC185">
        <f t="shared" si="532"/>
        <v>-1</v>
      </c>
      <c r="DD185">
        <f t="shared" si="532"/>
        <v>-1</v>
      </c>
      <c r="DE185">
        <f t="shared" si="532"/>
        <v>-1</v>
      </c>
      <c r="DF185">
        <f t="shared" si="532"/>
        <v>-1</v>
      </c>
      <c r="DG185">
        <f t="shared" si="532"/>
        <v>-1</v>
      </c>
      <c r="DH185">
        <f t="shared" si="532"/>
        <v>-1</v>
      </c>
      <c r="DI185">
        <f t="shared" si="532"/>
        <v>-1</v>
      </c>
      <c r="DJ185">
        <f t="shared" si="532"/>
        <v>-1</v>
      </c>
      <c r="DK185">
        <f t="shared" si="532"/>
        <v>-1</v>
      </c>
      <c r="DL185">
        <f t="shared" si="532"/>
        <v>-1</v>
      </c>
      <c r="DM185">
        <f t="shared" si="532"/>
        <v>-1</v>
      </c>
      <c r="DN185">
        <f t="shared" si="532"/>
        <v>-1</v>
      </c>
      <c r="DO185">
        <f t="shared" si="532"/>
        <v>-1</v>
      </c>
      <c r="DP185">
        <f t="shared" si="532"/>
        <v>-1</v>
      </c>
      <c r="DQ185">
        <f t="shared" si="532"/>
        <v>-1</v>
      </c>
      <c r="DR185">
        <f t="shared" si="532"/>
        <v>-1</v>
      </c>
      <c r="DS185">
        <f t="shared" si="532"/>
        <v>-1</v>
      </c>
      <c r="DT185">
        <f t="shared" si="532"/>
        <v>-1</v>
      </c>
      <c r="DU185">
        <f t="shared" si="532"/>
        <v>-1</v>
      </c>
      <c r="DV185">
        <f t="shared" si="532"/>
        <v>-1</v>
      </c>
      <c r="DW185">
        <f t="shared" si="532"/>
        <v>-1</v>
      </c>
      <c r="DX185">
        <f t="shared" si="532"/>
        <v>-1</v>
      </c>
      <c r="DY185">
        <f t="shared" si="532"/>
        <v>-1</v>
      </c>
      <c r="DZ185">
        <f t="shared" si="532"/>
        <v>-1</v>
      </c>
      <c r="EA185">
        <f t="shared" si="532"/>
        <v>-1</v>
      </c>
      <c r="EB185">
        <f t="shared" ref="EB185:EO185" si="533">IF(OR(EB184=-1,AND(IF(EB$3&lt;$B185,EB184+EB$6,IF(EB$3=$B185,1,""))&gt;$B$1,EB$3&lt;$B185)),-1,IF(EB$3&lt;$B185,EB184+EB$6,IF(EB$3=$B185,1,"")))</f>
        <v>-1</v>
      </c>
      <c r="EC185">
        <f t="shared" si="533"/>
        <v>-1</v>
      </c>
      <c r="ED185">
        <f t="shared" si="533"/>
        <v>-1</v>
      </c>
      <c r="EE185">
        <f t="shared" si="533"/>
        <v>-1</v>
      </c>
      <c r="EF185">
        <f t="shared" si="533"/>
        <v>-1</v>
      </c>
      <c r="EG185">
        <f t="shared" si="533"/>
        <v>-1</v>
      </c>
      <c r="EH185">
        <f t="shared" si="533"/>
        <v>-1</v>
      </c>
      <c r="EI185">
        <f t="shared" si="533"/>
        <v>-1</v>
      </c>
      <c r="EJ185">
        <f t="shared" si="533"/>
        <v>-1</v>
      </c>
      <c r="EK185">
        <f t="shared" si="533"/>
        <v>-1</v>
      </c>
      <c r="EL185">
        <f t="shared" si="533"/>
        <v>-1</v>
      </c>
      <c r="EM185">
        <f t="shared" si="533"/>
        <v>-1</v>
      </c>
      <c r="EN185">
        <f t="shared" si="533"/>
        <v>-1</v>
      </c>
      <c r="EO185">
        <f t="shared" si="533"/>
        <v>-1</v>
      </c>
    </row>
    <row r="186" spans="1:145" x14ac:dyDescent="0.15">
      <c r="A186" t="e">
        <f t="shared" si="386"/>
        <v>#N/A</v>
      </c>
      <c r="B186" s="218">
        <v>178</v>
      </c>
      <c r="C186">
        <f t="shared" si="386"/>
        <v>-1</v>
      </c>
      <c r="D186">
        <f t="shared" ref="D186:BO186" si="534">IF(OR(D185=-1,AND(IF(D$3&lt;$B186,D185+D$6,IF(D$3=$B186,1,""))&gt;$B$1,D$3&lt;$B186)),-1,IF(D$3&lt;$B186,D185+D$6,IF(D$3=$B186,1,"")))</f>
        <v>-1</v>
      </c>
      <c r="E186">
        <f t="shared" si="534"/>
        <v>-1</v>
      </c>
      <c r="F186">
        <f t="shared" si="534"/>
        <v>-1</v>
      </c>
      <c r="G186">
        <f t="shared" si="534"/>
        <v>-1</v>
      </c>
      <c r="H186">
        <f t="shared" si="534"/>
        <v>-1</v>
      </c>
      <c r="I186">
        <f t="shared" si="534"/>
        <v>-1</v>
      </c>
      <c r="J186">
        <f t="shared" si="534"/>
        <v>-1</v>
      </c>
      <c r="K186">
        <f t="shared" si="534"/>
        <v>-1</v>
      </c>
      <c r="L186">
        <f t="shared" si="534"/>
        <v>-1</v>
      </c>
      <c r="M186">
        <f t="shared" si="534"/>
        <v>-1</v>
      </c>
      <c r="N186">
        <f t="shared" si="534"/>
        <v>-1</v>
      </c>
      <c r="O186">
        <f t="shared" si="534"/>
        <v>-1</v>
      </c>
      <c r="P186">
        <f t="shared" si="534"/>
        <v>-1</v>
      </c>
      <c r="Q186">
        <f t="shared" si="534"/>
        <v>-1</v>
      </c>
      <c r="R186">
        <f t="shared" si="534"/>
        <v>-1</v>
      </c>
      <c r="S186">
        <f t="shared" si="534"/>
        <v>-1</v>
      </c>
      <c r="T186">
        <f t="shared" si="534"/>
        <v>-1</v>
      </c>
      <c r="U186">
        <f t="shared" si="534"/>
        <v>-1</v>
      </c>
      <c r="V186">
        <f t="shared" si="534"/>
        <v>-1</v>
      </c>
      <c r="W186">
        <f t="shared" si="534"/>
        <v>-1</v>
      </c>
      <c r="X186">
        <f t="shared" si="534"/>
        <v>-1</v>
      </c>
      <c r="Y186">
        <f t="shared" si="534"/>
        <v>-1</v>
      </c>
      <c r="Z186">
        <f t="shared" si="534"/>
        <v>-1</v>
      </c>
      <c r="AA186">
        <f t="shared" si="534"/>
        <v>-1</v>
      </c>
      <c r="AB186">
        <f t="shared" si="534"/>
        <v>-1</v>
      </c>
      <c r="AC186">
        <f t="shared" si="534"/>
        <v>-1</v>
      </c>
      <c r="AD186">
        <f t="shared" si="534"/>
        <v>-1</v>
      </c>
      <c r="AE186">
        <f t="shared" si="534"/>
        <v>-1</v>
      </c>
      <c r="AF186">
        <f t="shared" si="534"/>
        <v>-1</v>
      </c>
      <c r="AG186">
        <f t="shared" si="534"/>
        <v>-1</v>
      </c>
      <c r="AH186">
        <f t="shared" si="534"/>
        <v>-1</v>
      </c>
      <c r="AI186">
        <f t="shared" si="534"/>
        <v>-1</v>
      </c>
      <c r="AJ186">
        <f t="shared" si="534"/>
        <v>-1</v>
      </c>
      <c r="AK186">
        <f t="shared" si="534"/>
        <v>-1</v>
      </c>
      <c r="AL186">
        <f t="shared" si="534"/>
        <v>-1</v>
      </c>
      <c r="AM186">
        <f t="shared" si="534"/>
        <v>-1</v>
      </c>
      <c r="AN186">
        <f t="shared" si="534"/>
        <v>-1</v>
      </c>
      <c r="AO186">
        <f t="shared" si="534"/>
        <v>-1</v>
      </c>
      <c r="AP186">
        <f t="shared" si="534"/>
        <v>-1</v>
      </c>
      <c r="AQ186">
        <f t="shared" si="534"/>
        <v>-1</v>
      </c>
      <c r="AR186">
        <f t="shared" si="534"/>
        <v>-1</v>
      </c>
      <c r="AS186">
        <f t="shared" si="534"/>
        <v>-1</v>
      </c>
      <c r="AT186">
        <f t="shared" si="534"/>
        <v>-1</v>
      </c>
      <c r="AU186">
        <f t="shared" si="534"/>
        <v>-1</v>
      </c>
      <c r="AV186">
        <f t="shared" si="534"/>
        <v>-1</v>
      </c>
      <c r="AW186">
        <f t="shared" si="534"/>
        <v>-1</v>
      </c>
      <c r="AX186">
        <f t="shared" si="534"/>
        <v>-1</v>
      </c>
      <c r="AY186">
        <f t="shared" si="534"/>
        <v>-1</v>
      </c>
      <c r="AZ186">
        <f t="shared" si="534"/>
        <v>-1</v>
      </c>
      <c r="BA186">
        <f t="shared" si="534"/>
        <v>-1</v>
      </c>
      <c r="BB186">
        <f t="shared" si="534"/>
        <v>-1</v>
      </c>
      <c r="BC186">
        <f t="shared" si="534"/>
        <v>-1</v>
      </c>
      <c r="BD186">
        <f t="shared" si="534"/>
        <v>-1</v>
      </c>
      <c r="BE186">
        <f t="shared" si="534"/>
        <v>-1</v>
      </c>
      <c r="BF186">
        <f t="shared" si="534"/>
        <v>-1</v>
      </c>
      <c r="BG186">
        <f t="shared" si="534"/>
        <v>-1</v>
      </c>
      <c r="BH186">
        <f t="shared" si="534"/>
        <v>-1</v>
      </c>
      <c r="BI186">
        <f t="shared" si="534"/>
        <v>-1</v>
      </c>
      <c r="BJ186">
        <f t="shared" si="534"/>
        <v>-1</v>
      </c>
      <c r="BK186">
        <f t="shared" si="534"/>
        <v>-1</v>
      </c>
      <c r="BL186">
        <f t="shared" si="534"/>
        <v>-1</v>
      </c>
      <c r="BM186">
        <f t="shared" si="534"/>
        <v>-1</v>
      </c>
      <c r="BN186">
        <f t="shared" si="534"/>
        <v>-1</v>
      </c>
      <c r="BO186">
        <f t="shared" si="534"/>
        <v>-1</v>
      </c>
      <c r="BP186">
        <f t="shared" ref="BP186:EA186" si="535">IF(OR(BP185=-1,AND(IF(BP$3&lt;$B186,BP185+BP$6,IF(BP$3=$B186,1,""))&gt;$B$1,BP$3&lt;$B186)),-1,IF(BP$3&lt;$B186,BP185+BP$6,IF(BP$3=$B186,1,"")))</f>
        <v>-1</v>
      </c>
      <c r="BQ186">
        <f t="shared" si="535"/>
        <v>-1</v>
      </c>
      <c r="BR186">
        <f t="shared" si="535"/>
        <v>-1</v>
      </c>
      <c r="BS186">
        <f t="shared" si="535"/>
        <v>-1</v>
      </c>
      <c r="BT186">
        <f t="shared" si="535"/>
        <v>-1</v>
      </c>
      <c r="BU186">
        <f t="shared" si="535"/>
        <v>-1</v>
      </c>
      <c r="BV186">
        <f t="shared" si="535"/>
        <v>-1</v>
      </c>
      <c r="BW186">
        <f t="shared" si="535"/>
        <v>-1</v>
      </c>
      <c r="BX186">
        <f t="shared" si="535"/>
        <v>-1</v>
      </c>
      <c r="BY186">
        <f t="shared" si="535"/>
        <v>-1</v>
      </c>
      <c r="BZ186">
        <f t="shared" si="535"/>
        <v>-1</v>
      </c>
      <c r="CA186">
        <f t="shared" si="535"/>
        <v>-1</v>
      </c>
      <c r="CB186">
        <f t="shared" si="535"/>
        <v>-1</v>
      </c>
      <c r="CC186">
        <f t="shared" si="535"/>
        <v>-1</v>
      </c>
      <c r="CD186">
        <f t="shared" si="535"/>
        <v>71.800000000000026</v>
      </c>
      <c r="CE186">
        <f t="shared" si="535"/>
        <v>68.20000000000006</v>
      </c>
      <c r="CF186">
        <f t="shared" si="535"/>
        <v>64.600000000000094</v>
      </c>
      <c r="CG186">
        <f t="shared" si="535"/>
        <v>61.000000000000099</v>
      </c>
      <c r="CH186">
        <f t="shared" si="535"/>
        <v>57.400000000000091</v>
      </c>
      <c r="CI186">
        <f t="shared" si="535"/>
        <v>53.800000000000082</v>
      </c>
      <c r="CJ186">
        <f t="shared" si="535"/>
        <v>50.200000000000074</v>
      </c>
      <c r="CK186">
        <f t="shared" si="535"/>
        <v>46.600000000000065</v>
      </c>
      <c r="CL186">
        <f t="shared" si="535"/>
        <v>43.000000000000057</v>
      </c>
      <c r="CM186">
        <f t="shared" si="535"/>
        <v>39.400000000000048</v>
      </c>
      <c r="CN186">
        <f t="shared" si="535"/>
        <v>35.80000000000004</v>
      </c>
      <c r="CO186">
        <f t="shared" si="535"/>
        <v>-1</v>
      </c>
      <c r="CP186">
        <f t="shared" si="535"/>
        <v>64</v>
      </c>
      <c r="CQ186">
        <f t="shared" si="535"/>
        <v>-1</v>
      </c>
      <c r="CR186">
        <f t="shared" si="535"/>
        <v>-1</v>
      </c>
      <c r="CS186">
        <f t="shared" si="535"/>
        <v>-1</v>
      </c>
      <c r="CT186">
        <f t="shared" si="535"/>
        <v>-1</v>
      </c>
      <c r="CU186">
        <f t="shared" si="535"/>
        <v>-1</v>
      </c>
      <c r="CV186">
        <f t="shared" si="535"/>
        <v>-1</v>
      </c>
      <c r="CW186">
        <f t="shared" si="535"/>
        <v>-1</v>
      </c>
      <c r="CX186">
        <f t="shared" si="535"/>
        <v>-1</v>
      </c>
      <c r="CY186">
        <f t="shared" si="535"/>
        <v>-1</v>
      </c>
      <c r="CZ186">
        <f t="shared" si="535"/>
        <v>-1</v>
      </c>
      <c r="DA186">
        <f t="shared" si="535"/>
        <v>-1</v>
      </c>
      <c r="DB186">
        <f t="shared" si="535"/>
        <v>-1</v>
      </c>
      <c r="DC186">
        <f t="shared" si="535"/>
        <v>-1</v>
      </c>
      <c r="DD186">
        <f t="shared" si="535"/>
        <v>-1</v>
      </c>
      <c r="DE186">
        <f t="shared" si="535"/>
        <v>-1</v>
      </c>
      <c r="DF186">
        <f t="shared" si="535"/>
        <v>-1</v>
      </c>
      <c r="DG186">
        <f t="shared" si="535"/>
        <v>-1</v>
      </c>
      <c r="DH186">
        <f t="shared" si="535"/>
        <v>-1</v>
      </c>
      <c r="DI186">
        <f t="shared" si="535"/>
        <v>-1</v>
      </c>
      <c r="DJ186">
        <f t="shared" si="535"/>
        <v>-1</v>
      </c>
      <c r="DK186">
        <f t="shared" si="535"/>
        <v>-1</v>
      </c>
      <c r="DL186">
        <f t="shared" si="535"/>
        <v>-1</v>
      </c>
      <c r="DM186">
        <f t="shared" si="535"/>
        <v>-1</v>
      </c>
      <c r="DN186">
        <f t="shared" si="535"/>
        <v>-1</v>
      </c>
      <c r="DO186">
        <f t="shared" si="535"/>
        <v>-1</v>
      </c>
      <c r="DP186">
        <f t="shared" si="535"/>
        <v>-1</v>
      </c>
      <c r="DQ186">
        <f t="shared" si="535"/>
        <v>-1</v>
      </c>
      <c r="DR186">
        <f t="shared" si="535"/>
        <v>-1</v>
      </c>
      <c r="DS186">
        <f t="shared" si="535"/>
        <v>-1</v>
      </c>
      <c r="DT186">
        <f t="shared" si="535"/>
        <v>-1</v>
      </c>
      <c r="DU186">
        <f t="shared" si="535"/>
        <v>-1</v>
      </c>
      <c r="DV186">
        <f t="shared" si="535"/>
        <v>-1</v>
      </c>
      <c r="DW186">
        <f t="shared" si="535"/>
        <v>-1</v>
      </c>
      <c r="DX186">
        <f t="shared" si="535"/>
        <v>-1</v>
      </c>
      <c r="DY186">
        <f t="shared" si="535"/>
        <v>-1</v>
      </c>
      <c r="DZ186">
        <f t="shared" si="535"/>
        <v>-1</v>
      </c>
      <c r="EA186">
        <f t="shared" si="535"/>
        <v>-1</v>
      </c>
      <c r="EB186">
        <f t="shared" ref="EB186:EO186" si="536">IF(OR(EB185=-1,AND(IF(EB$3&lt;$B186,EB185+EB$6,IF(EB$3=$B186,1,""))&gt;$B$1,EB$3&lt;$B186)),-1,IF(EB$3&lt;$B186,EB185+EB$6,IF(EB$3=$B186,1,"")))</f>
        <v>-1</v>
      </c>
      <c r="EC186">
        <f t="shared" si="536"/>
        <v>-1</v>
      </c>
      <c r="ED186">
        <f t="shared" si="536"/>
        <v>-1</v>
      </c>
      <c r="EE186">
        <f t="shared" si="536"/>
        <v>-1</v>
      </c>
      <c r="EF186">
        <f t="shared" si="536"/>
        <v>-1</v>
      </c>
      <c r="EG186">
        <f t="shared" si="536"/>
        <v>-1</v>
      </c>
      <c r="EH186">
        <f t="shared" si="536"/>
        <v>-1</v>
      </c>
      <c r="EI186">
        <f t="shared" si="536"/>
        <v>-1</v>
      </c>
      <c r="EJ186">
        <f t="shared" si="536"/>
        <v>-1</v>
      </c>
      <c r="EK186">
        <f t="shared" si="536"/>
        <v>-1</v>
      </c>
      <c r="EL186">
        <f t="shared" si="536"/>
        <v>-1</v>
      </c>
      <c r="EM186">
        <f t="shared" si="536"/>
        <v>-1</v>
      </c>
      <c r="EN186">
        <f t="shared" si="536"/>
        <v>-1</v>
      </c>
      <c r="EO186">
        <f t="shared" si="536"/>
        <v>-1</v>
      </c>
    </row>
    <row r="187" spans="1:145" x14ac:dyDescent="0.15">
      <c r="A187" t="e">
        <f t="shared" si="386"/>
        <v>#N/A</v>
      </c>
      <c r="B187" s="218">
        <v>179</v>
      </c>
      <c r="C187">
        <f t="shared" si="386"/>
        <v>-1</v>
      </c>
      <c r="D187">
        <f t="shared" ref="D187:BO187" si="537">IF(OR(D186=-1,AND(IF(D$3&lt;$B187,D186+D$6,IF(D$3=$B187,1,""))&gt;$B$1,D$3&lt;$B187)),-1,IF(D$3&lt;$B187,D186+D$6,IF(D$3=$B187,1,"")))</f>
        <v>-1</v>
      </c>
      <c r="E187">
        <f t="shared" si="537"/>
        <v>-1</v>
      </c>
      <c r="F187">
        <f t="shared" si="537"/>
        <v>-1</v>
      </c>
      <c r="G187">
        <f t="shared" si="537"/>
        <v>-1</v>
      </c>
      <c r="H187">
        <f t="shared" si="537"/>
        <v>-1</v>
      </c>
      <c r="I187">
        <f t="shared" si="537"/>
        <v>-1</v>
      </c>
      <c r="J187">
        <f t="shared" si="537"/>
        <v>-1</v>
      </c>
      <c r="K187">
        <f t="shared" si="537"/>
        <v>-1</v>
      </c>
      <c r="L187">
        <f t="shared" si="537"/>
        <v>-1</v>
      </c>
      <c r="M187">
        <f t="shared" si="537"/>
        <v>-1</v>
      </c>
      <c r="N187">
        <f t="shared" si="537"/>
        <v>-1</v>
      </c>
      <c r="O187">
        <f t="shared" si="537"/>
        <v>-1</v>
      </c>
      <c r="P187">
        <f t="shared" si="537"/>
        <v>-1</v>
      </c>
      <c r="Q187">
        <f t="shared" si="537"/>
        <v>-1</v>
      </c>
      <c r="R187">
        <f t="shared" si="537"/>
        <v>-1</v>
      </c>
      <c r="S187">
        <f t="shared" si="537"/>
        <v>-1</v>
      </c>
      <c r="T187">
        <f t="shared" si="537"/>
        <v>-1</v>
      </c>
      <c r="U187">
        <f t="shared" si="537"/>
        <v>-1</v>
      </c>
      <c r="V187">
        <f t="shared" si="537"/>
        <v>-1</v>
      </c>
      <c r="W187">
        <f t="shared" si="537"/>
        <v>-1</v>
      </c>
      <c r="X187">
        <f t="shared" si="537"/>
        <v>-1</v>
      </c>
      <c r="Y187">
        <f t="shared" si="537"/>
        <v>-1</v>
      </c>
      <c r="Z187">
        <f t="shared" si="537"/>
        <v>-1</v>
      </c>
      <c r="AA187">
        <f t="shared" si="537"/>
        <v>-1</v>
      </c>
      <c r="AB187">
        <f t="shared" si="537"/>
        <v>-1</v>
      </c>
      <c r="AC187">
        <f t="shared" si="537"/>
        <v>-1</v>
      </c>
      <c r="AD187">
        <f t="shared" si="537"/>
        <v>-1</v>
      </c>
      <c r="AE187">
        <f t="shared" si="537"/>
        <v>-1</v>
      </c>
      <c r="AF187">
        <f t="shared" si="537"/>
        <v>-1</v>
      </c>
      <c r="AG187">
        <f t="shared" si="537"/>
        <v>-1</v>
      </c>
      <c r="AH187">
        <f t="shared" si="537"/>
        <v>-1</v>
      </c>
      <c r="AI187">
        <f t="shared" si="537"/>
        <v>-1</v>
      </c>
      <c r="AJ187">
        <f t="shared" si="537"/>
        <v>-1</v>
      </c>
      <c r="AK187">
        <f t="shared" si="537"/>
        <v>-1</v>
      </c>
      <c r="AL187">
        <f t="shared" si="537"/>
        <v>-1</v>
      </c>
      <c r="AM187">
        <f t="shared" si="537"/>
        <v>-1</v>
      </c>
      <c r="AN187">
        <f t="shared" si="537"/>
        <v>-1</v>
      </c>
      <c r="AO187">
        <f t="shared" si="537"/>
        <v>-1</v>
      </c>
      <c r="AP187">
        <f t="shared" si="537"/>
        <v>-1</v>
      </c>
      <c r="AQ187">
        <f t="shared" si="537"/>
        <v>-1</v>
      </c>
      <c r="AR187">
        <f t="shared" si="537"/>
        <v>-1</v>
      </c>
      <c r="AS187">
        <f t="shared" si="537"/>
        <v>-1</v>
      </c>
      <c r="AT187">
        <f t="shared" si="537"/>
        <v>-1</v>
      </c>
      <c r="AU187">
        <f t="shared" si="537"/>
        <v>-1</v>
      </c>
      <c r="AV187">
        <f t="shared" si="537"/>
        <v>-1</v>
      </c>
      <c r="AW187">
        <f t="shared" si="537"/>
        <v>-1</v>
      </c>
      <c r="AX187">
        <f t="shared" si="537"/>
        <v>-1</v>
      </c>
      <c r="AY187">
        <f t="shared" si="537"/>
        <v>-1</v>
      </c>
      <c r="AZ187">
        <f t="shared" si="537"/>
        <v>-1</v>
      </c>
      <c r="BA187">
        <f t="shared" si="537"/>
        <v>-1</v>
      </c>
      <c r="BB187">
        <f t="shared" si="537"/>
        <v>-1</v>
      </c>
      <c r="BC187">
        <f t="shared" si="537"/>
        <v>-1</v>
      </c>
      <c r="BD187">
        <f t="shared" si="537"/>
        <v>-1</v>
      </c>
      <c r="BE187">
        <f t="shared" si="537"/>
        <v>-1</v>
      </c>
      <c r="BF187">
        <f t="shared" si="537"/>
        <v>-1</v>
      </c>
      <c r="BG187">
        <f t="shared" si="537"/>
        <v>-1</v>
      </c>
      <c r="BH187">
        <f t="shared" si="537"/>
        <v>-1</v>
      </c>
      <c r="BI187">
        <f t="shared" si="537"/>
        <v>-1</v>
      </c>
      <c r="BJ187">
        <f t="shared" si="537"/>
        <v>-1</v>
      </c>
      <c r="BK187">
        <f t="shared" si="537"/>
        <v>-1</v>
      </c>
      <c r="BL187">
        <f t="shared" si="537"/>
        <v>-1</v>
      </c>
      <c r="BM187">
        <f t="shared" si="537"/>
        <v>-1</v>
      </c>
      <c r="BN187">
        <f t="shared" si="537"/>
        <v>-1</v>
      </c>
      <c r="BO187">
        <f t="shared" si="537"/>
        <v>-1</v>
      </c>
      <c r="BP187">
        <f t="shared" ref="BP187:EA187" si="538">IF(OR(BP186=-1,AND(IF(BP$3&lt;$B187,BP186+BP$6,IF(BP$3=$B187,1,""))&gt;$B$1,BP$3&lt;$B187)),-1,IF(BP$3&lt;$B187,BP186+BP$6,IF(BP$3=$B187,1,"")))</f>
        <v>-1</v>
      </c>
      <c r="BQ187">
        <f t="shared" si="538"/>
        <v>-1</v>
      </c>
      <c r="BR187">
        <f t="shared" si="538"/>
        <v>-1</v>
      </c>
      <c r="BS187">
        <f t="shared" si="538"/>
        <v>-1</v>
      </c>
      <c r="BT187">
        <f t="shared" si="538"/>
        <v>-1</v>
      </c>
      <c r="BU187">
        <f t="shared" si="538"/>
        <v>-1</v>
      </c>
      <c r="BV187">
        <f t="shared" si="538"/>
        <v>-1</v>
      </c>
      <c r="BW187">
        <f t="shared" si="538"/>
        <v>-1</v>
      </c>
      <c r="BX187">
        <f t="shared" si="538"/>
        <v>-1</v>
      </c>
      <c r="BY187">
        <f t="shared" si="538"/>
        <v>-1</v>
      </c>
      <c r="BZ187">
        <f t="shared" si="538"/>
        <v>-1</v>
      </c>
      <c r="CA187">
        <f t="shared" si="538"/>
        <v>-1</v>
      </c>
      <c r="CB187">
        <f t="shared" si="538"/>
        <v>-1</v>
      </c>
      <c r="CC187">
        <f t="shared" si="538"/>
        <v>-1</v>
      </c>
      <c r="CD187">
        <f t="shared" si="538"/>
        <v>72.40000000000002</v>
      </c>
      <c r="CE187">
        <f t="shared" si="538"/>
        <v>68.800000000000054</v>
      </c>
      <c r="CF187">
        <f t="shared" si="538"/>
        <v>65.200000000000088</v>
      </c>
      <c r="CG187">
        <f t="shared" si="538"/>
        <v>61.600000000000101</v>
      </c>
      <c r="CH187">
        <f t="shared" si="538"/>
        <v>58.000000000000092</v>
      </c>
      <c r="CI187">
        <f t="shared" si="538"/>
        <v>54.400000000000084</v>
      </c>
      <c r="CJ187">
        <f t="shared" si="538"/>
        <v>50.800000000000075</v>
      </c>
      <c r="CK187">
        <f t="shared" si="538"/>
        <v>47.200000000000067</v>
      </c>
      <c r="CL187">
        <f t="shared" si="538"/>
        <v>43.600000000000058</v>
      </c>
      <c r="CM187">
        <f t="shared" si="538"/>
        <v>40.00000000000005</v>
      </c>
      <c r="CN187">
        <f t="shared" si="538"/>
        <v>36.400000000000041</v>
      </c>
      <c r="CO187">
        <f t="shared" si="538"/>
        <v>-1</v>
      </c>
      <c r="CP187">
        <f t="shared" si="538"/>
        <v>64.5</v>
      </c>
      <c r="CQ187">
        <f t="shared" si="538"/>
        <v>-1</v>
      </c>
      <c r="CR187">
        <f t="shared" si="538"/>
        <v>-1</v>
      </c>
      <c r="CS187">
        <f t="shared" si="538"/>
        <v>-1</v>
      </c>
      <c r="CT187">
        <f t="shared" si="538"/>
        <v>-1</v>
      </c>
      <c r="CU187">
        <f t="shared" si="538"/>
        <v>-1</v>
      </c>
      <c r="CV187">
        <f t="shared" si="538"/>
        <v>-1</v>
      </c>
      <c r="CW187">
        <f t="shared" si="538"/>
        <v>-1</v>
      </c>
      <c r="CX187">
        <f t="shared" si="538"/>
        <v>-1</v>
      </c>
      <c r="CY187">
        <f t="shared" si="538"/>
        <v>-1</v>
      </c>
      <c r="CZ187">
        <f t="shared" si="538"/>
        <v>-1</v>
      </c>
      <c r="DA187">
        <f t="shared" si="538"/>
        <v>-1</v>
      </c>
      <c r="DB187">
        <f t="shared" si="538"/>
        <v>-1</v>
      </c>
      <c r="DC187">
        <f t="shared" si="538"/>
        <v>-1</v>
      </c>
      <c r="DD187">
        <f t="shared" si="538"/>
        <v>-1</v>
      </c>
      <c r="DE187">
        <f t="shared" si="538"/>
        <v>-1</v>
      </c>
      <c r="DF187">
        <f t="shared" si="538"/>
        <v>-1</v>
      </c>
      <c r="DG187">
        <f t="shared" si="538"/>
        <v>-1</v>
      </c>
      <c r="DH187">
        <f t="shared" si="538"/>
        <v>-1</v>
      </c>
      <c r="DI187">
        <f t="shared" si="538"/>
        <v>-1</v>
      </c>
      <c r="DJ187">
        <f t="shared" si="538"/>
        <v>-1</v>
      </c>
      <c r="DK187">
        <f t="shared" si="538"/>
        <v>-1</v>
      </c>
      <c r="DL187">
        <f t="shared" si="538"/>
        <v>-1</v>
      </c>
      <c r="DM187">
        <f t="shared" si="538"/>
        <v>-1</v>
      </c>
      <c r="DN187">
        <f t="shared" si="538"/>
        <v>-1</v>
      </c>
      <c r="DO187">
        <f t="shared" si="538"/>
        <v>-1</v>
      </c>
      <c r="DP187">
        <f t="shared" si="538"/>
        <v>-1</v>
      </c>
      <c r="DQ187">
        <f t="shared" si="538"/>
        <v>-1</v>
      </c>
      <c r="DR187">
        <f t="shared" si="538"/>
        <v>-1</v>
      </c>
      <c r="DS187">
        <f t="shared" si="538"/>
        <v>-1</v>
      </c>
      <c r="DT187">
        <f t="shared" si="538"/>
        <v>-1</v>
      </c>
      <c r="DU187">
        <f t="shared" si="538"/>
        <v>-1</v>
      </c>
      <c r="DV187">
        <f t="shared" si="538"/>
        <v>-1</v>
      </c>
      <c r="DW187">
        <f t="shared" si="538"/>
        <v>-1</v>
      </c>
      <c r="DX187">
        <f t="shared" si="538"/>
        <v>-1</v>
      </c>
      <c r="DY187">
        <f t="shared" si="538"/>
        <v>-1</v>
      </c>
      <c r="DZ187">
        <f t="shared" si="538"/>
        <v>-1</v>
      </c>
      <c r="EA187">
        <f t="shared" si="538"/>
        <v>-1</v>
      </c>
      <c r="EB187">
        <f t="shared" ref="EB187:EO187" si="539">IF(OR(EB186=-1,AND(IF(EB$3&lt;$B187,EB186+EB$6,IF(EB$3=$B187,1,""))&gt;$B$1,EB$3&lt;$B187)),-1,IF(EB$3&lt;$B187,EB186+EB$6,IF(EB$3=$B187,1,"")))</f>
        <v>-1</v>
      </c>
      <c r="EC187">
        <f t="shared" si="539"/>
        <v>-1</v>
      </c>
      <c r="ED187">
        <f t="shared" si="539"/>
        <v>-1</v>
      </c>
      <c r="EE187">
        <f t="shared" si="539"/>
        <v>-1</v>
      </c>
      <c r="EF187">
        <f t="shared" si="539"/>
        <v>-1</v>
      </c>
      <c r="EG187">
        <f t="shared" si="539"/>
        <v>-1</v>
      </c>
      <c r="EH187">
        <f t="shared" si="539"/>
        <v>-1</v>
      </c>
      <c r="EI187">
        <f t="shared" si="539"/>
        <v>-1</v>
      </c>
      <c r="EJ187">
        <f t="shared" si="539"/>
        <v>-1</v>
      </c>
      <c r="EK187">
        <f t="shared" si="539"/>
        <v>-1</v>
      </c>
      <c r="EL187">
        <f t="shared" si="539"/>
        <v>-1</v>
      </c>
      <c r="EM187">
        <f t="shared" si="539"/>
        <v>-1</v>
      </c>
      <c r="EN187">
        <f t="shared" si="539"/>
        <v>-1</v>
      </c>
      <c r="EO187">
        <f t="shared" si="539"/>
        <v>-1</v>
      </c>
    </row>
    <row r="188" spans="1:145" x14ac:dyDescent="0.15">
      <c r="A188" t="e">
        <f t="shared" si="386"/>
        <v>#N/A</v>
      </c>
      <c r="B188" s="218">
        <v>180</v>
      </c>
      <c r="C188">
        <f t="shared" si="386"/>
        <v>-1</v>
      </c>
      <c r="D188">
        <f t="shared" ref="D188:BO188" si="540">IF(OR(D187=-1,AND(IF(D$3&lt;$B188,D187+D$6,IF(D$3=$B188,1,""))&gt;$B$1,D$3&lt;$B188)),-1,IF(D$3&lt;$B188,D187+D$6,IF(D$3=$B188,1,"")))</f>
        <v>-1</v>
      </c>
      <c r="E188">
        <f t="shared" si="540"/>
        <v>-1</v>
      </c>
      <c r="F188">
        <f t="shared" si="540"/>
        <v>-1</v>
      </c>
      <c r="G188">
        <f t="shared" si="540"/>
        <v>-1</v>
      </c>
      <c r="H188">
        <f t="shared" si="540"/>
        <v>-1</v>
      </c>
      <c r="I188">
        <f t="shared" si="540"/>
        <v>-1</v>
      </c>
      <c r="J188">
        <f t="shared" si="540"/>
        <v>-1</v>
      </c>
      <c r="K188">
        <f t="shared" si="540"/>
        <v>-1</v>
      </c>
      <c r="L188">
        <f t="shared" si="540"/>
        <v>-1</v>
      </c>
      <c r="M188">
        <f t="shared" si="540"/>
        <v>-1</v>
      </c>
      <c r="N188">
        <f t="shared" si="540"/>
        <v>-1</v>
      </c>
      <c r="O188">
        <f t="shared" si="540"/>
        <v>-1</v>
      </c>
      <c r="P188">
        <f t="shared" si="540"/>
        <v>-1</v>
      </c>
      <c r="Q188">
        <f t="shared" si="540"/>
        <v>-1</v>
      </c>
      <c r="R188">
        <f t="shared" si="540"/>
        <v>-1</v>
      </c>
      <c r="S188">
        <f t="shared" si="540"/>
        <v>-1</v>
      </c>
      <c r="T188">
        <f t="shared" si="540"/>
        <v>-1</v>
      </c>
      <c r="U188">
        <f t="shared" si="540"/>
        <v>-1</v>
      </c>
      <c r="V188">
        <f t="shared" si="540"/>
        <v>-1</v>
      </c>
      <c r="W188">
        <f t="shared" si="540"/>
        <v>-1</v>
      </c>
      <c r="X188">
        <f t="shared" si="540"/>
        <v>-1</v>
      </c>
      <c r="Y188">
        <f t="shared" si="540"/>
        <v>-1</v>
      </c>
      <c r="Z188">
        <f t="shared" si="540"/>
        <v>-1</v>
      </c>
      <c r="AA188">
        <f t="shared" si="540"/>
        <v>-1</v>
      </c>
      <c r="AB188">
        <f t="shared" si="540"/>
        <v>-1</v>
      </c>
      <c r="AC188">
        <f t="shared" si="540"/>
        <v>-1</v>
      </c>
      <c r="AD188">
        <f t="shared" si="540"/>
        <v>-1</v>
      </c>
      <c r="AE188">
        <f t="shared" si="540"/>
        <v>-1</v>
      </c>
      <c r="AF188">
        <f t="shared" si="540"/>
        <v>-1</v>
      </c>
      <c r="AG188">
        <f t="shared" si="540"/>
        <v>-1</v>
      </c>
      <c r="AH188">
        <f t="shared" si="540"/>
        <v>-1</v>
      </c>
      <c r="AI188">
        <f t="shared" si="540"/>
        <v>-1</v>
      </c>
      <c r="AJ188">
        <f t="shared" si="540"/>
        <v>-1</v>
      </c>
      <c r="AK188">
        <f t="shared" si="540"/>
        <v>-1</v>
      </c>
      <c r="AL188">
        <f t="shared" si="540"/>
        <v>-1</v>
      </c>
      <c r="AM188">
        <f t="shared" si="540"/>
        <v>-1</v>
      </c>
      <c r="AN188">
        <f t="shared" si="540"/>
        <v>-1</v>
      </c>
      <c r="AO188">
        <f t="shared" si="540"/>
        <v>-1</v>
      </c>
      <c r="AP188">
        <f t="shared" si="540"/>
        <v>-1</v>
      </c>
      <c r="AQ188">
        <f t="shared" si="540"/>
        <v>-1</v>
      </c>
      <c r="AR188">
        <f t="shared" si="540"/>
        <v>-1</v>
      </c>
      <c r="AS188">
        <f t="shared" si="540"/>
        <v>-1</v>
      </c>
      <c r="AT188">
        <f t="shared" si="540"/>
        <v>-1</v>
      </c>
      <c r="AU188">
        <f t="shared" si="540"/>
        <v>-1</v>
      </c>
      <c r="AV188">
        <f t="shared" si="540"/>
        <v>-1</v>
      </c>
      <c r="AW188">
        <f t="shared" si="540"/>
        <v>-1</v>
      </c>
      <c r="AX188">
        <f t="shared" si="540"/>
        <v>-1</v>
      </c>
      <c r="AY188">
        <f t="shared" si="540"/>
        <v>-1</v>
      </c>
      <c r="AZ188">
        <f t="shared" si="540"/>
        <v>-1</v>
      </c>
      <c r="BA188">
        <f t="shared" si="540"/>
        <v>-1</v>
      </c>
      <c r="BB188">
        <f t="shared" si="540"/>
        <v>-1</v>
      </c>
      <c r="BC188">
        <f t="shared" si="540"/>
        <v>-1</v>
      </c>
      <c r="BD188">
        <f t="shared" si="540"/>
        <v>-1</v>
      </c>
      <c r="BE188">
        <f t="shared" si="540"/>
        <v>-1</v>
      </c>
      <c r="BF188">
        <f t="shared" si="540"/>
        <v>-1</v>
      </c>
      <c r="BG188">
        <f t="shared" si="540"/>
        <v>-1</v>
      </c>
      <c r="BH188">
        <f t="shared" si="540"/>
        <v>-1</v>
      </c>
      <c r="BI188">
        <f t="shared" si="540"/>
        <v>-1</v>
      </c>
      <c r="BJ188">
        <f t="shared" si="540"/>
        <v>-1</v>
      </c>
      <c r="BK188">
        <f t="shared" si="540"/>
        <v>-1</v>
      </c>
      <c r="BL188">
        <f t="shared" si="540"/>
        <v>-1</v>
      </c>
      <c r="BM188">
        <f t="shared" si="540"/>
        <v>-1</v>
      </c>
      <c r="BN188">
        <f t="shared" si="540"/>
        <v>-1</v>
      </c>
      <c r="BO188">
        <f t="shared" si="540"/>
        <v>-1</v>
      </c>
      <c r="BP188">
        <f t="shared" ref="BP188:EA188" si="541">IF(OR(BP187=-1,AND(IF(BP$3&lt;$B188,BP187+BP$6,IF(BP$3=$B188,1,""))&gt;$B$1,BP$3&lt;$B188)),-1,IF(BP$3&lt;$B188,BP187+BP$6,IF(BP$3=$B188,1,"")))</f>
        <v>-1</v>
      </c>
      <c r="BQ188">
        <f t="shared" si="541"/>
        <v>-1</v>
      </c>
      <c r="BR188">
        <f t="shared" si="541"/>
        <v>-1</v>
      </c>
      <c r="BS188">
        <f t="shared" si="541"/>
        <v>-1</v>
      </c>
      <c r="BT188">
        <f t="shared" si="541"/>
        <v>-1</v>
      </c>
      <c r="BU188">
        <f t="shared" si="541"/>
        <v>-1</v>
      </c>
      <c r="BV188">
        <f t="shared" si="541"/>
        <v>-1</v>
      </c>
      <c r="BW188">
        <f t="shared" si="541"/>
        <v>-1</v>
      </c>
      <c r="BX188">
        <f t="shared" si="541"/>
        <v>-1</v>
      </c>
      <c r="BY188">
        <f t="shared" si="541"/>
        <v>-1</v>
      </c>
      <c r="BZ188">
        <f t="shared" si="541"/>
        <v>-1</v>
      </c>
      <c r="CA188">
        <f t="shared" si="541"/>
        <v>-1</v>
      </c>
      <c r="CB188">
        <f t="shared" si="541"/>
        <v>-1</v>
      </c>
      <c r="CC188">
        <f t="shared" si="541"/>
        <v>-1</v>
      </c>
      <c r="CD188">
        <f t="shared" si="541"/>
        <v>73.000000000000014</v>
      </c>
      <c r="CE188">
        <f t="shared" si="541"/>
        <v>69.400000000000048</v>
      </c>
      <c r="CF188">
        <f t="shared" si="541"/>
        <v>65.800000000000082</v>
      </c>
      <c r="CG188">
        <f t="shared" si="541"/>
        <v>62.200000000000102</v>
      </c>
      <c r="CH188">
        <f t="shared" si="541"/>
        <v>58.600000000000094</v>
      </c>
      <c r="CI188">
        <f t="shared" si="541"/>
        <v>55.000000000000085</v>
      </c>
      <c r="CJ188">
        <f t="shared" si="541"/>
        <v>51.400000000000077</v>
      </c>
      <c r="CK188">
        <f t="shared" si="541"/>
        <v>47.800000000000068</v>
      </c>
      <c r="CL188">
        <f t="shared" si="541"/>
        <v>44.20000000000006</v>
      </c>
      <c r="CM188">
        <f t="shared" si="541"/>
        <v>40.600000000000051</v>
      </c>
      <c r="CN188">
        <f t="shared" si="541"/>
        <v>37.000000000000043</v>
      </c>
      <c r="CO188">
        <f t="shared" si="541"/>
        <v>-1</v>
      </c>
      <c r="CP188">
        <f t="shared" si="541"/>
        <v>65</v>
      </c>
      <c r="CQ188">
        <f t="shared" si="541"/>
        <v>-1</v>
      </c>
      <c r="CR188">
        <f t="shared" si="541"/>
        <v>-1</v>
      </c>
      <c r="CS188">
        <f t="shared" si="541"/>
        <v>-1</v>
      </c>
      <c r="CT188">
        <f t="shared" si="541"/>
        <v>-1</v>
      </c>
      <c r="CU188">
        <f t="shared" si="541"/>
        <v>-1</v>
      </c>
      <c r="CV188">
        <f t="shared" si="541"/>
        <v>-1</v>
      </c>
      <c r="CW188">
        <f t="shared" si="541"/>
        <v>-1</v>
      </c>
      <c r="CX188">
        <f t="shared" si="541"/>
        <v>-1</v>
      </c>
      <c r="CY188">
        <f t="shared" si="541"/>
        <v>-1</v>
      </c>
      <c r="CZ188">
        <f t="shared" si="541"/>
        <v>-1</v>
      </c>
      <c r="DA188">
        <f t="shared" si="541"/>
        <v>-1</v>
      </c>
      <c r="DB188">
        <f t="shared" si="541"/>
        <v>-1</v>
      </c>
      <c r="DC188">
        <f t="shared" si="541"/>
        <v>-1</v>
      </c>
      <c r="DD188">
        <f t="shared" si="541"/>
        <v>-1</v>
      </c>
      <c r="DE188">
        <f t="shared" si="541"/>
        <v>-1</v>
      </c>
      <c r="DF188">
        <f t="shared" si="541"/>
        <v>-1</v>
      </c>
      <c r="DG188">
        <f t="shared" si="541"/>
        <v>-1</v>
      </c>
      <c r="DH188">
        <f t="shared" si="541"/>
        <v>-1</v>
      </c>
      <c r="DI188">
        <f t="shared" si="541"/>
        <v>-1</v>
      </c>
      <c r="DJ188">
        <f t="shared" si="541"/>
        <v>-1</v>
      </c>
      <c r="DK188">
        <f t="shared" si="541"/>
        <v>-1</v>
      </c>
      <c r="DL188">
        <f t="shared" si="541"/>
        <v>-1</v>
      </c>
      <c r="DM188">
        <f t="shared" si="541"/>
        <v>-1</v>
      </c>
      <c r="DN188">
        <f t="shared" si="541"/>
        <v>-1</v>
      </c>
      <c r="DO188">
        <f t="shared" si="541"/>
        <v>-1</v>
      </c>
      <c r="DP188">
        <f t="shared" si="541"/>
        <v>-1</v>
      </c>
      <c r="DQ188">
        <f t="shared" si="541"/>
        <v>-1</v>
      </c>
      <c r="DR188">
        <f t="shared" si="541"/>
        <v>-1</v>
      </c>
      <c r="DS188">
        <f t="shared" si="541"/>
        <v>-1</v>
      </c>
      <c r="DT188">
        <f t="shared" si="541"/>
        <v>-1</v>
      </c>
      <c r="DU188">
        <f t="shared" si="541"/>
        <v>-1</v>
      </c>
      <c r="DV188">
        <f t="shared" si="541"/>
        <v>-1</v>
      </c>
      <c r="DW188">
        <f t="shared" si="541"/>
        <v>-1</v>
      </c>
      <c r="DX188">
        <f t="shared" si="541"/>
        <v>-1</v>
      </c>
      <c r="DY188">
        <f t="shared" si="541"/>
        <v>-1</v>
      </c>
      <c r="DZ188">
        <f t="shared" si="541"/>
        <v>-1</v>
      </c>
      <c r="EA188">
        <f t="shared" si="541"/>
        <v>-1</v>
      </c>
      <c r="EB188">
        <f t="shared" ref="EB188:EO188" si="542">IF(OR(EB187=-1,AND(IF(EB$3&lt;$B188,EB187+EB$6,IF(EB$3=$B188,1,""))&gt;$B$1,EB$3&lt;$B188)),-1,IF(EB$3&lt;$B188,EB187+EB$6,IF(EB$3=$B188,1,"")))</f>
        <v>-1</v>
      </c>
      <c r="EC188">
        <f t="shared" si="542"/>
        <v>-1</v>
      </c>
      <c r="ED188">
        <f t="shared" si="542"/>
        <v>-1</v>
      </c>
      <c r="EE188">
        <f t="shared" si="542"/>
        <v>-1</v>
      </c>
      <c r="EF188">
        <f t="shared" si="542"/>
        <v>-1</v>
      </c>
      <c r="EG188">
        <f t="shared" si="542"/>
        <v>-1</v>
      </c>
      <c r="EH188">
        <f t="shared" si="542"/>
        <v>-1</v>
      </c>
      <c r="EI188">
        <f t="shared" si="542"/>
        <v>-1</v>
      </c>
      <c r="EJ188">
        <f t="shared" si="542"/>
        <v>-1</v>
      </c>
      <c r="EK188">
        <f t="shared" si="542"/>
        <v>-1</v>
      </c>
      <c r="EL188">
        <f t="shared" si="542"/>
        <v>-1</v>
      </c>
      <c r="EM188">
        <f t="shared" si="542"/>
        <v>-1</v>
      </c>
      <c r="EN188">
        <f t="shared" si="542"/>
        <v>-1</v>
      </c>
      <c r="EO188">
        <f t="shared" si="542"/>
        <v>-1</v>
      </c>
    </row>
    <row r="189" spans="1:145" x14ac:dyDescent="0.15">
      <c r="A189" t="e">
        <f t="shared" si="386"/>
        <v>#N/A</v>
      </c>
      <c r="B189" s="218">
        <v>181</v>
      </c>
      <c r="C189">
        <f t="shared" si="386"/>
        <v>-1</v>
      </c>
      <c r="D189">
        <f t="shared" ref="D189:BO189" si="543">IF(OR(D188=-1,AND(IF(D$3&lt;$B189,D188+D$6,IF(D$3=$B189,1,""))&gt;$B$1,D$3&lt;$B189)),-1,IF(D$3&lt;$B189,D188+D$6,IF(D$3=$B189,1,"")))</f>
        <v>-1</v>
      </c>
      <c r="E189">
        <f t="shared" si="543"/>
        <v>-1</v>
      </c>
      <c r="F189">
        <f t="shared" si="543"/>
        <v>-1</v>
      </c>
      <c r="G189">
        <f t="shared" si="543"/>
        <v>-1</v>
      </c>
      <c r="H189">
        <f t="shared" si="543"/>
        <v>-1</v>
      </c>
      <c r="I189">
        <f t="shared" si="543"/>
        <v>-1</v>
      </c>
      <c r="J189">
        <f t="shared" si="543"/>
        <v>-1</v>
      </c>
      <c r="K189">
        <f t="shared" si="543"/>
        <v>-1</v>
      </c>
      <c r="L189">
        <f t="shared" si="543"/>
        <v>-1</v>
      </c>
      <c r="M189">
        <f t="shared" si="543"/>
        <v>-1</v>
      </c>
      <c r="N189">
        <f t="shared" si="543"/>
        <v>-1</v>
      </c>
      <c r="O189">
        <f t="shared" si="543"/>
        <v>-1</v>
      </c>
      <c r="P189">
        <f t="shared" si="543"/>
        <v>-1</v>
      </c>
      <c r="Q189">
        <f t="shared" si="543"/>
        <v>-1</v>
      </c>
      <c r="R189">
        <f t="shared" si="543"/>
        <v>-1</v>
      </c>
      <c r="S189">
        <f t="shared" si="543"/>
        <v>-1</v>
      </c>
      <c r="T189">
        <f t="shared" si="543"/>
        <v>-1</v>
      </c>
      <c r="U189">
        <f t="shared" si="543"/>
        <v>-1</v>
      </c>
      <c r="V189">
        <f t="shared" si="543"/>
        <v>-1</v>
      </c>
      <c r="W189">
        <f t="shared" si="543"/>
        <v>-1</v>
      </c>
      <c r="X189">
        <f t="shared" si="543"/>
        <v>-1</v>
      </c>
      <c r="Y189">
        <f t="shared" si="543"/>
        <v>-1</v>
      </c>
      <c r="Z189">
        <f t="shared" si="543"/>
        <v>-1</v>
      </c>
      <c r="AA189">
        <f t="shared" si="543"/>
        <v>-1</v>
      </c>
      <c r="AB189">
        <f t="shared" si="543"/>
        <v>-1</v>
      </c>
      <c r="AC189">
        <f t="shared" si="543"/>
        <v>-1</v>
      </c>
      <c r="AD189">
        <f t="shared" si="543"/>
        <v>-1</v>
      </c>
      <c r="AE189">
        <f t="shared" si="543"/>
        <v>-1</v>
      </c>
      <c r="AF189">
        <f t="shared" si="543"/>
        <v>-1</v>
      </c>
      <c r="AG189">
        <f t="shared" si="543"/>
        <v>-1</v>
      </c>
      <c r="AH189">
        <f t="shared" si="543"/>
        <v>-1</v>
      </c>
      <c r="AI189">
        <f t="shared" si="543"/>
        <v>-1</v>
      </c>
      <c r="AJ189">
        <f t="shared" si="543"/>
        <v>-1</v>
      </c>
      <c r="AK189">
        <f t="shared" si="543"/>
        <v>-1</v>
      </c>
      <c r="AL189">
        <f t="shared" si="543"/>
        <v>-1</v>
      </c>
      <c r="AM189">
        <f t="shared" si="543"/>
        <v>-1</v>
      </c>
      <c r="AN189">
        <f t="shared" si="543"/>
        <v>-1</v>
      </c>
      <c r="AO189">
        <f t="shared" si="543"/>
        <v>-1</v>
      </c>
      <c r="AP189">
        <f t="shared" si="543"/>
        <v>-1</v>
      </c>
      <c r="AQ189">
        <f t="shared" si="543"/>
        <v>-1</v>
      </c>
      <c r="AR189">
        <f t="shared" si="543"/>
        <v>-1</v>
      </c>
      <c r="AS189">
        <f t="shared" si="543"/>
        <v>-1</v>
      </c>
      <c r="AT189">
        <f t="shared" si="543"/>
        <v>-1</v>
      </c>
      <c r="AU189">
        <f t="shared" si="543"/>
        <v>-1</v>
      </c>
      <c r="AV189">
        <f t="shared" si="543"/>
        <v>-1</v>
      </c>
      <c r="AW189">
        <f t="shared" si="543"/>
        <v>-1</v>
      </c>
      <c r="AX189">
        <f t="shared" si="543"/>
        <v>-1</v>
      </c>
      <c r="AY189">
        <f t="shared" si="543"/>
        <v>-1</v>
      </c>
      <c r="AZ189">
        <f t="shared" si="543"/>
        <v>-1</v>
      </c>
      <c r="BA189">
        <f t="shared" si="543"/>
        <v>-1</v>
      </c>
      <c r="BB189">
        <f t="shared" si="543"/>
        <v>-1</v>
      </c>
      <c r="BC189">
        <f t="shared" si="543"/>
        <v>-1</v>
      </c>
      <c r="BD189">
        <f t="shared" si="543"/>
        <v>-1</v>
      </c>
      <c r="BE189">
        <f t="shared" si="543"/>
        <v>-1</v>
      </c>
      <c r="BF189">
        <f t="shared" si="543"/>
        <v>-1</v>
      </c>
      <c r="BG189">
        <f t="shared" si="543"/>
        <v>-1</v>
      </c>
      <c r="BH189">
        <f t="shared" si="543"/>
        <v>-1</v>
      </c>
      <c r="BI189">
        <f t="shared" si="543"/>
        <v>-1</v>
      </c>
      <c r="BJ189">
        <f t="shared" si="543"/>
        <v>-1</v>
      </c>
      <c r="BK189">
        <f t="shared" si="543"/>
        <v>-1</v>
      </c>
      <c r="BL189">
        <f t="shared" si="543"/>
        <v>-1</v>
      </c>
      <c r="BM189">
        <f t="shared" si="543"/>
        <v>-1</v>
      </c>
      <c r="BN189">
        <f t="shared" si="543"/>
        <v>-1</v>
      </c>
      <c r="BO189">
        <f t="shared" si="543"/>
        <v>-1</v>
      </c>
      <c r="BP189">
        <f t="shared" ref="BP189:EA189" si="544">IF(OR(BP188=-1,AND(IF(BP$3&lt;$B189,BP188+BP$6,IF(BP$3=$B189,1,""))&gt;$B$1,BP$3&lt;$B189)),-1,IF(BP$3&lt;$B189,BP188+BP$6,IF(BP$3=$B189,1,"")))</f>
        <v>-1</v>
      </c>
      <c r="BQ189">
        <f t="shared" si="544"/>
        <v>-1</v>
      </c>
      <c r="BR189">
        <f t="shared" si="544"/>
        <v>-1</v>
      </c>
      <c r="BS189">
        <f t="shared" si="544"/>
        <v>-1</v>
      </c>
      <c r="BT189">
        <f t="shared" si="544"/>
        <v>-1</v>
      </c>
      <c r="BU189">
        <f t="shared" si="544"/>
        <v>-1</v>
      </c>
      <c r="BV189">
        <f t="shared" si="544"/>
        <v>-1</v>
      </c>
      <c r="BW189">
        <f t="shared" si="544"/>
        <v>-1</v>
      </c>
      <c r="BX189">
        <f t="shared" si="544"/>
        <v>-1</v>
      </c>
      <c r="BY189">
        <f t="shared" si="544"/>
        <v>-1</v>
      </c>
      <c r="BZ189">
        <f t="shared" si="544"/>
        <v>-1</v>
      </c>
      <c r="CA189">
        <f t="shared" si="544"/>
        <v>-1</v>
      </c>
      <c r="CB189">
        <f t="shared" si="544"/>
        <v>-1</v>
      </c>
      <c r="CC189">
        <f t="shared" si="544"/>
        <v>-1</v>
      </c>
      <c r="CD189">
        <f t="shared" si="544"/>
        <v>73.600000000000009</v>
      </c>
      <c r="CE189">
        <f t="shared" si="544"/>
        <v>70.000000000000043</v>
      </c>
      <c r="CF189">
        <f t="shared" si="544"/>
        <v>66.400000000000077</v>
      </c>
      <c r="CG189">
        <f t="shared" si="544"/>
        <v>62.800000000000104</v>
      </c>
      <c r="CH189">
        <f t="shared" si="544"/>
        <v>59.200000000000095</v>
      </c>
      <c r="CI189">
        <f t="shared" si="544"/>
        <v>55.600000000000087</v>
      </c>
      <c r="CJ189">
        <f t="shared" si="544"/>
        <v>52.000000000000078</v>
      </c>
      <c r="CK189">
        <f t="shared" si="544"/>
        <v>48.40000000000007</v>
      </c>
      <c r="CL189">
        <f t="shared" si="544"/>
        <v>44.800000000000061</v>
      </c>
      <c r="CM189">
        <f t="shared" si="544"/>
        <v>41.200000000000053</v>
      </c>
      <c r="CN189">
        <f t="shared" si="544"/>
        <v>37.600000000000044</v>
      </c>
      <c r="CO189">
        <f t="shared" si="544"/>
        <v>-1</v>
      </c>
      <c r="CP189">
        <f t="shared" si="544"/>
        <v>65.5</v>
      </c>
      <c r="CQ189">
        <f t="shared" si="544"/>
        <v>-1</v>
      </c>
      <c r="CR189">
        <f t="shared" si="544"/>
        <v>-1</v>
      </c>
      <c r="CS189">
        <f t="shared" si="544"/>
        <v>-1</v>
      </c>
      <c r="CT189">
        <f t="shared" si="544"/>
        <v>-1</v>
      </c>
      <c r="CU189">
        <f t="shared" si="544"/>
        <v>-1</v>
      </c>
      <c r="CV189">
        <f t="shared" si="544"/>
        <v>-1</v>
      </c>
      <c r="CW189">
        <f t="shared" si="544"/>
        <v>-1</v>
      </c>
      <c r="CX189">
        <f t="shared" si="544"/>
        <v>-1</v>
      </c>
      <c r="CY189">
        <f t="shared" si="544"/>
        <v>-1</v>
      </c>
      <c r="CZ189">
        <f t="shared" si="544"/>
        <v>-1</v>
      </c>
      <c r="DA189">
        <f t="shared" si="544"/>
        <v>-1</v>
      </c>
      <c r="DB189">
        <f t="shared" si="544"/>
        <v>-1</v>
      </c>
      <c r="DC189">
        <f t="shared" si="544"/>
        <v>-1</v>
      </c>
      <c r="DD189">
        <f t="shared" si="544"/>
        <v>-1</v>
      </c>
      <c r="DE189">
        <f t="shared" si="544"/>
        <v>-1</v>
      </c>
      <c r="DF189">
        <f t="shared" si="544"/>
        <v>-1</v>
      </c>
      <c r="DG189">
        <f t="shared" si="544"/>
        <v>-1</v>
      </c>
      <c r="DH189">
        <f t="shared" si="544"/>
        <v>-1</v>
      </c>
      <c r="DI189">
        <f t="shared" si="544"/>
        <v>-1</v>
      </c>
      <c r="DJ189">
        <f t="shared" si="544"/>
        <v>-1</v>
      </c>
      <c r="DK189">
        <f t="shared" si="544"/>
        <v>-1</v>
      </c>
      <c r="DL189">
        <f t="shared" si="544"/>
        <v>-1</v>
      </c>
      <c r="DM189">
        <f t="shared" si="544"/>
        <v>-1</v>
      </c>
      <c r="DN189">
        <f t="shared" si="544"/>
        <v>-1</v>
      </c>
      <c r="DO189">
        <f t="shared" si="544"/>
        <v>-1</v>
      </c>
      <c r="DP189">
        <f t="shared" si="544"/>
        <v>-1</v>
      </c>
      <c r="DQ189">
        <f t="shared" si="544"/>
        <v>-1</v>
      </c>
      <c r="DR189">
        <f t="shared" si="544"/>
        <v>-1</v>
      </c>
      <c r="DS189">
        <f t="shared" si="544"/>
        <v>-1</v>
      </c>
      <c r="DT189">
        <f t="shared" si="544"/>
        <v>-1</v>
      </c>
      <c r="DU189">
        <f t="shared" si="544"/>
        <v>-1</v>
      </c>
      <c r="DV189">
        <f t="shared" si="544"/>
        <v>-1</v>
      </c>
      <c r="DW189">
        <f t="shared" si="544"/>
        <v>-1</v>
      </c>
      <c r="DX189">
        <f t="shared" si="544"/>
        <v>-1</v>
      </c>
      <c r="DY189">
        <f t="shared" si="544"/>
        <v>-1</v>
      </c>
      <c r="DZ189">
        <f t="shared" si="544"/>
        <v>-1</v>
      </c>
      <c r="EA189">
        <f t="shared" si="544"/>
        <v>-1</v>
      </c>
      <c r="EB189">
        <f t="shared" ref="EB189:EO189" si="545">IF(OR(EB188=-1,AND(IF(EB$3&lt;$B189,EB188+EB$6,IF(EB$3=$B189,1,""))&gt;$B$1,EB$3&lt;$B189)),-1,IF(EB$3&lt;$B189,EB188+EB$6,IF(EB$3=$B189,1,"")))</f>
        <v>-1</v>
      </c>
      <c r="EC189">
        <f t="shared" si="545"/>
        <v>-1</v>
      </c>
      <c r="ED189">
        <f t="shared" si="545"/>
        <v>-1</v>
      </c>
      <c r="EE189">
        <f t="shared" si="545"/>
        <v>-1</v>
      </c>
      <c r="EF189">
        <f t="shared" si="545"/>
        <v>-1</v>
      </c>
      <c r="EG189">
        <f t="shared" si="545"/>
        <v>-1</v>
      </c>
      <c r="EH189">
        <f t="shared" si="545"/>
        <v>-1</v>
      </c>
      <c r="EI189">
        <f t="shared" si="545"/>
        <v>-1</v>
      </c>
      <c r="EJ189">
        <f t="shared" si="545"/>
        <v>-1</v>
      </c>
      <c r="EK189">
        <f t="shared" si="545"/>
        <v>-1</v>
      </c>
      <c r="EL189">
        <f t="shared" si="545"/>
        <v>-1</v>
      </c>
      <c r="EM189">
        <f t="shared" si="545"/>
        <v>-1</v>
      </c>
      <c r="EN189">
        <f t="shared" si="545"/>
        <v>-1</v>
      </c>
      <c r="EO189">
        <f t="shared" si="545"/>
        <v>-1</v>
      </c>
    </row>
    <row r="190" spans="1:145" x14ac:dyDescent="0.15">
      <c r="A190" t="e">
        <f t="shared" si="386"/>
        <v>#N/A</v>
      </c>
      <c r="B190" s="218">
        <v>182</v>
      </c>
      <c r="C190">
        <f t="shared" si="386"/>
        <v>-1</v>
      </c>
      <c r="D190">
        <f t="shared" ref="D190:BO190" si="546">IF(OR(D189=-1,AND(IF(D$3&lt;$B190,D189+D$6,IF(D$3=$B190,1,""))&gt;$B$1,D$3&lt;$B190)),-1,IF(D$3&lt;$B190,D189+D$6,IF(D$3=$B190,1,"")))</f>
        <v>-1</v>
      </c>
      <c r="E190">
        <f t="shared" si="546"/>
        <v>-1</v>
      </c>
      <c r="F190">
        <f t="shared" si="546"/>
        <v>-1</v>
      </c>
      <c r="G190">
        <f t="shared" si="546"/>
        <v>-1</v>
      </c>
      <c r="H190">
        <f t="shared" si="546"/>
        <v>-1</v>
      </c>
      <c r="I190">
        <f t="shared" si="546"/>
        <v>-1</v>
      </c>
      <c r="J190">
        <f t="shared" si="546"/>
        <v>-1</v>
      </c>
      <c r="K190">
        <f t="shared" si="546"/>
        <v>-1</v>
      </c>
      <c r="L190">
        <f t="shared" si="546"/>
        <v>-1</v>
      </c>
      <c r="M190">
        <f t="shared" si="546"/>
        <v>-1</v>
      </c>
      <c r="N190">
        <f t="shared" si="546"/>
        <v>-1</v>
      </c>
      <c r="O190">
        <f t="shared" si="546"/>
        <v>-1</v>
      </c>
      <c r="P190">
        <f t="shared" si="546"/>
        <v>-1</v>
      </c>
      <c r="Q190">
        <f t="shared" si="546"/>
        <v>-1</v>
      </c>
      <c r="R190">
        <f t="shared" si="546"/>
        <v>-1</v>
      </c>
      <c r="S190">
        <f t="shared" si="546"/>
        <v>-1</v>
      </c>
      <c r="T190">
        <f t="shared" si="546"/>
        <v>-1</v>
      </c>
      <c r="U190">
        <f t="shared" si="546"/>
        <v>-1</v>
      </c>
      <c r="V190">
        <f t="shared" si="546"/>
        <v>-1</v>
      </c>
      <c r="W190">
        <f t="shared" si="546"/>
        <v>-1</v>
      </c>
      <c r="X190">
        <f t="shared" si="546"/>
        <v>-1</v>
      </c>
      <c r="Y190">
        <f t="shared" si="546"/>
        <v>-1</v>
      </c>
      <c r="Z190">
        <f t="shared" si="546"/>
        <v>-1</v>
      </c>
      <c r="AA190">
        <f t="shared" si="546"/>
        <v>-1</v>
      </c>
      <c r="AB190">
        <f t="shared" si="546"/>
        <v>-1</v>
      </c>
      <c r="AC190">
        <f t="shared" si="546"/>
        <v>-1</v>
      </c>
      <c r="AD190">
        <f t="shared" si="546"/>
        <v>-1</v>
      </c>
      <c r="AE190">
        <f t="shared" si="546"/>
        <v>-1</v>
      </c>
      <c r="AF190">
        <f t="shared" si="546"/>
        <v>-1</v>
      </c>
      <c r="AG190">
        <f t="shared" si="546"/>
        <v>-1</v>
      </c>
      <c r="AH190">
        <f t="shared" si="546"/>
        <v>-1</v>
      </c>
      <c r="AI190">
        <f t="shared" si="546"/>
        <v>-1</v>
      </c>
      <c r="AJ190">
        <f t="shared" si="546"/>
        <v>-1</v>
      </c>
      <c r="AK190">
        <f t="shared" si="546"/>
        <v>-1</v>
      </c>
      <c r="AL190">
        <f t="shared" si="546"/>
        <v>-1</v>
      </c>
      <c r="AM190">
        <f t="shared" si="546"/>
        <v>-1</v>
      </c>
      <c r="AN190">
        <f t="shared" si="546"/>
        <v>-1</v>
      </c>
      <c r="AO190">
        <f t="shared" si="546"/>
        <v>-1</v>
      </c>
      <c r="AP190">
        <f t="shared" si="546"/>
        <v>-1</v>
      </c>
      <c r="AQ190">
        <f t="shared" si="546"/>
        <v>-1</v>
      </c>
      <c r="AR190">
        <f t="shared" si="546"/>
        <v>-1</v>
      </c>
      <c r="AS190">
        <f t="shared" si="546"/>
        <v>-1</v>
      </c>
      <c r="AT190">
        <f t="shared" si="546"/>
        <v>-1</v>
      </c>
      <c r="AU190">
        <f t="shared" si="546"/>
        <v>-1</v>
      </c>
      <c r="AV190">
        <f t="shared" si="546"/>
        <v>-1</v>
      </c>
      <c r="AW190">
        <f t="shared" si="546"/>
        <v>-1</v>
      </c>
      <c r="AX190">
        <f t="shared" si="546"/>
        <v>-1</v>
      </c>
      <c r="AY190">
        <f t="shared" si="546"/>
        <v>-1</v>
      </c>
      <c r="AZ190">
        <f t="shared" si="546"/>
        <v>-1</v>
      </c>
      <c r="BA190">
        <f t="shared" si="546"/>
        <v>-1</v>
      </c>
      <c r="BB190">
        <f t="shared" si="546"/>
        <v>-1</v>
      </c>
      <c r="BC190">
        <f t="shared" si="546"/>
        <v>-1</v>
      </c>
      <c r="BD190">
        <f t="shared" si="546"/>
        <v>-1</v>
      </c>
      <c r="BE190">
        <f t="shared" si="546"/>
        <v>-1</v>
      </c>
      <c r="BF190">
        <f t="shared" si="546"/>
        <v>-1</v>
      </c>
      <c r="BG190">
        <f t="shared" si="546"/>
        <v>-1</v>
      </c>
      <c r="BH190">
        <f t="shared" si="546"/>
        <v>-1</v>
      </c>
      <c r="BI190">
        <f t="shared" si="546"/>
        <v>-1</v>
      </c>
      <c r="BJ190">
        <f t="shared" si="546"/>
        <v>-1</v>
      </c>
      <c r="BK190">
        <f t="shared" si="546"/>
        <v>-1</v>
      </c>
      <c r="BL190">
        <f t="shared" si="546"/>
        <v>-1</v>
      </c>
      <c r="BM190">
        <f t="shared" si="546"/>
        <v>-1</v>
      </c>
      <c r="BN190">
        <f t="shared" si="546"/>
        <v>-1</v>
      </c>
      <c r="BO190">
        <f t="shared" si="546"/>
        <v>-1</v>
      </c>
      <c r="BP190">
        <f t="shared" ref="BP190:EA190" si="547">IF(OR(BP189=-1,AND(IF(BP$3&lt;$B190,BP189+BP$6,IF(BP$3=$B190,1,""))&gt;$B$1,BP$3&lt;$B190)),-1,IF(BP$3&lt;$B190,BP189+BP$6,IF(BP$3=$B190,1,"")))</f>
        <v>-1</v>
      </c>
      <c r="BQ190">
        <f t="shared" si="547"/>
        <v>-1</v>
      </c>
      <c r="BR190">
        <f t="shared" si="547"/>
        <v>-1</v>
      </c>
      <c r="BS190">
        <f t="shared" si="547"/>
        <v>-1</v>
      </c>
      <c r="BT190">
        <f t="shared" si="547"/>
        <v>-1</v>
      </c>
      <c r="BU190">
        <f t="shared" si="547"/>
        <v>-1</v>
      </c>
      <c r="BV190">
        <f t="shared" si="547"/>
        <v>-1</v>
      </c>
      <c r="BW190">
        <f t="shared" si="547"/>
        <v>-1</v>
      </c>
      <c r="BX190">
        <f t="shared" si="547"/>
        <v>-1</v>
      </c>
      <c r="BY190">
        <f t="shared" si="547"/>
        <v>-1</v>
      </c>
      <c r="BZ190">
        <f t="shared" si="547"/>
        <v>-1</v>
      </c>
      <c r="CA190">
        <f t="shared" si="547"/>
        <v>-1</v>
      </c>
      <c r="CB190">
        <f t="shared" si="547"/>
        <v>-1</v>
      </c>
      <c r="CC190">
        <f t="shared" si="547"/>
        <v>-1</v>
      </c>
      <c r="CD190">
        <f t="shared" si="547"/>
        <v>74.2</v>
      </c>
      <c r="CE190">
        <f t="shared" si="547"/>
        <v>70.600000000000037</v>
      </c>
      <c r="CF190">
        <f t="shared" si="547"/>
        <v>67.000000000000071</v>
      </c>
      <c r="CG190">
        <f t="shared" si="547"/>
        <v>63.400000000000105</v>
      </c>
      <c r="CH190">
        <f t="shared" si="547"/>
        <v>59.800000000000097</v>
      </c>
      <c r="CI190">
        <f t="shared" si="547"/>
        <v>56.200000000000088</v>
      </c>
      <c r="CJ190">
        <f t="shared" si="547"/>
        <v>52.60000000000008</v>
      </c>
      <c r="CK190">
        <f t="shared" si="547"/>
        <v>49.000000000000071</v>
      </c>
      <c r="CL190">
        <f t="shared" si="547"/>
        <v>45.400000000000063</v>
      </c>
      <c r="CM190">
        <f t="shared" si="547"/>
        <v>41.800000000000054</v>
      </c>
      <c r="CN190">
        <f t="shared" si="547"/>
        <v>38.200000000000045</v>
      </c>
      <c r="CO190">
        <f t="shared" si="547"/>
        <v>-1</v>
      </c>
      <c r="CP190">
        <f t="shared" si="547"/>
        <v>66</v>
      </c>
      <c r="CQ190">
        <f t="shared" si="547"/>
        <v>-1</v>
      </c>
      <c r="CR190">
        <f t="shared" si="547"/>
        <v>-1</v>
      </c>
      <c r="CS190">
        <f t="shared" si="547"/>
        <v>-1</v>
      </c>
      <c r="CT190">
        <f t="shared" si="547"/>
        <v>-1</v>
      </c>
      <c r="CU190">
        <f t="shared" si="547"/>
        <v>-1</v>
      </c>
      <c r="CV190">
        <f t="shared" si="547"/>
        <v>-1</v>
      </c>
      <c r="CW190">
        <f t="shared" si="547"/>
        <v>-1</v>
      </c>
      <c r="CX190">
        <f t="shared" si="547"/>
        <v>-1</v>
      </c>
      <c r="CY190">
        <f t="shared" si="547"/>
        <v>-1</v>
      </c>
      <c r="CZ190">
        <f t="shared" si="547"/>
        <v>-1</v>
      </c>
      <c r="DA190">
        <f t="shared" si="547"/>
        <v>-1</v>
      </c>
      <c r="DB190">
        <f t="shared" si="547"/>
        <v>-1</v>
      </c>
      <c r="DC190">
        <f t="shared" si="547"/>
        <v>-1</v>
      </c>
      <c r="DD190">
        <f t="shared" si="547"/>
        <v>-1</v>
      </c>
      <c r="DE190">
        <f t="shared" si="547"/>
        <v>-1</v>
      </c>
      <c r="DF190">
        <f t="shared" si="547"/>
        <v>-1</v>
      </c>
      <c r="DG190">
        <f t="shared" si="547"/>
        <v>-1</v>
      </c>
      <c r="DH190">
        <f t="shared" si="547"/>
        <v>-1</v>
      </c>
      <c r="DI190">
        <f t="shared" si="547"/>
        <v>-1</v>
      </c>
      <c r="DJ190">
        <f t="shared" si="547"/>
        <v>-1</v>
      </c>
      <c r="DK190">
        <f t="shared" si="547"/>
        <v>-1</v>
      </c>
      <c r="DL190">
        <f t="shared" si="547"/>
        <v>-1</v>
      </c>
      <c r="DM190">
        <f t="shared" si="547"/>
        <v>-1</v>
      </c>
      <c r="DN190">
        <f t="shared" si="547"/>
        <v>-1</v>
      </c>
      <c r="DO190">
        <f t="shared" si="547"/>
        <v>-1</v>
      </c>
      <c r="DP190">
        <f t="shared" si="547"/>
        <v>-1</v>
      </c>
      <c r="DQ190">
        <f t="shared" si="547"/>
        <v>-1</v>
      </c>
      <c r="DR190">
        <f t="shared" si="547"/>
        <v>-1</v>
      </c>
      <c r="DS190">
        <f t="shared" si="547"/>
        <v>-1</v>
      </c>
      <c r="DT190">
        <f t="shared" si="547"/>
        <v>-1</v>
      </c>
      <c r="DU190">
        <f t="shared" si="547"/>
        <v>-1</v>
      </c>
      <c r="DV190">
        <f t="shared" si="547"/>
        <v>-1</v>
      </c>
      <c r="DW190">
        <f t="shared" si="547"/>
        <v>-1</v>
      </c>
      <c r="DX190">
        <f t="shared" si="547"/>
        <v>-1</v>
      </c>
      <c r="DY190">
        <f t="shared" si="547"/>
        <v>-1</v>
      </c>
      <c r="DZ190">
        <f t="shared" si="547"/>
        <v>-1</v>
      </c>
      <c r="EA190">
        <f t="shared" si="547"/>
        <v>-1</v>
      </c>
      <c r="EB190">
        <f t="shared" ref="EB190:EO190" si="548">IF(OR(EB189=-1,AND(IF(EB$3&lt;$B190,EB189+EB$6,IF(EB$3=$B190,1,""))&gt;$B$1,EB$3&lt;$B190)),-1,IF(EB$3&lt;$B190,EB189+EB$6,IF(EB$3=$B190,1,"")))</f>
        <v>-1</v>
      </c>
      <c r="EC190">
        <f t="shared" si="548"/>
        <v>-1</v>
      </c>
      <c r="ED190">
        <f t="shared" si="548"/>
        <v>-1</v>
      </c>
      <c r="EE190">
        <f t="shared" si="548"/>
        <v>-1</v>
      </c>
      <c r="EF190">
        <f t="shared" si="548"/>
        <v>-1</v>
      </c>
      <c r="EG190">
        <f t="shared" si="548"/>
        <v>-1</v>
      </c>
      <c r="EH190">
        <f t="shared" si="548"/>
        <v>-1</v>
      </c>
      <c r="EI190">
        <f t="shared" si="548"/>
        <v>-1</v>
      </c>
      <c r="EJ190">
        <f t="shared" si="548"/>
        <v>-1</v>
      </c>
      <c r="EK190">
        <f t="shared" si="548"/>
        <v>-1</v>
      </c>
      <c r="EL190">
        <f t="shared" si="548"/>
        <v>-1</v>
      </c>
      <c r="EM190">
        <f t="shared" si="548"/>
        <v>-1</v>
      </c>
      <c r="EN190">
        <f t="shared" si="548"/>
        <v>-1</v>
      </c>
      <c r="EO190">
        <f t="shared" si="548"/>
        <v>-1</v>
      </c>
    </row>
    <row r="191" spans="1:145" x14ac:dyDescent="0.15">
      <c r="A191" t="e">
        <f t="shared" si="386"/>
        <v>#N/A</v>
      </c>
      <c r="B191" s="218">
        <v>183</v>
      </c>
      <c r="C191">
        <f t="shared" si="386"/>
        <v>-1</v>
      </c>
      <c r="D191">
        <f t="shared" ref="D191:BO191" si="549">IF(OR(D190=-1,AND(IF(D$3&lt;$B191,D190+D$6,IF(D$3=$B191,1,""))&gt;$B$1,D$3&lt;$B191)),-1,IF(D$3&lt;$B191,D190+D$6,IF(D$3=$B191,1,"")))</f>
        <v>-1</v>
      </c>
      <c r="E191">
        <f t="shared" si="549"/>
        <v>-1</v>
      </c>
      <c r="F191">
        <f t="shared" si="549"/>
        <v>-1</v>
      </c>
      <c r="G191">
        <f t="shared" si="549"/>
        <v>-1</v>
      </c>
      <c r="H191">
        <f t="shared" si="549"/>
        <v>-1</v>
      </c>
      <c r="I191">
        <f t="shared" si="549"/>
        <v>-1</v>
      </c>
      <c r="J191">
        <f t="shared" si="549"/>
        <v>-1</v>
      </c>
      <c r="K191">
        <f t="shared" si="549"/>
        <v>-1</v>
      </c>
      <c r="L191">
        <f t="shared" si="549"/>
        <v>-1</v>
      </c>
      <c r="M191">
        <f t="shared" si="549"/>
        <v>-1</v>
      </c>
      <c r="N191">
        <f t="shared" si="549"/>
        <v>-1</v>
      </c>
      <c r="O191">
        <f t="shared" si="549"/>
        <v>-1</v>
      </c>
      <c r="P191">
        <f t="shared" si="549"/>
        <v>-1</v>
      </c>
      <c r="Q191">
        <f t="shared" si="549"/>
        <v>-1</v>
      </c>
      <c r="R191">
        <f t="shared" si="549"/>
        <v>-1</v>
      </c>
      <c r="S191">
        <f t="shared" si="549"/>
        <v>-1</v>
      </c>
      <c r="T191">
        <f t="shared" si="549"/>
        <v>-1</v>
      </c>
      <c r="U191">
        <f t="shared" si="549"/>
        <v>-1</v>
      </c>
      <c r="V191">
        <f t="shared" si="549"/>
        <v>-1</v>
      </c>
      <c r="W191">
        <f t="shared" si="549"/>
        <v>-1</v>
      </c>
      <c r="X191">
        <f t="shared" si="549"/>
        <v>-1</v>
      </c>
      <c r="Y191">
        <f t="shared" si="549"/>
        <v>-1</v>
      </c>
      <c r="Z191">
        <f t="shared" si="549"/>
        <v>-1</v>
      </c>
      <c r="AA191">
        <f t="shared" si="549"/>
        <v>-1</v>
      </c>
      <c r="AB191">
        <f t="shared" si="549"/>
        <v>-1</v>
      </c>
      <c r="AC191">
        <f t="shared" si="549"/>
        <v>-1</v>
      </c>
      <c r="AD191">
        <f t="shared" si="549"/>
        <v>-1</v>
      </c>
      <c r="AE191">
        <f t="shared" si="549"/>
        <v>-1</v>
      </c>
      <c r="AF191">
        <f t="shared" si="549"/>
        <v>-1</v>
      </c>
      <c r="AG191">
        <f t="shared" si="549"/>
        <v>-1</v>
      </c>
      <c r="AH191">
        <f t="shared" si="549"/>
        <v>-1</v>
      </c>
      <c r="AI191">
        <f t="shared" si="549"/>
        <v>-1</v>
      </c>
      <c r="AJ191">
        <f t="shared" si="549"/>
        <v>-1</v>
      </c>
      <c r="AK191">
        <f t="shared" si="549"/>
        <v>-1</v>
      </c>
      <c r="AL191">
        <f t="shared" si="549"/>
        <v>-1</v>
      </c>
      <c r="AM191">
        <f t="shared" si="549"/>
        <v>-1</v>
      </c>
      <c r="AN191">
        <f t="shared" si="549"/>
        <v>-1</v>
      </c>
      <c r="AO191">
        <f t="shared" si="549"/>
        <v>-1</v>
      </c>
      <c r="AP191">
        <f t="shared" si="549"/>
        <v>-1</v>
      </c>
      <c r="AQ191">
        <f t="shared" si="549"/>
        <v>-1</v>
      </c>
      <c r="AR191">
        <f t="shared" si="549"/>
        <v>-1</v>
      </c>
      <c r="AS191">
        <f t="shared" si="549"/>
        <v>-1</v>
      </c>
      <c r="AT191">
        <f t="shared" si="549"/>
        <v>-1</v>
      </c>
      <c r="AU191">
        <f t="shared" si="549"/>
        <v>-1</v>
      </c>
      <c r="AV191">
        <f t="shared" si="549"/>
        <v>-1</v>
      </c>
      <c r="AW191">
        <f t="shared" si="549"/>
        <v>-1</v>
      </c>
      <c r="AX191">
        <f t="shared" si="549"/>
        <v>-1</v>
      </c>
      <c r="AY191">
        <f t="shared" si="549"/>
        <v>-1</v>
      </c>
      <c r="AZ191">
        <f t="shared" si="549"/>
        <v>-1</v>
      </c>
      <c r="BA191">
        <f t="shared" si="549"/>
        <v>-1</v>
      </c>
      <c r="BB191">
        <f t="shared" si="549"/>
        <v>-1</v>
      </c>
      <c r="BC191">
        <f t="shared" si="549"/>
        <v>-1</v>
      </c>
      <c r="BD191">
        <f t="shared" si="549"/>
        <v>-1</v>
      </c>
      <c r="BE191">
        <f t="shared" si="549"/>
        <v>-1</v>
      </c>
      <c r="BF191">
        <f t="shared" si="549"/>
        <v>-1</v>
      </c>
      <c r="BG191">
        <f t="shared" si="549"/>
        <v>-1</v>
      </c>
      <c r="BH191">
        <f t="shared" si="549"/>
        <v>-1</v>
      </c>
      <c r="BI191">
        <f t="shared" si="549"/>
        <v>-1</v>
      </c>
      <c r="BJ191">
        <f t="shared" si="549"/>
        <v>-1</v>
      </c>
      <c r="BK191">
        <f t="shared" si="549"/>
        <v>-1</v>
      </c>
      <c r="BL191">
        <f t="shared" si="549"/>
        <v>-1</v>
      </c>
      <c r="BM191">
        <f t="shared" si="549"/>
        <v>-1</v>
      </c>
      <c r="BN191">
        <f t="shared" si="549"/>
        <v>-1</v>
      </c>
      <c r="BO191">
        <f t="shared" si="549"/>
        <v>-1</v>
      </c>
      <c r="BP191">
        <f t="shared" ref="BP191:EA191" si="550">IF(OR(BP190=-1,AND(IF(BP$3&lt;$B191,BP190+BP$6,IF(BP$3=$B191,1,""))&gt;$B$1,BP$3&lt;$B191)),-1,IF(BP$3&lt;$B191,BP190+BP$6,IF(BP$3=$B191,1,"")))</f>
        <v>-1</v>
      </c>
      <c r="BQ191">
        <f t="shared" si="550"/>
        <v>-1</v>
      </c>
      <c r="BR191">
        <f t="shared" si="550"/>
        <v>-1</v>
      </c>
      <c r="BS191">
        <f t="shared" si="550"/>
        <v>-1</v>
      </c>
      <c r="BT191">
        <f t="shared" si="550"/>
        <v>-1</v>
      </c>
      <c r="BU191">
        <f t="shared" si="550"/>
        <v>-1</v>
      </c>
      <c r="BV191">
        <f t="shared" si="550"/>
        <v>-1</v>
      </c>
      <c r="BW191">
        <f t="shared" si="550"/>
        <v>-1</v>
      </c>
      <c r="BX191">
        <f t="shared" si="550"/>
        <v>-1</v>
      </c>
      <c r="BY191">
        <f t="shared" si="550"/>
        <v>-1</v>
      </c>
      <c r="BZ191">
        <f t="shared" si="550"/>
        <v>-1</v>
      </c>
      <c r="CA191">
        <f t="shared" si="550"/>
        <v>-1</v>
      </c>
      <c r="CB191">
        <f t="shared" si="550"/>
        <v>-1</v>
      </c>
      <c r="CC191">
        <f t="shared" si="550"/>
        <v>-1</v>
      </c>
      <c r="CD191">
        <f t="shared" si="550"/>
        <v>74.8</v>
      </c>
      <c r="CE191">
        <f t="shared" si="550"/>
        <v>71.200000000000031</v>
      </c>
      <c r="CF191">
        <f t="shared" si="550"/>
        <v>67.600000000000065</v>
      </c>
      <c r="CG191">
        <f t="shared" si="550"/>
        <v>64.000000000000099</v>
      </c>
      <c r="CH191">
        <f t="shared" si="550"/>
        <v>60.400000000000098</v>
      </c>
      <c r="CI191">
        <f t="shared" si="550"/>
        <v>56.80000000000009</v>
      </c>
      <c r="CJ191">
        <f t="shared" si="550"/>
        <v>53.200000000000081</v>
      </c>
      <c r="CK191">
        <f t="shared" si="550"/>
        <v>49.600000000000072</v>
      </c>
      <c r="CL191">
        <f t="shared" si="550"/>
        <v>46.000000000000064</v>
      </c>
      <c r="CM191">
        <f t="shared" si="550"/>
        <v>42.400000000000055</v>
      </c>
      <c r="CN191">
        <f t="shared" si="550"/>
        <v>38.800000000000047</v>
      </c>
      <c r="CO191">
        <f t="shared" si="550"/>
        <v>-1</v>
      </c>
      <c r="CP191">
        <f t="shared" si="550"/>
        <v>66.5</v>
      </c>
      <c r="CQ191">
        <f t="shared" si="550"/>
        <v>-1</v>
      </c>
      <c r="CR191">
        <f t="shared" si="550"/>
        <v>-1</v>
      </c>
      <c r="CS191">
        <f t="shared" si="550"/>
        <v>-1</v>
      </c>
      <c r="CT191">
        <f t="shared" si="550"/>
        <v>-1</v>
      </c>
      <c r="CU191">
        <f t="shared" si="550"/>
        <v>-1</v>
      </c>
      <c r="CV191">
        <f t="shared" si="550"/>
        <v>-1</v>
      </c>
      <c r="CW191">
        <f t="shared" si="550"/>
        <v>-1</v>
      </c>
      <c r="CX191">
        <f t="shared" si="550"/>
        <v>-1</v>
      </c>
      <c r="CY191">
        <f t="shared" si="550"/>
        <v>-1</v>
      </c>
      <c r="CZ191">
        <f t="shared" si="550"/>
        <v>-1</v>
      </c>
      <c r="DA191">
        <f t="shared" si="550"/>
        <v>-1</v>
      </c>
      <c r="DB191">
        <f t="shared" si="550"/>
        <v>-1</v>
      </c>
      <c r="DC191">
        <f t="shared" si="550"/>
        <v>-1</v>
      </c>
      <c r="DD191">
        <f t="shared" si="550"/>
        <v>-1</v>
      </c>
      <c r="DE191">
        <f t="shared" si="550"/>
        <v>-1</v>
      </c>
      <c r="DF191">
        <f t="shared" si="550"/>
        <v>-1</v>
      </c>
      <c r="DG191">
        <f t="shared" si="550"/>
        <v>-1</v>
      </c>
      <c r="DH191">
        <f t="shared" si="550"/>
        <v>-1</v>
      </c>
      <c r="DI191">
        <f t="shared" si="550"/>
        <v>-1</v>
      </c>
      <c r="DJ191">
        <f t="shared" si="550"/>
        <v>-1</v>
      </c>
      <c r="DK191">
        <f t="shared" si="550"/>
        <v>-1</v>
      </c>
      <c r="DL191">
        <f t="shared" si="550"/>
        <v>-1</v>
      </c>
      <c r="DM191">
        <f t="shared" si="550"/>
        <v>-1</v>
      </c>
      <c r="DN191">
        <f t="shared" si="550"/>
        <v>-1</v>
      </c>
      <c r="DO191">
        <f t="shared" si="550"/>
        <v>-1</v>
      </c>
      <c r="DP191">
        <f t="shared" si="550"/>
        <v>-1</v>
      </c>
      <c r="DQ191">
        <f t="shared" si="550"/>
        <v>-1</v>
      </c>
      <c r="DR191">
        <f t="shared" si="550"/>
        <v>-1</v>
      </c>
      <c r="DS191">
        <f t="shared" si="550"/>
        <v>-1</v>
      </c>
      <c r="DT191">
        <f t="shared" si="550"/>
        <v>-1</v>
      </c>
      <c r="DU191">
        <f t="shared" si="550"/>
        <v>-1</v>
      </c>
      <c r="DV191">
        <f t="shared" si="550"/>
        <v>-1</v>
      </c>
      <c r="DW191">
        <f t="shared" si="550"/>
        <v>-1</v>
      </c>
      <c r="DX191">
        <f t="shared" si="550"/>
        <v>-1</v>
      </c>
      <c r="DY191">
        <f t="shared" si="550"/>
        <v>-1</v>
      </c>
      <c r="DZ191">
        <f t="shared" si="550"/>
        <v>-1</v>
      </c>
      <c r="EA191">
        <f t="shared" si="550"/>
        <v>-1</v>
      </c>
      <c r="EB191">
        <f t="shared" ref="EB191:EO191" si="551">IF(OR(EB190=-1,AND(IF(EB$3&lt;$B191,EB190+EB$6,IF(EB$3=$B191,1,""))&gt;$B$1,EB$3&lt;$B191)),-1,IF(EB$3&lt;$B191,EB190+EB$6,IF(EB$3=$B191,1,"")))</f>
        <v>-1</v>
      </c>
      <c r="EC191">
        <f t="shared" si="551"/>
        <v>-1</v>
      </c>
      <c r="ED191">
        <f t="shared" si="551"/>
        <v>-1</v>
      </c>
      <c r="EE191">
        <f t="shared" si="551"/>
        <v>-1</v>
      </c>
      <c r="EF191">
        <f t="shared" si="551"/>
        <v>-1</v>
      </c>
      <c r="EG191">
        <f t="shared" si="551"/>
        <v>-1</v>
      </c>
      <c r="EH191">
        <f t="shared" si="551"/>
        <v>-1</v>
      </c>
      <c r="EI191">
        <f t="shared" si="551"/>
        <v>-1</v>
      </c>
      <c r="EJ191">
        <f t="shared" si="551"/>
        <v>-1</v>
      </c>
      <c r="EK191">
        <f t="shared" si="551"/>
        <v>-1</v>
      </c>
      <c r="EL191">
        <f t="shared" si="551"/>
        <v>-1</v>
      </c>
      <c r="EM191">
        <f t="shared" si="551"/>
        <v>-1</v>
      </c>
      <c r="EN191">
        <f t="shared" si="551"/>
        <v>-1</v>
      </c>
      <c r="EO191">
        <f t="shared" si="551"/>
        <v>-1</v>
      </c>
    </row>
    <row r="192" spans="1:145" x14ac:dyDescent="0.15">
      <c r="A192" t="e">
        <f t="shared" si="386"/>
        <v>#N/A</v>
      </c>
      <c r="B192" s="218">
        <v>184</v>
      </c>
      <c r="C192">
        <f t="shared" si="386"/>
        <v>-1</v>
      </c>
      <c r="D192">
        <f t="shared" ref="D192:BO192" si="552">IF(OR(D191=-1,AND(IF(D$3&lt;$B192,D191+D$6,IF(D$3=$B192,1,""))&gt;$B$1,D$3&lt;$B192)),-1,IF(D$3&lt;$B192,D191+D$6,IF(D$3=$B192,1,"")))</f>
        <v>-1</v>
      </c>
      <c r="E192">
        <f t="shared" si="552"/>
        <v>-1</v>
      </c>
      <c r="F192">
        <f t="shared" si="552"/>
        <v>-1</v>
      </c>
      <c r="G192">
        <f t="shared" si="552"/>
        <v>-1</v>
      </c>
      <c r="H192">
        <f t="shared" si="552"/>
        <v>-1</v>
      </c>
      <c r="I192">
        <f t="shared" si="552"/>
        <v>-1</v>
      </c>
      <c r="J192">
        <f t="shared" si="552"/>
        <v>-1</v>
      </c>
      <c r="K192">
        <f t="shared" si="552"/>
        <v>-1</v>
      </c>
      <c r="L192">
        <f t="shared" si="552"/>
        <v>-1</v>
      </c>
      <c r="M192">
        <f t="shared" si="552"/>
        <v>-1</v>
      </c>
      <c r="N192">
        <f t="shared" si="552"/>
        <v>-1</v>
      </c>
      <c r="O192">
        <f t="shared" si="552"/>
        <v>-1</v>
      </c>
      <c r="P192">
        <f t="shared" si="552"/>
        <v>-1</v>
      </c>
      <c r="Q192">
        <f t="shared" si="552"/>
        <v>-1</v>
      </c>
      <c r="R192">
        <f t="shared" si="552"/>
        <v>-1</v>
      </c>
      <c r="S192">
        <f t="shared" si="552"/>
        <v>-1</v>
      </c>
      <c r="T192">
        <f t="shared" si="552"/>
        <v>-1</v>
      </c>
      <c r="U192">
        <f t="shared" si="552"/>
        <v>-1</v>
      </c>
      <c r="V192">
        <f t="shared" si="552"/>
        <v>-1</v>
      </c>
      <c r="W192">
        <f t="shared" si="552"/>
        <v>-1</v>
      </c>
      <c r="X192">
        <f t="shared" si="552"/>
        <v>-1</v>
      </c>
      <c r="Y192">
        <f t="shared" si="552"/>
        <v>-1</v>
      </c>
      <c r="Z192">
        <f t="shared" si="552"/>
        <v>-1</v>
      </c>
      <c r="AA192">
        <f t="shared" si="552"/>
        <v>-1</v>
      </c>
      <c r="AB192">
        <f t="shared" si="552"/>
        <v>-1</v>
      </c>
      <c r="AC192">
        <f t="shared" si="552"/>
        <v>-1</v>
      </c>
      <c r="AD192">
        <f t="shared" si="552"/>
        <v>-1</v>
      </c>
      <c r="AE192">
        <f t="shared" si="552"/>
        <v>-1</v>
      </c>
      <c r="AF192">
        <f t="shared" si="552"/>
        <v>-1</v>
      </c>
      <c r="AG192">
        <f t="shared" si="552"/>
        <v>-1</v>
      </c>
      <c r="AH192">
        <f t="shared" si="552"/>
        <v>-1</v>
      </c>
      <c r="AI192">
        <f t="shared" si="552"/>
        <v>-1</v>
      </c>
      <c r="AJ192">
        <f t="shared" si="552"/>
        <v>-1</v>
      </c>
      <c r="AK192">
        <f t="shared" si="552"/>
        <v>-1</v>
      </c>
      <c r="AL192">
        <f t="shared" si="552"/>
        <v>-1</v>
      </c>
      <c r="AM192">
        <f t="shared" si="552"/>
        <v>-1</v>
      </c>
      <c r="AN192">
        <f t="shared" si="552"/>
        <v>-1</v>
      </c>
      <c r="AO192">
        <f t="shared" si="552"/>
        <v>-1</v>
      </c>
      <c r="AP192">
        <f t="shared" si="552"/>
        <v>-1</v>
      </c>
      <c r="AQ192">
        <f t="shared" si="552"/>
        <v>-1</v>
      </c>
      <c r="AR192">
        <f t="shared" si="552"/>
        <v>-1</v>
      </c>
      <c r="AS192">
        <f t="shared" si="552"/>
        <v>-1</v>
      </c>
      <c r="AT192">
        <f t="shared" si="552"/>
        <v>-1</v>
      </c>
      <c r="AU192">
        <f t="shared" si="552"/>
        <v>-1</v>
      </c>
      <c r="AV192">
        <f t="shared" si="552"/>
        <v>-1</v>
      </c>
      <c r="AW192">
        <f t="shared" si="552"/>
        <v>-1</v>
      </c>
      <c r="AX192">
        <f t="shared" si="552"/>
        <v>-1</v>
      </c>
      <c r="AY192">
        <f t="shared" si="552"/>
        <v>-1</v>
      </c>
      <c r="AZ192">
        <f t="shared" si="552"/>
        <v>-1</v>
      </c>
      <c r="BA192">
        <f t="shared" si="552"/>
        <v>-1</v>
      </c>
      <c r="BB192">
        <f t="shared" si="552"/>
        <v>-1</v>
      </c>
      <c r="BC192">
        <f t="shared" si="552"/>
        <v>-1</v>
      </c>
      <c r="BD192">
        <f t="shared" si="552"/>
        <v>-1</v>
      </c>
      <c r="BE192">
        <f t="shared" si="552"/>
        <v>-1</v>
      </c>
      <c r="BF192">
        <f t="shared" si="552"/>
        <v>-1</v>
      </c>
      <c r="BG192">
        <f t="shared" si="552"/>
        <v>-1</v>
      </c>
      <c r="BH192">
        <f t="shared" si="552"/>
        <v>-1</v>
      </c>
      <c r="BI192">
        <f t="shared" si="552"/>
        <v>-1</v>
      </c>
      <c r="BJ192">
        <f t="shared" si="552"/>
        <v>-1</v>
      </c>
      <c r="BK192">
        <f t="shared" si="552"/>
        <v>-1</v>
      </c>
      <c r="BL192">
        <f t="shared" si="552"/>
        <v>-1</v>
      </c>
      <c r="BM192">
        <f t="shared" si="552"/>
        <v>-1</v>
      </c>
      <c r="BN192">
        <f t="shared" si="552"/>
        <v>-1</v>
      </c>
      <c r="BO192">
        <f t="shared" si="552"/>
        <v>-1</v>
      </c>
      <c r="BP192">
        <f t="shared" ref="BP192:EA192" si="553">IF(OR(BP191=-1,AND(IF(BP$3&lt;$B192,BP191+BP$6,IF(BP$3=$B192,1,""))&gt;$B$1,BP$3&lt;$B192)),-1,IF(BP$3&lt;$B192,BP191+BP$6,IF(BP$3=$B192,1,"")))</f>
        <v>-1</v>
      </c>
      <c r="BQ192">
        <f t="shared" si="553"/>
        <v>-1</v>
      </c>
      <c r="BR192">
        <f t="shared" si="553"/>
        <v>-1</v>
      </c>
      <c r="BS192">
        <f t="shared" si="553"/>
        <v>-1</v>
      </c>
      <c r="BT192">
        <f t="shared" si="553"/>
        <v>-1</v>
      </c>
      <c r="BU192">
        <f t="shared" si="553"/>
        <v>-1</v>
      </c>
      <c r="BV192">
        <f t="shared" si="553"/>
        <v>-1</v>
      </c>
      <c r="BW192">
        <f t="shared" si="553"/>
        <v>-1</v>
      </c>
      <c r="BX192">
        <f t="shared" si="553"/>
        <v>-1</v>
      </c>
      <c r="BY192">
        <f t="shared" si="553"/>
        <v>-1</v>
      </c>
      <c r="BZ192">
        <f t="shared" si="553"/>
        <v>-1</v>
      </c>
      <c r="CA192">
        <f t="shared" si="553"/>
        <v>-1</v>
      </c>
      <c r="CB192">
        <f t="shared" si="553"/>
        <v>-1</v>
      </c>
      <c r="CC192">
        <f t="shared" si="553"/>
        <v>-1</v>
      </c>
      <c r="CD192">
        <f t="shared" si="553"/>
        <v>-1</v>
      </c>
      <c r="CE192">
        <f t="shared" si="553"/>
        <v>71.800000000000026</v>
      </c>
      <c r="CF192">
        <f t="shared" si="553"/>
        <v>68.20000000000006</v>
      </c>
      <c r="CG192">
        <f t="shared" si="553"/>
        <v>64.600000000000094</v>
      </c>
      <c r="CH192">
        <f t="shared" si="553"/>
        <v>61.000000000000099</v>
      </c>
      <c r="CI192">
        <f t="shared" si="553"/>
        <v>57.400000000000091</v>
      </c>
      <c r="CJ192">
        <f t="shared" si="553"/>
        <v>53.800000000000082</v>
      </c>
      <c r="CK192">
        <f t="shared" si="553"/>
        <v>50.200000000000074</v>
      </c>
      <c r="CL192">
        <f t="shared" si="553"/>
        <v>46.600000000000065</v>
      </c>
      <c r="CM192">
        <f t="shared" si="553"/>
        <v>43.000000000000057</v>
      </c>
      <c r="CN192">
        <f t="shared" si="553"/>
        <v>39.400000000000048</v>
      </c>
      <c r="CO192">
        <f t="shared" si="553"/>
        <v>-1</v>
      </c>
      <c r="CP192">
        <f t="shared" si="553"/>
        <v>67</v>
      </c>
      <c r="CQ192">
        <f t="shared" si="553"/>
        <v>-1</v>
      </c>
      <c r="CR192">
        <f t="shared" si="553"/>
        <v>-1</v>
      </c>
      <c r="CS192">
        <f t="shared" si="553"/>
        <v>-1</v>
      </c>
      <c r="CT192">
        <f t="shared" si="553"/>
        <v>-1</v>
      </c>
      <c r="CU192">
        <f t="shared" si="553"/>
        <v>-1</v>
      </c>
      <c r="CV192">
        <f t="shared" si="553"/>
        <v>-1</v>
      </c>
      <c r="CW192">
        <f t="shared" si="553"/>
        <v>-1</v>
      </c>
      <c r="CX192">
        <f t="shared" si="553"/>
        <v>-1</v>
      </c>
      <c r="CY192">
        <f t="shared" si="553"/>
        <v>-1</v>
      </c>
      <c r="CZ192">
        <f t="shared" si="553"/>
        <v>-1</v>
      </c>
      <c r="DA192">
        <f t="shared" si="553"/>
        <v>-1</v>
      </c>
      <c r="DB192">
        <f t="shared" si="553"/>
        <v>-1</v>
      </c>
      <c r="DC192">
        <f t="shared" si="553"/>
        <v>-1</v>
      </c>
      <c r="DD192">
        <f t="shared" si="553"/>
        <v>-1</v>
      </c>
      <c r="DE192">
        <f t="shared" si="553"/>
        <v>-1</v>
      </c>
      <c r="DF192">
        <f t="shared" si="553"/>
        <v>-1</v>
      </c>
      <c r="DG192">
        <f t="shared" si="553"/>
        <v>-1</v>
      </c>
      <c r="DH192">
        <f t="shared" si="553"/>
        <v>-1</v>
      </c>
      <c r="DI192">
        <f t="shared" si="553"/>
        <v>-1</v>
      </c>
      <c r="DJ192">
        <f t="shared" si="553"/>
        <v>-1</v>
      </c>
      <c r="DK192">
        <f t="shared" si="553"/>
        <v>-1</v>
      </c>
      <c r="DL192">
        <f t="shared" si="553"/>
        <v>-1</v>
      </c>
      <c r="DM192">
        <f t="shared" si="553"/>
        <v>-1</v>
      </c>
      <c r="DN192">
        <f t="shared" si="553"/>
        <v>-1</v>
      </c>
      <c r="DO192">
        <f t="shared" si="553"/>
        <v>-1</v>
      </c>
      <c r="DP192">
        <f t="shared" si="553"/>
        <v>-1</v>
      </c>
      <c r="DQ192">
        <f t="shared" si="553"/>
        <v>-1</v>
      </c>
      <c r="DR192">
        <f t="shared" si="553"/>
        <v>-1</v>
      </c>
      <c r="DS192">
        <f t="shared" si="553"/>
        <v>-1</v>
      </c>
      <c r="DT192">
        <f t="shared" si="553"/>
        <v>-1</v>
      </c>
      <c r="DU192">
        <f t="shared" si="553"/>
        <v>-1</v>
      </c>
      <c r="DV192">
        <f t="shared" si="553"/>
        <v>-1</v>
      </c>
      <c r="DW192">
        <f t="shared" si="553"/>
        <v>-1</v>
      </c>
      <c r="DX192">
        <f t="shared" si="553"/>
        <v>-1</v>
      </c>
      <c r="DY192">
        <f t="shared" si="553"/>
        <v>-1</v>
      </c>
      <c r="DZ192">
        <f t="shared" si="553"/>
        <v>-1</v>
      </c>
      <c r="EA192">
        <f t="shared" si="553"/>
        <v>-1</v>
      </c>
      <c r="EB192">
        <f t="shared" ref="EB192:EO192" si="554">IF(OR(EB191=-1,AND(IF(EB$3&lt;$B192,EB191+EB$6,IF(EB$3=$B192,1,""))&gt;$B$1,EB$3&lt;$B192)),-1,IF(EB$3&lt;$B192,EB191+EB$6,IF(EB$3=$B192,1,"")))</f>
        <v>-1</v>
      </c>
      <c r="EC192">
        <f t="shared" si="554"/>
        <v>-1</v>
      </c>
      <c r="ED192">
        <f t="shared" si="554"/>
        <v>-1</v>
      </c>
      <c r="EE192">
        <f t="shared" si="554"/>
        <v>-1</v>
      </c>
      <c r="EF192">
        <f t="shared" si="554"/>
        <v>-1</v>
      </c>
      <c r="EG192">
        <f t="shared" si="554"/>
        <v>-1</v>
      </c>
      <c r="EH192">
        <f t="shared" si="554"/>
        <v>-1</v>
      </c>
      <c r="EI192">
        <f t="shared" si="554"/>
        <v>-1</v>
      </c>
      <c r="EJ192">
        <f t="shared" si="554"/>
        <v>-1</v>
      </c>
      <c r="EK192">
        <f t="shared" si="554"/>
        <v>-1</v>
      </c>
      <c r="EL192">
        <f t="shared" si="554"/>
        <v>-1</v>
      </c>
      <c r="EM192">
        <f t="shared" si="554"/>
        <v>-1</v>
      </c>
      <c r="EN192">
        <f t="shared" si="554"/>
        <v>-1</v>
      </c>
      <c r="EO192">
        <f t="shared" si="554"/>
        <v>-1</v>
      </c>
    </row>
    <row r="193" spans="1:145" x14ac:dyDescent="0.15">
      <c r="A193" t="e">
        <f t="shared" si="386"/>
        <v>#N/A</v>
      </c>
      <c r="B193" s="218">
        <v>185</v>
      </c>
      <c r="C193">
        <f t="shared" si="386"/>
        <v>-1</v>
      </c>
      <c r="D193">
        <f t="shared" ref="D193:BO193" si="555">IF(OR(D192=-1,AND(IF(D$3&lt;$B193,D192+D$6,IF(D$3=$B193,1,""))&gt;$B$1,D$3&lt;$B193)),-1,IF(D$3&lt;$B193,D192+D$6,IF(D$3=$B193,1,"")))</f>
        <v>-1</v>
      </c>
      <c r="E193">
        <f t="shared" si="555"/>
        <v>-1</v>
      </c>
      <c r="F193">
        <f t="shared" si="555"/>
        <v>-1</v>
      </c>
      <c r="G193">
        <f t="shared" si="555"/>
        <v>-1</v>
      </c>
      <c r="H193">
        <f t="shared" si="555"/>
        <v>-1</v>
      </c>
      <c r="I193">
        <f t="shared" si="555"/>
        <v>-1</v>
      </c>
      <c r="J193">
        <f t="shared" si="555"/>
        <v>-1</v>
      </c>
      <c r="K193">
        <f t="shared" si="555"/>
        <v>-1</v>
      </c>
      <c r="L193">
        <f t="shared" si="555"/>
        <v>-1</v>
      </c>
      <c r="M193">
        <f t="shared" si="555"/>
        <v>-1</v>
      </c>
      <c r="N193">
        <f t="shared" si="555"/>
        <v>-1</v>
      </c>
      <c r="O193">
        <f t="shared" si="555"/>
        <v>-1</v>
      </c>
      <c r="P193">
        <f t="shared" si="555"/>
        <v>-1</v>
      </c>
      <c r="Q193">
        <f t="shared" si="555"/>
        <v>-1</v>
      </c>
      <c r="R193">
        <f t="shared" si="555"/>
        <v>-1</v>
      </c>
      <c r="S193">
        <f t="shared" si="555"/>
        <v>-1</v>
      </c>
      <c r="T193">
        <f t="shared" si="555"/>
        <v>-1</v>
      </c>
      <c r="U193">
        <f t="shared" si="555"/>
        <v>-1</v>
      </c>
      <c r="V193">
        <f t="shared" si="555"/>
        <v>-1</v>
      </c>
      <c r="W193">
        <f t="shared" si="555"/>
        <v>-1</v>
      </c>
      <c r="X193">
        <f t="shared" si="555"/>
        <v>-1</v>
      </c>
      <c r="Y193">
        <f t="shared" si="555"/>
        <v>-1</v>
      </c>
      <c r="Z193">
        <f t="shared" si="555"/>
        <v>-1</v>
      </c>
      <c r="AA193">
        <f t="shared" si="555"/>
        <v>-1</v>
      </c>
      <c r="AB193">
        <f t="shared" si="555"/>
        <v>-1</v>
      </c>
      <c r="AC193">
        <f t="shared" si="555"/>
        <v>-1</v>
      </c>
      <c r="AD193">
        <f t="shared" si="555"/>
        <v>-1</v>
      </c>
      <c r="AE193">
        <f t="shared" si="555"/>
        <v>-1</v>
      </c>
      <c r="AF193">
        <f t="shared" si="555"/>
        <v>-1</v>
      </c>
      <c r="AG193">
        <f t="shared" si="555"/>
        <v>-1</v>
      </c>
      <c r="AH193">
        <f t="shared" si="555"/>
        <v>-1</v>
      </c>
      <c r="AI193">
        <f t="shared" si="555"/>
        <v>-1</v>
      </c>
      <c r="AJ193">
        <f t="shared" si="555"/>
        <v>-1</v>
      </c>
      <c r="AK193">
        <f t="shared" si="555"/>
        <v>-1</v>
      </c>
      <c r="AL193">
        <f t="shared" si="555"/>
        <v>-1</v>
      </c>
      <c r="AM193">
        <f t="shared" si="555"/>
        <v>-1</v>
      </c>
      <c r="AN193">
        <f t="shared" si="555"/>
        <v>-1</v>
      </c>
      <c r="AO193">
        <f t="shared" si="555"/>
        <v>-1</v>
      </c>
      <c r="AP193">
        <f t="shared" si="555"/>
        <v>-1</v>
      </c>
      <c r="AQ193">
        <f t="shared" si="555"/>
        <v>-1</v>
      </c>
      <c r="AR193">
        <f t="shared" si="555"/>
        <v>-1</v>
      </c>
      <c r="AS193">
        <f t="shared" si="555"/>
        <v>-1</v>
      </c>
      <c r="AT193">
        <f t="shared" si="555"/>
        <v>-1</v>
      </c>
      <c r="AU193">
        <f t="shared" si="555"/>
        <v>-1</v>
      </c>
      <c r="AV193">
        <f t="shared" si="555"/>
        <v>-1</v>
      </c>
      <c r="AW193">
        <f t="shared" si="555"/>
        <v>-1</v>
      </c>
      <c r="AX193">
        <f t="shared" si="555"/>
        <v>-1</v>
      </c>
      <c r="AY193">
        <f t="shared" si="555"/>
        <v>-1</v>
      </c>
      <c r="AZ193">
        <f t="shared" si="555"/>
        <v>-1</v>
      </c>
      <c r="BA193">
        <f t="shared" si="555"/>
        <v>-1</v>
      </c>
      <c r="BB193">
        <f t="shared" si="555"/>
        <v>-1</v>
      </c>
      <c r="BC193">
        <f t="shared" si="555"/>
        <v>-1</v>
      </c>
      <c r="BD193">
        <f t="shared" si="555"/>
        <v>-1</v>
      </c>
      <c r="BE193">
        <f t="shared" si="555"/>
        <v>-1</v>
      </c>
      <c r="BF193">
        <f t="shared" si="555"/>
        <v>-1</v>
      </c>
      <c r="BG193">
        <f t="shared" si="555"/>
        <v>-1</v>
      </c>
      <c r="BH193">
        <f t="shared" si="555"/>
        <v>-1</v>
      </c>
      <c r="BI193">
        <f t="shared" si="555"/>
        <v>-1</v>
      </c>
      <c r="BJ193">
        <f t="shared" si="555"/>
        <v>-1</v>
      </c>
      <c r="BK193">
        <f t="shared" si="555"/>
        <v>-1</v>
      </c>
      <c r="BL193">
        <f t="shared" si="555"/>
        <v>-1</v>
      </c>
      <c r="BM193">
        <f t="shared" si="555"/>
        <v>-1</v>
      </c>
      <c r="BN193">
        <f t="shared" si="555"/>
        <v>-1</v>
      </c>
      <c r="BO193">
        <f t="shared" si="555"/>
        <v>-1</v>
      </c>
      <c r="BP193">
        <f t="shared" ref="BP193:EA193" si="556">IF(OR(BP192=-1,AND(IF(BP$3&lt;$B193,BP192+BP$6,IF(BP$3=$B193,1,""))&gt;$B$1,BP$3&lt;$B193)),-1,IF(BP$3&lt;$B193,BP192+BP$6,IF(BP$3=$B193,1,"")))</f>
        <v>-1</v>
      </c>
      <c r="BQ193">
        <f t="shared" si="556"/>
        <v>-1</v>
      </c>
      <c r="BR193">
        <f t="shared" si="556"/>
        <v>-1</v>
      </c>
      <c r="BS193">
        <f t="shared" si="556"/>
        <v>-1</v>
      </c>
      <c r="BT193">
        <f t="shared" si="556"/>
        <v>-1</v>
      </c>
      <c r="BU193">
        <f t="shared" si="556"/>
        <v>-1</v>
      </c>
      <c r="BV193">
        <f t="shared" si="556"/>
        <v>-1</v>
      </c>
      <c r="BW193">
        <f t="shared" si="556"/>
        <v>-1</v>
      </c>
      <c r="BX193">
        <f t="shared" si="556"/>
        <v>-1</v>
      </c>
      <c r="BY193">
        <f t="shared" si="556"/>
        <v>-1</v>
      </c>
      <c r="BZ193">
        <f t="shared" si="556"/>
        <v>-1</v>
      </c>
      <c r="CA193">
        <f t="shared" si="556"/>
        <v>-1</v>
      </c>
      <c r="CB193">
        <f t="shared" si="556"/>
        <v>-1</v>
      </c>
      <c r="CC193">
        <f t="shared" si="556"/>
        <v>-1</v>
      </c>
      <c r="CD193">
        <f t="shared" si="556"/>
        <v>-1</v>
      </c>
      <c r="CE193">
        <f t="shared" si="556"/>
        <v>72.40000000000002</v>
      </c>
      <c r="CF193">
        <f t="shared" si="556"/>
        <v>68.800000000000054</v>
      </c>
      <c r="CG193">
        <f t="shared" si="556"/>
        <v>65.200000000000088</v>
      </c>
      <c r="CH193">
        <f t="shared" si="556"/>
        <v>61.600000000000101</v>
      </c>
      <c r="CI193">
        <f t="shared" si="556"/>
        <v>58.000000000000092</v>
      </c>
      <c r="CJ193">
        <f t="shared" si="556"/>
        <v>54.400000000000084</v>
      </c>
      <c r="CK193">
        <f t="shared" si="556"/>
        <v>50.800000000000075</v>
      </c>
      <c r="CL193">
        <f t="shared" si="556"/>
        <v>47.200000000000067</v>
      </c>
      <c r="CM193">
        <f t="shared" si="556"/>
        <v>43.600000000000058</v>
      </c>
      <c r="CN193">
        <f t="shared" si="556"/>
        <v>40.00000000000005</v>
      </c>
      <c r="CO193">
        <f t="shared" si="556"/>
        <v>-1</v>
      </c>
      <c r="CP193">
        <f t="shared" si="556"/>
        <v>67.5</v>
      </c>
      <c r="CQ193">
        <f t="shared" si="556"/>
        <v>-1</v>
      </c>
      <c r="CR193">
        <f t="shared" si="556"/>
        <v>-1</v>
      </c>
      <c r="CS193">
        <f t="shared" si="556"/>
        <v>-1</v>
      </c>
      <c r="CT193">
        <f t="shared" si="556"/>
        <v>-1</v>
      </c>
      <c r="CU193">
        <f t="shared" si="556"/>
        <v>-1</v>
      </c>
      <c r="CV193">
        <f t="shared" si="556"/>
        <v>-1</v>
      </c>
      <c r="CW193">
        <f t="shared" si="556"/>
        <v>-1</v>
      </c>
      <c r="CX193">
        <f t="shared" si="556"/>
        <v>-1</v>
      </c>
      <c r="CY193">
        <f t="shared" si="556"/>
        <v>-1</v>
      </c>
      <c r="CZ193">
        <f t="shared" si="556"/>
        <v>-1</v>
      </c>
      <c r="DA193">
        <f t="shared" si="556"/>
        <v>-1</v>
      </c>
      <c r="DB193">
        <f t="shared" si="556"/>
        <v>-1</v>
      </c>
      <c r="DC193">
        <f t="shared" si="556"/>
        <v>-1</v>
      </c>
      <c r="DD193">
        <f t="shared" si="556"/>
        <v>-1</v>
      </c>
      <c r="DE193">
        <f t="shared" si="556"/>
        <v>-1</v>
      </c>
      <c r="DF193">
        <f t="shared" si="556"/>
        <v>-1</v>
      </c>
      <c r="DG193">
        <f t="shared" si="556"/>
        <v>-1</v>
      </c>
      <c r="DH193">
        <f t="shared" si="556"/>
        <v>-1</v>
      </c>
      <c r="DI193">
        <f t="shared" si="556"/>
        <v>-1</v>
      </c>
      <c r="DJ193">
        <f t="shared" si="556"/>
        <v>-1</v>
      </c>
      <c r="DK193">
        <f t="shared" si="556"/>
        <v>-1</v>
      </c>
      <c r="DL193">
        <f t="shared" si="556"/>
        <v>-1</v>
      </c>
      <c r="DM193">
        <f t="shared" si="556"/>
        <v>-1</v>
      </c>
      <c r="DN193">
        <f t="shared" si="556"/>
        <v>-1</v>
      </c>
      <c r="DO193">
        <f t="shared" si="556"/>
        <v>-1</v>
      </c>
      <c r="DP193">
        <f t="shared" si="556"/>
        <v>-1</v>
      </c>
      <c r="DQ193">
        <f t="shared" si="556"/>
        <v>-1</v>
      </c>
      <c r="DR193">
        <f t="shared" si="556"/>
        <v>-1</v>
      </c>
      <c r="DS193">
        <f t="shared" si="556"/>
        <v>-1</v>
      </c>
      <c r="DT193">
        <f t="shared" si="556"/>
        <v>-1</v>
      </c>
      <c r="DU193">
        <f t="shared" si="556"/>
        <v>-1</v>
      </c>
      <c r="DV193">
        <f t="shared" si="556"/>
        <v>-1</v>
      </c>
      <c r="DW193">
        <f t="shared" si="556"/>
        <v>-1</v>
      </c>
      <c r="DX193">
        <f t="shared" si="556"/>
        <v>-1</v>
      </c>
      <c r="DY193">
        <f t="shared" si="556"/>
        <v>-1</v>
      </c>
      <c r="DZ193">
        <f t="shared" si="556"/>
        <v>-1</v>
      </c>
      <c r="EA193">
        <f t="shared" si="556"/>
        <v>-1</v>
      </c>
      <c r="EB193">
        <f t="shared" ref="EB193:EO193" si="557">IF(OR(EB192=-1,AND(IF(EB$3&lt;$B193,EB192+EB$6,IF(EB$3=$B193,1,""))&gt;$B$1,EB$3&lt;$B193)),-1,IF(EB$3&lt;$B193,EB192+EB$6,IF(EB$3=$B193,1,"")))</f>
        <v>-1</v>
      </c>
      <c r="EC193">
        <f t="shared" si="557"/>
        <v>-1</v>
      </c>
      <c r="ED193">
        <f t="shared" si="557"/>
        <v>-1</v>
      </c>
      <c r="EE193">
        <f t="shared" si="557"/>
        <v>-1</v>
      </c>
      <c r="EF193">
        <f t="shared" si="557"/>
        <v>-1</v>
      </c>
      <c r="EG193">
        <f t="shared" si="557"/>
        <v>-1</v>
      </c>
      <c r="EH193">
        <f t="shared" si="557"/>
        <v>-1</v>
      </c>
      <c r="EI193">
        <f t="shared" si="557"/>
        <v>-1</v>
      </c>
      <c r="EJ193">
        <f t="shared" si="557"/>
        <v>-1</v>
      </c>
      <c r="EK193">
        <f t="shared" si="557"/>
        <v>-1</v>
      </c>
      <c r="EL193">
        <f t="shared" si="557"/>
        <v>-1</v>
      </c>
      <c r="EM193">
        <f t="shared" si="557"/>
        <v>-1</v>
      </c>
      <c r="EN193">
        <f t="shared" si="557"/>
        <v>-1</v>
      </c>
      <c r="EO193">
        <f t="shared" si="557"/>
        <v>-1</v>
      </c>
    </row>
    <row r="194" spans="1:145" x14ac:dyDescent="0.15">
      <c r="A194" t="e">
        <f t="shared" si="386"/>
        <v>#N/A</v>
      </c>
      <c r="B194" s="218">
        <v>186</v>
      </c>
      <c r="C194">
        <f t="shared" si="386"/>
        <v>-1</v>
      </c>
      <c r="D194">
        <f t="shared" ref="D194:BO194" si="558">IF(OR(D193=-1,AND(IF(D$3&lt;$B194,D193+D$6,IF(D$3=$B194,1,""))&gt;$B$1,D$3&lt;$B194)),-1,IF(D$3&lt;$B194,D193+D$6,IF(D$3=$B194,1,"")))</f>
        <v>-1</v>
      </c>
      <c r="E194">
        <f t="shared" si="558"/>
        <v>-1</v>
      </c>
      <c r="F194">
        <f t="shared" si="558"/>
        <v>-1</v>
      </c>
      <c r="G194">
        <f t="shared" si="558"/>
        <v>-1</v>
      </c>
      <c r="H194">
        <f t="shared" si="558"/>
        <v>-1</v>
      </c>
      <c r="I194">
        <f t="shared" si="558"/>
        <v>-1</v>
      </c>
      <c r="J194">
        <f t="shared" si="558"/>
        <v>-1</v>
      </c>
      <c r="K194">
        <f t="shared" si="558"/>
        <v>-1</v>
      </c>
      <c r="L194">
        <f t="shared" si="558"/>
        <v>-1</v>
      </c>
      <c r="M194">
        <f t="shared" si="558"/>
        <v>-1</v>
      </c>
      <c r="N194">
        <f t="shared" si="558"/>
        <v>-1</v>
      </c>
      <c r="O194">
        <f t="shared" si="558"/>
        <v>-1</v>
      </c>
      <c r="P194">
        <f t="shared" si="558"/>
        <v>-1</v>
      </c>
      <c r="Q194">
        <f t="shared" si="558"/>
        <v>-1</v>
      </c>
      <c r="R194">
        <f t="shared" si="558"/>
        <v>-1</v>
      </c>
      <c r="S194">
        <f t="shared" si="558"/>
        <v>-1</v>
      </c>
      <c r="T194">
        <f t="shared" si="558"/>
        <v>-1</v>
      </c>
      <c r="U194">
        <f t="shared" si="558"/>
        <v>-1</v>
      </c>
      <c r="V194">
        <f t="shared" si="558"/>
        <v>-1</v>
      </c>
      <c r="W194">
        <f t="shared" si="558"/>
        <v>-1</v>
      </c>
      <c r="X194">
        <f t="shared" si="558"/>
        <v>-1</v>
      </c>
      <c r="Y194">
        <f t="shared" si="558"/>
        <v>-1</v>
      </c>
      <c r="Z194">
        <f t="shared" si="558"/>
        <v>-1</v>
      </c>
      <c r="AA194">
        <f t="shared" si="558"/>
        <v>-1</v>
      </c>
      <c r="AB194">
        <f t="shared" si="558"/>
        <v>-1</v>
      </c>
      <c r="AC194">
        <f t="shared" si="558"/>
        <v>-1</v>
      </c>
      <c r="AD194">
        <f t="shared" si="558"/>
        <v>-1</v>
      </c>
      <c r="AE194">
        <f t="shared" si="558"/>
        <v>-1</v>
      </c>
      <c r="AF194">
        <f t="shared" si="558"/>
        <v>-1</v>
      </c>
      <c r="AG194">
        <f t="shared" si="558"/>
        <v>-1</v>
      </c>
      <c r="AH194">
        <f t="shared" si="558"/>
        <v>-1</v>
      </c>
      <c r="AI194">
        <f t="shared" si="558"/>
        <v>-1</v>
      </c>
      <c r="AJ194">
        <f t="shared" si="558"/>
        <v>-1</v>
      </c>
      <c r="AK194">
        <f t="shared" si="558"/>
        <v>-1</v>
      </c>
      <c r="AL194">
        <f t="shared" si="558"/>
        <v>-1</v>
      </c>
      <c r="AM194">
        <f t="shared" si="558"/>
        <v>-1</v>
      </c>
      <c r="AN194">
        <f t="shared" si="558"/>
        <v>-1</v>
      </c>
      <c r="AO194">
        <f t="shared" si="558"/>
        <v>-1</v>
      </c>
      <c r="AP194">
        <f t="shared" si="558"/>
        <v>-1</v>
      </c>
      <c r="AQ194">
        <f t="shared" si="558"/>
        <v>-1</v>
      </c>
      <c r="AR194">
        <f t="shared" si="558"/>
        <v>-1</v>
      </c>
      <c r="AS194">
        <f t="shared" si="558"/>
        <v>-1</v>
      </c>
      <c r="AT194">
        <f t="shared" si="558"/>
        <v>-1</v>
      </c>
      <c r="AU194">
        <f t="shared" si="558"/>
        <v>-1</v>
      </c>
      <c r="AV194">
        <f t="shared" si="558"/>
        <v>-1</v>
      </c>
      <c r="AW194">
        <f t="shared" si="558"/>
        <v>-1</v>
      </c>
      <c r="AX194">
        <f t="shared" si="558"/>
        <v>-1</v>
      </c>
      <c r="AY194">
        <f t="shared" si="558"/>
        <v>-1</v>
      </c>
      <c r="AZ194">
        <f t="shared" si="558"/>
        <v>-1</v>
      </c>
      <c r="BA194">
        <f t="shared" si="558"/>
        <v>-1</v>
      </c>
      <c r="BB194">
        <f t="shared" si="558"/>
        <v>-1</v>
      </c>
      <c r="BC194">
        <f t="shared" si="558"/>
        <v>-1</v>
      </c>
      <c r="BD194">
        <f t="shared" si="558"/>
        <v>-1</v>
      </c>
      <c r="BE194">
        <f t="shared" si="558"/>
        <v>-1</v>
      </c>
      <c r="BF194">
        <f t="shared" si="558"/>
        <v>-1</v>
      </c>
      <c r="BG194">
        <f t="shared" si="558"/>
        <v>-1</v>
      </c>
      <c r="BH194">
        <f t="shared" si="558"/>
        <v>-1</v>
      </c>
      <c r="BI194">
        <f t="shared" si="558"/>
        <v>-1</v>
      </c>
      <c r="BJ194">
        <f t="shared" si="558"/>
        <v>-1</v>
      </c>
      <c r="BK194">
        <f t="shared" si="558"/>
        <v>-1</v>
      </c>
      <c r="BL194">
        <f t="shared" si="558"/>
        <v>-1</v>
      </c>
      <c r="BM194">
        <f t="shared" si="558"/>
        <v>-1</v>
      </c>
      <c r="BN194">
        <f t="shared" si="558"/>
        <v>-1</v>
      </c>
      <c r="BO194">
        <f t="shared" si="558"/>
        <v>-1</v>
      </c>
      <c r="BP194">
        <f t="shared" ref="BP194:EA194" si="559">IF(OR(BP193=-1,AND(IF(BP$3&lt;$B194,BP193+BP$6,IF(BP$3=$B194,1,""))&gt;$B$1,BP$3&lt;$B194)),-1,IF(BP$3&lt;$B194,BP193+BP$6,IF(BP$3=$B194,1,"")))</f>
        <v>-1</v>
      </c>
      <c r="BQ194">
        <f t="shared" si="559"/>
        <v>-1</v>
      </c>
      <c r="BR194">
        <f t="shared" si="559"/>
        <v>-1</v>
      </c>
      <c r="BS194">
        <f t="shared" si="559"/>
        <v>-1</v>
      </c>
      <c r="BT194">
        <f t="shared" si="559"/>
        <v>-1</v>
      </c>
      <c r="BU194">
        <f t="shared" si="559"/>
        <v>-1</v>
      </c>
      <c r="BV194">
        <f t="shared" si="559"/>
        <v>-1</v>
      </c>
      <c r="BW194">
        <f t="shared" si="559"/>
        <v>-1</v>
      </c>
      <c r="BX194">
        <f t="shared" si="559"/>
        <v>-1</v>
      </c>
      <c r="BY194">
        <f t="shared" si="559"/>
        <v>-1</v>
      </c>
      <c r="BZ194">
        <f t="shared" si="559"/>
        <v>-1</v>
      </c>
      <c r="CA194">
        <f t="shared" si="559"/>
        <v>-1</v>
      </c>
      <c r="CB194">
        <f t="shared" si="559"/>
        <v>-1</v>
      </c>
      <c r="CC194">
        <f t="shared" si="559"/>
        <v>-1</v>
      </c>
      <c r="CD194">
        <f t="shared" si="559"/>
        <v>-1</v>
      </c>
      <c r="CE194">
        <f t="shared" si="559"/>
        <v>73.000000000000014</v>
      </c>
      <c r="CF194">
        <f t="shared" si="559"/>
        <v>69.400000000000048</v>
      </c>
      <c r="CG194">
        <f t="shared" si="559"/>
        <v>65.800000000000082</v>
      </c>
      <c r="CH194">
        <f t="shared" si="559"/>
        <v>62.200000000000102</v>
      </c>
      <c r="CI194">
        <f t="shared" si="559"/>
        <v>58.600000000000094</v>
      </c>
      <c r="CJ194">
        <f t="shared" si="559"/>
        <v>55.000000000000085</v>
      </c>
      <c r="CK194">
        <f t="shared" si="559"/>
        <v>51.400000000000077</v>
      </c>
      <c r="CL194">
        <f t="shared" si="559"/>
        <v>47.800000000000068</v>
      </c>
      <c r="CM194">
        <f t="shared" si="559"/>
        <v>44.20000000000006</v>
      </c>
      <c r="CN194">
        <f t="shared" si="559"/>
        <v>40.600000000000051</v>
      </c>
      <c r="CO194">
        <f t="shared" si="559"/>
        <v>-1</v>
      </c>
      <c r="CP194">
        <f t="shared" si="559"/>
        <v>68</v>
      </c>
      <c r="CQ194">
        <f t="shared" si="559"/>
        <v>-1</v>
      </c>
      <c r="CR194">
        <f t="shared" si="559"/>
        <v>-1</v>
      </c>
      <c r="CS194">
        <f t="shared" si="559"/>
        <v>-1</v>
      </c>
      <c r="CT194">
        <f t="shared" si="559"/>
        <v>-1</v>
      </c>
      <c r="CU194">
        <f t="shared" si="559"/>
        <v>-1</v>
      </c>
      <c r="CV194">
        <f t="shared" si="559"/>
        <v>-1</v>
      </c>
      <c r="CW194">
        <f t="shared" si="559"/>
        <v>-1</v>
      </c>
      <c r="CX194">
        <f t="shared" si="559"/>
        <v>-1</v>
      </c>
      <c r="CY194">
        <f t="shared" si="559"/>
        <v>-1</v>
      </c>
      <c r="CZ194">
        <f t="shared" si="559"/>
        <v>-1</v>
      </c>
      <c r="DA194">
        <f t="shared" si="559"/>
        <v>-1</v>
      </c>
      <c r="DB194">
        <f t="shared" si="559"/>
        <v>-1</v>
      </c>
      <c r="DC194">
        <f t="shared" si="559"/>
        <v>-1</v>
      </c>
      <c r="DD194">
        <f t="shared" si="559"/>
        <v>-1</v>
      </c>
      <c r="DE194">
        <f t="shared" si="559"/>
        <v>-1</v>
      </c>
      <c r="DF194">
        <f t="shared" si="559"/>
        <v>-1</v>
      </c>
      <c r="DG194">
        <f t="shared" si="559"/>
        <v>-1</v>
      </c>
      <c r="DH194">
        <f t="shared" si="559"/>
        <v>-1</v>
      </c>
      <c r="DI194">
        <f t="shared" si="559"/>
        <v>-1</v>
      </c>
      <c r="DJ194">
        <f t="shared" si="559"/>
        <v>-1</v>
      </c>
      <c r="DK194">
        <f t="shared" si="559"/>
        <v>-1</v>
      </c>
      <c r="DL194">
        <f t="shared" si="559"/>
        <v>-1</v>
      </c>
      <c r="DM194">
        <f t="shared" si="559"/>
        <v>-1</v>
      </c>
      <c r="DN194">
        <f t="shared" si="559"/>
        <v>-1</v>
      </c>
      <c r="DO194">
        <f t="shared" si="559"/>
        <v>-1</v>
      </c>
      <c r="DP194">
        <f t="shared" si="559"/>
        <v>-1</v>
      </c>
      <c r="DQ194">
        <f t="shared" si="559"/>
        <v>-1</v>
      </c>
      <c r="DR194">
        <f t="shared" si="559"/>
        <v>-1</v>
      </c>
      <c r="DS194">
        <f t="shared" si="559"/>
        <v>-1</v>
      </c>
      <c r="DT194">
        <f t="shared" si="559"/>
        <v>-1</v>
      </c>
      <c r="DU194">
        <f t="shared" si="559"/>
        <v>-1</v>
      </c>
      <c r="DV194">
        <f t="shared" si="559"/>
        <v>-1</v>
      </c>
      <c r="DW194">
        <f t="shared" si="559"/>
        <v>-1</v>
      </c>
      <c r="DX194">
        <f t="shared" si="559"/>
        <v>-1</v>
      </c>
      <c r="DY194">
        <f t="shared" si="559"/>
        <v>-1</v>
      </c>
      <c r="DZ194">
        <f t="shared" si="559"/>
        <v>-1</v>
      </c>
      <c r="EA194">
        <f t="shared" si="559"/>
        <v>-1</v>
      </c>
      <c r="EB194">
        <f t="shared" ref="EB194:EO194" si="560">IF(OR(EB193=-1,AND(IF(EB$3&lt;$B194,EB193+EB$6,IF(EB$3=$B194,1,""))&gt;$B$1,EB$3&lt;$B194)),-1,IF(EB$3&lt;$B194,EB193+EB$6,IF(EB$3=$B194,1,"")))</f>
        <v>-1</v>
      </c>
      <c r="EC194">
        <f t="shared" si="560"/>
        <v>-1</v>
      </c>
      <c r="ED194">
        <f t="shared" si="560"/>
        <v>-1</v>
      </c>
      <c r="EE194">
        <f t="shared" si="560"/>
        <v>-1</v>
      </c>
      <c r="EF194">
        <f t="shared" si="560"/>
        <v>-1</v>
      </c>
      <c r="EG194">
        <f t="shared" si="560"/>
        <v>-1</v>
      </c>
      <c r="EH194">
        <f t="shared" si="560"/>
        <v>-1</v>
      </c>
      <c r="EI194">
        <f t="shared" si="560"/>
        <v>-1</v>
      </c>
      <c r="EJ194">
        <f t="shared" si="560"/>
        <v>-1</v>
      </c>
      <c r="EK194">
        <f t="shared" si="560"/>
        <v>-1</v>
      </c>
      <c r="EL194">
        <f t="shared" si="560"/>
        <v>-1</v>
      </c>
      <c r="EM194">
        <f t="shared" si="560"/>
        <v>-1</v>
      </c>
      <c r="EN194">
        <f t="shared" si="560"/>
        <v>-1</v>
      </c>
      <c r="EO194">
        <f t="shared" si="560"/>
        <v>-1</v>
      </c>
    </row>
    <row r="195" spans="1:145" x14ac:dyDescent="0.15">
      <c r="A195" t="e">
        <f t="shared" si="386"/>
        <v>#N/A</v>
      </c>
      <c r="B195" s="218">
        <v>187</v>
      </c>
      <c r="C195">
        <f t="shared" si="386"/>
        <v>-1</v>
      </c>
      <c r="D195">
        <f t="shared" ref="D195:BO195" si="561">IF(OR(D194=-1,AND(IF(D$3&lt;$B195,D194+D$6,IF(D$3=$B195,1,""))&gt;$B$1,D$3&lt;$B195)),-1,IF(D$3&lt;$B195,D194+D$6,IF(D$3=$B195,1,"")))</f>
        <v>-1</v>
      </c>
      <c r="E195">
        <f t="shared" si="561"/>
        <v>-1</v>
      </c>
      <c r="F195">
        <f t="shared" si="561"/>
        <v>-1</v>
      </c>
      <c r="G195">
        <f t="shared" si="561"/>
        <v>-1</v>
      </c>
      <c r="H195">
        <f t="shared" si="561"/>
        <v>-1</v>
      </c>
      <c r="I195">
        <f t="shared" si="561"/>
        <v>-1</v>
      </c>
      <c r="J195">
        <f t="shared" si="561"/>
        <v>-1</v>
      </c>
      <c r="K195">
        <f t="shared" si="561"/>
        <v>-1</v>
      </c>
      <c r="L195">
        <f t="shared" si="561"/>
        <v>-1</v>
      </c>
      <c r="M195">
        <f t="shared" si="561"/>
        <v>-1</v>
      </c>
      <c r="N195">
        <f t="shared" si="561"/>
        <v>-1</v>
      </c>
      <c r="O195">
        <f t="shared" si="561"/>
        <v>-1</v>
      </c>
      <c r="P195">
        <f t="shared" si="561"/>
        <v>-1</v>
      </c>
      <c r="Q195">
        <f t="shared" si="561"/>
        <v>-1</v>
      </c>
      <c r="R195">
        <f t="shared" si="561"/>
        <v>-1</v>
      </c>
      <c r="S195">
        <f t="shared" si="561"/>
        <v>-1</v>
      </c>
      <c r="T195">
        <f t="shared" si="561"/>
        <v>-1</v>
      </c>
      <c r="U195">
        <f t="shared" si="561"/>
        <v>-1</v>
      </c>
      <c r="V195">
        <f t="shared" si="561"/>
        <v>-1</v>
      </c>
      <c r="W195">
        <f t="shared" si="561"/>
        <v>-1</v>
      </c>
      <c r="X195">
        <f t="shared" si="561"/>
        <v>-1</v>
      </c>
      <c r="Y195">
        <f t="shared" si="561"/>
        <v>-1</v>
      </c>
      <c r="Z195">
        <f t="shared" si="561"/>
        <v>-1</v>
      </c>
      <c r="AA195">
        <f t="shared" si="561"/>
        <v>-1</v>
      </c>
      <c r="AB195">
        <f t="shared" si="561"/>
        <v>-1</v>
      </c>
      <c r="AC195">
        <f t="shared" si="561"/>
        <v>-1</v>
      </c>
      <c r="AD195">
        <f t="shared" si="561"/>
        <v>-1</v>
      </c>
      <c r="AE195">
        <f t="shared" si="561"/>
        <v>-1</v>
      </c>
      <c r="AF195">
        <f t="shared" si="561"/>
        <v>-1</v>
      </c>
      <c r="AG195">
        <f t="shared" si="561"/>
        <v>-1</v>
      </c>
      <c r="AH195">
        <f t="shared" si="561"/>
        <v>-1</v>
      </c>
      <c r="AI195">
        <f t="shared" si="561"/>
        <v>-1</v>
      </c>
      <c r="AJ195">
        <f t="shared" si="561"/>
        <v>-1</v>
      </c>
      <c r="AK195">
        <f t="shared" si="561"/>
        <v>-1</v>
      </c>
      <c r="AL195">
        <f t="shared" si="561"/>
        <v>-1</v>
      </c>
      <c r="AM195">
        <f t="shared" si="561"/>
        <v>-1</v>
      </c>
      <c r="AN195">
        <f t="shared" si="561"/>
        <v>-1</v>
      </c>
      <c r="AO195">
        <f t="shared" si="561"/>
        <v>-1</v>
      </c>
      <c r="AP195">
        <f t="shared" si="561"/>
        <v>-1</v>
      </c>
      <c r="AQ195">
        <f t="shared" si="561"/>
        <v>-1</v>
      </c>
      <c r="AR195">
        <f t="shared" si="561"/>
        <v>-1</v>
      </c>
      <c r="AS195">
        <f t="shared" si="561"/>
        <v>-1</v>
      </c>
      <c r="AT195">
        <f t="shared" si="561"/>
        <v>-1</v>
      </c>
      <c r="AU195">
        <f t="shared" si="561"/>
        <v>-1</v>
      </c>
      <c r="AV195">
        <f t="shared" si="561"/>
        <v>-1</v>
      </c>
      <c r="AW195">
        <f t="shared" si="561"/>
        <v>-1</v>
      </c>
      <c r="AX195">
        <f t="shared" si="561"/>
        <v>-1</v>
      </c>
      <c r="AY195">
        <f t="shared" si="561"/>
        <v>-1</v>
      </c>
      <c r="AZ195">
        <f t="shared" si="561"/>
        <v>-1</v>
      </c>
      <c r="BA195">
        <f t="shared" si="561"/>
        <v>-1</v>
      </c>
      <c r="BB195">
        <f t="shared" si="561"/>
        <v>-1</v>
      </c>
      <c r="BC195">
        <f t="shared" si="561"/>
        <v>-1</v>
      </c>
      <c r="BD195">
        <f t="shared" si="561"/>
        <v>-1</v>
      </c>
      <c r="BE195">
        <f t="shared" si="561"/>
        <v>-1</v>
      </c>
      <c r="BF195">
        <f t="shared" si="561"/>
        <v>-1</v>
      </c>
      <c r="BG195">
        <f t="shared" si="561"/>
        <v>-1</v>
      </c>
      <c r="BH195">
        <f t="shared" si="561"/>
        <v>-1</v>
      </c>
      <c r="BI195">
        <f t="shared" si="561"/>
        <v>-1</v>
      </c>
      <c r="BJ195">
        <f t="shared" si="561"/>
        <v>-1</v>
      </c>
      <c r="BK195">
        <f t="shared" si="561"/>
        <v>-1</v>
      </c>
      <c r="BL195">
        <f t="shared" si="561"/>
        <v>-1</v>
      </c>
      <c r="BM195">
        <f t="shared" si="561"/>
        <v>-1</v>
      </c>
      <c r="BN195">
        <f t="shared" si="561"/>
        <v>-1</v>
      </c>
      <c r="BO195">
        <f t="shared" si="561"/>
        <v>-1</v>
      </c>
      <c r="BP195">
        <f t="shared" ref="BP195:EA195" si="562">IF(OR(BP194=-1,AND(IF(BP$3&lt;$B195,BP194+BP$6,IF(BP$3=$B195,1,""))&gt;$B$1,BP$3&lt;$B195)),-1,IF(BP$3&lt;$B195,BP194+BP$6,IF(BP$3=$B195,1,"")))</f>
        <v>-1</v>
      </c>
      <c r="BQ195">
        <f t="shared" si="562"/>
        <v>-1</v>
      </c>
      <c r="BR195">
        <f t="shared" si="562"/>
        <v>-1</v>
      </c>
      <c r="BS195">
        <f t="shared" si="562"/>
        <v>-1</v>
      </c>
      <c r="BT195">
        <f t="shared" si="562"/>
        <v>-1</v>
      </c>
      <c r="BU195">
        <f t="shared" si="562"/>
        <v>-1</v>
      </c>
      <c r="BV195">
        <f t="shared" si="562"/>
        <v>-1</v>
      </c>
      <c r="BW195">
        <f t="shared" si="562"/>
        <v>-1</v>
      </c>
      <c r="BX195">
        <f t="shared" si="562"/>
        <v>-1</v>
      </c>
      <c r="BY195">
        <f t="shared" si="562"/>
        <v>-1</v>
      </c>
      <c r="BZ195">
        <f t="shared" si="562"/>
        <v>-1</v>
      </c>
      <c r="CA195">
        <f t="shared" si="562"/>
        <v>-1</v>
      </c>
      <c r="CB195">
        <f t="shared" si="562"/>
        <v>-1</v>
      </c>
      <c r="CC195">
        <f t="shared" si="562"/>
        <v>-1</v>
      </c>
      <c r="CD195">
        <f t="shared" si="562"/>
        <v>-1</v>
      </c>
      <c r="CE195">
        <f t="shared" si="562"/>
        <v>73.600000000000009</v>
      </c>
      <c r="CF195">
        <f t="shared" si="562"/>
        <v>70.000000000000043</v>
      </c>
      <c r="CG195">
        <f t="shared" si="562"/>
        <v>66.400000000000077</v>
      </c>
      <c r="CH195">
        <f t="shared" si="562"/>
        <v>62.800000000000104</v>
      </c>
      <c r="CI195">
        <f t="shared" si="562"/>
        <v>59.200000000000095</v>
      </c>
      <c r="CJ195">
        <f t="shared" si="562"/>
        <v>55.600000000000087</v>
      </c>
      <c r="CK195">
        <f t="shared" si="562"/>
        <v>52.000000000000078</v>
      </c>
      <c r="CL195">
        <f t="shared" si="562"/>
        <v>48.40000000000007</v>
      </c>
      <c r="CM195">
        <f t="shared" si="562"/>
        <v>44.800000000000061</v>
      </c>
      <c r="CN195">
        <f t="shared" si="562"/>
        <v>41.200000000000053</v>
      </c>
      <c r="CO195">
        <f t="shared" si="562"/>
        <v>-1</v>
      </c>
      <c r="CP195">
        <f t="shared" si="562"/>
        <v>68.5</v>
      </c>
      <c r="CQ195">
        <f t="shared" si="562"/>
        <v>-1</v>
      </c>
      <c r="CR195">
        <f t="shared" si="562"/>
        <v>-1</v>
      </c>
      <c r="CS195">
        <f t="shared" si="562"/>
        <v>-1</v>
      </c>
      <c r="CT195">
        <f t="shared" si="562"/>
        <v>-1</v>
      </c>
      <c r="CU195">
        <f t="shared" si="562"/>
        <v>-1</v>
      </c>
      <c r="CV195">
        <f t="shared" si="562"/>
        <v>-1</v>
      </c>
      <c r="CW195">
        <f t="shared" si="562"/>
        <v>-1</v>
      </c>
      <c r="CX195">
        <f t="shared" si="562"/>
        <v>-1</v>
      </c>
      <c r="CY195">
        <f t="shared" si="562"/>
        <v>-1</v>
      </c>
      <c r="CZ195">
        <f t="shared" si="562"/>
        <v>-1</v>
      </c>
      <c r="DA195">
        <f t="shared" si="562"/>
        <v>-1</v>
      </c>
      <c r="DB195">
        <f t="shared" si="562"/>
        <v>-1</v>
      </c>
      <c r="DC195">
        <f t="shared" si="562"/>
        <v>-1</v>
      </c>
      <c r="DD195">
        <f t="shared" si="562"/>
        <v>-1</v>
      </c>
      <c r="DE195">
        <f t="shared" si="562"/>
        <v>-1</v>
      </c>
      <c r="DF195">
        <f t="shared" si="562"/>
        <v>-1</v>
      </c>
      <c r="DG195">
        <f t="shared" si="562"/>
        <v>-1</v>
      </c>
      <c r="DH195">
        <f t="shared" si="562"/>
        <v>-1</v>
      </c>
      <c r="DI195">
        <f t="shared" si="562"/>
        <v>-1</v>
      </c>
      <c r="DJ195">
        <f t="shared" si="562"/>
        <v>-1</v>
      </c>
      <c r="DK195">
        <f t="shared" si="562"/>
        <v>-1</v>
      </c>
      <c r="DL195">
        <f t="shared" si="562"/>
        <v>-1</v>
      </c>
      <c r="DM195">
        <f t="shared" si="562"/>
        <v>-1</v>
      </c>
      <c r="DN195">
        <f t="shared" si="562"/>
        <v>-1</v>
      </c>
      <c r="DO195">
        <f t="shared" si="562"/>
        <v>-1</v>
      </c>
      <c r="DP195">
        <f t="shared" si="562"/>
        <v>-1</v>
      </c>
      <c r="DQ195">
        <f t="shared" si="562"/>
        <v>-1</v>
      </c>
      <c r="DR195">
        <f t="shared" si="562"/>
        <v>-1</v>
      </c>
      <c r="DS195">
        <f t="shared" si="562"/>
        <v>-1</v>
      </c>
      <c r="DT195">
        <f t="shared" si="562"/>
        <v>-1</v>
      </c>
      <c r="DU195">
        <f t="shared" si="562"/>
        <v>-1</v>
      </c>
      <c r="DV195">
        <f t="shared" si="562"/>
        <v>-1</v>
      </c>
      <c r="DW195">
        <f t="shared" si="562"/>
        <v>-1</v>
      </c>
      <c r="DX195">
        <f t="shared" si="562"/>
        <v>-1</v>
      </c>
      <c r="DY195">
        <f t="shared" si="562"/>
        <v>-1</v>
      </c>
      <c r="DZ195">
        <f t="shared" si="562"/>
        <v>-1</v>
      </c>
      <c r="EA195">
        <f t="shared" si="562"/>
        <v>-1</v>
      </c>
      <c r="EB195">
        <f t="shared" ref="EB195:EO195" si="563">IF(OR(EB194=-1,AND(IF(EB$3&lt;$B195,EB194+EB$6,IF(EB$3=$B195,1,""))&gt;$B$1,EB$3&lt;$B195)),-1,IF(EB$3&lt;$B195,EB194+EB$6,IF(EB$3=$B195,1,"")))</f>
        <v>-1</v>
      </c>
      <c r="EC195">
        <f t="shared" si="563"/>
        <v>-1</v>
      </c>
      <c r="ED195">
        <f t="shared" si="563"/>
        <v>-1</v>
      </c>
      <c r="EE195">
        <f t="shared" si="563"/>
        <v>-1</v>
      </c>
      <c r="EF195">
        <f t="shared" si="563"/>
        <v>-1</v>
      </c>
      <c r="EG195">
        <f t="shared" si="563"/>
        <v>-1</v>
      </c>
      <c r="EH195">
        <f t="shared" si="563"/>
        <v>-1</v>
      </c>
      <c r="EI195">
        <f t="shared" si="563"/>
        <v>-1</v>
      </c>
      <c r="EJ195">
        <f t="shared" si="563"/>
        <v>-1</v>
      </c>
      <c r="EK195">
        <f t="shared" si="563"/>
        <v>-1</v>
      </c>
      <c r="EL195">
        <f t="shared" si="563"/>
        <v>-1</v>
      </c>
      <c r="EM195">
        <f t="shared" si="563"/>
        <v>-1</v>
      </c>
      <c r="EN195">
        <f t="shared" si="563"/>
        <v>-1</v>
      </c>
      <c r="EO195">
        <f t="shared" si="563"/>
        <v>-1</v>
      </c>
    </row>
    <row r="196" spans="1:145" x14ac:dyDescent="0.15">
      <c r="A196" t="e">
        <f t="shared" si="386"/>
        <v>#N/A</v>
      </c>
      <c r="B196" s="218">
        <v>188</v>
      </c>
      <c r="C196">
        <f t="shared" si="386"/>
        <v>-1</v>
      </c>
      <c r="D196">
        <f t="shared" ref="D196:BO196" si="564">IF(OR(D195=-1,AND(IF(D$3&lt;$B196,D195+D$6,IF(D$3=$B196,1,""))&gt;$B$1,D$3&lt;$B196)),-1,IF(D$3&lt;$B196,D195+D$6,IF(D$3=$B196,1,"")))</f>
        <v>-1</v>
      </c>
      <c r="E196">
        <f t="shared" si="564"/>
        <v>-1</v>
      </c>
      <c r="F196">
        <f t="shared" si="564"/>
        <v>-1</v>
      </c>
      <c r="G196">
        <f t="shared" si="564"/>
        <v>-1</v>
      </c>
      <c r="H196">
        <f t="shared" si="564"/>
        <v>-1</v>
      </c>
      <c r="I196">
        <f t="shared" si="564"/>
        <v>-1</v>
      </c>
      <c r="J196">
        <f t="shared" si="564"/>
        <v>-1</v>
      </c>
      <c r="K196">
        <f t="shared" si="564"/>
        <v>-1</v>
      </c>
      <c r="L196">
        <f t="shared" si="564"/>
        <v>-1</v>
      </c>
      <c r="M196">
        <f t="shared" si="564"/>
        <v>-1</v>
      </c>
      <c r="N196">
        <f t="shared" si="564"/>
        <v>-1</v>
      </c>
      <c r="O196">
        <f t="shared" si="564"/>
        <v>-1</v>
      </c>
      <c r="P196">
        <f t="shared" si="564"/>
        <v>-1</v>
      </c>
      <c r="Q196">
        <f t="shared" si="564"/>
        <v>-1</v>
      </c>
      <c r="R196">
        <f t="shared" si="564"/>
        <v>-1</v>
      </c>
      <c r="S196">
        <f t="shared" si="564"/>
        <v>-1</v>
      </c>
      <c r="T196">
        <f t="shared" si="564"/>
        <v>-1</v>
      </c>
      <c r="U196">
        <f t="shared" si="564"/>
        <v>-1</v>
      </c>
      <c r="V196">
        <f t="shared" si="564"/>
        <v>-1</v>
      </c>
      <c r="W196">
        <f t="shared" si="564"/>
        <v>-1</v>
      </c>
      <c r="X196">
        <f t="shared" si="564"/>
        <v>-1</v>
      </c>
      <c r="Y196">
        <f t="shared" si="564"/>
        <v>-1</v>
      </c>
      <c r="Z196">
        <f t="shared" si="564"/>
        <v>-1</v>
      </c>
      <c r="AA196">
        <f t="shared" si="564"/>
        <v>-1</v>
      </c>
      <c r="AB196">
        <f t="shared" si="564"/>
        <v>-1</v>
      </c>
      <c r="AC196">
        <f t="shared" si="564"/>
        <v>-1</v>
      </c>
      <c r="AD196">
        <f t="shared" si="564"/>
        <v>-1</v>
      </c>
      <c r="AE196">
        <f t="shared" si="564"/>
        <v>-1</v>
      </c>
      <c r="AF196">
        <f t="shared" si="564"/>
        <v>-1</v>
      </c>
      <c r="AG196">
        <f t="shared" si="564"/>
        <v>-1</v>
      </c>
      <c r="AH196">
        <f t="shared" si="564"/>
        <v>-1</v>
      </c>
      <c r="AI196">
        <f t="shared" si="564"/>
        <v>-1</v>
      </c>
      <c r="AJ196">
        <f t="shared" si="564"/>
        <v>-1</v>
      </c>
      <c r="AK196">
        <f t="shared" si="564"/>
        <v>-1</v>
      </c>
      <c r="AL196">
        <f t="shared" si="564"/>
        <v>-1</v>
      </c>
      <c r="AM196">
        <f t="shared" si="564"/>
        <v>-1</v>
      </c>
      <c r="AN196">
        <f t="shared" si="564"/>
        <v>-1</v>
      </c>
      <c r="AO196">
        <f t="shared" si="564"/>
        <v>-1</v>
      </c>
      <c r="AP196">
        <f t="shared" si="564"/>
        <v>-1</v>
      </c>
      <c r="AQ196">
        <f t="shared" si="564"/>
        <v>-1</v>
      </c>
      <c r="AR196">
        <f t="shared" si="564"/>
        <v>-1</v>
      </c>
      <c r="AS196">
        <f t="shared" si="564"/>
        <v>-1</v>
      </c>
      <c r="AT196">
        <f t="shared" si="564"/>
        <v>-1</v>
      </c>
      <c r="AU196">
        <f t="shared" si="564"/>
        <v>-1</v>
      </c>
      <c r="AV196">
        <f t="shared" si="564"/>
        <v>-1</v>
      </c>
      <c r="AW196">
        <f t="shared" si="564"/>
        <v>-1</v>
      </c>
      <c r="AX196">
        <f t="shared" si="564"/>
        <v>-1</v>
      </c>
      <c r="AY196">
        <f t="shared" si="564"/>
        <v>-1</v>
      </c>
      <c r="AZ196">
        <f t="shared" si="564"/>
        <v>-1</v>
      </c>
      <c r="BA196">
        <f t="shared" si="564"/>
        <v>-1</v>
      </c>
      <c r="BB196">
        <f t="shared" si="564"/>
        <v>-1</v>
      </c>
      <c r="BC196">
        <f t="shared" si="564"/>
        <v>-1</v>
      </c>
      <c r="BD196">
        <f t="shared" si="564"/>
        <v>-1</v>
      </c>
      <c r="BE196">
        <f t="shared" si="564"/>
        <v>-1</v>
      </c>
      <c r="BF196">
        <f t="shared" si="564"/>
        <v>-1</v>
      </c>
      <c r="BG196">
        <f t="shared" si="564"/>
        <v>-1</v>
      </c>
      <c r="BH196">
        <f t="shared" si="564"/>
        <v>-1</v>
      </c>
      <c r="BI196">
        <f t="shared" si="564"/>
        <v>-1</v>
      </c>
      <c r="BJ196">
        <f t="shared" si="564"/>
        <v>-1</v>
      </c>
      <c r="BK196">
        <f t="shared" si="564"/>
        <v>-1</v>
      </c>
      <c r="BL196">
        <f t="shared" si="564"/>
        <v>-1</v>
      </c>
      <c r="BM196">
        <f t="shared" si="564"/>
        <v>-1</v>
      </c>
      <c r="BN196">
        <f t="shared" si="564"/>
        <v>-1</v>
      </c>
      <c r="BO196">
        <f t="shared" si="564"/>
        <v>-1</v>
      </c>
      <c r="BP196">
        <f t="shared" ref="BP196:EA196" si="565">IF(OR(BP195=-1,AND(IF(BP$3&lt;$B196,BP195+BP$6,IF(BP$3=$B196,1,""))&gt;$B$1,BP$3&lt;$B196)),-1,IF(BP$3&lt;$B196,BP195+BP$6,IF(BP$3=$B196,1,"")))</f>
        <v>-1</v>
      </c>
      <c r="BQ196">
        <f t="shared" si="565"/>
        <v>-1</v>
      </c>
      <c r="BR196">
        <f t="shared" si="565"/>
        <v>-1</v>
      </c>
      <c r="BS196">
        <f t="shared" si="565"/>
        <v>-1</v>
      </c>
      <c r="BT196">
        <f t="shared" si="565"/>
        <v>-1</v>
      </c>
      <c r="BU196">
        <f t="shared" si="565"/>
        <v>-1</v>
      </c>
      <c r="BV196">
        <f t="shared" si="565"/>
        <v>-1</v>
      </c>
      <c r="BW196">
        <f t="shared" si="565"/>
        <v>-1</v>
      </c>
      <c r="BX196">
        <f t="shared" si="565"/>
        <v>-1</v>
      </c>
      <c r="BY196">
        <f t="shared" si="565"/>
        <v>-1</v>
      </c>
      <c r="BZ196">
        <f t="shared" si="565"/>
        <v>-1</v>
      </c>
      <c r="CA196">
        <f t="shared" si="565"/>
        <v>-1</v>
      </c>
      <c r="CB196">
        <f t="shared" si="565"/>
        <v>-1</v>
      </c>
      <c r="CC196">
        <f t="shared" si="565"/>
        <v>-1</v>
      </c>
      <c r="CD196">
        <f t="shared" si="565"/>
        <v>-1</v>
      </c>
      <c r="CE196">
        <f t="shared" si="565"/>
        <v>74.2</v>
      </c>
      <c r="CF196">
        <f t="shared" si="565"/>
        <v>70.600000000000037</v>
      </c>
      <c r="CG196">
        <f t="shared" si="565"/>
        <v>67.000000000000071</v>
      </c>
      <c r="CH196">
        <f t="shared" si="565"/>
        <v>63.400000000000105</v>
      </c>
      <c r="CI196">
        <f t="shared" si="565"/>
        <v>59.800000000000097</v>
      </c>
      <c r="CJ196">
        <f t="shared" si="565"/>
        <v>56.200000000000088</v>
      </c>
      <c r="CK196">
        <f t="shared" si="565"/>
        <v>52.60000000000008</v>
      </c>
      <c r="CL196">
        <f t="shared" si="565"/>
        <v>49.000000000000071</v>
      </c>
      <c r="CM196">
        <f t="shared" si="565"/>
        <v>45.400000000000063</v>
      </c>
      <c r="CN196">
        <f t="shared" si="565"/>
        <v>41.800000000000054</v>
      </c>
      <c r="CO196">
        <f t="shared" si="565"/>
        <v>-1</v>
      </c>
      <c r="CP196">
        <f t="shared" si="565"/>
        <v>69</v>
      </c>
      <c r="CQ196">
        <f t="shared" si="565"/>
        <v>-1</v>
      </c>
      <c r="CR196">
        <f t="shared" si="565"/>
        <v>-1</v>
      </c>
      <c r="CS196">
        <f t="shared" si="565"/>
        <v>-1</v>
      </c>
      <c r="CT196">
        <f t="shared" si="565"/>
        <v>-1</v>
      </c>
      <c r="CU196">
        <f t="shared" si="565"/>
        <v>-1</v>
      </c>
      <c r="CV196">
        <f t="shared" si="565"/>
        <v>-1</v>
      </c>
      <c r="CW196">
        <f t="shared" si="565"/>
        <v>-1</v>
      </c>
      <c r="CX196">
        <f t="shared" si="565"/>
        <v>-1</v>
      </c>
      <c r="CY196">
        <f t="shared" si="565"/>
        <v>-1</v>
      </c>
      <c r="CZ196">
        <f t="shared" si="565"/>
        <v>-1</v>
      </c>
      <c r="DA196">
        <f t="shared" si="565"/>
        <v>-1</v>
      </c>
      <c r="DB196">
        <f t="shared" si="565"/>
        <v>-1</v>
      </c>
      <c r="DC196">
        <f t="shared" si="565"/>
        <v>-1</v>
      </c>
      <c r="DD196">
        <f t="shared" si="565"/>
        <v>-1</v>
      </c>
      <c r="DE196">
        <f t="shared" si="565"/>
        <v>-1</v>
      </c>
      <c r="DF196">
        <f t="shared" si="565"/>
        <v>-1</v>
      </c>
      <c r="DG196">
        <f t="shared" si="565"/>
        <v>-1</v>
      </c>
      <c r="DH196">
        <f t="shared" si="565"/>
        <v>-1</v>
      </c>
      <c r="DI196">
        <f t="shared" si="565"/>
        <v>-1</v>
      </c>
      <c r="DJ196">
        <f t="shared" si="565"/>
        <v>-1</v>
      </c>
      <c r="DK196">
        <f t="shared" si="565"/>
        <v>-1</v>
      </c>
      <c r="DL196">
        <f t="shared" si="565"/>
        <v>-1</v>
      </c>
      <c r="DM196">
        <f t="shared" si="565"/>
        <v>-1</v>
      </c>
      <c r="DN196">
        <f t="shared" si="565"/>
        <v>-1</v>
      </c>
      <c r="DO196">
        <f t="shared" si="565"/>
        <v>-1</v>
      </c>
      <c r="DP196">
        <f t="shared" si="565"/>
        <v>-1</v>
      </c>
      <c r="DQ196">
        <f t="shared" si="565"/>
        <v>-1</v>
      </c>
      <c r="DR196">
        <f t="shared" si="565"/>
        <v>-1</v>
      </c>
      <c r="DS196">
        <f t="shared" si="565"/>
        <v>-1</v>
      </c>
      <c r="DT196">
        <f t="shared" si="565"/>
        <v>-1</v>
      </c>
      <c r="DU196">
        <f t="shared" si="565"/>
        <v>-1</v>
      </c>
      <c r="DV196">
        <f t="shared" si="565"/>
        <v>-1</v>
      </c>
      <c r="DW196">
        <f t="shared" si="565"/>
        <v>-1</v>
      </c>
      <c r="DX196">
        <f t="shared" si="565"/>
        <v>-1</v>
      </c>
      <c r="DY196">
        <f t="shared" si="565"/>
        <v>-1</v>
      </c>
      <c r="DZ196">
        <f t="shared" si="565"/>
        <v>-1</v>
      </c>
      <c r="EA196">
        <f t="shared" si="565"/>
        <v>-1</v>
      </c>
      <c r="EB196">
        <f t="shared" ref="EB196:EO196" si="566">IF(OR(EB195=-1,AND(IF(EB$3&lt;$B196,EB195+EB$6,IF(EB$3=$B196,1,""))&gt;$B$1,EB$3&lt;$B196)),-1,IF(EB$3&lt;$B196,EB195+EB$6,IF(EB$3=$B196,1,"")))</f>
        <v>-1</v>
      </c>
      <c r="EC196">
        <f t="shared" si="566"/>
        <v>-1</v>
      </c>
      <c r="ED196">
        <f t="shared" si="566"/>
        <v>-1</v>
      </c>
      <c r="EE196">
        <f t="shared" si="566"/>
        <v>-1</v>
      </c>
      <c r="EF196">
        <f t="shared" si="566"/>
        <v>-1</v>
      </c>
      <c r="EG196">
        <f t="shared" si="566"/>
        <v>-1</v>
      </c>
      <c r="EH196">
        <f t="shared" si="566"/>
        <v>-1</v>
      </c>
      <c r="EI196">
        <f t="shared" si="566"/>
        <v>-1</v>
      </c>
      <c r="EJ196">
        <f t="shared" si="566"/>
        <v>-1</v>
      </c>
      <c r="EK196">
        <f t="shared" si="566"/>
        <v>-1</v>
      </c>
      <c r="EL196">
        <f t="shared" si="566"/>
        <v>-1</v>
      </c>
      <c r="EM196">
        <f t="shared" si="566"/>
        <v>-1</v>
      </c>
      <c r="EN196">
        <f t="shared" si="566"/>
        <v>-1</v>
      </c>
      <c r="EO196">
        <f t="shared" si="566"/>
        <v>-1</v>
      </c>
    </row>
    <row r="197" spans="1:145" x14ac:dyDescent="0.15">
      <c r="A197" t="e">
        <f t="shared" si="386"/>
        <v>#N/A</v>
      </c>
      <c r="B197" s="218">
        <v>189</v>
      </c>
      <c r="C197">
        <f t="shared" si="386"/>
        <v>-1</v>
      </c>
      <c r="D197">
        <f t="shared" ref="D197:BO197" si="567">IF(OR(D196=-1,AND(IF(D$3&lt;$B197,D196+D$6,IF(D$3=$B197,1,""))&gt;$B$1,D$3&lt;$B197)),-1,IF(D$3&lt;$B197,D196+D$6,IF(D$3=$B197,1,"")))</f>
        <v>-1</v>
      </c>
      <c r="E197">
        <f t="shared" si="567"/>
        <v>-1</v>
      </c>
      <c r="F197">
        <f t="shared" si="567"/>
        <v>-1</v>
      </c>
      <c r="G197">
        <f t="shared" si="567"/>
        <v>-1</v>
      </c>
      <c r="H197">
        <f t="shared" si="567"/>
        <v>-1</v>
      </c>
      <c r="I197">
        <f t="shared" si="567"/>
        <v>-1</v>
      </c>
      <c r="J197">
        <f t="shared" si="567"/>
        <v>-1</v>
      </c>
      <c r="K197">
        <f t="shared" si="567"/>
        <v>-1</v>
      </c>
      <c r="L197">
        <f t="shared" si="567"/>
        <v>-1</v>
      </c>
      <c r="M197">
        <f t="shared" si="567"/>
        <v>-1</v>
      </c>
      <c r="N197">
        <f t="shared" si="567"/>
        <v>-1</v>
      </c>
      <c r="O197">
        <f t="shared" si="567"/>
        <v>-1</v>
      </c>
      <c r="P197">
        <f t="shared" si="567"/>
        <v>-1</v>
      </c>
      <c r="Q197">
        <f t="shared" si="567"/>
        <v>-1</v>
      </c>
      <c r="R197">
        <f t="shared" si="567"/>
        <v>-1</v>
      </c>
      <c r="S197">
        <f t="shared" si="567"/>
        <v>-1</v>
      </c>
      <c r="T197">
        <f t="shared" si="567"/>
        <v>-1</v>
      </c>
      <c r="U197">
        <f t="shared" si="567"/>
        <v>-1</v>
      </c>
      <c r="V197">
        <f t="shared" si="567"/>
        <v>-1</v>
      </c>
      <c r="W197">
        <f t="shared" si="567"/>
        <v>-1</v>
      </c>
      <c r="X197">
        <f t="shared" si="567"/>
        <v>-1</v>
      </c>
      <c r="Y197">
        <f t="shared" si="567"/>
        <v>-1</v>
      </c>
      <c r="Z197">
        <f t="shared" si="567"/>
        <v>-1</v>
      </c>
      <c r="AA197">
        <f t="shared" si="567"/>
        <v>-1</v>
      </c>
      <c r="AB197">
        <f t="shared" si="567"/>
        <v>-1</v>
      </c>
      <c r="AC197">
        <f t="shared" si="567"/>
        <v>-1</v>
      </c>
      <c r="AD197">
        <f t="shared" si="567"/>
        <v>-1</v>
      </c>
      <c r="AE197">
        <f t="shared" si="567"/>
        <v>-1</v>
      </c>
      <c r="AF197">
        <f t="shared" si="567"/>
        <v>-1</v>
      </c>
      <c r="AG197">
        <f t="shared" si="567"/>
        <v>-1</v>
      </c>
      <c r="AH197">
        <f t="shared" si="567"/>
        <v>-1</v>
      </c>
      <c r="AI197">
        <f t="shared" si="567"/>
        <v>-1</v>
      </c>
      <c r="AJ197">
        <f t="shared" si="567"/>
        <v>-1</v>
      </c>
      <c r="AK197">
        <f t="shared" si="567"/>
        <v>-1</v>
      </c>
      <c r="AL197">
        <f t="shared" si="567"/>
        <v>-1</v>
      </c>
      <c r="AM197">
        <f t="shared" si="567"/>
        <v>-1</v>
      </c>
      <c r="AN197">
        <f t="shared" si="567"/>
        <v>-1</v>
      </c>
      <c r="AO197">
        <f t="shared" si="567"/>
        <v>-1</v>
      </c>
      <c r="AP197">
        <f t="shared" si="567"/>
        <v>-1</v>
      </c>
      <c r="AQ197">
        <f t="shared" si="567"/>
        <v>-1</v>
      </c>
      <c r="AR197">
        <f t="shared" si="567"/>
        <v>-1</v>
      </c>
      <c r="AS197">
        <f t="shared" si="567"/>
        <v>-1</v>
      </c>
      <c r="AT197">
        <f t="shared" si="567"/>
        <v>-1</v>
      </c>
      <c r="AU197">
        <f t="shared" si="567"/>
        <v>-1</v>
      </c>
      <c r="AV197">
        <f t="shared" si="567"/>
        <v>-1</v>
      </c>
      <c r="AW197">
        <f t="shared" si="567"/>
        <v>-1</v>
      </c>
      <c r="AX197">
        <f t="shared" si="567"/>
        <v>-1</v>
      </c>
      <c r="AY197">
        <f t="shared" si="567"/>
        <v>-1</v>
      </c>
      <c r="AZ197">
        <f t="shared" si="567"/>
        <v>-1</v>
      </c>
      <c r="BA197">
        <f t="shared" si="567"/>
        <v>-1</v>
      </c>
      <c r="BB197">
        <f t="shared" si="567"/>
        <v>-1</v>
      </c>
      <c r="BC197">
        <f t="shared" si="567"/>
        <v>-1</v>
      </c>
      <c r="BD197">
        <f t="shared" si="567"/>
        <v>-1</v>
      </c>
      <c r="BE197">
        <f t="shared" si="567"/>
        <v>-1</v>
      </c>
      <c r="BF197">
        <f t="shared" si="567"/>
        <v>-1</v>
      </c>
      <c r="BG197">
        <f t="shared" si="567"/>
        <v>-1</v>
      </c>
      <c r="BH197">
        <f t="shared" si="567"/>
        <v>-1</v>
      </c>
      <c r="BI197">
        <f t="shared" si="567"/>
        <v>-1</v>
      </c>
      <c r="BJ197">
        <f t="shared" si="567"/>
        <v>-1</v>
      </c>
      <c r="BK197">
        <f t="shared" si="567"/>
        <v>-1</v>
      </c>
      <c r="BL197">
        <f t="shared" si="567"/>
        <v>-1</v>
      </c>
      <c r="BM197">
        <f t="shared" si="567"/>
        <v>-1</v>
      </c>
      <c r="BN197">
        <f t="shared" si="567"/>
        <v>-1</v>
      </c>
      <c r="BO197">
        <f t="shared" si="567"/>
        <v>-1</v>
      </c>
      <c r="BP197">
        <f t="shared" ref="BP197:EA197" si="568">IF(OR(BP196=-1,AND(IF(BP$3&lt;$B197,BP196+BP$6,IF(BP$3=$B197,1,""))&gt;$B$1,BP$3&lt;$B197)),-1,IF(BP$3&lt;$B197,BP196+BP$6,IF(BP$3=$B197,1,"")))</f>
        <v>-1</v>
      </c>
      <c r="BQ197">
        <f t="shared" si="568"/>
        <v>-1</v>
      </c>
      <c r="BR197">
        <f t="shared" si="568"/>
        <v>-1</v>
      </c>
      <c r="BS197">
        <f t="shared" si="568"/>
        <v>-1</v>
      </c>
      <c r="BT197">
        <f t="shared" si="568"/>
        <v>-1</v>
      </c>
      <c r="BU197">
        <f t="shared" si="568"/>
        <v>-1</v>
      </c>
      <c r="BV197">
        <f t="shared" si="568"/>
        <v>-1</v>
      </c>
      <c r="BW197">
        <f t="shared" si="568"/>
        <v>-1</v>
      </c>
      <c r="BX197">
        <f t="shared" si="568"/>
        <v>-1</v>
      </c>
      <c r="BY197">
        <f t="shared" si="568"/>
        <v>-1</v>
      </c>
      <c r="BZ197">
        <f t="shared" si="568"/>
        <v>-1</v>
      </c>
      <c r="CA197">
        <f t="shared" si="568"/>
        <v>-1</v>
      </c>
      <c r="CB197">
        <f t="shared" si="568"/>
        <v>-1</v>
      </c>
      <c r="CC197">
        <f t="shared" si="568"/>
        <v>-1</v>
      </c>
      <c r="CD197">
        <f t="shared" si="568"/>
        <v>-1</v>
      </c>
      <c r="CE197">
        <f t="shared" si="568"/>
        <v>74.8</v>
      </c>
      <c r="CF197">
        <f t="shared" si="568"/>
        <v>71.200000000000031</v>
      </c>
      <c r="CG197">
        <f t="shared" si="568"/>
        <v>67.600000000000065</v>
      </c>
      <c r="CH197">
        <f t="shared" si="568"/>
        <v>64.000000000000099</v>
      </c>
      <c r="CI197">
        <f t="shared" si="568"/>
        <v>60.400000000000098</v>
      </c>
      <c r="CJ197">
        <f t="shared" si="568"/>
        <v>56.80000000000009</v>
      </c>
      <c r="CK197">
        <f t="shared" si="568"/>
        <v>53.200000000000081</v>
      </c>
      <c r="CL197">
        <f t="shared" si="568"/>
        <v>49.600000000000072</v>
      </c>
      <c r="CM197">
        <f t="shared" si="568"/>
        <v>46.000000000000064</v>
      </c>
      <c r="CN197">
        <f t="shared" si="568"/>
        <v>42.400000000000055</v>
      </c>
      <c r="CO197">
        <f t="shared" si="568"/>
        <v>-1</v>
      </c>
      <c r="CP197">
        <f t="shared" si="568"/>
        <v>69.5</v>
      </c>
      <c r="CQ197">
        <f t="shared" si="568"/>
        <v>-1</v>
      </c>
      <c r="CR197">
        <f t="shared" si="568"/>
        <v>-1</v>
      </c>
      <c r="CS197">
        <f t="shared" si="568"/>
        <v>-1</v>
      </c>
      <c r="CT197">
        <f t="shared" si="568"/>
        <v>-1</v>
      </c>
      <c r="CU197">
        <f t="shared" si="568"/>
        <v>-1</v>
      </c>
      <c r="CV197">
        <f t="shared" si="568"/>
        <v>-1</v>
      </c>
      <c r="CW197">
        <f t="shared" si="568"/>
        <v>-1</v>
      </c>
      <c r="CX197">
        <f t="shared" si="568"/>
        <v>-1</v>
      </c>
      <c r="CY197">
        <f t="shared" si="568"/>
        <v>-1</v>
      </c>
      <c r="CZ197">
        <f t="shared" si="568"/>
        <v>-1</v>
      </c>
      <c r="DA197">
        <f t="shared" si="568"/>
        <v>-1</v>
      </c>
      <c r="DB197">
        <f t="shared" si="568"/>
        <v>-1</v>
      </c>
      <c r="DC197">
        <f t="shared" si="568"/>
        <v>-1</v>
      </c>
      <c r="DD197">
        <f t="shared" si="568"/>
        <v>-1</v>
      </c>
      <c r="DE197">
        <f t="shared" si="568"/>
        <v>-1</v>
      </c>
      <c r="DF197">
        <f t="shared" si="568"/>
        <v>-1</v>
      </c>
      <c r="DG197">
        <f t="shared" si="568"/>
        <v>-1</v>
      </c>
      <c r="DH197">
        <f t="shared" si="568"/>
        <v>-1</v>
      </c>
      <c r="DI197">
        <f t="shared" si="568"/>
        <v>-1</v>
      </c>
      <c r="DJ197">
        <f t="shared" si="568"/>
        <v>-1</v>
      </c>
      <c r="DK197">
        <f t="shared" si="568"/>
        <v>-1</v>
      </c>
      <c r="DL197">
        <f t="shared" si="568"/>
        <v>-1</v>
      </c>
      <c r="DM197">
        <f t="shared" si="568"/>
        <v>-1</v>
      </c>
      <c r="DN197">
        <f t="shared" si="568"/>
        <v>-1</v>
      </c>
      <c r="DO197">
        <f t="shared" si="568"/>
        <v>-1</v>
      </c>
      <c r="DP197">
        <f t="shared" si="568"/>
        <v>-1</v>
      </c>
      <c r="DQ197">
        <f t="shared" si="568"/>
        <v>-1</v>
      </c>
      <c r="DR197">
        <f t="shared" si="568"/>
        <v>-1</v>
      </c>
      <c r="DS197">
        <f t="shared" si="568"/>
        <v>-1</v>
      </c>
      <c r="DT197">
        <f t="shared" si="568"/>
        <v>-1</v>
      </c>
      <c r="DU197">
        <f t="shared" si="568"/>
        <v>-1</v>
      </c>
      <c r="DV197">
        <f t="shared" si="568"/>
        <v>-1</v>
      </c>
      <c r="DW197">
        <f t="shared" si="568"/>
        <v>-1</v>
      </c>
      <c r="DX197">
        <f t="shared" si="568"/>
        <v>-1</v>
      </c>
      <c r="DY197">
        <f t="shared" si="568"/>
        <v>-1</v>
      </c>
      <c r="DZ197">
        <f t="shared" si="568"/>
        <v>-1</v>
      </c>
      <c r="EA197">
        <f t="shared" si="568"/>
        <v>-1</v>
      </c>
      <c r="EB197">
        <f t="shared" ref="EB197:EO197" si="569">IF(OR(EB196=-1,AND(IF(EB$3&lt;$B197,EB196+EB$6,IF(EB$3=$B197,1,""))&gt;$B$1,EB$3&lt;$B197)),-1,IF(EB$3&lt;$B197,EB196+EB$6,IF(EB$3=$B197,1,"")))</f>
        <v>-1</v>
      </c>
      <c r="EC197">
        <f t="shared" si="569"/>
        <v>-1</v>
      </c>
      <c r="ED197">
        <f t="shared" si="569"/>
        <v>-1</v>
      </c>
      <c r="EE197">
        <f t="shared" si="569"/>
        <v>-1</v>
      </c>
      <c r="EF197">
        <f t="shared" si="569"/>
        <v>-1</v>
      </c>
      <c r="EG197">
        <f t="shared" si="569"/>
        <v>-1</v>
      </c>
      <c r="EH197">
        <f t="shared" si="569"/>
        <v>-1</v>
      </c>
      <c r="EI197">
        <f t="shared" si="569"/>
        <v>-1</v>
      </c>
      <c r="EJ197">
        <f t="shared" si="569"/>
        <v>-1</v>
      </c>
      <c r="EK197">
        <f t="shared" si="569"/>
        <v>-1</v>
      </c>
      <c r="EL197">
        <f t="shared" si="569"/>
        <v>-1</v>
      </c>
      <c r="EM197">
        <f t="shared" si="569"/>
        <v>-1</v>
      </c>
      <c r="EN197">
        <f t="shared" si="569"/>
        <v>-1</v>
      </c>
      <c r="EO197">
        <f t="shared" si="569"/>
        <v>-1</v>
      </c>
    </row>
    <row r="198" spans="1:145" x14ac:dyDescent="0.15">
      <c r="A198" t="e">
        <f t="shared" si="386"/>
        <v>#N/A</v>
      </c>
      <c r="B198" s="218">
        <v>190</v>
      </c>
      <c r="C198">
        <f t="shared" si="386"/>
        <v>-1</v>
      </c>
      <c r="D198">
        <f t="shared" ref="D198:BO198" si="570">IF(OR(D197=-1,AND(IF(D$3&lt;$B198,D197+D$6,IF(D$3=$B198,1,""))&gt;$B$1,D$3&lt;$B198)),-1,IF(D$3&lt;$B198,D197+D$6,IF(D$3=$B198,1,"")))</f>
        <v>-1</v>
      </c>
      <c r="E198">
        <f t="shared" si="570"/>
        <v>-1</v>
      </c>
      <c r="F198">
        <f t="shared" si="570"/>
        <v>-1</v>
      </c>
      <c r="G198">
        <f t="shared" si="570"/>
        <v>-1</v>
      </c>
      <c r="H198">
        <f t="shared" si="570"/>
        <v>-1</v>
      </c>
      <c r="I198">
        <f t="shared" si="570"/>
        <v>-1</v>
      </c>
      <c r="J198">
        <f t="shared" si="570"/>
        <v>-1</v>
      </c>
      <c r="K198">
        <f t="shared" si="570"/>
        <v>-1</v>
      </c>
      <c r="L198">
        <f t="shared" si="570"/>
        <v>-1</v>
      </c>
      <c r="M198">
        <f t="shared" si="570"/>
        <v>-1</v>
      </c>
      <c r="N198">
        <f t="shared" si="570"/>
        <v>-1</v>
      </c>
      <c r="O198">
        <f t="shared" si="570"/>
        <v>-1</v>
      </c>
      <c r="P198">
        <f t="shared" si="570"/>
        <v>-1</v>
      </c>
      <c r="Q198">
        <f t="shared" si="570"/>
        <v>-1</v>
      </c>
      <c r="R198">
        <f t="shared" si="570"/>
        <v>-1</v>
      </c>
      <c r="S198">
        <f t="shared" si="570"/>
        <v>-1</v>
      </c>
      <c r="T198">
        <f t="shared" si="570"/>
        <v>-1</v>
      </c>
      <c r="U198">
        <f t="shared" si="570"/>
        <v>-1</v>
      </c>
      <c r="V198">
        <f t="shared" si="570"/>
        <v>-1</v>
      </c>
      <c r="W198">
        <f t="shared" si="570"/>
        <v>-1</v>
      </c>
      <c r="X198">
        <f t="shared" si="570"/>
        <v>-1</v>
      </c>
      <c r="Y198">
        <f t="shared" si="570"/>
        <v>-1</v>
      </c>
      <c r="Z198">
        <f t="shared" si="570"/>
        <v>-1</v>
      </c>
      <c r="AA198">
        <f t="shared" si="570"/>
        <v>-1</v>
      </c>
      <c r="AB198">
        <f t="shared" si="570"/>
        <v>-1</v>
      </c>
      <c r="AC198">
        <f t="shared" si="570"/>
        <v>-1</v>
      </c>
      <c r="AD198">
        <f t="shared" si="570"/>
        <v>-1</v>
      </c>
      <c r="AE198">
        <f t="shared" si="570"/>
        <v>-1</v>
      </c>
      <c r="AF198">
        <f t="shared" si="570"/>
        <v>-1</v>
      </c>
      <c r="AG198">
        <f t="shared" si="570"/>
        <v>-1</v>
      </c>
      <c r="AH198">
        <f t="shared" si="570"/>
        <v>-1</v>
      </c>
      <c r="AI198">
        <f t="shared" si="570"/>
        <v>-1</v>
      </c>
      <c r="AJ198">
        <f t="shared" si="570"/>
        <v>-1</v>
      </c>
      <c r="AK198">
        <f t="shared" si="570"/>
        <v>-1</v>
      </c>
      <c r="AL198">
        <f t="shared" si="570"/>
        <v>-1</v>
      </c>
      <c r="AM198">
        <f t="shared" si="570"/>
        <v>-1</v>
      </c>
      <c r="AN198">
        <f t="shared" si="570"/>
        <v>-1</v>
      </c>
      <c r="AO198">
        <f t="shared" si="570"/>
        <v>-1</v>
      </c>
      <c r="AP198">
        <f t="shared" si="570"/>
        <v>-1</v>
      </c>
      <c r="AQ198">
        <f t="shared" si="570"/>
        <v>-1</v>
      </c>
      <c r="AR198">
        <f t="shared" si="570"/>
        <v>-1</v>
      </c>
      <c r="AS198">
        <f t="shared" si="570"/>
        <v>-1</v>
      </c>
      <c r="AT198">
        <f t="shared" si="570"/>
        <v>-1</v>
      </c>
      <c r="AU198">
        <f t="shared" si="570"/>
        <v>-1</v>
      </c>
      <c r="AV198">
        <f t="shared" si="570"/>
        <v>-1</v>
      </c>
      <c r="AW198">
        <f t="shared" si="570"/>
        <v>-1</v>
      </c>
      <c r="AX198">
        <f t="shared" si="570"/>
        <v>-1</v>
      </c>
      <c r="AY198">
        <f t="shared" si="570"/>
        <v>-1</v>
      </c>
      <c r="AZ198">
        <f t="shared" si="570"/>
        <v>-1</v>
      </c>
      <c r="BA198">
        <f t="shared" si="570"/>
        <v>-1</v>
      </c>
      <c r="BB198">
        <f t="shared" si="570"/>
        <v>-1</v>
      </c>
      <c r="BC198">
        <f t="shared" si="570"/>
        <v>-1</v>
      </c>
      <c r="BD198">
        <f t="shared" si="570"/>
        <v>-1</v>
      </c>
      <c r="BE198">
        <f t="shared" si="570"/>
        <v>-1</v>
      </c>
      <c r="BF198">
        <f t="shared" si="570"/>
        <v>-1</v>
      </c>
      <c r="BG198">
        <f t="shared" si="570"/>
        <v>-1</v>
      </c>
      <c r="BH198">
        <f t="shared" si="570"/>
        <v>-1</v>
      </c>
      <c r="BI198">
        <f t="shared" si="570"/>
        <v>-1</v>
      </c>
      <c r="BJ198">
        <f t="shared" si="570"/>
        <v>-1</v>
      </c>
      <c r="BK198">
        <f t="shared" si="570"/>
        <v>-1</v>
      </c>
      <c r="BL198">
        <f t="shared" si="570"/>
        <v>-1</v>
      </c>
      <c r="BM198">
        <f t="shared" si="570"/>
        <v>-1</v>
      </c>
      <c r="BN198">
        <f t="shared" si="570"/>
        <v>-1</v>
      </c>
      <c r="BO198">
        <f t="shared" si="570"/>
        <v>-1</v>
      </c>
      <c r="BP198">
        <f t="shared" ref="BP198:EA198" si="571">IF(OR(BP197=-1,AND(IF(BP$3&lt;$B198,BP197+BP$6,IF(BP$3=$B198,1,""))&gt;$B$1,BP$3&lt;$B198)),-1,IF(BP$3&lt;$B198,BP197+BP$6,IF(BP$3=$B198,1,"")))</f>
        <v>-1</v>
      </c>
      <c r="BQ198">
        <f t="shared" si="571"/>
        <v>-1</v>
      </c>
      <c r="BR198">
        <f t="shared" si="571"/>
        <v>-1</v>
      </c>
      <c r="BS198">
        <f t="shared" si="571"/>
        <v>-1</v>
      </c>
      <c r="BT198">
        <f t="shared" si="571"/>
        <v>-1</v>
      </c>
      <c r="BU198">
        <f t="shared" si="571"/>
        <v>-1</v>
      </c>
      <c r="BV198">
        <f t="shared" si="571"/>
        <v>-1</v>
      </c>
      <c r="BW198">
        <f t="shared" si="571"/>
        <v>-1</v>
      </c>
      <c r="BX198">
        <f t="shared" si="571"/>
        <v>-1</v>
      </c>
      <c r="BY198">
        <f t="shared" si="571"/>
        <v>-1</v>
      </c>
      <c r="BZ198">
        <f t="shared" si="571"/>
        <v>-1</v>
      </c>
      <c r="CA198">
        <f t="shared" si="571"/>
        <v>-1</v>
      </c>
      <c r="CB198">
        <f t="shared" si="571"/>
        <v>-1</v>
      </c>
      <c r="CC198">
        <f t="shared" si="571"/>
        <v>-1</v>
      </c>
      <c r="CD198">
        <f t="shared" si="571"/>
        <v>-1</v>
      </c>
      <c r="CE198">
        <f t="shared" si="571"/>
        <v>-1</v>
      </c>
      <c r="CF198">
        <f t="shared" si="571"/>
        <v>71.800000000000026</v>
      </c>
      <c r="CG198">
        <f t="shared" si="571"/>
        <v>68.20000000000006</v>
      </c>
      <c r="CH198">
        <f t="shared" si="571"/>
        <v>64.600000000000094</v>
      </c>
      <c r="CI198">
        <f t="shared" si="571"/>
        <v>61.000000000000099</v>
      </c>
      <c r="CJ198">
        <f t="shared" si="571"/>
        <v>57.400000000000091</v>
      </c>
      <c r="CK198">
        <f t="shared" si="571"/>
        <v>53.800000000000082</v>
      </c>
      <c r="CL198">
        <f t="shared" si="571"/>
        <v>50.200000000000074</v>
      </c>
      <c r="CM198">
        <f t="shared" si="571"/>
        <v>46.600000000000065</v>
      </c>
      <c r="CN198">
        <f t="shared" si="571"/>
        <v>43.000000000000057</v>
      </c>
      <c r="CO198">
        <f t="shared" si="571"/>
        <v>-1</v>
      </c>
      <c r="CP198">
        <f t="shared" si="571"/>
        <v>70</v>
      </c>
      <c r="CQ198">
        <f t="shared" si="571"/>
        <v>-1</v>
      </c>
      <c r="CR198">
        <f t="shared" si="571"/>
        <v>-1</v>
      </c>
      <c r="CS198">
        <f t="shared" si="571"/>
        <v>-1</v>
      </c>
      <c r="CT198">
        <f t="shared" si="571"/>
        <v>-1</v>
      </c>
      <c r="CU198">
        <f t="shared" si="571"/>
        <v>-1</v>
      </c>
      <c r="CV198">
        <f t="shared" si="571"/>
        <v>-1</v>
      </c>
      <c r="CW198">
        <f t="shared" si="571"/>
        <v>-1</v>
      </c>
      <c r="CX198">
        <f t="shared" si="571"/>
        <v>-1</v>
      </c>
      <c r="CY198">
        <f t="shared" si="571"/>
        <v>-1</v>
      </c>
      <c r="CZ198">
        <f t="shared" si="571"/>
        <v>-1</v>
      </c>
      <c r="DA198">
        <f t="shared" si="571"/>
        <v>-1</v>
      </c>
      <c r="DB198">
        <f t="shared" si="571"/>
        <v>-1</v>
      </c>
      <c r="DC198">
        <f t="shared" si="571"/>
        <v>-1</v>
      </c>
      <c r="DD198">
        <f t="shared" si="571"/>
        <v>-1</v>
      </c>
      <c r="DE198">
        <f t="shared" si="571"/>
        <v>-1</v>
      </c>
      <c r="DF198">
        <f t="shared" si="571"/>
        <v>-1</v>
      </c>
      <c r="DG198">
        <f t="shared" si="571"/>
        <v>-1</v>
      </c>
      <c r="DH198">
        <f t="shared" si="571"/>
        <v>-1</v>
      </c>
      <c r="DI198">
        <f t="shared" si="571"/>
        <v>-1</v>
      </c>
      <c r="DJ198">
        <f t="shared" si="571"/>
        <v>-1</v>
      </c>
      <c r="DK198">
        <f t="shared" si="571"/>
        <v>-1</v>
      </c>
      <c r="DL198">
        <f t="shared" si="571"/>
        <v>-1</v>
      </c>
      <c r="DM198">
        <f t="shared" si="571"/>
        <v>-1</v>
      </c>
      <c r="DN198">
        <f t="shared" si="571"/>
        <v>-1</v>
      </c>
      <c r="DO198">
        <f t="shared" si="571"/>
        <v>-1</v>
      </c>
      <c r="DP198">
        <f t="shared" si="571"/>
        <v>-1</v>
      </c>
      <c r="DQ198">
        <f t="shared" si="571"/>
        <v>-1</v>
      </c>
      <c r="DR198">
        <f t="shared" si="571"/>
        <v>-1</v>
      </c>
      <c r="DS198">
        <f t="shared" si="571"/>
        <v>-1</v>
      </c>
      <c r="DT198">
        <f t="shared" si="571"/>
        <v>-1</v>
      </c>
      <c r="DU198">
        <f t="shared" si="571"/>
        <v>-1</v>
      </c>
      <c r="DV198">
        <f t="shared" si="571"/>
        <v>-1</v>
      </c>
      <c r="DW198">
        <f t="shared" si="571"/>
        <v>-1</v>
      </c>
      <c r="DX198">
        <f t="shared" si="571"/>
        <v>-1</v>
      </c>
      <c r="DY198">
        <f t="shared" si="571"/>
        <v>-1</v>
      </c>
      <c r="DZ198">
        <f t="shared" si="571"/>
        <v>-1</v>
      </c>
      <c r="EA198">
        <f t="shared" si="571"/>
        <v>-1</v>
      </c>
      <c r="EB198">
        <f t="shared" ref="EB198:EO198" si="572">IF(OR(EB197=-1,AND(IF(EB$3&lt;$B198,EB197+EB$6,IF(EB$3=$B198,1,""))&gt;$B$1,EB$3&lt;$B198)),-1,IF(EB$3&lt;$B198,EB197+EB$6,IF(EB$3=$B198,1,"")))</f>
        <v>-1</v>
      </c>
      <c r="EC198">
        <f t="shared" si="572"/>
        <v>-1</v>
      </c>
      <c r="ED198">
        <f t="shared" si="572"/>
        <v>-1</v>
      </c>
      <c r="EE198">
        <f t="shared" si="572"/>
        <v>-1</v>
      </c>
      <c r="EF198">
        <f t="shared" si="572"/>
        <v>-1</v>
      </c>
      <c r="EG198">
        <f t="shared" si="572"/>
        <v>-1</v>
      </c>
      <c r="EH198">
        <f t="shared" si="572"/>
        <v>-1</v>
      </c>
      <c r="EI198">
        <f t="shared" si="572"/>
        <v>-1</v>
      </c>
      <c r="EJ198">
        <f t="shared" si="572"/>
        <v>-1</v>
      </c>
      <c r="EK198">
        <f t="shared" si="572"/>
        <v>-1</v>
      </c>
      <c r="EL198">
        <f t="shared" si="572"/>
        <v>-1</v>
      </c>
      <c r="EM198">
        <f t="shared" si="572"/>
        <v>-1</v>
      </c>
      <c r="EN198">
        <f t="shared" si="572"/>
        <v>-1</v>
      </c>
      <c r="EO198">
        <f t="shared" si="572"/>
        <v>-1</v>
      </c>
    </row>
    <row r="199" spans="1:145" x14ac:dyDescent="0.15">
      <c r="A199" t="e">
        <f t="shared" si="386"/>
        <v>#N/A</v>
      </c>
      <c r="B199" s="218">
        <v>191</v>
      </c>
      <c r="C199">
        <f t="shared" si="386"/>
        <v>-1</v>
      </c>
      <c r="D199">
        <f t="shared" ref="D199:BO199" si="573">IF(OR(D198=-1,AND(IF(D$3&lt;$B199,D198+D$6,IF(D$3=$B199,1,""))&gt;$B$1,D$3&lt;$B199)),-1,IF(D$3&lt;$B199,D198+D$6,IF(D$3=$B199,1,"")))</f>
        <v>-1</v>
      </c>
      <c r="E199">
        <f t="shared" si="573"/>
        <v>-1</v>
      </c>
      <c r="F199">
        <f t="shared" si="573"/>
        <v>-1</v>
      </c>
      <c r="G199">
        <f t="shared" si="573"/>
        <v>-1</v>
      </c>
      <c r="H199">
        <f t="shared" si="573"/>
        <v>-1</v>
      </c>
      <c r="I199">
        <f t="shared" si="573"/>
        <v>-1</v>
      </c>
      <c r="J199">
        <f t="shared" si="573"/>
        <v>-1</v>
      </c>
      <c r="K199">
        <f t="shared" si="573"/>
        <v>-1</v>
      </c>
      <c r="L199">
        <f t="shared" si="573"/>
        <v>-1</v>
      </c>
      <c r="M199">
        <f t="shared" si="573"/>
        <v>-1</v>
      </c>
      <c r="N199">
        <f t="shared" si="573"/>
        <v>-1</v>
      </c>
      <c r="O199">
        <f t="shared" si="573"/>
        <v>-1</v>
      </c>
      <c r="P199">
        <f t="shared" si="573"/>
        <v>-1</v>
      </c>
      <c r="Q199">
        <f t="shared" si="573"/>
        <v>-1</v>
      </c>
      <c r="R199">
        <f t="shared" si="573"/>
        <v>-1</v>
      </c>
      <c r="S199">
        <f t="shared" si="573"/>
        <v>-1</v>
      </c>
      <c r="T199">
        <f t="shared" si="573"/>
        <v>-1</v>
      </c>
      <c r="U199">
        <f t="shared" si="573"/>
        <v>-1</v>
      </c>
      <c r="V199">
        <f t="shared" si="573"/>
        <v>-1</v>
      </c>
      <c r="W199">
        <f t="shared" si="573"/>
        <v>-1</v>
      </c>
      <c r="X199">
        <f t="shared" si="573"/>
        <v>-1</v>
      </c>
      <c r="Y199">
        <f t="shared" si="573"/>
        <v>-1</v>
      </c>
      <c r="Z199">
        <f t="shared" si="573"/>
        <v>-1</v>
      </c>
      <c r="AA199">
        <f t="shared" si="573"/>
        <v>-1</v>
      </c>
      <c r="AB199">
        <f t="shared" si="573"/>
        <v>-1</v>
      </c>
      <c r="AC199">
        <f t="shared" si="573"/>
        <v>-1</v>
      </c>
      <c r="AD199">
        <f t="shared" si="573"/>
        <v>-1</v>
      </c>
      <c r="AE199">
        <f t="shared" si="573"/>
        <v>-1</v>
      </c>
      <c r="AF199">
        <f t="shared" si="573"/>
        <v>-1</v>
      </c>
      <c r="AG199">
        <f t="shared" si="573"/>
        <v>-1</v>
      </c>
      <c r="AH199">
        <f t="shared" si="573"/>
        <v>-1</v>
      </c>
      <c r="AI199">
        <f t="shared" si="573"/>
        <v>-1</v>
      </c>
      <c r="AJ199">
        <f t="shared" si="573"/>
        <v>-1</v>
      </c>
      <c r="AK199">
        <f t="shared" si="573"/>
        <v>-1</v>
      </c>
      <c r="AL199">
        <f t="shared" si="573"/>
        <v>-1</v>
      </c>
      <c r="AM199">
        <f t="shared" si="573"/>
        <v>-1</v>
      </c>
      <c r="AN199">
        <f t="shared" si="573"/>
        <v>-1</v>
      </c>
      <c r="AO199">
        <f t="shared" si="573"/>
        <v>-1</v>
      </c>
      <c r="AP199">
        <f t="shared" si="573"/>
        <v>-1</v>
      </c>
      <c r="AQ199">
        <f t="shared" si="573"/>
        <v>-1</v>
      </c>
      <c r="AR199">
        <f t="shared" si="573"/>
        <v>-1</v>
      </c>
      <c r="AS199">
        <f t="shared" si="573"/>
        <v>-1</v>
      </c>
      <c r="AT199">
        <f t="shared" si="573"/>
        <v>-1</v>
      </c>
      <c r="AU199">
        <f t="shared" si="573"/>
        <v>-1</v>
      </c>
      <c r="AV199">
        <f t="shared" si="573"/>
        <v>-1</v>
      </c>
      <c r="AW199">
        <f t="shared" si="573"/>
        <v>-1</v>
      </c>
      <c r="AX199">
        <f t="shared" si="573"/>
        <v>-1</v>
      </c>
      <c r="AY199">
        <f t="shared" si="573"/>
        <v>-1</v>
      </c>
      <c r="AZ199">
        <f t="shared" si="573"/>
        <v>-1</v>
      </c>
      <c r="BA199">
        <f t="shared" si="573"/>
        <v>-1</v>
      </c>
      <c r="BB199">
        <f t="shared" si="573"/>
        <v>-1</v>
      </c>
      <c r="BC199">
        <f t="shared" si="573"/>
        <v>-1</v>
      </c>
      <c r="BD199">
        <f t="shared" si="573"/>
        <v>-1</v>
      </c>
      <c r="BE199">
        <f t="shared" si="573"/>
        <v>-1</v>
      </c>
      <c r="BF199">
        <f t="shared" si="573"/>
        <v>-1</v>
      </c>
      <c r="BG199">
        <f t="shared" si="573"/>
        <v>-1</v>
      </c>
      <c r="BH199">
        <f t="shared" si="573"/>
        <v>-1</v>
      </c>
      <c r="BI199">
        <f t="shared" si="573"/>
        <v>-1</v>
      </c>
      <c r="BJ199">
        <f t="shared" si="573"/>
        <v>-1</v>
      </c>
      <c r="BK199">
        <f t="shared" si="573"/>
        <v>-1</v>
      </c>
      <c r="BL199">
        <f t="shared" si="573"/>
        <v>-1</v>
      </c>
      <c r="BM199">
        <f t="shared" si="573"/>
        <v>-1</v>
      </c>
      <c r="BN199">
        <f t="shared" si="573"/>
        <v>-1</v>
      </c>
      <c r="BO199">
        <f t="shared" si="573"/>
        <v>-1</v>
      </c>
      <c r="BP199">
        <f t="shared" ref="BP199:EA199" si="574">IF(OR(BP198=-1,AND(IF(BP$3&lt;$B199,BP198+BP$6,IF(BP$3=$B199,1,""))&gt;$B$1,BP$3&lt;$B199)),-1,IF(BP$3&lt;$B199,BP198+BP$6,IF(BP$3=$B199,1,"")))</f>
        <v>-1</v>
      </c>
      <c r="BQ199">
        <f t="shared" si="574"/>
        <v>-1</v>
      </c>
      <c r="BR199">
        <f t="shared" si="574"/>
        <v>-1</v>
      </c>
      <c r="BS199">
        <f t="shared" si="574"/>
        <v>-1</v>
      </c>
      <c r="BT199">
        <f t="shared" si="574"/>
        <v>-1</v>
      </c>
      <c r="BU199">
        <f t="shared" si="574"/>
        <v>-1</v>
      </c>
      <c r="BV199">
        <f t="shared" si="574"/>
        <v>-1</v>
      </c>
      <c r="BW199">
        <f t="shared" si="574"/>
        <v>-1</v>
      </c>
      <c r="BX199">
        <f t="shared" si="574"/>
        <v>-1</v>
      </c>
      <c r="BY199">
        <f t="shared" si="574"/>
        <v>-1</v>
      </c>
      <c r="BZ199">
        <f t="shared" si="574"/>
        <v>-1</v>
      </c>
      <c r="CA199">
        <f t="shared" si="574"/>
        <v>-1</v>
      </c>
      <c r="CB199">
        <f t="shared" si="574"/>
        <v>-1</v>
      </c>
      <c r="CC199">
        <f t="shared" si="574"/>
        <v>-1</v>
      </c>
      <c r="CD199">
        <f t="shared" si="574"/>
        <v>-1</v>
      </c>
      <c r="CE199">
        <f t="shared" si="574"/>
        <v>-1</v>
      </c>
      <c r="CF199">
        <f t="shared" si="574"/>
        <v>72.40000000000002</v>
      </c>
      <c r="CG199">
        <f t="shared" si="574"/>
        <v>68.800000000000054</v>
      </c>
      <c r="CH199">
        <f t="shared" si="574"/>
        <v>65.200000000000088</v>
      </c>
      <c r="CI199">
        <f t="shared" si="574"/>
        <v>61.600000000000101</v>
      </c>
      <c r="CJ199">
        <f t="shared" si="574"/>
        <v>58.000000000000092</v>
      </c>
      <c r="CK199">
        <f t="shared" si="574"/>
        <v>54.400000000000084</v>
      </c>
      <c r="CL199">
        <f t="shared" si="574"/>
        <v>50.800000000000075</v>
      </c>
      <c r="CM199">
        <f t="shared" si="574"/>
        <v>47.200000000000067</v>
      </c>
      <c r="CN199">
        <f t="shared" si="574"/>
        <v>43.600000000000058</v>
      </c>
      <c r="CO199">
        <f t="shared" si="574"/>
        <v>-1</v>
      </c>
      <c r="CP199">
        <f t="shared" si="574"/>
        <v>70.5</v>
      </c>
      <c r="CQ199">
        <f t="shared" si="574"/>
        <v>-1</v>
      </c>
      <c r="CR199">
        <f t="shared" si="574"/>
        <v>-1</v>
      </c>
      <c r="CS199">
        <f t="shared" si="574"/>
        <v>-1</v>
      </c>
      <c r="CT199">
        <f t="shared" si="574"/>
        <v>-1</v>
      </c>
      <c r="CU199">
        <f t="shared" si="574"/>
        <v>-1</v>
      </c>
      <c r="CV199">
        <f t="shared" si="574"/>
        <v>-1</v>
      </c>
      <c r="CW199">
        <f t="shared" si="574"/>
        <v>-1</v>
      </c>
      <c r="CX199">
        <f t="shared" si="574"/>
        <v>-1</v>
      </c>
      <c r="CY199">
        <f t="shared" si="574"/>
        <v>-1</v>
      </c>
      <c r="CZ199">
        <f t="shared" si="574"/>
        <v>-1</v>
      </c>
      <c r="DA199">
        <f t="shared" si="574"/>
        <v>-1</v>
      </c>
      <c r="DB199">
        <f t="shared" si="574"/>
        <v>-1</v>
      </c>
      <c r="DC199">
        <f t="shared" si="574"/>
        <v>-1</v>
      </c>
      <c r="DD199">
        <f t="shared" si="574"/>
        <v>-1</v>
      </c>
      <c r="DE199">
        <f t="shared" si="574"/>
        <v>-1</v>
      </c>
      <c r="DF199">
        <f t="shared" si="574"/>
        <v>-1</v>
      </c>
      <c r="DG199">
        <f t="shared" si="574"/>
        <v>-1</v>
      </c>
      <c r="DH199">
        <f t="shared" si="574"/>
        <v>-1</v>
      </c>
      <c r="DI199">
        <f t="shared" si="574"/>
        <v>-1</v>
      </c>
      <c r="DJ199">
        <f t="shared" si="574"/>
        <v>-1</v>
      </c>
      <c r="DK199">
        <f t="shared" si="574"/>
        <v>-1</v>
      </c>
      <c r="DL199">
        <f t="shared" si="574"/>
        <v>-1</v>
      </c>
      <c r="DM199">
        <f t="shared" si="574"/>
        <v>-1</v>
      </c>
      <c r="DN199">
        <f t="shared" si="574"/>
        <v>-1</v>
      </c>
      <c r="DO199">
        <f t="shared" si="574"/>
        <v>-1</v>
      </c>
      <c r="DP199">
        <f t="shared" si="574"/>
        <v>-1</v>
      </c>
      <c r="DQ199">
        <f t="shared" si="574"/>
        <v>-1</v>
      </c>
      <c r="DR199">
        <f t="shared" si="574"/>
        <v>-1</v>
      </c>
      <c r="DS199">
        <f t="shared" si="574"/>
        <v>-1</v>
      </c>
      <c r="DT199">
        <f t="shared" si="574"/>
        <v>-1</v>
      </c>
      <c r="DU199">
        <f t="shared" si="574"/>
        <v>-1</v>
      </c>
      <c r="DV199">
        <f t="shared" si="574"/>
        <v>-1</v>
      </c>
      <c r="DW199">
        <f t="shared" si="574"/>
        <v>-1</v>
      </c>
      <c r="DX199">
        <f t="shared" si="574"/>
        <v>-1</v>
      </c>
      <c r="DY199">
        <f t="shared" si="574"/>
        <v>-1</v>
      </c>
      <c r="DZ199">
        <f t="shared" si="574"/>
        <v>-1</v>
      </c>
      <c r="EA199">
        <f t="shared" si="574"/>
        <v>-1</v>
      </c>
      <c r="EB199">
        <f t="shared" ref="EB199:EO199" si="575">IF(OR(EB198=-1,AND(IF(EB$3&lt;$B199,EB198+EB$6,IF(EB$3=$B199,1,""))&gt;$B$1,EB$3&lt;$B199)),-1,IF(EB$3&lt;$B199,EB198+EB$6,IF(EB$3=$B199,1,"")))</f>
        <v>-1</v>
      </c>
      <c r="EC199">
        <f t="shared" si="575"/>
        <v>-1</v>
      </c>
      <c r="ED199">
        <f t="shared" si="575"/>
        <v>-1</v>
      </c>
      <c r="EE199">
        <f t="shared" si="575"/>
        <v>-1</v>
      </c>
      <c r="EF199">
        <f t="shared" si="575"/>
        <v>-1</v>
      </c>
      <c r="EG199">
        <f t="shared" si="575"/>
        <v>-1</v>
      </c>
      <c r="EH199">
        <f t="shared" si="575"/>
        <v>-1</v>
      </c>
      <c r="EI199">
        <f t="shared" si="575"/>
        <v>-1</v>
      </c>
      <c r="EJ199">
        <f t="shared" si="575"/>
        <v>-1</v>
      </c>
      <c r="EK199">
        <f t="shared" si="575"/>
        <v>-1</v>
      </c>
      <c r="EL199">
        <f t="shared" si="575"/>
        <v>-1</v>
      </c>
      <c r="EM199">
        <f t="shared" si="575"/>
        <v>-1</v>
      </c>
      <c r="EN199">
        <f t="shared" si="575"/>
        <v>-1</v>
      </c>
      <c r="EO199">
        <f t="shared" si="575"/>
        <v>-1</v>
      </c>
    </row>
    <row r="200" spans="1:145" x14ac:dyDescent="0.15">
      <c r="A200" t="e">
        <f t="shared" si="386"/>
        <v>#N/A</v>
      </c>
      <c r="B200" s="218">
        <v>192</v>
      </c>
      <c r="C200">
        <f t="shared" si="386"/>
        <v>-1</v>
      </c>
      <c r="D200">
        <f t="shared" ref="D200:BO200" si="576">IF(OR(D199=-1,AND(IF(D$3&lt;$B200,D199+D$6,IF(D$3=$B200,1,""))&gt;$B$1,D$3&lt;$B200)),-1,IF(D$3&lt;$B200,D199+D$6,IF(D$3=$B200,1,"")))</f>
        <v>-1</v>
      </c>
      <c r="E200">
        <f t="shared" si="576"/>
        <v>-1</v>
      </c>
      <c r="F200">
        <f t="shared" si="576"/>
        <v>-1</v>
      </c>
      <c r="G200">
        <f t="shared" si="576"/>
        <v>-1</v>
      </c>
      <c r="H200">
        <f t="shared" si="576"/>
        <v>-1</v>
      </c>
      <c r="I200">
        <f t="shared" si="576"/>
        <v>-1</v>
      </c>
      <c r="J200">
        <f t="shared" si="576"/>
        <v>-1</v>
      </c>
      <c r="K200">
        <f t="shared" si="576"/>
        <v>-1</v>
      </c>
      <c r="L200">
        <f t="shared" si="576"/>
        <v>-1</v>
      </c>
      <c r="M200">
        <f t="shared" si="576"/>
        <v>-1</v>
      </c>
      <c r="N200">
        <f t="shared" si="576"/>
        <v>-1</v>
      </c>
      <c r="O200">
        <f t="shared" si="576"/>
        <v>-1</v>
      </c>
      <c r="P200">
        <f t="shared" si="576"/>
        <v>-1</v>
      </c>
      <c r="Q200">
        <f t="shared" si="576"/>
        <v>-1</v>
      </c>
      <c r="R200">
        <f t="shared" si="576"/>
        <v>-1</v>
      </c>
      <c r="S200">
        <f t="shared" si="576"/>
        <v>-1</v>
      </c>
      <c r="T200">
        <f t="shared" si="576"/>
        <v>-1</v>
      </c>
      <c r="U200">
        <f t="shared" si="576"/>
        <v>-1</v>
      </c>
      <c r="V200">
        <f t="shared" si="576"/>
        <v>-1</v>
      </c>
      <c r="W200">
        <f t="shared" si="576"/>
        <v>-1</v>
      </c>
      <c r="X200">
        <f t="shared" si="576"/>
        <v>-1</v>
      </c>
      <c r="Y200">
        <f t="shared" si="576"/>
        <v>-1</v>
      </c>
      <c r="Z200">
        <f t="shared" si="576"/>
        <v>-1</v>
      </c>
      <c r="AA200">
        <f t="shared" si="576"/>
        <v>-1</v>
      </c>
      <c r="AB200">
        <f t="shared" si="576"/>
        <v>-1</v>
      </c>
      <c r="AC200">
        <f t="shared" si="576"/>
        <v>-1</v>
      </c>
      <c r="AD200">
        <f t="shared" si="576"/>
        <v>-1</v>
      </c>
      <c r="AE200">
        <f t="shared" si="576"/>
        <v>-1</v>
      </c>
      <c r="AF200">
        <f t="shared" si="576"/>
        <v>-1</v>
      </c>
      <c r="AG200">
        <f t="shared" si="576"/>
        <v>-1</v>
      </c>
      <c r="AH200">
        <f t="shared" si="576"/>
        <v>-1</v>
      </c>
      <c r="AI200">
        <f t="shared" si="576"/>
        <v>-1</v>
      </c>
      <c r="AJ200">
        <f t="shared" si="576"/>
        <v>-1</v>
      </c>
      <c r="AK200">
        <f t="shared" si="576"/>
        <v>-1</v>
      </c>
      <c r="AL200">
        <f t="shared" si="576"/>
        <v>-1</v>
      </c>
      <c r="AM200">
        <f t="shared" si="576"/>
        <v>-1</v>
      </c>
      <c r="AN200">
        <f t="shared" si="576"/>
        <v>-1</v>
      </c>
      <c r="AO200">
        <f t="shared" si="576"/>
        <v>-1</v>
      </c>
      <c r="AP200">
        <f t="shared" si="576"/>
        <v>-1</v>
      </c>
      <c r="AQ200">
        <f t="shared" si="576"/>
        <v>-1</v>
      </c>
      <c r="AR200">
        <f t="shared" si="576"/>
        <v>-1</v>
      </c>
      <c r="AS200">
        <f t="shared" si="576"/>
        <v>-1</v>
      </c>
      <c r="AT200">
        <f t="shared" si="576"/>
        <v>-1</v>
      </c>
      <c r="AU200">
        <f t="shared" si="576"/>
        <v>-1</v>
      </c>
      <c r="AV200">
        <f t="shared" si="576"/>
        <v>-1</v>
      </c>
      <c r="AW200">
        <f t="shared" si="576"/>
        <v>-1</v>
      </c>
      <c r="AX200">
        <f t="shared" si="576"/>
        <v>-1</v>
      </c>
      <c r="AY200">
        <f t="shared" si="576"/>
        <v>-1</v>
      </c>
      <c r="AZ200">
        <f t="shared" si="576"/>
        <v>-1</v>
      </c>
      <c r="BA200">
        <f t="shared" si="576"/>
        <v>-1</v>
      </c>
      <c r="BB200">
        <f t="shared" si="576"/>
        <v>-1</v>
      </c>
      <c r="BC200">
        <f t="shared" si="576"/>
        <v>-1</v>
      </c>
      <c r="BD200">
        <f t="shared" si="576"/>
        <v>-1</v>
      </c>
      <c r="BE200">
        <f t="shared" si="576"/>
        <v>-1</v>
      </c>
      <c r="BF200">
        <f t="shared" si="576"/>
        <v>-1</v>
      </c>
      <c r="BG200">
        <f t="shared" si="576"/>
        <v>-1</v>
      </c>
      <c r="BH200">
        <f t="shared" si="576"/>
        <v>-1</v>
      </c>
      <c r="BI200">
        <f t="shared" si="576"/>
        <v>-1</v>
      </c>
      <c r="BJ200">
        <f t="shared" si="576"/>
        <v>-1</v>
      </c>
      <c r="BK200">
        <f t="shared" si="576"/>
        <v>-1</v>
      </c>
      <c r="BL200">
        <f t="shared" si="576"/>
        <v>-1</v>
      </c>
      <c r="BM200">
        <f t="shared" si="576"/>
        <v>-1</v>
      </c>
      <c r="BN200">
        <f t="shared" si="576"/>
        <v>-1</v>
      </c>
      <c r="BO200">
        <f t="shared" si="576"/>
        <v>-1</v>
      </c>
      <c r="BP200">
        <f t="shared" ref="BP200:EA200" si="577">IF(OR(BP199=-1,AND(IF(BP$3&lt;$B200,BP199+BP$6,IF(BP$3=$B200,1,""))&gt;$B$1,BP$3&lt;$B200)),-1,IF(BP$3&lt;$B200,BP199+BP$6,IF(BP$3=$B200,1,"")))</f>
        <v>-1</v>
      </c>
      <c r="BQ200">
        <f t="shared" si="577"/>
        <v>-1</v>
      </c>
      <c r="BR200">
        <f t="shared" si="577"/>
        <v>-1</v>
      </c>
      <c r="BS200">
        <f t="shared" si="577"/>
        <v>-1</v>
      </c>
      <c r="BT200">
        <f t="shared" si="577"/>
        <v>-1</v>
      </c>
      <c r="BU200">
        <f t="shared" si="577"/>
        <v>-1</v>
      </c>
      <c r="BV200">
        <f t="shared" si="577"/>
        <v>-1</v>
      </c>
      <c r="BW200">
        <f t="shared" si="577"/>
        <v>-1</v>
      </c>
      <c r="BX200">
        <f t="shared" si="577"/>
        <v>-1</v>
      </c>
      <c r="BY200">
        <f t="shared" si="577"/>
        <v>-1</v>
      </c>
      <c r="BZ200">
        <f t="shared" si="577"/>
        <v>-1</v>
      </c>
      <c r="CA200">
        <f t="shared" si="577"/>
        <v>-1</v>
      </c>
      <c r="CB200">
        <f t="shared" si="577"/>
        <v>-1</v>
      </c>
      <c r="CC200">
        <f t="shared" si="577"/>
        <v>-1</v>
      </c>
      <c r="CD200">
        <f t="shared" si="577"/>
        <v>-1</v>
      </c>
      <c r="CE200">
        <f t="shared" si="577"/>
        <v>-1</v>
      </c>
      <c r="CF200">
        <f t="shared" si="577"/>
        <v>73.000000000000014</v>
      </c>
      <c r="CG200">
        <f t="shared" si="577"/>
        <v>69.400000000000048</v>
      </c>
      <c r="CH200">
        <f t="shared" si="577"/>
        <v>65.800000000000082</v>
      </c>
      <c r="CI200">
        <f t="shared" si="577"/>
        <v>62.200000000000102</v>
      </c>
      <c r="CJ200">
        <f t="shared" si="577"/>
        <v>58.600000000000094</v>
      </c>
      <c r="CK200">
        <f t="shared" si="577"/>
        <v>55.000000000000085</v>
      </c>
      <c r="CL200">
        <f t="shared" si="577"/>
        <v>51.400000000000077</v>
      </c>
      <c r="CM200">
        <f t="shared" si="577"/>
        <v>47.800000000000068</v>
      </c>
      <c r="CN200">
        <f t="shared" si="577"/>
        <v>44.20000000000006</v>
      </c>
      <c r="CO200">
        <f t="shared" si="577"/>
        <v>-1</v>
      </c>
      <c r="CP200">
        <f t="shared" si="577"/>
        <v>71</v>
      </c>
      <c r="CQ200">
        <f t="shared" si="577"/>
        <v>-1</v>
      </c>
      <c r="CR200">
        <f t="shared" si="577"/>
        <v>-1</v>
      </c>
      <c r="CS200">
        <f t="shared" si="577"/>
        <v>-1</v>
      </c>
      <c r="CT200">
        <f t="shared" si="577"/>
        <v>-1</v>
      </c>
      <c r="CU200">
        <f t="shared" si="577"/>
        <v>-1</v>
      </c>
      <c r="CV200">
        <f t="shared" si="577"/>
        <v>-1</v>
      </c>
      <c r="CW200">
        <f t="shared" si="577"/>
        <v>-1</v>
      </c>
      <c r="CX200">
        <f t="shared" si="577"/>
        <v>-1</v>
      </c>
      <c r="CY200">
        <f t="shared" si="577"/>
        <v>-1</v>
      </c>
      <c r="CZ200">
        <f t="shared" si="577"/>
        <v>-1</v>
      </c>
      <c r="DA200">
        <f t="shared" si="577"/>
        <v>-1</v>
      </c>
      <c r="DB200">
        <f t="shared" si="577"/>
        <v>-1</v>
      </c>
      <c r="DC200">
        <f t="shared" si="577"/>
        <v>-1</v>
      </c>
      <c r="DD200">
        <f t="shared" si="577"/>
        <v>-1</v>
      </c>
      <c r="DE200">
        <f t="shared" si="577"/>
        <v>-1</v>
      </c>
      <c r="DF200">
        <f t="shared" si="577"/>
        <v>-1</v>
      </c>
      <c r="DG200">
        <f t="shared" si="577"/>
        <v>-1</v>
      </c>
      <c r="DH200">
        <f t="shared" si="577"/>
        <v>-1</v>
      </c>
      <c r="DI200">
        <f t="shared" si="577"/>
        <v>-1</v>
      </c>
      <c r="DJ200">
        <f t="shared" si="577"/>
        <v>-1</v>
      </c>
      <c r="DK200">
        <f t="shared" si="577"/>
        <v>-1</v>
      </c>
      <c r="DL200">
        <f t="shared" si="577"/>
        <v>-1</v>
      </c>
      <c r="DM200">
        <f t="shared" si="577"/>
        <v>-1</v>
      </c>
      <c r="DN200">
        <f t="shared" si="577"/>
        <v>-1</v>
      </c>
      <c r="DO200">
        <f t="shared" si="577"/>
        <v>-1</v>
      </c>
      <c r="DP200">
        <f t="shared" si="577"/>
        <v>-1</v>
      </c>
      <c r="DQ200">
        <f t="shared" si="577"/>
        <v>-1</v>
      </c>
      <c r="DR200">
        <f t="shared" si="577"/>
        <v>-1</v>
      </c>
      <c r="DS200">
        <f t="shared" si="577"/>
        <v>-1</v>
      </c>
      <c r="DT200">
        <f t="shared" si="577"/>
        <v>-1</v>
      </c>
      <c r="DU200">
        <f t="shared" si="577"/>
        <v>-1</v>
      </c>
      <c r="DV200">
        <f t="shared" si="577"/>
        <v>-1</v>
      </c>
      <c r="DW200">
        <f t="shared" si="577"/>
        <v>-1</v>
      </c>
      <c r="DX200">
        <f t="shared" si="577"/>
        <v>-1</v>
      </c>
      <c r="DY200">
        <f t="shared" si="577"/>
        <v>-1</v>
      </c>
      <c r="DZ200">
        <f t="shared" si="577"/>
        <v>-1</v>
      </c>
      <c r="EA200">
        <f t="shared" si="577"/>
        <v>-1</v>
      </c>
      <c r="EB200">
        <f t="shared" ref="EB200:EO200" si="578">IF(OR(EB199=-1,AND(IF(EB$3&lt;$B200,EB199+EB$6,IF(EB$3=$B200,1,""))&gt;$B$1,EB$3&lt;$B200)),-1,IF(EB$3&lt;$B200,EB199+EB$6,IF(EB$3=$B200,1,"")))</f>
        <v>-1</v>
      </c>
      <c r="EC200">
        <f t="shared" si="578"/>
        <v>-1</v>
      </c>
      <c r="ED200">
        <f t="shared" si="578"/>
        <v>-1</v>
      </c>
      <c r="EE200">
        <f t="shared" si="578"/>
        <v>-1</v>
      </c>
      <c r="EF200">
        <f t="shared" si="578"/>
        <v>-1</v>
      </c>
      <c r="EG200">
        <f t="shared" si="578"/>
        <v>-1</v>
      </c>
      <c r="EH200">
        <f t="shared" si="578"/>
        <v>-1</v>
      </c>
      <c r="EI200">
        <f t="shared" si="578"/>
        <v>-1</v>
      </c>
      <c r="EJ200">
        <f t="shared" si="578"/>
        <v>-1</v>
      </c>
      <c r="EK200">
        <f t="shared" si="578"/>
        <v>-1</v>
      </c>
      <c r="EL200">
        <f t="shared" si="578"/>
        <v>-1</v>
      </c>
      <c r="EM200">
        <f t="shared" si="578"/>
        <v>-1</v>
      </c>
      <c r="EN200">
        <f t="shared" si="578"/>
        <v>-1</v>
      </c>
      <c r="EO200">
        <f t="shared" si="578"/>
        <v>-1</v>
      </c>
    </row>
    <row r="201" spans="1:145" x14ac:dyDescent="0.15">
      <c r="A201" t="e">
        <f t="shared" ref="A201:C264" si="579">IF(OR(A200=-1,AND(IF(A$3&lt;$B201,A200+A$6,IF(A$3=$B201,1,""))&gt;$B$1,A$3&lt;$B201)),-1,IF(A$3&lt;$B201,A200+A$6,IF(A$3=$B201,1,"")))</f>
        <v>#N/A</v>
      </c>
      <c r="B201" s="218">
        <v>193</v>
      </c>
      <c r="C201">
        <f t="shared" si="579"/>
        <v>-1</v>
      </c>
      <c r="D201">
        <f t="shared" ref="D201:BO201" si="580">IF(OR(D200=-1,AND(IF(D$3&lt;$B201,D200+D$6,IF(D$3=$B201,1,""))&gt;$B$1,D$3&lt;$B201)),-1,IF(D$3&lt;$B201,D200+D$6,IF(D$3=$B201,1,"")))</f>
        <v>-1</v>
      </c>
      <c r="E201">
        <f t="shared" si="580"/>
        <v>-1</v>
      </c>
      <c r="F201">
        <f t="shared" si="580"/>
        <v>-1</v>
      </c>
      <c r="G201">
        <f t="shared" si="580"/>
        <v>-1</v>
      </c>
      <c r="H201">
        <f t="shared" si="580"/>
        <v>-1</v>
      </c>
      <c r="I201">
        <f t="shared" si="580"/>
        <v>-1</v>
      </c>
      <c r="J201">
        <f t="shared" si="580"/>
        <v>-1</v>
      </c>
      <c r="K201">
        <f t="shared" si="580"/>
        <v>-1</v>
      </c>
      <c r="L201">
        <f t="shared" si="580"/>
        <v>-1</v>
      </c>
      <c r="M201">
        <f t="shared" si="580"/>
        <v>-1</v>
      </c>
      <c r="N201">
        <f t="shared" si="580"/>
        <v>-1</v>
      </c>
      <c r="O201">
        <f t="shared" si="580"/>
        <v>-1</v>
      </c>
      <c r="P201">
        <f t="shared" si="580"/>
        <v>-1</v>
      </c>
      <c r="Q201">
        <f t="shared" si="580"/>
        <v>-1</v>
      </c>
      <c r="R201">
        <f t="shared" si="580"/>
        <v>-1</v>
      </c>
      <c r="S201">
        <f t="shared" si="580"/>
        <v>-1</v>
      </c>
      <c r="T201">
        <f t="shared" si="580"/>
        <v>-1</v>
      </c>
      <c r="U201">
        <f t="shared" si="580"/>
        <v>-1</v>
      </c>
      <c r="V201">
        <f t="shared" si="580"/>
        <v>-1</v>
      </c>
      <c r="W201">
        <f t="shared" si="580"/>
        <v>-1</v>
      </c>
      <c r="X201">
        <f t="shared" si="580"/>
        <v>-1</v>
      </c>
      <c r="Y201">
        <f t="shared" si="580"/>
        <v>-1</v>
      </c>
      <c r="Z201">
        <f t="shared" si="580"/>
        <v>-1</v>
      </c>
      <c r="AA201">
        <f t="shared" si="580"/>
        <v>-1</v>
      </c>
      <c r="AB201">
        <f t="shared" si="580"/>
        <v>-1</v>
      </c>
      <c r="AC201">
        <f t="shared" si="580"/>
        <v>-1</v>
      </c>
      <c r="AD201">
        <f t="shared" si="580"/>
        <v>-1</v>
      </c>
      <c r="AE201">
        <f t="shared" si="580"/>
        <v>-1</v>
      </c>
      <c r="AF201">
        <f t="shared" si="580"/>
        <v>-1</v>
      </c>
      <c r="AG201">
        <f t="shared" si="580"/>
        <v>-1</v>
      </c>
      <c r="AH201">
        <f t="shared" si="580"/>
        <v>-1</v>
      </c>
      <c r="AI201">
        <f t="shared" si="580"/>
        <v>-1</v>
      </c>
      <c r="AJ201">
        <f t="shared" si="580"/>
        <v>-1</v>
      </c>
      <c r="AK201">
        <f t="shared" si="580"/>
        <v>-1</v>
      </c>
      <c r="AL201">
        <f t="shared" si="580"/>
        <v>-1</v>
      </c>
      <c r="AM201">
        <f t="shared" si="580"/>
        <v>-1</v>
      </c>
      <c r="AN201">
        <f t="shared" si="580"/>
        <v>-1</v>
      </c>
      <c r="AO201">
        <f t="shared" si="580"/>
        <v>-1</v>
      </c>
      <c r="AP201">
        <f t="shared" si="580"/>
        <v>-1</v>
      </c>
      <c r="AQ201">
        <f t="shared" si="580"/>
        <v>-1</v>
      </c>
      <c r="AR201">
        <f t="shared" si="580"/>
        <v>-1</v>
      </c>
      <c r="AS201">
        <f t="shared" si="580"/>
        <v>-1</v>
      </c>
      <c r="AT201">
        <f t="shared" si="580"/>
        <v>-1</v>
      </c>
      <c r="AU201">
        <f t="shared" si="580"/>
        <v>-1</v>
      </c>
      <c r="AV201">
        <f t="shared" si="580"/>
        <v>-1</v>
      </c>
      <c r="AW201">
        <f t="shared" si="580"/>
        <v>-1</v>
      </c>
      <c r="AX201">
        <f t="shared" si="580"/>
        <v>-1</v>
      </c>
      <c r="AY201">
        <f t="shared" si="580"/>
        <v>-1</v>
      </c>
      <c r="AZ201">
        <f t="shared" si="580"/>
        <v>-1</v>
      </c>
      <c r="BA201">
        <f t="shared" si="580"/>
        <v>-1</v>
      </c>
      <c r="BB201">
        <f t="shared" si="580"/>
        <v>-1</v>
      </c>
      <c r="BC201">
        <f t="shared" si="580"/>
        <v>-1</v>
      </c>
      <c r="BD201">
        <f t="shared" si="580"/>
        <v>-1</v>
      </c>
      <c r="BE201">
        <f t="shared" si="580"/>
        <v>-1</v>
      </c>
      <c r="BF201">
        <f t="shared" si="580"/>
        <v>-1</v>
      </c>
      <c r="BG201">
        <f t="shared" si="580"/>
        <v>-1</v>
      </c>
      <c r="BH201">
        <f t="shared" si="580"/>
        <v>-1</v>
      </c>
      <c r="BI201">
        <f t="shared" si="580"/>
        <v>-1</v>
      </c>
      <c r="BJ201">
        <f t="shared" si="580"/>
        <v>-1</v>
      </c>
      <c r="BK201">
        <f t="shared" si="580"/>
        <v>-1</v>
      </c>
      <c r="BL201">
        <f t="shared" si="580"/>
        <v>-1</v>
      </c>
      <c r="BM201">
        <f t="shared" si="580"/>
        <v>-1</v>
      </c>
      <c r="BN201">
        <f t="shared" si="580"/>
        <v>-1</v>
      </c>
      <c r="BO201">
        <f t="shared" si="580"/>
        <v>-1</v>
      </c>
      <c r="BP201">
        <f t="shared" ref="BP201:EA201" si="581">IF(OR(BP200=-1,AND(IF(BP$3&lt;$B201,BP200+BP$6,IF(BP$3=$B201,1,""))&gt;$B$1,BP$3&lt;$B201)),-1,IF(BP$3&lt;$B201,BP200+BP$6,IF(BP$3=$B201,1,"")))</f>
        <v>-1</v>
      </c>
      <c r="BQ201">
        <f t="shared" si="581"/>
        <v>-1</v>
      </c>
      <c r="BR201">
        <f t="shared" si="581"/>
        <v>-1</v>
      </c>
      <c r="BS201">
        <f t="shared" si="581"/>
        <v>-1</v>
      </c>
      <c r="BT201">
        <f t="shared" si="581"/>
        <v>-1</v>
      </c>
      <c r="BU201">
        <f t="shared" si="581"/>
        <v>-1</v>
      </c>
      <c r="BV201">
        <f t="shared" si="581"/>
        <v>-1</v>
      </c>
      <c r="BW201">
        <f t="shared" si="581"/>
        <v>-1</v>
      </c>
      <c r="BX201">
        <f t="shared" si="581"/>
        <v>-1</v>
      </c>
      <c r="BY201">
        <f t="shared" si="581"/>
        <v>-1</v>
      </c>
      <c r="BZ201">
        <f t="shared" si="581"/>
        <v>-1</v>
      </c>
      <c r="CA201">
        <f t="shared" si="581"/>
        <v>-1</v>
      </c>
      <c r="CB201">
        <f t="shared" si="581"/>
        <v>-1</v>
      </c>
      <c r="CC201">
        <f t="shared" si="581"/>
        <v>-1</v>
      </c>
      <c r="CD201">
        <f t="shared" si="581"/>
        <v>-1</v>
      </c>
      <c r="CE201">
        <f t="shared" si="581"/>
        <v>-1</v>
      </c>
      <c r="CF201">
        <f t="shared" si="581"/>
        <v>73.600000000000009</v>
      </c>
      <c r="CG201">
        <f t="shared" si="581"/>
        <v>70.000000000000043</v>
      </c>
      <c r="CH201">
        <f t="shared" si="581"/>
        <v>66.400000000000077</v>
      </c>
      <c r="CI201">
        <f t="shared" si="581"/>
        <v>62.800000000000104</v>
      </c>
      <c r="CJ201">
        <f t="shared" si="581"/>
        <v>59.200000000000095</v>
      </c>
      <c r="CK201">
        <f t="shared" si="581"/>
        <v>55.600000000000087</v>
      </c>
      <c r="CL201">
        <f t="shared" si="581"/>
        <v>52.000000000000078</v>
      </c>
      <c r="CM201">
        <f t="shared" si="581"/>
        <v>48.40000000000007</v>
      </c>
      <c r="CN201">
        <f t="shared" si="581"/>
        <v>44.800000000000061</v>
      </c>
      <c r="CO201">
        <f t="shared" si="581"/>
        <v>-1</v>
      </c>
      <c r="CP201">
        <f t="shared" si="581"/>
        <v>71.5</v>
      </c>
      <c r="CQ201">
        <f t="shared" si="581"/>
        <v>-1</v>
      </c>
      <c r="CR201">
        <f t="shared" si="581"/>
        <v>-1</v>
      </c>
      <c r="CS201">
        <f t="shared" si="581"/>
        <v>-1</v>
      </c>
      <c r="CT201">
        <f t="shared" si="581"/>
        <v>-1</v>
      </c>
      <c r="CU201">
        <f t="shared" si="581"/>
        <v>-1</v>
      </c>
      <c r="CV201">
        <f t="shared" si="581"/>
        <v>-1</v>
      </c>
      <c r="CW201">
        <f t="shared" si="581"/>
        <v>-1</v>
      </c>
      <c r="CX201">
        <f t="shared" si="581"/>
        <v>-1</v>
      </c>
      <c r="CY201">
        <f t="shared" si="581"/>
        <v>-1</v>
      </c>
      <c r="CZ201">
        <f t="shared" si="581"/>
        <v>-1</v>
      </c>
      <c r="DA201">
        <f t="shared" si="581"/>
        <v>-1</v>
      </c>
      <c r="DB201">
        <f t="shared" si="581"/>
        <v>-1</v>
      </c>
      <c r="DC201">
        <f t="shared" si="581"/>
        <v>-1</v>
      </c>
      <c r="DD201">
        <f t="shared" si="581"/>
        <v>-1</v>
      </c>
      <c r="DE201">
        <f t="shared" si="581"/>
        <v>-1</v>
      </c>
      <c r="DF201">
        <f t="shared" si="581"/>
        <v>-1</v>
      </c>
      <c r="DG201">
        <f t="shared" si="581"/>
        <v>-1</v>
      </c>
      <c r="DH201">
        <f t="shared" si="581"/>
        <v>-1</v>
      </c>
      <c r="DI201">
        <f t="shared" si="581"/>
        <v>-1</v>
      </c>
      <c r="DJ201">
        <f t="shared" si="581"/>
        <v>-1</v>
      </c>
      <c r="DK201">
        <f t="shared" si="581"/>
        <v>-1</v>
      </c>
      <c r="DL201">
        <f t="shared" si="581"/>
        <v>-1</v>
      </c>
      <c r="DM201">
        <f t="shared" si="581"/>
        <v>-1</v>
      </c>
      <c r="DN201">
        <f t="shared" si="581"/>
        <v>-1</v>
      </c>
      <c r="DO201">
        <f t="shared" si="581"/>
        <v>-1</v>
      </c>
      <c r="DP201">
        <f t="shared" si="581"/>
        <v>-1</v>
      </c>
      <c r="DQ201">
        <f t="shared" si="581"/>
        <v>-1</v>
      </c>
      <c r="DR201">
        <f t="shared" si="581"/>
        <v>-1</v>
      </c>
      <c r="DS201">
        <f t="shared" si="581"/>
        <v>-1</v>
      </c>
      <c r="DT201">
        <f t="shared" si="581"/>
        <v>-1</v>
      </c>
      <c r="DU201">
        <f t="shared" si="581"/>
        <v>-1</v>
      </c>
      <c r="DV201">
        <f t="shared" si="581"/>
        <v>-1</v>
      </c>
      <c r="DW201">
        <f t="shared" si="581"/>
        <v>-1</v>
      </c>
      <c r="DX201">
        <f t="shared" si="581"/>
        <v>-1</v>
      </c>
      <c r="DY201">
        <f t="shared" si="581"/>
        <v>-1</v>
      </c>
      <c r="DZ201">
        <f t="shared" si="581"/>
        <v>-1</v>
      </c>
      <c r="EA201">
        <f t="shared" si="581"/>
        <v>-1</v>
      </c>
      <c r="EB201">
        <f t="shared" ref="EB201:EO201" si="582">IF(OR(EB200=-1,AND(IF(EB$3&lt;$B201,EB200+EB$6,IF(EB$3=$B201,1,""))&gt;$B$1,EB$3&lt;$B201)),-1,IF(EB$3&lt;$B201,EB200+EB$6,IF(EB$3=$B201,1,"")))</f>
        <v>-1</v>
      </c>
      <c r="EC201">
        <f t="shared" si="582"/>
        <v>-1</v>
      </c>
      <c r="ED201">
        <f t="shared" si="582"/>
        <v>-1</v>
      </c>
      <c r="EE201">
        <f t="shared" si="582"/>
        <v>-1</v>
      </c>
      <c r="EF201">
        <f t="shared" si="582"/>
        <v>-1</v>
      </c>
      <c r="EG201">
        <f t="shared" si="582"/>
        <v>-1</v>
      </c>
      <c r="EH201">
        <f t="shared" si="582"/>
        <v>-1</v>
      </c>
      <c r="EI201">
        <f t="shared" si="582"/>
        <v>-1</v>
      </c>
      <c r="EJ201">
        <f t="shared" si="582"/>
        <v>-1</v>
      </c>
      <c r="EK201">
        <f t="shared" si="582"/>
        <v>-1</v>
      </c>
      <c r="EL201">
        <f t="shared" si="582"/>
        <v>-1</v>
      </c>
      <c r="EM201">
        <f t="shared" si="582"/>
        <v>-1</v>
      </c>
      <c r="EN201">
        <f t="shared" si="582"/>
        <v>-1</v>
      </c>
      <c r="EO201">
        <f t="shared" si="582"/>
        <v>-1</v>
      </c>
    </row>
    <row r="202" spans="1:145" x14ac:dyDescent="0.15">
      <c r="A202" t="e">
        <f t="shared" si="579"/>
        <v>#N/A</v>
      </c>
      <c r="B202" s="218">
        <v>194</v>
      </c>
      <c r="C202">
        <f t="shared" si="579"/>
        <v>-1</v>
      </c>
      <c r="D202">
        <f t="shared" ref="D202:BO202" si="583">IF(OR(D201=-1,AND(IF(D$3&lt;$B202,D201+D$6,IF(D$3=$B202,1,""))&gt;$B$1,D$3&lt;$B202)),-1,IF(D$3&lt;$B202,D201+D$6,IF(D$3=$B202,1,"")))</f>
        <v>-1</v>
      </c>
      <c r="E202">
        <f t="shared" si="583"/>
        <v>-1</v>
      </c>
      <c r="F202">
        <f t="shared" si="583"/>
        <v>-1</v>
      </c>
      <c r="G202">
        <f t="shared" si="583"/>
        <v>-1</v>
      </c>
      <c r="H202">
        <f t="shared" si="583"/>
        <v>-1</v>
      </c>
      <c r="I202">
        <f t="shared" si="583"/>
        <v>-1</v>
      </c>
      <c r="J202">
        <f t="shared" si="583"/>
        <v>-1</v>
      </c>
      <c r="K202">
        <f t="shared" si="583"/>
        <v>-1</v>
      </c>
      <c r="L202">
        <f t="shared" si="583"/>
        <v>-1</v>
      </c>
      <c r="M202">
        <f t="shared" si="583"/>
        <v>-1</v>
      </c>
      <c r="N202">
        <f t="shared" si="583"/>
        <v>-1</v>
      </c>
      <c r="O202">
        <f t="shared" si="583"/>
        <v>-1</v>
      </c>
      <c r="P202">
        <f t="shared" si="583"/>
        <v>-1</v>
      </c>
      <c r="Q202">
        <f t="shared" si="583"/>
        <v>-1</v>
      </c>
      <c r="R202">
        <f t="shared" si="583"/>
        <v>-1</v>
      </c>
      <c r="S202">
        <f t="shared" si="583"/>
        <v>-1</v>
      </c>
      <c r="T202">
        <f t="shared" si="583"/>
        <v>-1</v>
      </c>
      <c r="U202">
        <f t="shared" si="583"/>
        <v>-1</v>
      </c>
      <c r="V202">
        <f t="shared" si="583"/>
        <v>-1</v>
      </c>
      <c r="W202">
        <f t="shared" si="583"/>
        <v>-1</v>
      </c>
      <c r="X202">
        <f t="shared" si="583"/>
        <v>-1</v>
      </c>
      <c r="Y202">
        <f t="shared" si="583"/>
        <v>-1</v>
      </c>
      <c r="Z202">
        <f t="shared" si="583"/>
        <v>-1</v>
      </c>
      <c r="AA202">
        <f t="shared" si="583"/>
        <v>-1</v>
      </c>
      <c r="AB202">
        <f t="shared" si="583"/>
        <v>-1</v>
      </c>
      <c r="AC202">
        <f t="shared" si="583"/>
        <v>-1</v>
      </c>
      <c r="AD202">
        <f t="shared" si="583"/>
        <v>-1</v>
      </c>
      <c r="AE202">
        <f t="shared" si="583"/>
        <v>-1</v>
      </c>
      <c r="AF202">
        <f t="shared" si="583"/>
        <v>-1</v>
      </c>
      <c r="AG202">
        <f t="shared" si="583"/>
        <v>-1</v>
      </c>
      <c r="AH202">
        <f t="shared" si="583"/>
        <v>-1</v>
      </c>
      <c r="AI202">
        <f t="shared" si="583"/>
        <v>-1</v>
      </c>
      <c r="AJ202">
        <f t="shared" si="583"/>
        <v>-1</v>
      </c>
      <c r="AK202">
        <f t="shared" si="583"/>
        <v>-1</v>
      </c>
      <c r="AL202">
        <f t="shared" si="583"/>
        <v>-1</v>
      </c>
      <c r="AM202">
        <f t="shared" si="583"/>
        <v>-1</v>
      </c>
      <c r="AN202">
        <f t="shared" si="583"/>
        <v>-1</v>
      </c>
      <c r="AO202">
        <f t="shared" si="583"/>
        <v>-1</v>
      </c>
      <c r="AP202">
        <f t="shared" si="583"/>
        <v>-1</v>
      </c>
      <c r="AQ202">
        <f t="shared" si="583"/>
        <v>-1</v>
      </c>
      <c r="AR202">
        <f t="shared" si="583"/>
        <v>-1</v>
      </c>
      <c r="AS202">
        <f t="shared" si="583"/>
        <v>-1</v>
      </c>
      <c r="AT202">
        <f t="shared" si="583"/>
        <v>-1</v>
      </c>
      <c r="AU202">
        <f t="shared" si="583"/>
        <v>-1</v>
      </c>
      <c r="AV202">
        <f t="shared" si="583"/>
        <v>-1</v>
      </c>
      <c r="AW202">
        <f t="shared" si="583"/>
        <v>-1</v>
      </c>
      <c r="AX202">
        <f t="shared" si="583"/>
        <v>-1</v>
      </c>
      <c r="AY202">
        <f t="shared" si="583"/>
        <v>-1</v>
      </c>
      <c r="AZ202">
        <f t="shared" si="583"/>
        <v>-1</v>
      </c>
      <c r="BA202">
        <f t="shared" si="583"/>
        <v>-1</v>
      </c>
      <c r="BB202">
        <f t="shared" si="583"/>
        <v>-1</v>
      </c>
      <c r="BC202">
        <f t="shared" si="583"/>
        <v>-1</v>
      </c>
      <c r="BD202">
        <f t="shared" si="583"/>
        <v>-1</v>
      </c>
      <c r="BE202">
        <f t="shared" si="583"/>
        <v>-1</v>
      </c>
      <c r="BF202">
        <f t="shared" si="583"/>
        <v>-1</v>
      </c>
      <c r="BG202">
        <f t="shared" si="583"/>
        <v>-1</v>
      </c>
      <c r="BH202">
        <f t="shared" si="583"/>
        <v>-1</v>
      </c>
      <c r="BI202">
        <f t="shared" si="583"/>
        <v>-1</v>
      </c>
      <c r="BJ202">
        <f t="shared" si="583"/>
        <v>-1</v>
      </c>
      <c r="BK202">
        <f t="shared" si="583"/>
        <v>-1</v>
      </c>
      <c r="BL202">
        <f t="shared" si="583"/>
        <v>-1</v>
      </c>
      <c r="BM202">
        <f t="shared" si="583"/>
        <v>-1</v>
      </c>
      <c r="BN202">
        <f t="shared" si="583"/>
        <v>-1</v>
      </c>
      <c r="BO202">
        <f t="shared" si="583"/>
        <v>-1</v>
      </c>
      <c r="BP202">
        <f t="shared" ref="BP202:EA202" si="584">IF(OR(BP201=-1,AND(IF(BP$3&lt;$B202,BP201+BP$6,IF(BP$3=$B202,1,""))&gt;$B$1,BP$3&lt;$B202)),-1,IF(BP$3&lt;$B202,BP201+BP$6,IF(BP$3=$B202,1,"")))</f>
        <v>-1</v>
      </c>
      <c r="BQ202">
        <f t="shared" si="584"/>
        <v>-1</v>
      </c>
      <c r="BR202">
        <f t="shared" si="584"/>
        <v>-1</v>
      </c>
      <c r="BS202">
        <f t="shared" si="584"/>
        <v>-1</v>
      </c>
      <c r="BT202">
        <f t="shared" si="584"/>
        <v>-1</v>
      </c>
      <c r="BU202">
        <f t="shared" si="584"/>
        <v>-1</v>
      </c>
      <c r="BV202">
        <f t="shared" si="584"/>
        <v>-1</v>
      </c>
      <c r="BW202">
        <f t="shared" si="584"/>
        <v>-1</v>
      </c>
      <c r="BX202">
        <f t="shared" si="584"/>
        <v>-1</v>
      </c>
      <c r="BY202">
        <f t="shared" si="584"/>
        <v>-1</v>
      </c>
      <c r="BZ202">
        <f t="shared" si="584"/>
        <v>-1</v>
      </c>
      <c r="CA202">
        <f t="shared" si="584"/>
        <v>-1</v>
      </c>
      <c r="CB202">
        <f t="shared" si="584"/>
        <v>-1</v>
      </c>
      <c r="CC202">
        <f t="shared" si="584"/>
        <v>-1</v>
      </c>
      <c r="CD202">
        <f t="shared" si="584"/>
        <v>-1</v>
      </c>
      <c r="CE202">
        <f t="shared" si="584"/>
        <v>-1</v>
      </c>
      <c r="CF202">
        <f t="shared" si="584"/>
        <v>74.2</v>
      </c>
      <c r="CG202">
        <f t="shared" si="584"/>
        <v>70.600000000000037</v>
      </c>
      <c r="CH202">
        <f t="shared" si="584"/>
        <v>67.000000000000071</v>
      </c>
      <c r="CI202">
        <f t="shared" si="584"/>
        <v>63.400000000000105</v>
      </c>
      <c r="CJ202">
        <f t="shared" si="584"/>
        <v>59.800000000000097</v>
      </c>
      <c r="CK202">
        <f t="shared" si="584"/>
        <v>56.200000000000088</v>
      </c>
      <c r="CL202">
        <f t="shared" si="584"/>
        <v>52.60000000000008</v>
      </c>
      <c r="CM202">
        <f t="shared" si="584"/>
        <v>49.000000000000071</v>
      </c>
      <c r="CN202">
        <f t="shared" si="584"/>
        <v>45.400000000000063</v>
      </c>
      <c r="CO202">
        <f t="shared" si="584"/>
        <v>-1</v>
      </c>
      <c r="CP202">
        <f t="shared" si="584"/>
        <v>72</v>
      </c>
      <c r="CQ202">
        <f t="shared" si="584"/>
        <v>-1</v>
      </c>
      <c r="CR202">
        <f t="shared" si="584"/>
        <v>-1</v>
      </c>
      <c r="CS202">
        <f t="shared" si="584"/>
        <v>-1</v>
      </c>
      <c r="CT202">
        <f t="shared" si="584"/>
        <v>-1</v>
      </c>
      <c r="CU202">
        <f t="shared" si="584"/>
        <v>-1</v>
      </c>
      <c r="CV202">
        <f t="shared" si="584"/>
        <v>-1</v>
      </c>
      <c r="CW202">
        <f t="shared" si="584"/>
        <v>-1</v>
      </c>
      <c r="CX202">
        <f t="shared" si="584"/>
        <v>-1</v>
      </c>
      <c r="CY202">
        <f t="shared" si="584"/>
        <v>-1</v>
      </c>
      <c r="CZ202">
        <f t="shared" si="584"/>
        <v>-1</v>
      </c>
      <c r="DA202">
        <f t="shared" si="584"/>
        <v>-1</v>
      </c>
      <c r="DB202">
        <f t="shared" si="584"/>
        <v>-1</v>
      </c>
      <c r="DC202">
        <f t="shared" si="584"/>
        <v>-1</v>
      </c>
      <c r="DD202">
        <f t="shared" si="584"/>
        <v>-1</v>
      </c>
      <c r="DE202">
        <f t="shared" si="584"/>
        <v>-1</v>
      </c>
      <c r="DF202">
        <f t="shared" si="584"/>
        <v>-1</v>
      </c>
      <c r="DG202">
        <f t="shared" si="584"/>
        <v>-1</v>
      </c>
      <c r="DH202">
        <f t="shared" si="584"/>
        <v>-1</v>
      </c>
      <c r="DI202">
        <f t="shared" si="584"/>
        <v>-1</v>
      </c>
      <c r="DJ202">
        <f t="shared" si="584"/>
        <v>-1</v>
      </c>
      <c r="DK202">
        <f t="shared" si="584"/>
        <v>-1</v>
      </c>
      <c r="DL202">
        <f t="shared" si="584"/>
        <v>-1</v>
      </c>
      <c r="DM202">
        <f t="shared" si="584"/>
        <v>-1</v>
      </c>
      <c r="DN202">
        <f t="shared" si="584"/>
        <v>-1</v>
      </c>
      <c r="DO202">
        <f t="shared" si="584"/>
        <v>-1</v>
      </c>
      <c r="DP202">
        <f t="shared" si="584"/>
        <v>-1</v>
      </c>
      <c r="DQ202">
        <f t="shared" si="584"/>
        <v>-1</v>
      </c>
      <c r="DR202">
        <f t="shared" si="584"/>
        <v>-1</v>
      </c>
      <c r="DS202">
        <f t="shared" si="584"/>
        <v>-1</v>
      </c>
      <c r="DT202">
        <f t="shared" si="584"/>
        <v>-1</v>
      </c>
      <c r="DU202">
        <f t="shared" si="584"/>
        <v>-1</v>
      </c>
      <c r="DV202">
        <f t="shared" si="584"/>
        <v>-1</v>
      </c>
      <c r="DW202">
        <f t="shared" si="584"/>
        <v>-1</v>
      </c>
      <c r="DX202">
        <f t="shared" si="584"/>
        <v>-1</v>
      </c>
      <c r="DY202">
        <f t="shared" si="584"/>
        <v>-1</v>
      </c>
      <c r="DZ202">
        <f t="shared" si="584"/>
        <v>-1</v>
      </c>
      <c r="EA202">
        <f t="shared" si="584"/>
        <v>-1</v>
      </c>
      <c r="EB202">
        <f t="shared" ref="EB202:EO202" si="585">IF(OR(EB201=-1,AND(IF(EB$3&lt;$B202,EB201+EB$6,IF(EB$3=$B202,1,""))&gt;$B$1,EB$3&lt;$B202)),-1,IF(EB$3&lt;$B202,EB201+EB$6,IF(EB$3=$B202,1,"")))</f>
        <v>-1</v>
      </c>
      <c r="EC202">
        <f t="shared" si="585"/>
        <v>-1</v>
      </c>
      <c r="ED202">
        <f t="shared" si="585"/>
        <v>-1</v>
      </c>
      <c r="EE202">
        <f t="shared" si="585"/>
        <v>-1</v>
      </c>
      <c r="EF202">
        <f t="shared" si="585"/>
        <v>-1</v>
      </c>
      <c r="EG202">
        <f t="shared" si="585"/>
        <v>-1</v>
      </c>
      <c r="EH202">
        <f t="shared" si="585"/>
        <v>-1</v>
      </c>
      <c r="EI202">
        <f t="shared" si="585"/>
        <v>-1</v>
      </c>
      <c r="EJ202">
        <f t="shared" si="585"/>
        <v>-1</v>
      </c>
      <c r="EK202">
        <f t="shared" si="585"/>
        <v>-1</v>
      </c>
      <c r="EL202">
        <f t="shared" si="585"/>
        <v>-1</v>
      </c>
      <c r="EM202">
        <f t="shared" si="585"/>
        <v>-1</v>
      </c>
      <c r="EN202">
        <f t="shared" si="585"/>
        <v>-1</v>
      </c>
      <c r="EO202">
        <f t="shared" si="585"/>
        <v>-1</v>
      </c>
    </row>
    <row r="203" spans="1:145" x14ac:dyDescent="0.15">
      <c r="A203" t="e">
        <f t="shared" si="579"/>
        <v>#N/A</v>
      </c>
      <c r="B203" s="218">
        <v>195</v>
      </c>
      <c r="C203">
        <f t="shared" si="579"/>
        <v>-1</v>
      </c>
      <c r="D203">
        <f t="shared" ref="D203:BO203" si="586">IF(OR(D202=-1,AND(IF(D$3&lt;$B203,D202+D$6,IF(D$3=$B203,1,""))&gt;$B$1,D$3&lt;$B203)),-1,IF(D$3&lt;$B203,D202+D$6,IF(D$3=$B203,1,"")))</f>
        <v>-1</v>
      </c>
      <c r="E203">
        <f t="shared" si="586"/>
        <v>-1</v>
      </c>
      <c r="F203">
        <f t="shared" si="586"/>
        <v>-1</v>
      </c>
      <c r="G203">
        <f t="shared" si="586"/>
        <v>-1</v>
      </c>
      <c r="H203">
        <f t="shared" si="586"/>
        <v>-1</v>
      </c>
      <c r="I203">
        <f t="shared" si="586"/>
        <v>-1</v>
      </c>
      <c r="J203">
        <f t="shared" si="586"/>
        <v>-1</v>
      </c>
      <c r="K203">
        <f t="shared" si="586"/>
        <v>-1</v>
      </c>
      <c r="L203">
        <f t="shared" si="586"/>
        <v>-1</v>
      </c>
      <c r="M203">
        <f t="shared" si="586"/>
        <v>-1</v>
      </c>
      <c r="N203">
        <f t="shared" si="586"/>
        <v>-1</v>
      </c>
      <c r="O203">
        <f t="shared" si="586"/>
        <v>-1</v>
      </c>
      <c r="P203">
        <f t="shared" si="586"/>
        <v>-1</v>
      </c>
      <c r="Q203">
        <f t="shared" si="586"/>
        <v>-1</v>
      </c>
      <c r="R203">
        <f t="shared" si="586"/>
        <v>-1</v>
      </c>
      <c r="S203">
        <f t="shared" si="586"/>
        <v>-1</v>
      </c>
      <c r="T203">
        <f t="shared" si="586"/>
        <v>-1</v>
      </c>
      <c r="U203">
        <f t="shared" si="586"/>
        <v>-1</v>
      </c>
      <c r="V203">
        <f t="shared" si="586"/>
        <v>-1</v>
      </c>
      <c r="W203">
        <f t="shared" si="586"/>
        <v>-1</v>
      </c>
      <c r="X203">
        <f t="shared" si="586"/>
        <v>-1</v>
      </c>
      <c r="Y203">
        <f t="shared" si="586"/>
        <v>-1</v>
      </c>
      <c r="Z203">
        <f t="shared" si="586"/>
        <v>-1</v>
      </c>
      <c r="AA203">
        <f t="shared" si="586"/>
        <v>-1</v>
      </c>
      <c r="AB203">
        <f t="shared" si="586"/>
        <v>-1</v>
      </c>
      <c r="AC203">
        <f t="shared" si="586"/>
        <v>-1</v>
      </c>
      <c r="AD203">
        <f t="shared" si="586"/>
        <v>-1</v>
      </c>
      <c r="AE203">
        <f t="shared" si="586"/>
        <v>-1</v>
      </c>
      <c r="AF203">
        <f t="shared" si="586"/>
        <v>-1</v>
      </c>
      <c r="AG203">
        <f t="shared" si="586"/>
        <v>-1</v>
      </c>
      <c r="AH203">
        <f t="shared" si="586"/>
        <v>-1</v>
      </c>
      <c r="AI203">
        <f t="shared" si="586"/>
        <v>-1</v>
      </c>
      <c r="AJ203">
        <f t="shared" si="586"/>
        <v>-1</v>
      </c>
      <c r="AK203">
        <f t="shared" si="586"/>
        <v>-1</v>
      </c>
      <c r="AL203">
        <f t="shared" si="586"/>
        <v>-1</v>
      </c>
      <c r="AM203">
        <f t="shared" si="586"/>
        <v>-1</v>
      </c>
      <c r="AN203">
        <f t="shared" si="586"/>
        <v>-1</v>
      </c>
      <c r="AO203">
        <f t="shared" si="586"/>
        <v>-1</v>
      </c>
      <c r="AP203">
        <f t="shared" si="586"/>
        <v>-1</v>
      </c>
      <c r="AQ203">
        <f t="shared" si="586"/>
        <v>-1</v>
      </c>
      <c r="AR203">
        <f t="shared" si="586"/>
        <v>-1</v>
      </c>
      <c r="AS203">
        <f t="shared" si="586"/>
        <v>-1</v>
      </c>
      <c r="AT203">
        <f t="shared" si="586"/>
        <v>-1</v>
      </c>
      <c r="AU203">
        <f t="shared" si="586"/>
        <v>-1</v>
      </c>
      <c r="AV203">
        <f t="shared" si="586"/>
        <v>-1</v>
      </c>
      <c r="AW203">
        <f t="shared" si="586"/>
        <v>-1</v>
      </c>
      <c r="AX203">
        <f t="shared" si="586"/>
        <v>-1</v>
      </c>
      <c r="AY203">
        <f t="shared" si="586"/>
        <v>-1</v>
      </c>
      <c r="AZ203">
        <f t="shared" si="586"/>
        <v>-1</v>
      </c>
      <c r="BA203">
        <f t="shared" si="586"/>
        <v>-1</v>
      </c>
      <c r="BB203">
        <f t="shared" si="586"/>
        <v>-1</v>
      </c>
      <c r="BC203">
        <f t="shared" si="586"/>
        <v>-1</v>
      </c>
      <c r="BD203">
        <f t="shared" si="586"/>
        <v>-1</v>
      </c>
      <c r="BE203">
        <f t="shared" si="586"/>
        <v>-1</v>
      </c>
      <c r="BF203">
        <f t="shared" si="586"/>
        <v>-1</v>
      </c>
      <c r="BG203">
        <f t="shared" si="586"/>
        <v>-1</v>
      </c>
      <c r="BH203">
        <f t="shared" si="586"/>
        <v>-1</v>
      </c>
      <c r="BI203">
        <f t="shared" si="586"/>
        <v>-1</v>
      </c>
      <c r="BJ203">
        <f t="shared" si="586"/>
        <v>-1</v>
      </c>
      <c r="BK203">
        <f t="shared" si="586"/>
        <v>-1</v>
      </c>
      <c r="BL203">
        <f t="shared" si="586"/>
        <v>-1</v>
      </c>
      <c r="BM203">
        <f t="shared" si="586"/>
        <v>-1</v>
      </c>
      <c r="BN203">
        <f t="shared" si="586"/>
        <v>-1</v>
      </c>
      <c r="BO203">
        <f t="shared" si="586"/>
        <v>-1</v>
      </c>
      <c r="BP203">
        <f t="shared" ref="BP203:EA203" si="587">IF(OR(BP202=-1,AND(IF(BP$3&lt;$B203,BP202+BP$6,IF(BP$3=$B203,1,""))&gt;$B$1,BP$3&lt;$B203)),-1,IF(BP$3&lt;$B203,BP202+BP$6,IF(BP$3=$B203,1,"")))</f>
        <v>-1</v>
      </c>
      <c r="BQ203">
        <f t="shared" si="587"/>
        <v>-1</v>
      </c>
      <c r="BR203">
        <f t="shared" si="587"/>
        <v>-1</v>
      </c>
      <c r="BS203">
        <f t="shared" si="587"/>
        <v>-1</v>
      </c>
      <c r="BT203">
        <f t="shared" si="587"/>
        <v>-1</v>
      </c>
      <c r="BU203">
        <f t="shared" si="587"/>
        <v>-1</v>
      </c>
      <c r="BV203">
        <f t="shared" si="587"/>
        <v>-1</v>
      </c>
      <c r="BW203">
        <f t="shared" si="587"/>
        <v>-1</v>
      </c>
      <c r="BX203">
        <f t="shared" si="587"/>
        <v>-1</v>
      </c>
      <c r="BY203">
        <f t="shared" si="587"/>
        <v>-1</v>
      </c>
      <c r="BZ203">
        <f t="shared" si="587"/>
        <v>-1</v>
      </c>
      <c r="CA203">
        <f t="shared" si="587"/>
        <v>-1</v>
      </c>
      <c r="CB203">
        <f t="shared" si="587"/>
        <v>-1</v>
      </c>
      <c r="CC203">
        <f t="shared" si="587"/>
        <v>-1</v>
      </c>
      <c r="CD203">
        <f t="shared" si="587"/>
        <v>-1</v>
      </c>
      <c r="CE203">
        <f t="shared" si="587"/>
        <v>-1</v>
      </c>
      <c r="CF203">
        <f t="shared" si="587"/>
        <v>74.8</v>
      </c>
      <c r="CG203">
        <f t="shared" si="587"/>
        <v>71.200000000000031</v>
      </c>
      <c r="CH203">
        <f t="shared" si="587"/>
        <v>67.600000000000065</v>
      </c>
      <c r="CI203">
        <f t="shared" si="587"/>
        <v>64.000000000000099</v>
      </c>
      <c r="CJ203">
        <f t="shared" si="587"/>
        <v>60.400000000000098</v>
      </c>
      <c r="CK203">
        <f t="shared" si="587"/>
        <v>56.80000000000009</v>
      </c>
      <c r="CL203">
        <f t="shared" si="587"/>
        <v>53.200000000000081</v>
      </c>
      <c r="CM203">
        <f t="shared" si="587"/>
        <v>49.600000000000072</v>
      </c>
      <c r="CN203">
        <f t="shared" si="587"/>
        <v>46.000000000000064</v>
      </c>
      <c r="CO203">
        <f t="shared" si="587"/>
        <v>-1</v>
      </c>
      <c r="CP203">
        <f t="shared" si="587"/>
        <v>72.5</v>
      </c>
      <c r="CQ203">
        <f t="shared" si="587"/>
        <v>-1</v>
      </c>
      <c r="CR203">
        <f t="shared" si="587"/>
        <v>-1</v>
      </c>
      <c r="CS203">
        <f t="shared" si="587"/>
        <v>-1</v>
      </c>
      <c r="CT203">
        <f t="shared" si="587"/>
        <v>-1</v>
      </c>
      <c r="CU203">
        <f t="shared" si="587"/>
        <v>-1</v>
      </c>
      <c r="CV203">
        <f t="shared" si="587"/>
        <v>-1</v>
      </c>
      <c r="CW203">
        <f t="shared" si="587"/>
        <v>-1</v>
      </c>
      <c r="CX203">
        <f t="shared" si="587"/>
        <v>-1</v>
      </c>
      <c r="CY203">
        <f t="shared" si="587"/>
        <v>-1</v>
      </c>
      <c r="CZ203">
        <f t="shared" si="587"/>
        <v>-1</v>
      </c>
      <c r="DA203">
        <f t="shared" si="587"/>
        <v>-1</v>
      </c>
      <c r="DB203">
        <f t="shared" si="587"/>
        <v>-1</v>
      </c>
      <c r="DC203">
        <f t="shared" si="587"/>
        <v>-1</v>
      </c>
      <c r="DD203">
        <f t="shared" si="587"/>
        <v>-1</v>
      </c>
      <c r="DE203">
        <f t="shared" si="587"/>
        <v>-1</v>
      </c>
      <c r="DF203">
        <f t="shared" si="587"/>
        <v>-1</v>
      </c>
      <c r="DG203">
        <f t="shared" si="587"/>
        <v>-1</v>
      </c>
      <c r="DH203">
        <f t="shared" si="587"/>
        <v>-1</v>
      </c>
      <c r="DI203">
        <f t="shared" si="587"/>
        <v>-1</v>
      </c>
      <c r="DJ203">
        <f t="shared" si="587"/>
        <v>-1</v>
      </c>
      <c r="DK203">
        <f t="shared" si="587"/>
        <v>-1</v>
      </c>
      <c r="DL203">
        <f t="shared" si="587"/>
        <v>-1</v>
      </c>
      <c r="DM203">
        <f t="shared" si="587"/>
        <v>-1</v>
      </c>
      <c r="DN203">
        <f t="shared" si="587"/>
        <v>-1</v>
      </c>
      <c r="DO203">
        <f t="shared" si="587"/>
        <v>-1</v>
      </c>
      <c r="DP203">
        <f t="shared" si="587"/>
        <v>-1</v>
      </c>
      <c r="DQ203">
        <f t="shared" si="587"/>
        <v>-1</v>
      </c>
      <c r="DR203">
        <f t="shared" si="587"/>
        <v>-1</v>
      </c>
      <c r="DS203">
        <f t="shared" si="587"/>
        <v>-1</v>
      </c>
      <c r="DT203">
        <f t="shared" si="587"/>
        <v>-1</v>
      </c>
      <c r="DU203">
        <f t="shared" si="587"/>
        <v>-1</v>
      </c>
      <c r="DV203">
        <f t="shared" si="587"/>
        <v>-1</v>
      </c>
      <c r="DW203">
        <f t="shared" si="587"/>
        <v>-1</v>
      </c>
      <c r="DX203">
        <f t="shared" si="587"/>
        <v>-1</v>
      </c>
      <c r="DY203">
        <f t="shared" si="587"/>
        <v>-1</v>
      </c>
      <c r="DZ203">
        <f t="shared" si="587"/>
        <v>-1</v>
      </c>
      <c r="EA203">
        <f t="shared" si="587"/>
        <v>-1</v>
      </c>
      <c r="EB203">
        <f t="shared" ref="EB203:EO203" si="588">IF(OR(EB202=-1,AND(IF(EB$3&lt;$B203,EB202+EB$6,IF(EB$3=$B203,1,""))&gt;$B$1,EB$3&lt;$B203)),-1,IF(EB$3&lt;$B203,EB202+EB$6,IF(EB$3=$B203,1,"")))</f>
        <v>-1</v>
      </c>
      <c r="EC203">
        <f t="shared" si="588"/>
        <v>-1</v>
      </c>
      <c r="ED203">
        <f t="shared" si="588"/>
        <v>-1</v>
      </c>
      <c r="EE203">
        <f t="shared" si="588"/>
        <v>-1</v>
      </c>
      <c r="EF203">
        <f t="shared" si="588"/>
        <v>-1</v>
      </c>
      <c r="EG203">
        <f t="shared" si="588"/>
        <v>-1</v>
      </c>
      <c r="EH203">
        <f t="shared" si="588"/>
        <v>-1</v>
      </c>
      <c r="EI203">
        <f t="shared" si="588"/>
        <v>-1</v>
      </c>
      <c r="EJ203">
        <f t="shared" si="588"/>
        <v>-1</v>
      </c>
      <c r="EK203">
        <f t="shared" si="588"/>
        <v>-1</v>
      </c>
      <c r="EL203">
        <f t="shared" si="588"/>
        <v>-1</v>
      </c>
      <c r="EM203">
        <f t="shared" si="588"/>
        <v>-1</v>
      </c>
      <c r="EN203">
        <f t="shared" si="588"/>
        <v>-1</v>
      </c>
      <c r="EO203">
        <f t="shared" si="588"/>
        <v>-1</v>
      </c>
    </row>
    <row r="204" spans="1:145" x14ac:dyDescent="0.15">
      <c r="A204" t="e">
        <f t="shared" si="579"/>
        <v>#N/A</v>
      </c>
      <c r="B204" s="218">
        <v>196</v>
      </c>
      <c r="C204">
        <f t="shared" si="579"/>
        <v>-1</v>
      </c>
      <c r="D204">
        <f t="shared" ref="D204:BO204" si="589">IF(OR(D203=-1,AND(IF(D$3&lt;$B204,D203+D$6,IF(D$3=$B204,1,""))&gt;$B$1,D$3&lt;$B204)),-1,IF(D$3&lt;$B204,D203+D$6,IF(D$3=$B204,1,"")))</f>
        <v>-1</v>
      </c>
      <c r="E204">
        <f t="shared" si="589"/>
        <v>-1</v>
      </c>
      <c r="F204">
        <f t="shared" si="589"/>
        <v>-1</v>
      </c>
      <c r="G204">
        <f t="shared" si="589"/>
        <v>-1</v>
      </c>
      <c r="H204">
        <f t="shared" si="589"/>
        <v>-1</v>
      </c>
      <c r="I204">
        <f t="shared" si="589"/>
        <v>-1</v>
      </c>
      <c r="J204">
        <f t="shared" si="589"/>
        <v>-1</v>
      </c>
      <c r="K204">
        <f t="shared" si="589"/>
        <v>-1</v>
      </c>
      <c r="L204">
        <f t="shared" si="589"/>
        <v>-1</v>
      </c>
      <c r="M204">
        <f t="shared" si="589"/>
        <v>-1</v>
      </c>
      <c r="N204">
        <f t="shared" si="589"/>
        <v>-1</v>
      </c>
      <c r="O204">
        <f t="shared" si="589"/>
        <v>-1</v>
      </c>
      <c r="P204">
        <f t="shared" si="589"/>
        <v>-1</v>
      </c>
      <c r="Q204">
        <f t="shared" si="589"/>
        <v>-1</v>
      </c>
      <c r="R204">
        <f t="shared" si="589"/>
        <v>-1</v>
      </c>
      <c r="S204">
        <f t="shared" si="589"/>
        <v>-1</v>
      </c>
      <c r="T204">
        <f t="shared" si="589"/>
        <v>-1</v>
      </c>
      <c r="U204">
        <f t="shared" si="589"/>
        <v>-1</v>
      </c>
      <c r="V204">
        <f t="shared" si="589"/>
        <v>-1</v>
      </c>
      <c r="W204">
        <f t="shared" si="589"/>
        <v>-1</v>
      </c>
      <c r="X204">
        <f t="shared" si="589"/>
        <v>-1</v>
      </c>
      <c r="Y204">
        <f t="shared" si="589"/>
        <v>-1</v>
      </c>
      <c r="Z204">
        <f t="shared" si="589"/>
        <v>-1</v>
      </c>
      <c r="AA204">
        <f t="shared" si="589"/>
        <v>-1</v>
      </c>
      <c r="AB204">
        <f t="shared" si="589"/>
        <v>-1</v>
      </c>
      <c r="AC204">
        <f t="shared" si="589"/>
        <v>-1</v>
      </c>
      <c r="AD204">
        <f t="shared" si="589"/>
        <v>-1</v>
      </c>
      <c r="AE204">
        <f t="shared" si="589"/>
        <v>-1</v>
      </c>
      <c r="AF204">
        <f t="shared" si="589"/>
        <v>-1</v>
      </c>
      <c r="AG204">
        <f t="shared" si="589"/>
        <v>-1</v>
      </c>
      <c r="AH204">
        <f t="shared" si="589"/>
        <v>-1</v>
      </c>
      <c r="AI204">
        <f t="shared" si="589"/>
        <v>-1</v>
      </c>
      <c r="AJ204">
        <f t="shared" si="589"/>
        <v>-1</v>
      </c>
      <c r="AK204">
        <f t="shared" si="589"/>
        <v>-1</v>
      </c>
      <c r="AL204">
        <f t="shared" si="589"/>
        <v>-1</v>
      </c>
      <c r="AM204">
        <f t="shared" si="589"/>
        <v>-1</v>
      </c>
      <c r="AN204">
        <f t="shared" si="589"/>
        <v>-1</v>
      </c>
      <c r="AO204">
        <f t="shared" si="589"/>
        <v>-1</v>
      </c>
      <c r="AP204">
        <f t="shared" si="589"/>
        <v>-1</v>
      </c>
      <c r="AQ204">
        <f t="shared" si="589"/>
        <v>-1</v>
      </c>
      <c r="AR204">
        <f t="shared" si="589"/>
        <v>-1</v>
      </c>
      <c r="AS204">
        <f t="shared" si="589"/>
        <v>-1</v>
      </c>
      <c r="AT204">
        <f t="shared" si="589"/>
        <v>-1</v>
      </c>
      <c r="AU204">
        <f t="shared" si="589"/>
        <v>-1</v>
      </c>
      <c r="AV204">
        <f t="shared" si="589"/>
        <v>-1</v>
      </c>
      <c r="AW204">
        <f t="shared" si="589"/>
        <v>-1</v>
      </c>
      <c r="AX204">
        <f t="shared" si="589"/>
        <v>-1</v>
      </c>
      <c r="AY204">
        <f t="shared" si="589"/>
        <v>-1</v>
      </c>
      <c r="AZ204">
        <f t="shared" si="589"/>
        <v>-1</v>
      </c>
      <c r="BA204">
        <f t="shared" si="589"/>
        <v>-1</v>
      </c>
      <c r="BB204">
        <f t="shared" si="589"/>
        <v>-1</v>
      </c>
      <c r="BC204">
        <f t="shared" si="589"/>
        <v>-1</v>
      </c>
      <c r="BD204">
        <f t="shared" si="589"/>
        <v>-1</v>
      </c>
      <c r="BE204">
        <f t="shared" si="589"/>
        <v>-1</v>
      </c>
      <c r="BF204">
        <f t="shared" si="589"/>
        <v>-1</v>
      </c>
      <c r="BG204">
        <f t="shared" si="589"/>
        <v>-1</v>
      </c>
      <c r="BH204">
        <f t="shared" si="589"/>
        <v>-1</v>
      </c>
      <c r="BI204">
        <f t="shared" si="589"/>
        <v>-1</v>
      </c>
      <c r="BJ204">
        <f t="shared" si="589"/>
        <v>-1</v>
      </c>
      <c r="BK204">
        <f t="shared" si="589"/>
        <v>-1</v>
      </c>
      <c r="BL204">
        <f t="shared" si="589"/>
        <v>-1</v>
      </c>
      <c r="BM204">
        <f t="shared" si="589"/>
        <v>-1</v>
      </c>
      <c r="BN204">
        <f t="shared" si="589"/>
        <v>-1</v>
      </c>
      <c r="BO204">
        <f t="shared" si="589"/>
        <v>-1</v>
      </c>
      <c r="BP204">
        <f t="shared" ref="BP204:EA204" si="590">IF(OR(BP203=-1,AND(IF(BP$3&lt;$B204,BP203+BP$6,IF(BP$3=$B204,1,""))&gt;$B$1,BP$3&lt;$B204)),-1,IF(BP$3&lt;$B204,BP203+BP$6,IF(BP$3=$B204,1,"")))</f>
        <v>-1</v>
      </c>
      <c r="BQ204">
        <f t="shared" si="590"/>
        <v>-1</v>
      </c>
      <c r="BR204">
        <f t="shared" si="590"/>
        <v>-1</v>
      </c>
      <c r="BS204">
        <f t="shared" si="590"/>
        <v>-1</v>
      </c>
      <c r="BT204">
        <f t="shared" si="590"/>
        <v>-1</v>
      </c>
      <c r="BU204">
        <f t="shared" si="590"/>
        <v>-1</v>
      </c>
      <c r="BV204">
        <f t="shared" si="590"/>
        <v>-1</v>
      </c>
      <c r="BW204">
        <f t="shared" si="590"/>
        <v>-1</v>
      </c>
      <c r="BX204">
        <f t="shared" si="590"/>
        <v>-1</v>
      </c>
      <c r="BY204">
        <f t="shared" si="590"/>
        <v>-1</v>
      </c>
      <c r="BZ204">
        <f t="shared" si="590"/>
        <v>-1</v>
      </c>
      <c r="CA204">
        <f t="shared" si="590"/>
        <v>-1</v>
      </c>
      <c r="CB204">
        <f t="shared" si="590"/>
        <v>-1</v>
      </c>
      <c r="CC204">
        <f t="shared" si="590"/>
        <v>-1</v>
      </c>
      <c r="CD204">
        <f t="shared" si="590"/>
        <v>-1</v>
      </c>
      <c r="CE204">
        <f t="shared" si="590"/>
        <v>-1</v>
      </c>
      <c r="CF204">
        <f t="shared" si="590"/>
        <v>-1</v>
      </c>
      <c r="CG204">
        <f t="shared" si="590"/>
        <v>71.800000000000026</v>
      </c>
      <c r="CH204">
        <f t="shared" si="590"/>
        <v>68.20000000000006</v>
      </c>
      <c r="CI204">
        <f t="shared" si="590"/>
        <v>64.600000000000094</v>
      </c>
      <c r="CJ204">
        <f t="shared" si="590"/>
        <v>61.000000000000099</v>
      </c>
      <c r="CK204">
        <f t="shared" si="590"/>
        <v>57.400000000000091</v>
      </c>
      <c r="CL204">
        <f t="shared" si="590"/>
        <v>53.800000000000082</v>
      </c>
      <c r="CM204">
        <f t="shared" si="590"/>
        <v>50.200000000000074</v>
      </c>
      <c r="CN204">
        <f t="shared" si="590"/>
        <v>46.600000000000065</v>
      </c>
      <c r="CO204">
        <f t="shared" si="590"/>
        <v>-1</v>
      </c>
      <c r="CP204">
        <f t="shared" si="590"/>
        <v>73</v>
      </c>
      <c r="CQ204">
        <f t="shared" si="590"/>
        <v>-1</v>
      </c>
      <c r="CR204">
        <f t="shared" si="590"/>
        <v>-1</v>
      </c>
      <c r="CS204">
        <f t="shared" si="590"/>
        <v>-1</v>
      </c>
      <c r="CT204">
        <f t="shared" si="590"/>
        <v>-1</v>
      </c>
      <c r="CU204">
        <f t="shared" si="590"/>
        <v>-1</v>
      </c>
      <c r="CV204">
        <f t="shared" si="590"/>
        <v>-1</v>
      </c>
      <c r="CW204">
        <f t="shared" si="590"/>
        <v>-1</v>
      </c>
      <c r="CX204">
        <f t="shared" si="590"/>
        <v>-1</v>
      </c>
      <c r="CY204">
        <f t="shared" si="590"/>
        <v>-1</v>
      </c>
      <c r="CZ204">
        <f t="shared" si="590"/>
        <v>-1</v>
      </c>
      <c r="DA204">
        <f t="shared" si="590"/>
        <v>-1</v>
      </c>
      <c r="DB204">
        <f t="shared" si="590"/>
        <v>-1</v>
      </c>
      <c r="DC204">
        <f t="shared" si="590"/>
        <v>-1</v>
      </c>
      <c r="DD204">
        <f t="shared" si="590"/>
        <v>-1</v>
      </c>
      <c r="DE204">
        <f t="shared" si="590"/>
        <v>-1</v>
      </c>
      <c r="DF204">
        <f t="shared" si="590"/>
        <v>-1</v>
      </c>
      <c r="DG204">
        <f t="shared" si="590"/>
        <v>-1</v>
      </c>
      <c r="DH204">
        <f t="shared" si="590"/>
        <v>-1</v>
      </c>
      <c r="DI204">
        <f t="shared" si="590"/>
        <v>-1</v>
      </c>
      <c r="DJ204">
        <f t="shared" si="590"/>
        <v>-1</v>
      </c>
      <c r="DK204">
        <f t="shared" si="590"/>
        <v>-1</v>
      </c>
      <c r="DL204">
        <f t="shared" si="590"/>
        <v>-1</v>
      </c>
      <c r="DM204">
        <f t="shared" si="590"/>
        <v>-1</v>
      </c>
      <c r="DN204">
        <f t="shared" si="590"/>
        <v>-1</v>
      </c>
      <c r="DO204">
        <f t="shared" si="590"/>
        <v>-1</v>
      </c>
      <c r="DP204">
        <f t="shared" si="590"/>
        <v>-1</v>
      </c>
      <c r="DQ204">
        <f t="shared" si="590"/>
        <v>-1</v>
      </c>
      <c r="DR204">
        <f t="shared" si="590"/>
        <v>-1</v>
      </c>
      <c r="DS204">
        <f t="shared" si="590"/>
        <v>-1</v>
      </c>
      <c r="DT204">
        <f t="shared" si="590"/>
        <v>-1</v>
      </c>
      <c r="DU204">
        <f t="shared" si="590"/>
        <v>-1</v>
      </c>
      <c r="DV204">
        <f t="shared" si="590"/>
        <v>-1</v>
      </c>
      <c r="DW204">
        <f t="shared" si="590"/>
        <v>-1</v>
      </c>
      <c r="DX204">
        <f t="shared" si="590"/>
        <v>-1</v>
      </c>
      <c r="DY204">
        <f t="shared" si="590"/>
        <v>-1</v>
      </c>
      <c r="DZ204">
        <f t="shared" si="590"/>
        <v>-1</v>
      </c>
      <c r="EA204">
        <f t="shared" si="590"/>
        <v>-1</v>
      </c>
      <c r="EB204">
        <f t="shared" ref="EB204:EO204" si="591">IF(OR(EB203=-1,AND(IF(EB$3&lt;$B204,EB203+EB$6,IF(EB$3=$B204,1,""))&gt;$B$1,EB$3&lt;$B204)),-1,IF(EB$3&lt;$B204,EB203+EB$6,IF(EB$3=$B204,1,"")))</f>
        <v>-1</v>
      </c>
      <c r="EC204">
        <f t="shared" si="591"/>
        <v>-1</v>
      </c>
      <c r="ED204">
        <f t="shared" si="591"/>
        <v>-1</v>
      </c>
      <c r="EE204">
        <f t="shared" si="591"/>
        <v>-1</v>
      </c>
      <c r="EF204">
        <f t="shared" si="591"/>
        <v>-1</v>
      </c>
      <c r="EG204">
        <f t="shared" si="591"/>
        <v>-1</v>
      </c>
      <c r="EH204">
        <f t="shared" si="591"/>
        <v>-1</v>
      </c>
      <c r="EI204">
        <f t="shared" si="591"/>
        <v>-1</v>
      </c>
      <c r="EJ204">
        <f t="shared" si="591"/>
        <v>-1</v>
      </c>
      <c r="EK204">
        <f t="shared" si="591"/>
        <v>-1</v>
      </c>
      <c r="EL204">
        <f t="shared" si="591"/>
        <v>-1</v>
      </c>
      <c r="EM204">
        <f t="shared" si="591"/>
        <v>-1</v>
      </c>
      <c r="EN204">
        <f t="shared" si="591"/>
        <v>-1</v>
      </c>
      <c r="EO204">
        <f t="shared" si="591"/>
        <v>-1</v>
      </c>
    </row>
    <row r="205" spans="1:145" x14ac:dyDescent="0.15">
      <c r="A205" t="e">
        <f t="shared" si="579"/>
        <v>#N/A</v>
      </c>
      <c r="B205" s="218">
        <v>197</v>
      </c>
      <c r="C205">
        <f t="shared" si="579"/>
        <v>-1</v>
      </c>
      <c r="D205">
        <f t="shared" ref="D205:BO205" si="592">IF(OR(D204=-1,AND(IF(D$3&lt;$B205,D204+D$6,IF(D$3=$B205,1,""))&gt;$B$1,D$3&lt;$B205)),-1,IF(D$3&lt;$B205,D204+D$6,IF(D$3=$B205,1,"")))</f>
        <v>-1</v>
      </c>
      <c r="E205">
        <f t="shared" si="592"/>
        <v>-1</v>
      </c>
      <c r="F205">
        <f t="shared" si="592"/>
        <v>-1</v>
      </c>
      <c r="G205">
        <f t="shared" si="592"/>
        <v>-1</v>
      </c>
      <c r="H205">
        <f t="shared" si="592"/>
        <v>-1</v>
      </c>
      <c r="I205">
        <f t="shared" si="592"/>
        <v>-1</v>
      </c>
      <c r="J205">
        <f t="shared" si="592"/>
        <v>-1</v>
      </c>
      <c r="K205">
        <f t="shared" si="592"/>
        <v>-1</v>
      </c>
      <c r="L205">
        <f t="shared" si="592"/>
        <v>-1</v>
      </c>
      <c r="M205">
        <f t="shared" si="592"/>
        <v>-1</v>
      </c>
      <c r="N205">
        <f t="shared" si="592"/>
        <v>-1</v>
      </c>
      <c r="O205">
        <f t="shared" si="592"/>
        <v>-1</v>
      </c>
      <c r="P205">
        <f t="shared" si="592"/>
        <v>-1</v>
      </c>
      <c r="Q205">
        <f t="shared" si="592"/>
        <v>-1</v>
      </c>
      <c r="R205">
        <f t="shared" si="592"/>
        <v>-1</v>
      </c>
      <c r="S205">
        <f t="shared" si="592"/>
        <v>-1</v>
      </c>
      <c r="T205">
        <f t="shared" si="592"/>
        <v>-1</v>
      </c>
      <c r="U205">
        <f t="shared" si="592"/>
        <v>-1</v>
      </c>
      <c r="V205">
        <f t="shared" si="592"/>
        <v>-1</v>
      </c>
      <c r="W205">
        <f t="shared" si="592"/>
        <v>-1</v>
      </c>
      <c r="X205">
        <f t="shared" si="592"/>
        <v>-1</v>
      </c>
      <c r="Y205">
        <f t="shared" si="592"/>
        <v>-1</v>
      </c>
      <c r="Z205">
        <f t="shared" si="592"/>
        <v>-1</v>
      </c>
      <c r="AA205">
        <f t="shared" si="592"/>
        <v>-1</v>
      </c>
      <c r="AB205">
        <f t="shared" si="592"/>
        <v>-1</v>
      </c>
      <c r="AC205">
        <f t="shared" si="592"/>
        <v>-1</v>
      </c>
      <c r="AD205">
        <f t="shared" si="592"/>
        <v>-1</v>
      </c>
      <c r="AE205">
        <f t="shared" si="592"/>
        <v>-1</v>
      </c>
      <c r="AF205">
        <f t="shared" si="592"/>
        <v>-1</v>
      </c>
      <c r="AG205">
        <f t="shared" si="592"/>
        <v>-1</v>
      </c>
      <c r="AH205">
        <f t="shared" si="592"/>
        <v>-1</v>
      </c>
      <c r="AI205">
        <f t="shared" si="592"/>
        <v>-1</v>
      </c>
      <c r="AJ205">
        <f t="shared" si="592"/>
        <v>-1</v>
      </c>
      <c r="AK205">
        <f t="shared" si="592"/>
        <v>-1</v>
      </c>
      <c r="AL205">
        <f t="shared" si="592"/>
        <v>-1</v>
      </c>
      <c r="AM205">
        <f t="shared" si="592"/>
        <v>-1</v>
      </c>
      <c r="AN205">
        <f t="shared" si="592"/>
        <v>-1</v>
      </c>
      <c r="AO205">
        <f t="shared" si="592"/>
        <v>-1</v>
      </c>
      <c r="AP205">
        <f t="shared" si="592"/>
        <v>-1</v>
      </c>
      <c r="AQ205">
        <f t="shared" si="592"/>
        <v>-1</v>
      </c>
      <c r="AR205">
        <f t="shared" si="592"/>
        <v>-1</v>
      </c>
      <c r="AS205">
        <f t="shared" si="592"/>
        <v>-1</v>
      </c>
      <c r="AT205">
        <f t="shared" si="592"/>
        <v>-1</v>
      </c>
      <c r="AU205">
        <f t="shared" si="592"/>
        <v>-1</v>
      </c>
      <c r="AV205">
        <f t="shared" si="592"/>
        <v>-1</v>
      </c>
      <c r="AW205">
        <f t="shared" si="592"/>
        <v>-1</v>
      </c>
      <c r="AX205">
        <f t="shared" si="592"/>
        <v>-1</v>
      </c>
      <c r="AY205">
        <f t="shared" si="592"/>
        <v>-1</v>
      </c>
      <c r="AZ205">
        <f t="shared" si="592"/>
        <v>-1</v>
      </c>
      <c r="BA205">
        <f t="shared" si="592"/>
        <v>-1</v>
      </c>
      <c r="BB205">
        <f t="shared" si="592"/>
        <v>-1</v>
      </c>
      <c r="BC205">
        <f t="shared" si="592"/>
        <v>-1</v>
      </c>
      <c r="BD205">
        <f t="shared" si="592"/>
        <v>-1</v>
      </c>
      <c r="BE205">
        <f t="shared" si="592"/>
        <v>-1</v>
      </c>
      <c r="BF205">
        <f t="shared" si="592"/>
        <v>-1</v>
      </c>
      <c r="BG205">
        <f t="shared" si="592"/>
        <v>-1</v>
      </c>
      <c r="BH205">
        <f t="shared" si="592"/>
        <v>-1</v>
      </c>
      <c r="BI205">
        <f t="shared" si="592"/>
        <v>-1</v>
      </c>
      <c r="BJ205">
        <f t="shared" si="592"/>
        <v>-1</v>
      </c>
      <c r="BK205">
        <f t="shared" si="592"/>
        <v>-1</v>
      </c>
      <c r="BL205">
        <f t="shared" si="592"/>
        <v>-1</v>
      </c>
      <c r="BM205">
        <f t="shared" si="592"/>
        <v>-1</v>
      </c>
      <c r="BN205">
        <f t="shared" si="592"/>
        <v>-1</v>
      </c>
      <c r="BO205">
        <f t="shared" si="592"/>
        <v>-1</v>
      </c>
      <c r="BP205">
        <f t="shared" ref="BP205:EA205" si="593">IF(OR(BP204=-1,AND(IF(BP$3&lt;$B205,BP204+BP$6,IF(BP$3=$B205,1,""))&gt;$B$1,BP$3&lt;$B205)),-1,IF(BP$3&lt;$B205,BP204+BP$6,IF(BP$3=$B205,1,"")))</f>
        <v>-1</v>
      </c>
      <c r="BQ205">
        <f t="shared" si="593"/>
        <v>-1</v>
      </c>
      <c r="BR205">
        <f t="shared" si="593"/>
        <v>-1</v>
      </c>
      <c r="BS205">
        <f t="shared" si="593"/>
        <v>-1</v>
      </c>
      <c r="BT205">
        <f t="shared" si="593"/>
        <v>-1</v>
      </c>
      <c r="BU205">
        <f t="shared" si="593"/>
        <v>-1</v>
      </c>
      <c r="BV205">
        <f t="shared" si="593"/>
        <v>-1</v>
      </c>
      <c r="BW205">
        <f t="shared" si="593"/>
        <v>-1</v>
      </c>
      <c r="BX205">
        <f t="shared" si="593"/>
        <v>-1</v>
      </c>
      <c r="BY205">
        <f t="shared" si="593"/>
        <v>-1</v>
      </c>
      <c r="BZ205">
        <f t="shared" si="593"/>
        <v>-1</v>
      </c>
      <c r="CA205">
        <f t="shared" si="593"/>
        <v>-1</v>
      </c>
      <c r="CB205">
        <f t="shared" si="593"/>
        <v>-1</v>
      </c>
      <c r="CC205">
        <f t="shared" si="593"/>
        <v>-1</v>
      </c>
      <c r="CD205">
        <f t="shared" si="593"/>
        <v>-1</v>
      </c>
      <c r="CE205">
        <f t="shared" si="593"/>
        <v>-1</v>
      </c>
      <c r="CF205">
        <f t="shared" si="593"/>
        <v>-1</v>
      </c>
      <c r="CG205">
        <f t="shared" si="593"/>
        <v>72.40000000000002</v>
      </c>
      <c r="CH205">
        <f t="shared" si="593"/>
        <v>68.800000000000054</v>
      </c>
      <c r="CI205">
        <f t="shared" si="593"/>
        <v>65.200000000000088</v>
      </c>
      <c r="CJ205">
        <f t="shared" si="593"/>
        <v>61.600000000000101</v>
      </c>
      <c r="CK205">
        <f t="shared" si="593"/>
        <v>58.000000000000092</v>
      </c>
      <c r="CL205">
        <f t="shared" si="593"/>
        <v>54.400000000000084</v>
      </c>
      <c r="CM205">
        <f t="shared" si="593"/>
        <v>50.800000000000075</v>
      </c>
      <c r="CN205">
        <f t="shared" si="593"/>
        <v>47.200000000000067</v>
      </c>
      <c r="CO205">
        <f t="shared" si="593"/>
        <v>-1</v>
      </c>
      <c r="CP205">
        <f t="shared" si="593"/>
        <v>73.5</v>
      </c>
      <c r="CQ205">
        <f t="shared" si="593"/>
        <v>-1</v>
      </c>
      <c r="CR205">
        <f t="shared" si="593"/>
        <v>-1</v>
      </c>
      <c r="CS205">
        <f t="shared" si="593"/>
        <v>-1</v>
      </c>
      <c r="CT205">
        <f t="shared" si="593"/>
        <v>-1</v>
      </c>
      <c r="CU205">
        <f t="shared" si="593"/>
        <v>-1</v>
      </c>
      <c r="CV205">
        <f t="shared" si="593"/>
        <v>-1</v>
      </c>
      <c r="CW205">
        <f t="shared" si="593"/>
        <v>-1</v>
      </c>
      <c r="CX205">
        <f t="shared" si="593"/>
        <v>-1</v>
      </c>
      <c r="CY205">
        <f t="shared" si="593"/>
        <v>-1</v>
      </c>
      <c r="CZ205">
        <f t="shared" si="593"/>
        <v>-1</v>
      </c>
      <c r="DA205">
        <f t="shared" si="593"/>
        <v>-1</v>
      </c>
      <c r="DB205">
        <f t="shared" si="593"/>
        <v>-1</v>
      </c>
      <c r="DC205">
        <f t="shared" si="593"/>
        <v>-1</v>
      </c>
      <c r="DD205">
        <f t="shared" si="593"/>
        <v>-1</v>
      </c>
      <c r="DE205">
        <f t="shared" si="593"/>
        <v>-1</v>
      </c>
      <c r="DF205">
        <f t="shared" si="593"/>
        <v>-1</v>
      </c>
      <c r="DG205">
        <f t="shared" si="593"/>
        <v>-1</v>
      </c>
      <c r="DH205">
        <f t="shared" si="593"/>
        <v>-1</v>
      </c>
      <c r="DI205">
        <f t="shared" si="593"/>
        <v>-1</v>
      </c>
      <c r="DJ205">
        <f t="shared" si="593"/>
        <v>-1</v>
      </c>
      <c r="DK205">
        <f t="shared" si="593"/>
        <v>-1</v>
      </c>
      <c r="DL205">
        <f t="shared" si="593"/>
        <v>-1</v>
      </c>
      <c r="DM205">
        <f t="shared" si="593"/>
        <v>-1</v>
      </c>
      <c r="DN205">
        <f t="shared" si="593"/>
        <v>-1</v>
      </c>
      <c r="DO205">
        <f t="shared" si="593"/>
        <v>-1</v>
      </c>
      <c r="DP205">
        <f t="shared" si="593"/>
        <v>-1</v>
      </c>
      <c r="DQ205">
        <f t="shared" si="593"/>
        <v>-1</v>
      </c>
      <c r="DR205">
        <f t="shared" si="593"/>
        <v>-1</v>
      </c>
      <c r="DS205">
        <f t="shared" si="593"/>
        <v>-1</v>
      </c>
      <c r="DT205">
        <f t="shared" si="593"/>
        <v>-1</v>
      </c>
      <c r="DU205">
        <f t="shared" si="593"/>
        <v>-1</v>
      </c>
      <c r="DV205">
        <f t="shared" si="593"/>
        <v>-1</v>
      </c>
      <c r="DW205">
        <f t="shared" si="593"/>
        <v>-1</v>
      </c>
      <c r="DX205">
        <f t="shared" si="593"/>
        <v>-1</v>
      </c>
      <c r="DY205">
        <f t="shared" si="593"/>
        <v>-1</v>
      </c>
      <c r="DZ205">
        <f t="shared" si="593"/>
        <v>-1</v>
      </c>
      <c r="EA205">
        <f t="shared" si="593"/>
        <v>-1</v>
      </c>
      <c r="EB205">
        <f t="shared" ref="EB205:EO205" si="594">IF(OR(EB204=-1,AND(IF(EB$3&lt;$B205,EB204+EB$6,IF(EB$3=$B205,1,""))&gt;$B$1,EB$3&lt;$B205)),-1,IF(EB$3&lt;$B205,EB204+EB$6,IF(EB$3=$B205,1,"")))</f>
        <v>-1</v>
      </c>
      <c r="EC205">
        <f t="shared" si="594"/>
        <v>-1</v>
      </c>
      <c r="ED205">
        <f t="shared" si="594"/>
        <v>-1</v>
      </c>
      <c r="EE205">
        <f t="shared" si="594"/>
        <v>-1</v>
      </c>
      <c r="EF205">
        <f t="shared" si="594"/>
        <v>-1</v>
      </c>
      <c r="EG205">
        <f t="shared" si="594"/>
        <v>-1</v>
      </c>
      <c r="EH205">
        <f t="shared" si="594"/>
        <v>-1</v>
      </c>
      <c r="EI205">
        <f t="shared" si="594"/>
        <v>-1</v>
      </c>
      <c r="EJ205">
        <f t="shared" si="594"/>
        <v>-1</v>
      </c>
      <c r="EK205">
        <f t="shared" si="594"/>
        <v>-1</v>
      </c>
      <c r="EL205">
        <f t="shared" si="594"/>
        <v>-1</v>
      </c>
      <c r="EM205">
        <f t="shared" si="594"/>
        <v>-1</v>
      </c>
      <c r="EN205">
        <f t="shared" si="594"/>
        <v>-1</v>
      </c>
      <c r="EO205">
        <f t="shared" si="594"/>
        <v>-1</v>
      </c>
    </row>
    <row r="206" spans="1:145" x14ac:dyDescent="0.15">
      <c r="A206" t="e">
        <f t="shared" si="579"/>
        <v>#N/A</v>
      </c>
      <c r="B206" s="218">
        <v>198</v>
      </c>
      <c r="C206">
        <f t="shared" si="579"/>
        <v>-1</v>
      </c>
      <c r="D206">
        <f t="shared" ref="D206:BO206" si="595">IF(OR(D205=-1,AND(IF(D$3&lt;$B206,D205+D$6,IF(D$3=$B206,1,""))&gt;$B$1,D$3&lt;$B206)),-1,IF(D$3&lt;$B206,D205+D$6,IF(D$3=$B206,1,"")))</f>
        <v>-1</v>
      </c>
      <c r="E206">
        <f t="shared" si="595"/>
        <v>-1</v>
      </c>
      <c r="F206">
        <f t="shared" si="595"/>
        <v>-1</v>
      </c>
      <c r="G206">
        <f t="shared" si="595"/>
        <v>-1</v>
      </c>
      <c r="H206">
        <f t="shared" si="595"/>
        <v>-1</v>
      </c>
      <c r="I206">
        <f t="shared" si="595"/>
        <v>-1</v>
      </c>
      <c r="J206">
        <f t="shared" si="595"/>
        <v>-1</v>
      </c>
      <c r="K206">
        <f t="shared" si="595"/>
        <v>-1</v>
      </c>
      <c r="L206">
        <f t="shared" si="595"/>
        <v>-1</v>
      </c>
      <c r="M206">
        <f t="shared" si="595"/>
        <v>-1</v>
      </c>
      <c r="N206">
        <f t="shared" si="595"/>
        <v>-1</v>
      </c>
      <c r="O206">
        <f t="shared" si="595"/>
        <v>-1</v>
      </c>
      <c r="P206">
        <f t="shared" si="595"/>
        <v>-1</v>
      </c>
      <c r="Q206">
        <f t="shared" si="595"/>
        <v>-1</v>
      </c>
      <c r="R206">
        <f t="shared" si="595"/>
        <v>-1</v>
      </c>
      <c r="S206">
        <f t="shared" si="595"/>
        <v>-1</v>
      </c>
      <c r="T206">
        <f t="shared" si="595"/>
        <v>-1</v>
      </c>
      <c r="U206">
        <f t="shared" si="595"/>
        <v>-1</v>
      </c>
      <c r="V206">
        <f t="shared" si="595"/>
        <v>-1</v>
      </c>
      <c r="W206">
        <f t="shared" si="595"/>
        <v>-1</v>
      </c>
      <c r="X206">
        <f t="shared" si="595"/>
        <v>-1</v>
      </c>
      <c r="Y206">
        <f t="shared" si="595"/>
        <v>-1</v>
      </c>
      <c r="Z206">
        <f t="shared" si="595"/>
        <v>-1</v>
      </c>
      <c r="AA206">
        <f t="shared" si="595"/>
        <v>-1</v>
      </c>
      <c r="AB206">
        <f t="shared" si="595"/>
        <v>-1</v>
      </c>
      <c r="AC206">
        <f t="shared" si="595"/>
        <v>-1</v>
      </c>
      <c r="AD206">
        <f t="shared" si="595"/>
        <v>-1</v>
      </c>
      <c r="AE206">
        <f t="shared" si="595"/>
        <v>-1</v>
      </c>
      <c r="AF206">
        <f t="shared" si="595"/>
        <v>-1</v>
      </c>
      <c r="AG206">
        <f t="shared" si="595"/>
        <v>-1</v>
      </c>
      <c r="AH206">
        <f t="shared" si="595"/>
        <v>-1</v>
      </c>
      <c r="AI206">
        <f t="shared" si="595"/>
        <v>-1</v>
      </c>
      <c r="AJ206">
        <f t="shared" si="595"/>
        <v>-1</v>
      </c>
      <c r="AK206">
        <f t="shared" si="595"/>
        <v>-1</v>
      </c>
      <c r="AL206">
        <f t="shared" si="595"/>
        <v>-1</v>
      </c>
      <c r="AM206">
        <f t="shared" si="595"/>
        <v>-1</v>
      </c>
      <c r="AN206">
        <f t="shared" si="595"/>
        <v>-1</v>
      </c>
      <c r="AO206">
        <f t="shared" si="595"/>
        <v>-1</v>
      </c>
      <c r="AP206">
        <f t="shared" si="595"/>
        <v>-1</v>
      </c>
      <c r="AQ206">
        <f t="shared" si="595"/>
        <v>-1</v>
      </c>
      <c r="AR206">
        <f t="shared" si="595"/>
        <v>-1</v>
      </c>
      <c r="AS206">
        <f t="shared" si="595"/>
        <v>-1</v>
      </c>
      <c r="AT206">
        <f t="shared" si="595"/>
        <v>-1</v>
      </c>
      <c r="AU206">
        <f t="shared" si="595"/>
        <v>-1</v>
      </c>
      <c r="AV206">
        <f t="shared" si="595"/>
        <v>-1</v>
      </c>
      <c r="AW206">
        <f t="shared" si="595"/>
        <v>-1</v>
      </c>
      <c r="AX206">
        <f t="shared" si="595"/>
        <v>-1</v>
      </c>
      <c r="AY206">
        <f t="shared" si="595"/>
        <v>-1</v>
      </c>
      <c r="AZ206">
        <f t="shared" si="595"/>
        <v>-1</v>
      </c>
      <c r="BA206">
        <f t="shared" si="595"/>
        <v>-1</v>
      </c>
      <c r="BB206">
        <f t="shared" si="595"/>
        <v>-1</v>
      </c>
      <c r="BC206">
        <f t="shared" si="595"/>
        <v>-1</v>
      </c>
      <c r="BD206">
        <f t="shared" si="595"/>
        <v>-1</v>
      </c>
      <c r="BE206">
        <f t="shared" si="595"/>
        <v>-1</v>
      </c>
      <c r="BF206">
        <f t="shared" si="595"/>
        <v>-1</v>
      </c>
      <c r="BG206">
        <f t="shared" si="595"/>
        <v>-1</v>
      </c>
      <c r="BH206">
        <f t="shared" si="595"/>
        <v>-1</v>
      </c>
      <c r="BI206">
        <f t="shared" si="595"/>
        <v>-1</v>
      </c>
      <c r="BJ206">
        <f t="shared" si="595"/>
        <v>-1</v>
      </c>
      <c r="BK206">
        <f t="shared" si="595"/>
        <v>-1</v>
      </c>
      <c r="BL206">
        <f t="shared" si="595"/>
        <v>-1</v>
      </c>
      <c r="BM206">
        <f t="shared" si="595"/>
        <v>-1</v>
      </c>
      <c r="BN206">
        <f t="shared" si="595"/>
        <v>-1</v>
      </c>
      <c r="BO206">
        <f t="shared" si="595"/>
        <v>-1</v>
      </c>
      <c r="BP206">
        <f t="shared" ref="BP206:EA206" si="596">IF(OR(BP205=-1,AND(IF(BP$3&lt;$B206,BP205+BP$6,IF(BP$3=$B206,1,""))&gt;$B$1,BP$3&lt;$B206)),-1,IF(BP$3&lt;$B206,BP205+BP$6,IF(BP$3=$B206,1,"")))</f>
        <v>-1</v>
      </c>
      <c r="BQ206">
        <f t="shared" si="596"/>
        <v>-1</v>
      </c>
      <c r="BR206">
        <f t="shared" si="596"/>
        <v>-1</v>
      </c>
      <c r="BS206">
        <f t="shared" si="596"/>
        <v>-1</v>
      </c>
      <c r="BT206">
        <f t="shared" si="596"/>
        <v>-1</v>
      </c>
      <c r="BU206">
        <f t="shared" si="596"/>
        <v>-1</v>
      </c>
      <c r="BV206">
        <f t="shared" si="596"/>
        <v>-1</v>
      </c>
      <c r="BW206">
        <f t="shared" si="596"/>
        <v>-1</v>
      </c>
      <c r="BX206">
        <f t="shared" si="596"/>
        <v>-1</v>
      </c>
      <c r="BY206">
        <f t="shared" si="596"/>
        <v>-1</v>
      </c>
      <c r="BZ206">
        <f t="shared" si="596"/>
        <v>-1</v>
      </c>
      <c r="CA206">
        <f t="shared" si="596"/>
        <v>-1</v>
      </c>
      <c r="CB206">
        <f t="shared" si="596"/>
        <v>-1</v>
      </c>
      <c r="CC206">
        <f t="shared" si="596"/>
        <v>-1</v>
      </c>
      <c r="CD206">
        <f t="shared" si="596"/>
        <v>-1</v>
      </c>
      <c r="CE206">
        <f t="shared" si="596"/>
        <v>-1</v>
      </c>
      <c r="CF206">
        <f t="shared" si="596"/>
        <v>-1</v>
      </c>
      <c r="CG206">
        <f t="shared" si="596"/>
        <v>73.000000000000014</v>
      </c>
      <c r="CH206">
        <f t="shared" si="596"/>
        <v>69.400000000000048</v>
      </c>
      <c r="CI206">
        <f t="shared" si="596"/>
        <v>65.800000000000082</v>
      </c>
      <c r="CJ206">
        <f t="shared" si="596"/>
        <v>62.200000000000102</v>
      </c>
      <c r="CK206">
        <f t="shared" si="596"/>
        <v>58.600000000000094</v>
      </c>
      <c r="CL206">
        <f t="shared" si="596"/>
        <v>55.000000000000085</v>
      </c>
      <c r="CM206">
        <f t="shared" si="596"/>
        <v>51.400000000000077</v>
      </c>
      <c r="CN206">
        <f t="shared" si="596"/>
        <v>47.800000000000068</v>
      </c>
      <c r="CO206">
        <f t="shared" si="596"/>
        <v>-1</v>
      </c>
      <c r="CP206">
        <f t="shared" si="596"/>
        <v>74</v>
      </c>
      <c r="CQ206">
        <f t="shared" si="596"/>
        <v>-1</v>
      </c>
      <c r="CR206">
        <f t="shared" si="596"/>
        <v>-1</v>
      </c>
      <c r="CS206">
        <f t="shared" si="596"/>
        <v>-1</v>
      </c>
      <c r="CT206">
        <f t="shared" si="596"/>
        <v>-1</v>
      </c>
      <c r="CU206">
        <f t="shared" si="596"/>
        <v>-1</v>
      </c>
      <c r="CV206">
        <f t="shared" si="596"/>
        <v>-1</v>
      </c>
      <c r="CW206">
        <f t="shared" si="596"/>
        <v>-1</v>
      </c>
      <c r="CX206">
        <f t="shared" si="596"/>
        <v>-1</v>
      </c>
      <c r="CY206">
        <f t="shared" si="596"/>
        <v>-1</v>
      </c>
      <c r="CZ206">
        <f t="shared" si="596"/>
        <v>-1</v>
      </c>
      <c r="DA206">
        <f t="shared" si="596"/>
        <v>-1</v>
      </c>
      <c r="DB206">
        <f t="shared" si="596"/>
        <v>-1</v>
      </c>
      <c r="DC206">
        <f t="shared" si="596"/>
        <v>-1</v>
      </c>
      <c r="DD206">
        <f t="shared" si="596"/>
        <v>-1</v>
      </c>
      <c r="DE206">
        <f t="shared" si="596"/>
        <v>-1</v>
      </c>
      <c r="DF206">
        <f t="shared" si="596"/>
        <v>-1</v>
      </c>
      <c r="DG206">
        <f t="shared" si="596"/>
        <v>-1</v>
      </c>
      <c r="DH206">
        <f t="shared" si="596"/>
        <v>-1</v>
      </c>
      <c r="DI206">
        <f t="shared" si="596"/>
        <v>-1</v>
      </c>
      <c r="DJ206">
        <f t="shared" si="596"/>
        <v>-1</v>
      </c>
      <c r="DK206">
        <f t="shared" si="596"/>
        <v>-1</v>
      </c>
      <c r="DL206">
        <f t="shared" si="596"/>
        <v>-1</v>
      </c>
      <c r="DM206">
        <f t="shared" si="596"/>
        <v>-1</v>
      </c>
      <c r="DN206">
        <f t="shared" si="596"/>
        <v>-1</v>
      </c>
      <c r="DO206">
        <f t="shared" si="596"/>
        <v>-1</v>
      </c>
      <c r="DP206">
        <f t="shared" si="596"/>
        <v>-1</v>
      </c>
      <c r="DQ206">
        <f t="shared" si="596"/>
        <v>-1</v>
      </c>
      <c r="DR206">
        <f t="shared" si="596"/>
        <v>-1</v>
      </c>
      <c r="DS206">
        <f t="shared" si="596"/>
        <v>-1</v>
      </c>
      <c r="DT206">
        <f t="shared" si="596"/>
        <v>-1</v>
      </c>
      <c r="DU206">
        <f t="shared" si="596"/>
        <v>-1</v>
      </c>
      <c r="DV206">
        <f t="shared" si="596"/>
        <v>-1</v>
      </c>
      <c r="DW206">
        <f t="shared" si="596"/>
        <v>-1</v>
      </c>
      <c r="DX206">
        <f t="shared" si="596"/>
        <v>-1</v>
      </c>
      <c r="DY206">
        <f t="shared" si="596"/>
        <v>-1</v>
      </c>
      <c r="DZ206">
        <f t="shared" si="596"/>
        <v>-1</v>
      </c>
      <c r="EA206">
        <f t="shared" si="596"/>
        <v>-1</v>
      </c>
      <c r="EB206">
        <f t="shared" ref="EB206:EO206" si="597">IF(OR(EB205=-1,AND(IF(EB$3&lt;$B206,EB205+EB$6,IF(EB$3=$B206,1,""))&gt;$B$1,EB$3&lt;$B206)),-1,IF(EB$3&lt;$B206,EB205+EB$6,IF(EB$3=$B206,1,"")))</f>
        <v>-1</v>
      </c>
      <c r="EC206">
        <f t="shared" si="597"/>
        <v>-1</v>
      </c>
      <c r="ED206">
        <f t="shared" si="597"/>
        <v>-1</v>
      </c>
      <c r="EE206">
        <f t="shared" si="597"/>
        <v>-1</v>
      </c>
      <c r="EF206">
        <f t="shared" si="597"/>
        <v>-1</v>
      </c>
      <c r="EG206">
        <f t="shared" si="597"/>
        <v>-1</v>
      </c>
      <c r="EH206">
        <f t="shared" si="597"/>
        <v>-1</v>
      </c>
      <c r="EI206">
        <f t="shared" si="597"/>
        <v>-1</v>
      </c>
      <c r="EJ206">
        <f t="shared" si="597"/>
        <v>-1</v>
      </c>
      <c r="EK206">
        <f t="shared" si="597"/>
        <v>-1</v>
      </c>
      <c r="EL206">
        <f t="shared" si="597"/>
        <v>-1</v>
      </c>
      <c r="EM206">
        <f t="shared" si="597"/>
        <v>-1</v>
      </c>
      <c r="EN206">
        <f t="shared" si="597"/>
        <v>-1</v>
      </c>
      <c r="EO206">
        <f t="shared" si="597"/>
        <v>-1</v>
      </c>
    </row>
    <row r="207" spans="1:145" x14ac:dyDescent="0.15">
      <c r="A207" t="e">
        <f t="shared" si="579"/>
        <v>#N/A</v>
      </c>
      <c r="B207" s="218">
        <v>199</v>
      </c>
      <c r="C207">
        <f t="shared" si="579"/>
        <v>-1</v>
      </c>
      <c r="D207">
        <f t="shared" ref="D207:BO207" si="598">IF(OR(D206=-1,AND(IF(D$3&lt;$B207,D206+D$6,IF(D$3=$B207,1,""))&gt;$B$1,D$3&lt;$B207)),-1,IF(D$3&lt;$B207,D206+D$6,IF(D$3=$B207,1,"")))</f>
        <v>-1</v>
      </c>
      <c r="E207">
        <f t="shared" si="598"/>
        <v>-1</v>
      </c>
      <c r="F207">
        <f t="shared" si="598"/>
        <v>-1</v>
      </c>
      <c r="G207">
        <f t="shared" si="598"/>
        <v>-1</v>
      </c>
      <c r="H207">
        <f t="shared" si="598"/>
        <v>-1</v>
      </c>
      <c r="I207">
        <f t="shared" si="598"/>
        <v>-1</v>
      </c>
      <c r="J207">
        <f t="shared" si="598"/>
        <v>-1</v>
      </c>
      <c r="K207">
        <f t="shared" si="598"/>
        <v>-1</v>
      </c>
      <c r="L207">
        <f t="shared" si="598"/>
        <v>-1</v>
      </c>
      <c r="M207">
        <f t="shared" si="598"/>
        <v>-1</v>
      </c>
      <c r="N207">
        <f t="shared" si="598"/>
        <v>-1</v>
      </c>
      <c r="O207">
        <f t="shared" si="598"/>
        <v>-1</v>
      </c>
      <c r="P207">
        <f t="shared" si="598"/>
        <v>-1</v>
      </c>
      <c r="Q207">
        <f t="shared" si="598"/>
        <v>-1</v>
      </c>
      <c r="R207">
        <f t="shared" si="598"/>
        <v>-1</v>
      </c>
      <c r="S207">
        <f t="shared" si="598"/>
        <v>-1</v>
      </c>
      <c r="T207">
        <f t="shared" si="598"/>
        <v>-1</v>
      </c>
      <c r="U207">
        <f t="shared" si="598"/>
        <v>-1</v>
      </c>
      <c r="V207">
        <f t="shared" si="598"/>
        <v>-1</v>
      </c>
      <c r="W207">
        <f t="shared" si="598"/>
        <v>-1</v>
      </c>
      <c r="X207">
        <f t="shared" si="598"/>
        <v>-1</v>
      </c>
      <c r="Y207">
        <f t="shared" si="598"/>
        <v>-1</v>
      </c>
      <c r="Z207">
        <f t="shared" si="598"/>
        <v>-1</v>
      </c>
      <c r="AA207">
        <f t="shared" si="598"/>
        <v>-1</v>
      </c>
      <c r="AB207">
        <f t="shared" si="598"/>
        <v>-1</v>
      </c>
      <c r="AC207">
        <f t="shared" si="598"/>
        <v>-1</v>
      </c>
      <c r="AD207">
        <f t="shared" si="598"/>
        <v>-1</v>
      </c>
      <c r="AE207">
        <f t="shared" si="598"/>
        <v>-1</v>
      </c>
      <c r="AF207">
        <f t="shared" si="598"/>
        <v>-1</v>
      </c>
      <c r="AG207">
        <f t="shared" si="598"/>
        <v>-1</v>
      </c>
      <c r="AH207">
        <f t="shared" si="598"/>
        <v>-1</v>
      </c>
      <c r="AI207">
        <f t="shared" si="598"/>
        <v>-1</v>
      </c>
      <c r="AJ207">
        <f t="shared" si="598"/>
        <v>-1</v>
      </c>
      <c r="AK207">
        <f t="shared" si="598"/>
        <v>-1</v>
      </c>
      <c r="AL207">
        <f t="shared" si="598"/>
        <v>-1</v>
      </c>
      <c r="AM207">
        <f t="shared" si="598"/>
        <v>-1</v>
      </c>
      <c r="AN207">
        <f t="shared" si="598"/>
        <v>-1</v>
      </c>
      <c r="AO207">
        <f t="shared" si="598"/>
        <v>-1</v>
      </c>
      <c r="AP207">
        <f t="shared" si="598"/>
        <v>-1</v>
      </c>
      <c r="AQ207">
        <f t="shared" si="598"/>
        <v>-1</v>
      </c>
      <c r="AR207">
        <f t="shared" si="598"/>
        <v>-1</v>
      </c>
      <c r="AS207">
        <f t="shared" si="598"/>
        <v>-1</v>
      </c>
      <c r="AT207">
        <f t="shared" si="598"/>
        <v>-1</v>
      </c>
      <c r="AU207">
        <f t="shared" si="598"/>
        <v>-1</v>
      </c>
      <c r="AV207">
        <f t="shared" si="598"/>
        <v>-1</v>
      </c>
      <c r="AW207">
        <f t="shared" si="598"/>
        <v>-1</v>
      </c>
      <c r="AX207">
        <f t="shared" si="598"/>
        <v>-1</v>
      </c>
      <c r="AY207">
        <f t="shared" si="598"/>
        <v>-1</v>
      </c>
      <c r="AZ207">
        <f t="shared" si="598"/>
        <v>-1</v>
      </c>
      <c r="BA207">
        <f t="shared" si="598"/>
        <v>-1</v>
      </c>
      <c r="BB207">
        <f t="shared" si="598"/>
        <v>-1</v>
      </c>
      <c r="BC207">
        <f t="shared" si="598"/>
        <v>-1</v>
      </c>
      <c r="BD207">
        <f t="shared" si="598"/>
        <v>-1</v>
      </c>
      <c r="BE207">
        <f t="shared" si="598"/>
        <v>-1</v>
      </c>
      <c r="BF207">
        <f t="shared" si="598"/>
        <v>-1</v>
      </c>
      <c r="BG207">
        <f t="shared" si="598"/>
        <v>-1</v>
      </c>
      <c r="BH207">
        <f t="shared" si="598"/>
        <v>-1</v>
      </c>
      <c r="BI207">
        <f t="shared" si="598"/>
        <v>-1</v>
      </c>
      <c r="BJ207">
        <f t="shared" si="598"/>
        <v>-1</v>
      </c>
      <c r="BK207">
        <f t="shared" si="598"/>
        <v>-1</v>
      </c>
      <c r="BL207">
        <f t="shared" si="598"/>
        <v>-1</v>
      </c>
      <c r="BM207">
        <f t="shared" si="598"/>
        <v>-1</v>
      </c>
      <c r="BN207">
        <f t="shared" si="598"/>
        <v>-1</v>
      </c>
      <c r="BO207">
        <f t="shared" si="598"/>
        <v>-1</v>
      </c>
      <c r="BP207">
        <f t="shared" ref="BP207:EA207" si="599">IF(OR(BP206=-1,AND(IF(BP$3&lt;$B207,BP206+BP$6,IF(BP$3=$B207,1,""))&gt;$B$1,BP$3&lt;$B207)),-1,IF(BP$3&lt;$B207,BP206+BP$6,IF(BP$3=$B207,1,"")))</f>
        <v>-1</v>
      </c>
      <c r="BQ207">
        <f t="shared" si="599"/>
        <v>-1</v>
      </c>
      <c r="BR207">
        <f t="shared" si="599"/>
        <v>-1</v>
      </c>
      <c r="BS207">
        <f t="shared" si="599"/>
        <v>-1</v>
      </c>
      <c r="BT207">
        <f t="shared" si="599"/>
        <v>-1</v>
      </c>
      <c r="BU207">
        <f t="shared" si="599"/>
        <v>-1</v>
      </c>
      <c r="BV207">
        <f t="shared" si="599"/>
        <v>-1</v>
      </c>
      <c r="BW207">
        <f t="shared" si="599"/>
        <v>-1</v>
      </c>
      <c r="BX207">
        <f t="shared" si="599"/>
        <v>-1</v>
      </c>
      <c r="BY207">
        <f t="shared" si="599"/>
        <v>-1</v>
      </c>
      <c r="BZ207">
        <f t="shared" si="599"/>
        <v>-1</v>
      </c>
      <c r="CA207">
        <f t="shared" si="599"/>
        <v>-1</v>
      </c>
      <c r="CB207">
        <f t="shared" si="599"/>
        <v>-1</v>
      </c>
      <c r="CC207">
        <f t="shared" si="599"/>
        <v>-1</v>
      </c>
      <c r="CD207">
        <f t="shared" si="599"/>
        <v>-1</v>
      </c>
      <c r="CE207">
        <f t="shared" si="599"/>
        <v>-1</v>
      </c>
      <c r="CF207">
        <f t="shared" si="599"/>
        <v>-1</v>
      </c>
      <c r="CG207">
        <f t="shared" si="599"/>
        <v>73.600000000000009</v>
      </c>
      <c r="CH207">
        <f t="shared" si="599"/>
        <v>70.000000000000043</v>
      </c>
      <c r="CI207">
        <f t="shared" si="599"/>
        <v>66.400000000000077</v>
      </c>
      <c r="CJ207">
        <f t="shared" si="599"/>
        <v>62.800000000000104</v>
      </c>
      <c r="CK207">
        <f t="shared" si="599"/>
        <v>59.200000000000095</v>
      </c>
      <c r="CL207">
        <f t="shared" si="599"/>
        <v>55.600000000000087</v>
      </c>
      <c r="CM207">
        <f t="shared" si="599"/>
        <v>52.000000000000078</v>
      </c>
      <c r="CN207">
        <f t="shared" si="599"/>
        <v>48.40000000000007</v>
      </c>
      <c r="CO207">
        <f t="shared" si="599"/>
        <v>-1</v>
      </c>
      <c r="CP207">
        <f t="shared" si="599"/>
        <v>74.5</v>
      </c>
      <c r="CQ207">
        <f t="shared" si="599"/>
        <v>-1</v>
      </c>
      <c r="CR207">
        <f t="shared" si="599"/>
        <v>-1</v>
      </c>
      <c r="CS207">
        <f t="shared" si="599"/>
        <v>-1</v>
      </c>
      <c r="CT207">
        <f t="shared" si="599"/>
        <v>-1</v>
      </c>
      <c r="CU207">
        <f t="shared" si="599"/>
        <v>-1</v>
      </c>
      <c r="CV207">
        <f t="shared" si="599"/>
        <v>-1</v>
      </c>
      <c r="CW207">
        <f t="shared" si="599"/>
        <v>-1</v>
      </c>
      <c r="CX207">
        <f t="shared" si="599"/>
        <v>-1</v>
      </c>
      <c r="CY207">
        <f t="shared" si="599"/>
        <v>-1</v>
      </c>
      <c r="CZ207">
        <f t="shared" si="599"/>
        <v>-1</v>
      </c>
      <c r="DA207">
        <f t="shared" si="599"/>
        <v>-1</v>
      </c>
      <c r="DB207">
        <f t="shared" si="599"/>
        <v>-1</v>
      </c>
      <c r="DC207">
        <f t="shared" si="599"/>
        <v>-1</v>
      </c>
      <c r="DD207">
        <f t="shared" si="599"/>
        <v>-1</v>
      </c>
      <c r="DE207">
        <f t="shared" si="599"/>
        <v>-1</v>
      </c>
      <c r="DF207">
        <f t="shared" si="599"/>
        <v>-1</v>
      </c>
      <c r="DG207">
        <f t="shared" si="599"/>
        <v>-1</v>
      </c>
      <c r="DH207">
        <f t="shared" si="599"/>
        <v>-1</v>
      </c>
      <c r="DI207">
        <f t="shared" si="599"/>
        <v>-1</v>
      </c>
      <c r="DJ207">
        <f t="shared" si="599"/>
        <v>-1</v>
      </c>
      <c r="DK207">
        <f t="shared" si="599"/>
        <v>-1</v>
      </c>
      <c r="DL207">
        <f t="shared" si="599"/>
        <v>-1</v>
      </c>
      <c r="DM207">
        <f t="shared" si="599"/>
        <v>-1</v>
      </c>
      <c r="DN207">
        <f t="shared" si="599"/>
        <v>-1</v>
      </c>
      <c r="DO207">
        <f t="shared" si="599"/>
        <v>-1</v>
      </c>
      <c r="DP207">
        <f t="shared" si="599"/>
        <v>-1</v>
      </c>
      <c r="DQ207">
        <f t="shared" si="599"/>
        <v>-1</v>
      </c>
      <c r="DR207">
        <f t="shared" si="599"/>
        <v>-1</v>
      </c>
      <c r="DS207">
        <f t="shared" si="599"/>
        <v>-1</v>
      </c>
      <c r="DT207">
        <f t="shared" si="599"/>
        <v>-1</v>
      </c>
      <c r="DU207">
        <f t="shared" si="599"/>
        <v>-1</v>
      </c>
      <c r="DV207">
        <f t="shared" si="599"/>
        <v>-1</v>
      </c>
      <c r="DW207">
        <f t="shared" si="599"/>
        <v>-1</v>
      </c>
      <c r="DX207">
        <f t="shared" si="599"/>
        <v>-1</v>
      </c>
      <c r="DY207">
        <f t="shared" si="599"/>
        <v>-1</v>
      </c>
      <c r="DZ207">
        <f t="shared" si="599"/>
        <v>-1</v>
      </c>
      <c r="EA207">
        <f t="shared" si="599"/>
        <v>-1</v>
      </c>
      <c r="EB207">
        <f t="shared" ref="EB207:EO207" si="600">IF(OR(EB206=-1,AND(IF(EB$3&lt;$B207,EB206+EB$6,IF(EB$3=$B207,1,""))&gt;$B$1,EB$3&lt;$B207)),-1,IF(EB$3&lt;$B207,EB206+EB$6,IF(EB$3=$B207,1,"")))</f>
        <v>-1</v>
      </c>
      <c r="EC207">
        <f t="shared" si="600"/>
        <v>-1</v>
      </c>
      <c r="ED207">
        <f t="shared" si="600"/>
        <v>-1</v>
      </c>
      <c r="EE207">
        <f t="shared" si="600"/>
        <v>-1</v>
      </c>
      <c r="EF207">
        <f t="shared" si="600"/>
        <v>-1</v>
      </c>
      <c r="EG207">
        <f t="shared" si="600"/>
        <v>-1</v>
      </c>
      <c r="EH207">
        <f t="shared" si="600"/>
        <v>-1</v>
      </c>
      <c r="EI207">
        <f t="shared" si="600"/>
        <v>-1</v>
      </c>
      <c r="EJ207">
        <f t="shared" si="600"/>
        <v>-1</v>
      </c>
      <c r="EK207">
        <f t="shared" si="600"/>
        <v>-1</v>
      </c>
      <c r="EL207">
        <f t="shared" si="600"/>
        <v>-1</v>
      </c>
      <c r="EM207">
        <f t="shared" si="600"/>
        <v>-1</v>
      </c>
      <c r="EN207">
        <f t="shared" si="600"/>
        <v>-1</v>
      </c>
      <c r="EO207">
        <f t="shared" si="600"/>
        <v>-1</v>
      </c>
    </row>
    <row r="208" spans="1:145" x14ac:dyDescent="0.15">
      <c r="A208" t="e">
        <f t="shared" si="579"/>
        <v>#N/A</v>
      </c>
      <c r="B208" s="218">
        <v>200</v>
      </c>
      <c r="C208">
        <f t="shared" si="579"/>
        <v>-1</v>
      </c>
      <c r="D208">
        <f t="shared" ref="D208:BO208" si="601">IF(OR(D207=-1,AND(IF(D$3&lt;$B208,D207+D$6,IF(D$3=$B208,1,""))&gt;$B$1,D$3&lt;$B208)),-1,IF(D$3&lt;$B208,D207+D$6,IF(D$3=$B208,1,"")))</f>
        <v>-1</v>
      </c>
      <c r="E208">
        <f t="shared" si="601"/>
        <v>-1</v>
      </c>
      <c r="F208">
        <f t="shared" si="601"/>
        <v>-1</v>
      </c>
      <c r="G208">
        <f t="shared" si="601"/>
        <v>-1</v>
      </c>
      <c r="H208">
        <f t="shared" si="601"/>
        <v>-1</v>
      </c>
      <c r="I208">
        <f t="shared" si="601"/>
        <v>-1</v>
      </c>
      <c r="J208">
        <f t="shared" si="601"/>
        <v>-1</v>
      </c>
      <c r="K208">
        <f t="shared" si="601"/>
        <v>-1</v>
      </c>
      <c r="L208">
        <f t="shared" si="601"/>
        <v>-1</v>
      </c>
      <c r="M208">
        <f t="shared" si="601"/>
        <v>-1</v>
      </c>
      <c r="N208">
        <f t="shared" si="601"/>
        <v>-1</v>
      </c>
      <c r="O208">
        <f t="shared" si="601"/>
        <v>-1</v>
      </c>
      <c r="P208">
        <f t="shared" si="601"/>
        <v>-1</v>
      </c>
      <c r="Q208">
        <f t="shared" si="601"/>
        <v>-1</v>
      </c>
      <c r="R208">
        <f t="shared" si="601"/>
        <v>-1</v>
      </c>
      <c r="S208">
        <f t="shared" si="601"/>
        <v>-1</v>
      </c>
      <c r="T208">
        <f t="shared" si="601"/>
        <v>-1</v>
      </c>
      <c r="U208">
        <f t="shared" si="601"/>
        <v>-1</v>
      </c>
      <c r="V208">
        <f t="shared" si="601"/>
        <v>-1</v>
      </c>
      <c r="W208">
        <f t="shared" si="601"/>
        <v>-1</v>
      </c>
      <c r="X208">
        <f t="shared" si="601"/>
        <v>-1</v>
      </c>
      <c r="Y208">
        <f t="shared" si="601"/>
        <v>-1</v>
      </c>
      <c r="Z208">
        <f t="shared" si="601"/>
        <v>-1</v>
      </c>
      <c r="AA208">
        <f t="shared" si="601"/>
        <v>-1</v>
      </c>
      <c r="AB208">
        <f t="shared" si="601"/>
        <v>-1</v>
      </c>
      <c r="AC208">
        <f t="shared" si="601"/>
        <v>-1</v>
      </c>
      <c r="AD208">
        <f t="shared" si="601"/>
        <v>-1</v>
      </c>
      <c r="AE208">
        <f t="shared" si="601"/>
        <v>-1</v>
      </c>
      <c r="AF208">
        <f t="shared" si="601"/>
        <v>-1</v>
      </c>
      <c r="AG208">
        <f t="shared" si="601"/>
        <v>-1</v>
      </c>
      <c r="AH208">
        <f t="shared" si="601"/>
        <v>-1</v>
      </c>
      <c r="AI208">
        <f t="shared" si="601"/>
        <v>-1</v>
      </c>
      <c r="AJ208">
        <f t="shared" si="601"/>
        <v>-1</v>
      </c>
      <c r="AK208">
        <f t="shared" si="601"/>
        <v>-1</v>
      </c>
      <c r="AL208">
        <f t="shared" si="601"/>
        <v>-1</v>
      </c>
      <c r="AM208">
        <f t="shared" si="601"/>
        <v>-1</v>
      </c>
      <c r="AN208">
        <f t="shared" si="601"/>
        <v>-1</v>
      </c>
      <c r="AO208">
        <f t="shared" si="601"/>
        <v>-1</v>
      </c>
      <c r="AP208">
        <f t="shared" si="601"/>
        <v>-1</v>
      </c>
      <c r="AQ208">
        <f t="shared" si="601"/>
        <v>-1</v>
      </c>
      <c r="AR208">
        <f t="shared" si="601"/>
        <v>-1</v>
      </c>
      <c r="AS208">
        <f t="shared" si="601"/>
        <v>-1</v>
      </c>
      <c r="AT208">
        <f t="shared" si="601"/>
        <v>-1</v>
      </c>
      <c r="AU208">
        <f t="shared" si="601"/>
        <v>-1</v>
      </c>
      <c r="AV208">
        <f t="shared" si="601"/>
        <v>-1</v>
      </c>
      <c r="AW208">
        <f t="shared" si="601"/>
        <v>-1</v>
      </c>
      <c r="AX208">
        <f t="shared" si="601"/>
        <v>-1</v>
      </c>
      <c r="AY208">
        <f t="shared" si="601"/>
        <v>-1</v>
      </c>
      <c r="AZ208">
        <f t="shared" si="601"/>
        <v>-1</v>
      </c>
      <c r="BA208">
        <f t="shared" si="601"/>
        <v>-1</v>
      </c>
      <c r="BB208">
        <f t="shared" si="601"/>
        <v>-1</v>
      </c>
      <c r="BC208">
        <f t="shared" si="601"/>
        <v>-1</v>
      </c>
      <c r="BD208">
        <f t="shared" si="601"/>
        <v>-1</v>
      </c>
      <c r="BE208">
        <f t="shared" si="601"/>
        <v>-1</v>
      </c>
      <c r="BF208">
        <f t="shared" si="601"/>
        <v>-1</v>
      </c>
      <c r="BG208">
        <f t="shared" si="601"/>
        <v>-1</v>
      </c>
      <c r="BH208">
        <f t="shared" si="601"/>
        <v>-1</v>
      </c>
      <c r="BI208">
        <f t="shared" si="601"/>
        <v>-1</v>
      </c>
      <c r="BJ208">
        <f t="shared" si="601"/>
        <v>-1</v>
      </c>
      <c r="BK208">
        <f t="shared" si="601"/>
        <v>-1</v>
      </c>
      <c r="BL208">
        <f t="shared" si="601"/>
        <v>-1</v>
      </c>
      <c r="BM208">
        <f t="shared" si="601"/>
        <v>-1</v>
      </c>
      <c r="BN208">
        <f t="shared" si="601"/>
        <v>-1</v>
      </c>
      <c r="BO208">
        <f t="shared" si="601"/>
        <v>-1</v>
      </c>
      <c r="BP208">
        <f t="shared" ref="BP208:EA208" si="602">IF(OR(BP207=-1,AND(IF(BP$3&lt;$B208,BP207+BP$6,IF(BP$3=$B208,1,""))&gt;$B$1,BP$3&lt;$B208)),-1,IF(BP$3&lt;$B208,BP207+BP$6,IF(BP$3=$B208,1,"")))</f>
        <v>-1</v>
      </c>
      <c r="BQ208">
        <f t="shared" si="602"/>
        <v>-1</v>
      </c>
      <c r="BR208">
        <f t="shared" si="602"/>
        <v>-1</v>
      </c>
      <c r="BS208">
        <f t="shared" si="602"/>
        <v>-1</v>
      </c>
      <c r="BT208">
        <f t="shared" si="602"/>
        <v>-1</v>
      </c>
      <c r="BU208">
        <f t="shared" si="602"/>
        <v>-1</v>
      </c>
      <c r="BV208">
        <f t="shared" si="602"/>
        <v>-1</v>
      </c>
      <c r="BW208">
        <f t="shared" si="602"/>
        <v>-1</v>
      </c>
      <c r="BX208">
        <f t="shared" si="602"/>
        <v>-1</v>
      </c>
      <c r="BY208">
        <f t="shared" si="602"/>
        <v>-1</v>
      </c>
      <c r="BZ208">
        <f t="shared" si="602"/>
        <v>-1</v>
      </c>
      <c r="CA208">
        <f t="shared" si="602"/>
        <v>-1</v>
      </c>
      <c r="CB208">
        <f t="shared" si="602"/>
        <v>-1</v>
      </c>
      <c r="CC208">
        <f t="shared" si="602"/>
        <v>-1</v>
      </c>
      <c r="CD208">
        <f t="shared" si="602"/>
        <v>-1</v>
      </c>
      <c r="CE208">
        <f t="shared" si="602"/>
        <v>-1</v>
      </c>
      <c r="CF208">
        <f t="shared" si="602"/>
        <v>-1</v>
      </c>
      <c r="CG208">
        <f t="shared" si="602"/>
        <v>74.2</v>
      </c>
      <c r="CH208">
        <f t="shared" si="602"/>
        <v>70.600000000000037</v>
      </c>
      <c r="CI208">
        <f t="shared" si="602"/>
        <v>67.000000000000071</v>
      </c>
      <c r="CJ208">
        <f t="shared" si="602"/>
        <v>63.400000000000105</v>
      </c>
      <c r="CK208">
        <f t="shared" si="602"/>
        <v>59.800000000000097</v>
      </c>
      <c r="CL208">
        <f t="shared" si="602"/>
        <v>56.200000000000088</v>
      </c>
      <c r="CM208">
        <f t="shared" si="602"/>
        <v>52.60000000000008</v>
      </c>
      <c r="CN208">
        <f t="shared" si="602"/>
        <v>49.000000000000071</v>
      </c>
      <c r="CO208">
        <f t="shared" si="602"/>
        <v>-1</v>
      </c>
      <c r="CP208">
        <f t="shared" si="602"/>
        <v>75</v>
      </c>
      <c r="CQ208">
        <f t="shared" si="602"/>
        <v>-1</v>
      </c>
      <c r="CR208">
        <f t="shared" si="602"/>
        <v>-1</v>
      </c>
      <c r="CS208">
        <f t="shared" si="602"/>
        <v>-1</v>
      </c>
      <c r="CT208">
        <f t="shared" si="602"/>
        <v>-1</v>
      </c>
      <c r="CU208">
        <f t="shared" si="602"/>
        <v>-1</v>
      </c>
      <c r="CV208">
        <f t="shared" si="602"/>
        <v>-1</v>
      </c>
      <c r="CW208">
        <f t="shared" si="602"/>
        <v>-1</v>
      </c>
      <c r="CX208">
        <f t="shared" si="602"/>
        <v>-1</v>
      </c>
      <c r="CY208">
        <f t="shared" si="602"/>
        <v>-1</v>
      </c>
      <c r="CZ208">
        <f t="shared" si="602"/>
        <v>-1</v>
      </c>
      <c r="DA208">
        <f t="shared" si="602"/>
        <v>-1</v>
      </c>
      <c r="DB208">
        <f t="shared" si="602"/>
        <v>-1</v>
      </c>
      <c r="DC208">
        <f t="shared" si="602"/>
        <v>-1</v>
      </c>
      <c r="DD208">
        <f t="shared" si="602"/>
        <v>-1</v>
      </c>
      <c r="DE208">
        <f t="shared" si="602"/>
        <v>-1</v>
      </c>
      <c r="DF208">
        <f t="shared" si="602"/>
        <v>-1</v>
      </c>
      <c r="DG208">
        <f t="shared" si="602"/>
        <v>-1</v>
      </c>
      <c r="DH208">
        <f t="shared" si="602"/>
        <v>-1</v>
      </c>
      <c r="DI208">
        <f t="shared" si="602"/>
        <v>-1</v>
      </c>
      <c r="DJ208">
        <f t="shared" si="602"/>
        <v>-1</v>
      </c>
      <c r="DK208">
        <f t="shared" si="602"/>
        <v>-1</v>
      </c>
      <c r="DL208">
        <f t="shared" si="602"/>
        <v>-1</v>
      </c>
      <c r="DM208">
        <f t="shared" si="602"/>
        <v>-1</v>
      </c>
      <c r="DN208">
        <f t="shared" si="602"/>
        <v>-1</v>
      </c>
      <c r="DO208">
        <f t="shared" si="602"/>
        <v>-1</v>
      </c>
      <c r="DP208">
        <f t="shared" si="602"/>
        <v>-1</v>
      </c>
      <c r="DQ208">
        <f t="shared" si="602"/>
        <v>-1</v>
      </c>
      <c r="DR208">
        <f t="shared" si="602"/>
        <v>-1</v>
      </c>
      <c r="DS208">
        <f t="shared" si="602"/>
        <v>-1</v>
      </c>
      <c r="DT208">
        <f t="shared" si="602"/>
        <v>-1</v>
      </c>
      <c r="DU208">
        <f t="shared" si="602"/>
        <v>-1</v>
      </c>
      <c r="DV208">
        <f t="shared" si="602"/>
        <v>-1</v>
      </c>
      <c r="DW208">
        <f t="shared" si="602"/>
        <v>-1</v>
      </c>
      <c r="DX208">
        <f t="shared" si="602"/>
        <v>-1</v>
      </c>
      <c r="DY208">
        <f t="shared" si="602"/>
        <v>-1</v>
      </c>
      <c r="DZ208">
        <f t="shared" si="602"/>
        <v>-1</v>
      </c>
      <c r="EA208">
        <f t="shared" si="602"/>
        <v>-1</v>
      </c>
      <c r="EB208">
        <f t="shared" ref="EB208:EO208" si="603">IF(OR(EB207=-1,AND(IF(EB$3&lt;$B208,EB207+EB$6,IF(EB$3=$B208,1,""))&gt;$B$1,EB$3&lt;$B208)),-1,IF(EB$3&lt;$B208,EB207+EB$6,IF(EB$3=$B208,1,"")))</f>
        <v>-1</v>
      </c>
      <c r="EC208">
        <f t="shared" si="603"/>
        <v>-1</v>
      </c>
      <c r="ED208">
        <f t="shared" si="603"/>
        <v>-1</v>
      </c>
      <c r="EE208">
        <f t="shared" si="603"/>
        <v>-1</v>
      </c>
      <c r="EF208">
        <f t="shared" si="603"/>
        <v>-1</v>
      </c>
      <c r="EG208">
        <f t="shared" si="603"/>
        <v>-1</v>
      </c>
      <c r="EH208">
        <f t="shared" si="603"/>
        <v>-1</v>
      </c>
      <c r="EI208">
        <f t="shared" si="603"/>
        <v>-1</v>
      </c>
      <c r="EJ208">
        <f t="shared" si="603"/>
        <v>-1</v>
      </c>
      <c r="EK208">
        <f t="shared" si="603"/>
        <v>-1</v>
      </c>
      <c r="EL208">
        <f t="shared" si="603"/>
        <v>-1</v>
      </c>
      <c r="EM208">
        <f t="shared" si="603"/>
        <v>-1</v>
      </c>
      <c r="EN208">
        <f t="shared" si="603"/>
        <v>-1</v>
      </c>
      <c r="EO208">
        <f t="shared" si="603"/>
        <v>-1</v>
      </c>
    </row>
    <row r="209" spans="1:145" x14ac:dyDescent="0.15">
      <c r="A209" t="e">
        <f t="shared" si="579"/>
        <v>#N/A</v>
      </c>
      <c r="B209" s="218">
        <v>201</v>
      </c>
      <c r="C209">
        <f t="shared" si="579"/>
        <v>-1</v>
      </c>
      <c r="D209">
        <f t="shared" ref="D209:BO209" si="604">IF(OR(D208=-1,AND(IF(D$3&lt;$B209,D208+D$6,IF(D$3=$B209,1,""))&gt;$B$1,D$3&lt;$B209)),-1,IF(D$3&lt;$B209,D208+D$6,IF(D$3=$B209,1,"")))</f>
        <v>-1</v>
      </c>
      <c r="E209">
        <f t="shared" si="604"/>
        <v>-1</v>
      </c>
      <c r="F209">
        <f t="shared" si="604"/>
        <v>-1</v>
      </c>
      <c r="G209">
        <f t="shared" si="604"/>
        <v>-1</v>
      </c>
      <c r="H209">
        <f t="shared" si="604"/>
        <v>-1</v>
      </c>
      <c r="I209">
        <f t="shared" si="604"/>
        <v>-1</v>
      </c>
      <c r="J209">
        <f t="shared" si="604"/>
        <v>-1</v>
      </c>
      <c r="K209">
        <f t="shared" si="604"/>
        <v>-1</v>
      </c>
      <c r="L209">
        <f t="shared" si="604"/>
        <v>-1</v>
      </c>
      <c r="M209">
        <f t="shared" si="604"/>
        <v>-1</v>
      </c>
      <c r="N209">
        <f t="shared" si="604"/>
        <v>-1</v>
      </c>
      <c r="O209">
        <f t="shared" si="604"/>
        <v>-1</v>
      </c>
      <c r="P209">
        <f t="shared" si="604"/>
        <v>-1</v>
      </c>
      <c r="Q209">
        <f t="shared" si="604"/>
        <v>-1</v>
      </c>
      <c r="R209">
        <f t="shared" si="604"/>
        <v>-1</v>
      </c>
      <c r="S209">
        <f t="shared" si="604"/>
        <v>-1</v>
      </c>
      <c r="T209">
        <f t="shared" si="604"/>
        <v>-1</v>
      </c>
      <c r="U209">
        <f t="shared" si="604"/>
        <v>-1</v>
      </c>
      <c r="V209">
        <f t="shared" si="604"/>
        <v>-1</v>
      </c>
      <c r="W209">
        <f t="shared" si="604"/>
        <v>-1</v>
      </c>
      <c r="X209">
        <f t="shared" si="604"/>
        <v>-1</v>
      </c>
      <c r="Y209">
        <f t="shared" si="604"/>
        <v>-1</v>
      </c>
      <c r="Z209">
        <f t="shared" si="604"/>
        <v>-1</v>
      </c>
      <c r="AA209">
        <f t="shared" si="604"/>
        <v>-1</v>
      </c>
      <c r="AB209">
        <f t="shared" si="604"/>
        <v>-1</v>
      </c>
      <c r="AC209">
        <f t="shared" si="604"/>
        <v>-1</v>
      </c>
      <c r="AD209">
        <f t="shared" si="604"/>
        <v>-1</v>
      </c>
      <c r="AE209">
        <f t="shared" si="604"/>
        <v>-1</v>
      </c>
      <c r="AF209">
        <f t="shared" si="604"/>
        <v>-1</v>
      </c>
      <c r="AG209">
        <f t="shared" si="604"/>
        <v>-1</v>
      </c>
      <c r="AH209">
        <f t="shared" si="604"/>
        <v>-1</v>
      </c>
      <c r="AI209">
        <f t="shared" si="604"/>
        <v>-1</v>
      </c>
      <c r="AJ209">
        <f t="shared" si="604"/>
        <v>-1</v>
      </c>
      <c r="AK209">
        <f t="shared" si="604"/>
        <v>-1</v>
      </c>
      <c r="AL209">
        <f t="shared" si="604"/>
        <v>-1</v>
      </c>
      <c r="AM209">
        <f t="shared" si="604"/>
        <v>-1</v>
      </c>
      <c r="AN209">
        <f t="shared" si="604"/>
        <v>-1</v>
      </c>
      <c r="AO209">
        <f t="shared" si="604"/>
        <v>-1</v>
      </c>
      <c r="AP209">
        <f t="shared" si="604"/>
        <v>-1</v>
      </c>
      <c r="AQ209">
        <f t="shared" si="604"/>
        <v>-1</v>
      </c>
      <c r="AR209">
        <f t="shared" si="604"/>
        <v>-1</v>
      </c>
      <c r="AS209">
        <f t="shared" si="604"/>
        <v>-1</v>
      </c>
      <c r="AT209">
        <f t="shared" si="604"/>
        <v>-1</v>
      </c>
      <c r="AU209">
        <f t="shared" si="604"/>
        <v>-1</v>
      </c>
      <c r="AV209">
        <f t="shared" si="604"/>
        <v>-1</v>
      </c>
      <c r="AW209">
        <f t="shared" si="604"/>
        <v>-1</v>
      </c>
      <c r="AX209">
        <f t="shared" si="604"/>
        <v>-1</v>
      </c>
      <c r="AY209">
        <f t="shared" si="604"/>
        <v>-1</v>
      </c>
      <c r="AZ209">
        <f t="shared" si="604"/>
        <v>-1</v>
      </c>
      <c r="BA209">
        <f t="shared" si="604"/>
        <v>-1</v>
      </c>
      <c r="BB209">
        <f t="shared" si="604"/>
        <v>-1</v>
      </c>
      <c r="BC209">
        <f t="shared" si="604"/>
        <v>-1</v>
      </c>
      <c r="BD209">
        <f t="shared" si="604"/>
        <v>-1</v>
      </c>
      <c r="BE209">
        <f t="shared" si="604"/>
        <v>-1</v>
      </c>
      <c r="BF209">
        <f t="shared" si="604"/>
        <v>-1</v>
      </c>
      <c r="BG209">
        <f t="shared" si="604"/>
        <v>-1</v>
      </c>
      <c r="BH209">
        <f t="shared" si="604"/>
        <v>-1</v>
      </c>
      <c r="BI209">
        <f t="shared" si="604"/>
        <v>-1</v>
      </c>
      <c r="BJ209">
        <f t="shared" si="604"/>
        <v>-1</v>
      </c>
      <c r="BK209">
        <f t="shared" si="604"/>
        <v>-1</v>
      </c>
      <c r="BL209">
        <f t="shared" si="604"/>
        <v>-1</v>
      </c>
      <c r="BM209">
        <f t="shared" si="604"/>
        <v>-1</v>
      </c>
      <c r="BN209">
        <f t="shared" si="604"/>
        <v>-1</v>
      </c>
      <c r="BO209">
        <f t="shared" si="604"/>
        <v>-1</v>
      </c>
      <c r="BP209">
        <f t="shared" ref="BP209:EA209" si="605">IF(OR(BP208=-1,AND(IF(BP$3&lt;$B209,BP208+BP$6,IF(BP$3=$B209,1,""))&gt;$B$1,BP$3&lt;$B209)),-1,IF(BP$3&lt;$B209,BP208+BP$6,IF(BP$3=$B209,1,"")))</f>
        <v>-1</v>
      </c>
      <c r="BQ209">
        <f t="shared" si="605"/>
        <v>-1</v>
      </c>
      <c r="BR209">
        <f t="shared" si="605"/>
        <v>-1</v>
      </c>
      <c r="BS209">
        <f t="shared" si="605"/>
        <v>-1</v>
      </c>
      <c r="BT209">
        <f t="shared" si="605"/>
        <v>-1</v>
      </c>
      <c r="BU209">
        <f t="shared" si="605"/>
        <v>-1</v>
      </c>
      <c r="BV209">
        <f t="shared" si="605"/>
        <v>-1</v>
      </c>
      <c r="BW209">
        <f t="shared" si="605"/>
        <v>-1</v>
      </c>
      <c r="BX209">
        <f t="shared" si="605"/>
        <v>-1</v>
      </c>
      <c r="BY209">
        <f t="shared" si="605"/>
        <v>-1</v>
      </c>
      <c r="BZ209">
        <f t="shared" si="605"/>
        <v>-1</v>
      </c>
      <c r="CA209">
        <f t="shared" si="605"/>
        <v>-1</v>
      </c>
      <c r="CB209">
        <f t="shared" si="605"/>
        <v>-1</v>
      </c>
      <c r="CC209">
        <f t="shared" si="605"/>
        <v>-1</v>
      </c>
      <c r="CD209">
        <f t="shared" si="605"/>
        <v>-1</v>
      </c>
      <c r="CE209">
        <f t="shared" si="605"/>
        <v>-1</v>
      </c>
      <c r="CF209">
        <f t="shared" si="605"/>
        <v>-1</v>
      </c>
      <c r="CG209">
        <f t="shared" si="605"/>
        <v>74.8</v>
      </c>
      <c r="CH209">
        <f t="shared" si="605"/>
        <v>71.200000000000031</v>
      </c>
      <c r="CI209">
        <f t="shared" si="605"/>
        <v>67.600000000000065</v>
      </c>
      <c r="CJ209">
        <f t="shared" si="605"/>
        <v>64.000000000000099</v>
      </c>
      <c r="CK209">
        <f t="shared" si="605"/>
        <v>60.400000000000098</v>
      </c>
      <c r="CL209">
        <f t="shared" si="605"/>
        <v>56.80000000000009</v>
      </c>
      <c r="CM209">
        <f t="shared" si="605"/>
        <v>53.200000000000081</v>
      </c>
      <c r="CN209">
        <f t="shared" si="605"/>
        <v>49.600000000000072</v>
      </c>
      <c r="CO209">
        <f t="shared" si="605"/>
        <v>-1</v>
      </c>
      <c r="CP209">
        <f t="shared" si="605"/>
        <v>-1</v>
      </c>
      <c r="CQ209">
        <f t="shared" si="605"/>
        <v>-1</v>
      </c>
      <c r="CR209">
        <f t="shared" si="605"/>
        <v>-1</v>
      </c>
      <c r="CS209">
        <f t="shared" si="605"/>
        <v>-1</v>
      </c>
      <c r="CT209">
        <f t="shared" si="605"/>
        <v>-1</v>
      </c>
      <c r="CU209">
        <f t="shared" si="605"/>
        <v>-1</v>
      </c>
      <c r="CV209">
        <f t="shared" si="605"/>
        <v>-1</v>
      </c>
      <c r="CW209">
        <f t="shared" si="605"/>
        <v>-1</v>
      </c>
      <c r="CX209">
        <f t="shared" si="605"/>
        <v>-1</v>
      </c>
      <c r="CY209">
        <f t="shared" si="605"/>
        <v>-1</v>
      </c>
      <c r="CZ209">
        <f t="shared" si="605"/>
        <v>-1</v>
      </c>
      <c r="DA209">
        <f t="shared" si="605"/>
        <v>-1</v>
      </c>
      <c r="DB209">
        <f t="shared" si="605"/>
        <v>-1</v>
      </c>
      <c r="DC209">
        <f t="shared" si="605"/>
        <v>-1</v>
      </c>
      <c r="DD209">
        <f t="shared" si="605"/>
        <v>-1</v>
      </c>
      <c r="DE209">
        <f t="shared" si="605"/>
        <v>-1</v>
      </c>
      <c r="DF209">
        <f t="shared" si="605"/>
        <v>-1</v>
      </c>
      <c r="DG209">
        <f t="shared" si="605"/>
        <v>-1</v>
      </c>
      <c r="DH209">
        <f t="shared" si="605"/>
        <v>-1</v>
      </c>
      <c r="DI209">
        <f t="shared" si="605"/>
        <v>-1</v>
      </c>
      <c r="DJ209">
        <f t="shared" si="605"/>
        <v>-1</v>
      </c>
      <c r="DK209">
        <f t="shared" si="605"/>
        <v>-1</v>
      </c>
      <c r="DL209">
        <f t="shared" si="605"/>
        <v>-1</v>
      </c>
      <c r="DM209">
        <f t="shared" si="605"/>
        <v>-1</v>
      </c>
      <c r="DN209">
        <f t="shared" si="605"/>
        <v>-1</v>
      </c>
      <c r="DO209">
        <f t="shared" si="605"/>
        <v>-1</v>
      </c>
      <c r="DP209">
        <f t="shared" si="605"/>
        <v>-1</v>
      </c>
      <c r="DQ209">
        <f t="shared" si="605"/>
        <v>-1</v>
      </c>
      <c r="DR209">
        <f t="shared" si="605"/>
        <v>-1</v>
      </c>
      <c r="DS209">
        <f t="shared" si="605"/>
        <v>-1</v>
      </c>
      <c r="DT209">
        <f t="shared" si="605"/>
        <v>-1</v>
      </c>
      <c r="DU209">
        <f t="shared" si="605"/>
        <v>-1</v>
      </c>
      <c r="DV209">
        <f t="shared" si="605"/>
        <v>-1</v>
      </c>
      <c r="DW209">
        <f t="shared" si="605"/>
        <v>-1</v>
      </c>
      <c r="DX209">
        <f t="shared" si="605"/>
        <v>-1</v>
      </c>
      <c r="DY209">
        <f t="shared" si="605"/>
        <v>-1</v>
      </c>
      <c r="DZ209">
        <f t="shared" si="605"/>
        <v>-1</v>
      </c>
      <c r="EA209">
        <f t="shared" si="605"/>
        <v>-1</v>
      </c>
      <c r="EB209">
        <f t="shared" ref="EB209:EO209" si="606">IF(OR(EB208=-1,AND(IF(EB$3&lt;$B209,EB208+EB$6,IF(EB$3=$B209,1,""))&gt;$B$1,EB$3&lt;$B209)),-1,IF(EB$3&lt;$B209,EB208+EB$6,IF(EB$3=$B209,1,"")))</f>
        <v>-1</v>
      </c>
      <c r="EC209">
        <f t="shared" si="606"/>
        <v>-1</v>
      </c>
      <c r="ED209">
        <f t="shared" si="606"/>
        <v>-1</v>
      </c>
      <c r="EE209">
        <f t="shared" si="606"/>
        <v>-1</v>
      </c>
      <c r="EF209">
        <f t="shared" si="606"/>
        <v>-1</v>
      </c>
      <c r="EG209">
        <f t="shared" si="606"/>
        <v>-1</v>
      </c>
      <c r="EH209">
        <f t="shared" si="606"/>
        <v>-1</v>
      </c>
      <c r="EI209">
        <f t="shared" si="606"/>
        <v>-1</v>
      </c>
      <c r="EJ209">
        <f t="shared" si="606"/>
        <v>-1</v>
      </c>
      <c r="EK209">
        <f t="shared" si="606"/>
        <v>-1</v>
      </c>
      <c r="EL209">
        <f t="shared" si="606"/>
        <v>-1</v>
      </c>
      <c r="EM209">
        <f t="shared" si="606"/>
        <v>-1</v>
      </c>
      <c r="EN209">
        <f t="shared" si="606"/>
        <v>-1</v>
      </c>
      <c r="EO209">
        <f t="shared" si="606"/>
        <v>-1</v>
      </c>
    </row>
    <row r="210" spans="1:145" x14ac:dyDescent="0.15">
      <c r="A210" t="e">
        <f t="shared" si="579"/>
        <v>#N/A</v>
      </c>
      <c r="B210" s="218">
        <v>202</v>
      </c>
      <c r="C210">
        <f t="shared" si="579"/>
        <v>-1</v>
      </c>
      <c r="D210">
        <f t="shared" ref="D210:BO210" si="607">IF(OR(D209=-1,AND(IF(D$3&lt;$B210,D209+D$6,IF(D$3=$B210,1,""))&gt;$B$1,D$3&lt;$B210)),-1,IF(D$3&lt;$B210,D209+D$6,IF(D$3=$B210,1,"")))</f>
        <v>-1</v>
      </c>
      <c r="E210">
        <f t="shared" si="607"/>
        <v>-1</v>
      </c>
      <c r="F210">
        <f t="shared" si="607"/>
        <v>-1</v>
      </c>
      <c r="G210">
        <f t="shared" si="607"/>
        <v>-1</v>
      </c>
      <c r="H210">
        <f t="shared" si="607"/>
        <v>-1</v>
      </c>
      <c r="I210">
        <f t="shared" si="607"/>
        <v>-1</v>
      </c>
      <c r="J210">
        <f t="shared" si="607"/>
        <v>-1</v>
      </c>
      <c r="K210">
        <f t="shared" si="607"/>
        <v>-1</v>
      </c>
      <c r="L210">
        <f t="shared" si="607"/>
        <v>-1</v>
      </c>
      <c r="M210">
        <f t="shared" si="607"/>
        <v>-1</v>
      </c>
      <c r="N210">
        <f t="shared" si="607"/>
        <v>-1</v>
      </c>
      <c r="O210">
        <f t="shared" si="607"/>
        <v>-1</v>
      </c>
      <c r="P210">
        <f t="shared" si="607"/>
        <v>-1</v>
      </c>
      <c r="Q210">
        <f t="shared" si="607"/>
        <v>-1</v>
      </c>
      <c r="R210">
        <f t="shared" si="607"/>
        <v>-1</v>
      </c>
      <c r="S210">
        <f t="shared" si="607"/>
        <v>-1</v>
      </c>
      <c r="T210">
        <f t="shared" si="607"/>
        <v>-1</v>
      </c>
      <c r="U210">
        <f t="shared" si="607"/>
        <v>-1</v>
      </c>
      <c r="V210">
        <f t="shared" si="607"/>
        <v>-1</v>
      </c>
      <c r="W210">
        <f t="shared" si="607"/>
        <v>-1</v>
      </c>
      <c r="X210">
        <f t="shared" si="607"/>
        <v>-1</v>
      </c>
      <c r="Y210">
        <f t="shared" si="607"/>
        <v>-1</v>
      </c>
      <c r="Z210">
        <f t="shared" si="607"/>
        <v>-1</v>
      </c>
      <c r="AA210">
        <f t="shared" si="607"/>
        <v>-1</v>
      </c>
      <c r="AB210">
        <f t="shared" si="607"/>
        <v>-1</v>
      </c>
      <c r="AC210">
        <f t="shared" si="607"/>
        <v>-1</v>
      </c>
      <c r="AD210">
        <f t="shared" si="607"/>
        <v>-1</v>
      </c>
      <c r="AE210">
        <f t="shared" si="607"/>
        <v>-1</v>
      </c>
      <c r="AF210">
        <f t="shared" si="607"/>
        <v>-1</v>
      </c>
      <c r="AG210">
        <f t="shared" si="607"/>
        <v>-1</v>
      </c>
      <c r="AH210">
        <f t="shared" si="607"/>
        <v>-1</v>
      </c>
      <c r="AI210">
        <f t="shared" si="607"/>
        <v>-1</v>
      </c>
      <c r="AJ210">
        <f t="shared" si="607"/>
        <v>-1</v>
      </c>
      <c r="AK210">
        <f t="shared" si="607"/>
        <v>-1</v>
      </c>
      <c r="AL210">
        <f t="shared" si="607"/>
        <v>-1</v>
      </c>
      <c r="AM210">
        <f t="shared" si="607"/>
        <v>-1</v>
      </c>
      <c r="AN210">
        <f t="shared" si="607"/>
        <v>-1</v>
      </c>
      <c r="AO210">
        <f t="shared" si="607"/>
        <v>-1</v>
      </c>
      <c r="AP210">
        <f t="shared" si="607"/>
        <v>-1</v>
      </c>
      <c r="AQ210">
        <f t="shared" si="607"/>
        <v>-1</v>
      </c>
      <c r="AR210">
        <f t="shared" si="607"/>
        <v>-1</v>
      </c>
      <c r="AS210">
        <f t="shared" si="607"/>
        <v>-1</v>
      </c>
      <c r="AT210">
        <f t="shared" si="607"/>
        <v>-1</v>
      </c>
      <c r="AU210">
        <f t="shared" si="607"/>
        <v>-1</v>
      </c>
      <c r="AV210">
        <f t="shared" si="607"/>
        <v>-1</v>
      </c>
      <c r="AW210">
        <f t="shared" si="607"/>
        <v>-1</v>
      </c>
      <c r="AX210">
        <f t="shared" si="607"/>
        <v>-1</v>
      </c>
      <c r="AY210">
        <f t="shared" si="607"/>
        <v>-1</v>
      </c>
      <c r="AZ210">
        <f t="shared" si="607"/>
        <v>-1</v>
      </c>
      <c r="BA210">
        <f t="shared" si="607"/>
        <v>-1</v>
      </c>
      <c r="BB210">
        <f t="shared" si="607"/>
        <v>-1</v>
      </c>
      <c r="BC210">
        <f t="shared" si="607"/>
        <v>-1</v>
      </c>
      <c r="BD210">
        <f t="shared" si="607"/>
        <v>-1</v>
      </c>
      <c r="BE210">
        <f t="shared" si="607"/>
        <v>-1</v>
      </c>
      <c r="BF210">
        <f t="shared" si="607"/>
        <v>-1</v>
      </c>
      <c r="BG210">
        <f t="shared" si="607"/>
        <v>-1</v>
      </c>
      <c r="BH210">
        <f t="shared" si="607"/>
        <v>-1</v>
      </c>
      <c r="BI210">
        <f t="shared" si="607"/>
        <v>-1</v>
      </c>
      <c r="BJ210">
        <f t="shared" si="607"/>
        <v>-1</v>
      </c>
      <c r="BK210">
        <f t="shared" si="607"/>
        <v>-1</v>
      </c>
      <c r="BL210">
        <f t="shared" si="607"/>
        <v>-1</v>
      </c>
      <c r="BM210">
        <f t="shared" si="607"/>
        <v>-1</v>
      </c>
      <c r="BN210">
        <f t="shared" si="607"/>
        <v>-1</v>
      </c>
      <c r="BO210">
        <f t="shared" si="607"/>
        <v>-1</v>
      </c>
      <c r="BP210">
        <f t="shared" ref="BP210:EA210" si="608">IF(OR(BP209=-1,AND(IF(BP$3&lt;$B210,BP209+BP$6,IF(BP$3=$B210,1,""))&gt;$B$1,BP$3&lt;$B210)),-1,IF(BP$3&lt;$B210,BP209+BP$6,IF(BP$3=$B210,1,"")))</f>
        <v>-1</v>
      </c>
      <c r="BQ210">
        <f t="shared" si="608"/>
        <v>-1</v>
      </c>
      <c r="BR210">
        <f t="shared" si="608"/>
        <v>-1</v>
      </c>
      <c r="BS210">
        <f t="shared" si="608"/>
        <v>-1</v>
      </c>
      <c r="BT210">
        <f t="shared" si="608"/>
        <v>-1</v>
      </c>
      <c r="BU210">
        <f t="shared" si="608"/>
        <v>-1</v>
      </c>
      <c r="BV210">
        <f t="shared" si="608"/>
        <v>-1</v>
      </c>
      <c r="BW210">
        <f t="shared" si="608"/>
        <v>-1</v>
      </c>
      <c r="BX210">
        <f t="shared" si="608"/>
        <v>-1</v>
      </c>
      <c r="BY210">
        <f t="shared" si="608"/>
        <v>-1</v>
      </c>
      <c r="BZ210">
        <f t="shared" si="608"/>
        <v>-1</v>
      </c>
      <c r="CA210">
        <f t="shared" si="608"/>
        <v>-1</v>
      </c>
      <c r="CB210">
        <f t="shared" si="608"/>
        <v>-1</v>
      </c>
      <c r="CC210">
        <f t="shared" si="608"/>
        <v>-1</v>
      </c>
      <c r="CD210">
        <f t="shared" si="608"/>
        <v>-1</v>
      </c>
      <c r="CE210">
        <f t="shared" si="608"/>
        <v>-1</v>
      </c>
      <c r="CF210">
        <f t="shared" si="608"/>
        <v>-1</v>
      </c>
      <c r="CG210">
        <f t="shared" si="608"/>
        <v>-1</v>
      </c>
      <c r="CH210">
        <f t="shared" si="608"/>
        <v>71.800000000000026</v>
      </c>
      <c r="CI210">
        <f t="shared" si="608"/>
        <v>68.20000000000006</v>
      </c>
      <c r="CJ210">
        <f t="shared" si="608"/>
        <v>64.600000000000094</v>
      </c>
      <c r="CK210">
        <f t="shared" si="608"/>
        <v>61.000000000000099</v>
      </c>
      <c r="CL210">
        <f t="shared" si="608"/>
        <v>57.400000000000091</v>
      </c>
      <c r="CM210">
        <f t="shared" si="608"/>
        <v>53.800000000000082</v>
      </c>
      <c r="CN210">
        <f t="shared" si="608"/>
        <v>50.200000000000074</v>
      </c>
      <c r="CO210">
        <f t="shared" si="608"/>
        <v>-1</v>
      </c>
      <c r="CP210">
        <f t="shared" si="608"/>
        <v>-1</v>
      </c>
      <c r="CQ210">
        <f t="shared" si="608"/>
        <v>-1</v>
      </c>
      <c r="CR210">
        <f t="shared" si="608"/>
        <v>-1</v>
      </c>
      <c r="CS210">
        <f t="shared" si="608"/>
        <v>-1</v>
      </c>
      <c r="CT210">
        <f t="shared" si="608"/>
        <v>-1</v>
      </c>
      <c r="CU210">
        <f t="shared" si="608"/>
        <v>-1</v>
      </c>
      <c r="CV210">
        <f t="shared" si="608"/>
        <v>-1</v>
      </c>
      <c r="CW210">
        <f t="shared" si="608"/>
        <v>-1</v>
      </c>
      <c r="CX210">
        <f t="shared" si="608"/>
        <v>-1</v>
      </c>
      <c r="CY210">
        <f t="shared" si="608"/>
        <v>-1</v>
      </c>
      <c r="CZ210">
        <f t="shared" si="608"/>
        <v>-1</v>
      </c>
      <c r="DA210">
        <f t="shared" si="608"/>
        <v>-1</v>
      </c>
      <c r="DB210">
        <f t="shared" si="608"/>
        <v>-1</v>
      </c>
      <c r="DC210">
        <f t="shared" si="608"/>
        <v>-1</v>
      </c>
      <c r="DD210">
        <f t="shared" si="608"/>
        <v>-1</v>
      </c>
      <c r="DE210">
        <f t="shared" si="608"/>
        <v>-1</v>
      </c>
      <c r="DF210">
        <f t="shared" si="608"/>
        <v>-1</v>
      </c>
      <c r="DG210">
        <f t="shared" si="608"/>
        <v>-1</v>
      </c>
      <c r="DH210">
        <f t="shared" si="608"/>
        <v>-1</v>
      </c>
      <c r="DI210">
        <f t="shared" si="608"/>
        <v>-1</v>
      </c>
      <c r="DJ210">
        <f t="shared" si="608"/>
        <v>-1</v>
      </c>
      <c r="DK210">
        <f t="shared" si="608"/>
        <v>-1</v>
      </c>
      <c r="DL210">
        <f t="shared" si="608"/>
        <v>-1</v>
      </c>
      <c r="DM210">
        <f t="shared" si="608"/>
        <v>-1</v>
      </c>
      <c r="DN210">
        <f t="shared" si="608"/>
        <v>-1</v>
      </c>
      <c r="DO210">
        <f t="shared" si="608"/>
        <v>-1</v>
      </c>
      <c r="DP210">
        <f t="shared" si="608"/>
        <v>-1</v>
      </c>
      <c r="DQ210">
        <f t="shared" si="608"/>
        <v>-1</v>
      </c>
      <c r="DR210">
        <f t="shared" si="608"/>
        <v>-1</v>
      </c>
      <c r="DS210">
        <f t="shared" si="608"/>
        <v>-1</v>
      </c>
      <c r="DT210">
        <f t="shared" si="608"/>
        <v>-1</v>
      </c>
      <c r="DU210">
        <f t="shared" si="608"/>
        <v>-1</v>
      </c>
      <c r="DV210">
        <f t="shared" si="608"/>
        <v>-1</v>
      </c>
      <c r="DW210">
        <f t="shared" si="608"/>
        <v>-1</v>
      </c>
      <c r="DX210">
        <f t="shared" si="608"/>
        <v>-1</v>
      </c>
      <c r="DY210">
        <f t="shared" si="608"/>
        <v>-1</v>
      </c>
      <c r="DZ210">
        <f t="shared" si="608"/>
        <v>-1</v>
      </c>
      <c r="EA210">
        <f t="shared" si="608"/>
        <v>-1</v>
      </c>
      <c r="EB210">
        <f t="shared" ref="EB210:EO210" si="609">IF(OR(EB209=-1,AND(IF(EB$3&lt;$B210,EB209+EB$6,IF(EB$3=$B210,1,""))&gt;$B$1,EB$3&lt;$B210)),-1,IF(EB$3&lt;$B210,EB209+EB$6,IF(EB$3=$B210,1,"")))</f>
        <v>-1</v>
      </c>
      <c r="EC210">
        <f t="shared" si="609"/>
        <v>-1</v>
      </c>
      <c r="ED210">
        <f t="shared" si="609"/>
        <v>-1</v>
      </c>
      <c r="EE210">
        <f t="shared" si="609"/>
        <v>-1</v>
      </c>
      <c r="EF210">
        <f t="shared" si="609"/>
        <v>-1</v>
      </c>
      <c r="EG210">
        <f t="shared" si="609"/>
        <v>-1</v>
      </c>
      <c r="EH210">
        <f t="shared" si="609"/>
        <v>-1</v>
      </c>
      <c r="EI210">
        <f t="shared" si="609"/>
        <v>-1</v>
      </c>
      <c r="EJ210">
        <f t="shared" si="609"/>
        <v>-1</v>
      </c>
      <c r="EK210">
        <f t="shared" si="609"/>
        <v>-1</v>
      </c>
      <c r="EL210">
        <f t="shared" si="609"/>
        <v>-1</v>
      </c>
      <c r="EM210">
        <f t="shared" si="609"/>
        <v>-1</v>
      </c>
      <c r="EN210">
        <f t="shared" si="609"/>
        <v>-1</v>
      </c>
      <c r="EO210">
        <f t="shared" si="609"/>
        <v>-1</v>
      </c>
    </row>
    <row r="211" spans="1:145" x14ac:dyDescent="0.15">
      <c r="A211" t="e">
        <f t="shared" si="579"/>
        <v>#N/A</v>
      </c>
      <c r="B211" s="218">
        <v>203</v>
      </c>
      <c r="C211">
        <f t="shared" si="579"/>
        <v>-1</v>
      </c>
      <c r="D211">
        <f t="shared" ref="D211:BO211" si="610">IF(OR(D210=-1,AND(IF(D$3&lt;$B211,D210+D$6,IF(D$3=$B211,1,""))&gt;$B$1,D$3&lt;$B211)),-1,IF(D$3&lt;$B211,D210+D$6,IF(D$3=$B211,1,"")))</f>
        <v>-1</v>
      </c>
      <c r="E211">
        <f t="shared" si="610"/>
        <v>-1</v>
      </c>
      <c r="F211">
        <f t="shared" si="610"/>
        <v>-1</v>
      </c>
      <c r="G211">
        <f t="shared" si="610"/>
        <v>-1</v>
      </c>
      <c r="H211">
        <f t="shared" si="610"/>
        <v>-1</v>
      </c>
      <c r="I211">
        <f t="shared" si="610"/>
        <v>-1</v>
      </c>
      <c r="J211">
        <f t="shared" si="610"/>
        <v>-1</v>
      </c>
      <c r="K211">
        <f t="shared" si="610"/>
        <v>-1</v>
      </c>
      <c r="L211">
        <f t="shared" si="610"/>
        <v>-1</v>
      </c>
      <c r="M211">
        <f t="shared" si="610"/>
        <v>-1</v>
      </c>
      <c r="N211">
        <f t="shared" si="610"/>
        <v>-1</v>
      </c>
      <c r="O211">
        <f t="shared" si="610"/>
        <v>-1</v>
      </c>
      <c r="P211">
        <f t="shared" si="610"/>
        <v>-1</v>
      </c>
      <c r="Q211">
        <f t="shared" si="610"/>
        <v>-1</v>
      </c>
      <c r="R211">
        <f t="shared" si="610"/>
        <v>-1</v>
      </c>
      <c r="S211">
        <f t="shared" si="610"/>
        <v>-1</v>
      </c>
      <c r="T211">
        <f t="shared" si="610"/>
        <v>-1</v>
      </c>
      <c r="U211">
        <f t="shared" si="610"/>
        <v>-1</v>
      </c>
      <c r="V211">
        <f t="shared" si="610"/>
        <v>-1</v>
      </c>
      <c r="W211">
        <f t="shared" si="610"/>
        <v>-1</v>
      </c>
      <c r="X211">
        <f t="shared" si="610"/>
        <v>-1</v>
      </c>
      <c r="Y211">
        <f t="shared" si="610"/>
        <v>-1</v>
      </c>
      <c r="Z211">
        <f t="shared" si="610"/>
        <v>-1</v>
      </c>
      <c r="AA211">
        <f t="shared" si="610"/>
        <v>-1</v>
      </c>
      <c r="AB211">
        <f t="shared" si="610"/>
        <v>-1</v>
      </c>
      <c r="AC211">
        <f t="shared" si="610"/>
        <v>-1</v>
      </c>
      <c r="AD211">
        <f t="shared" si="610"/>
        <v>-1</v>
      </c>
      <c r="AE211">
        <f t="shared" si="610"/>
        <v>-1</v>
      </c>
      <c r="AF211">
        <f t="shared" si="610"/>
        <v>-1</v>
      </c>
      <c r="AG211">
        <f t="shared" si="610"/>
        <v>-1</v>
      </c>
      <c r="AH211">
        <f t="shared" si="610"/>
        <v>-1</v>
      </c>
      <c r="AI211">
        <f t="shared" si="610"/>
        <v>-1</v>
      </c>
      <c r="AJ211">
        <f t="shared" si="610"/>
        <v>-1</v>
      </c>
      <c r="AK211">
        <f t="shared" si="610"/>
        <v>-1</v>
      </c>
      <c r="AL211">
        <f t="shared" si="610"/>
        <v>-1</v>
      </c>
      <c r="AM211">
        <f t="shared" si="610"/>
        <v>-1</v>
      </c>
      <c r="AN211">
        <f t="shared" si="610"/>
        <v>-1</v>
      </c>
      <c r="AO211">
        <f t="shared" si="610"/>
        <v>-1</v>
      </c>
      <c r="AP211">
        <f t="shared" si="610"/>
        <v>-1</v>
      </c>
      <c r="AQ211">
        <f t="shared" si="610"/>
        <v>-1</v>
      </c>
      <c r="AR211">
        <f t="shared" si="610"/>
        <v>-1</v>
      </c>
      <c r="AS211">
        <f t="shared" si="610"/>
        <v>-1</v>
      </c>
      <c r="AT211">
        <f t="shared" si="610"/>
        <v>-1</v>
      </c>
      <c r="AU211">
        <f t="shared" si="610"/>
        <v>-1</v>
      </c>
      <c r="AV211">
        <f t="shared" si="610"/>
        <v>-1</v>
      </c>
      <c r="AW211">
        <f t="shared" si="610"/>
        <v>-1</v>
      </c>
      <c r="AX211">
        <f t="shared" si="610"/>
        <v>-1</v>
      </c>
      <c r="AY211">
        <f t="shared" si="610"/>
        <v>-1</v>
      </c>
      <c r="AZ211">
        <f t="shared" si="610"/>
        <v>-1</v>
      </c>
      <c r="BA211">
        <f t="shared" si="610"/>
        <v>-1</v>
      </c>
      <c r="BB211">
        <f t="shared" si="610"/>
        <v>-1</v>
      </c>
      <c r="BC211">
        <f t="shared" si="610"/>
        <v>-1</v>
      </c>
      <c r="BD211">
        <f t="shared" si="610"/>
        <v>-1</v>
      </c>
      <c r="BE211">
        <f t="shared" si="610"/>
        <v>-1</v>
      </c>
      <c r="BF211">
        <f t="shared" si="610"/>
        <v>-1</v>
      </c>
      <c r="BG211">
        <f t="shared" si="610"/>
        <v>-1</v>
      </c>
      <c r="BH211">
        <f t="shared" si="610"/>
        <v>-1</v>
      </c>
      <c r="BI211">
        <f t="shared" si="610"/>
        <v>-1</v>
      </c>
      <c r="BJ211">
        <f t="shared" si="610"/>
        <v>-1</v>
      </c>
      <c r="BK211">
        <f t="shared" si="610"/>
        <v>-1</v>
      </c>
      <c r="BL211">
        <f t="shared" si="610"/>
        <v>-1</v>
      </c>
      <c r="BM211">
        <f t="shared" si="610"/>
        <v>-1</v>
      </c>
      <c r="BN211">
        <f t="shared" si="610"/>
        <v>-1</v>
      </c>
      <c r="BO211">
        <f t="shared" si="610"/>
        <v>-1</v>
      </c>
      <c r="BP211">
        <f t="shared" ref="BP211:EA211" si="611">IF(OR(BP210=-1,AND(IF(BP$3&lt;$B211,BP210+BP$6,IF(BP$3=$B211,1,""))&gt;$B$1,BP$3&lt;$B211)),-1,IF(BP$3&lt;$B211,BP210+BP$6,IF(BP$3=$B211,1,"")))</f>
        <v>-1</v>
      </c>
      <c r="BQ211">
        <f t="shared" si="611"/>
        <v>-1</v>
      </c>
      <c r="BR211">
        <f t="shared" si="611"/>
        <v>-1</v>
      </c>
      <c r="BS211">
        <f t="shared" si="611"/>
        <v>-1</v>
      </c>
      <c r="BT211">
        <f t="shared" si="611"/>
        <v>-1</v>
      </c>
      <c r="BU211">
        <f t="shared" si="611"/>
        <v>-1</v>
      </c>
      <c r="BV211">
        <f t="shared" si="611"/>
        <v>-1</v>
      </c>
      <c r="BW211">
        <f t="shared" si="611"/>
        <v>-1</v>
      </c>
      <c r="BX211">
        <f t="shared" si="611"/>
        <v>-1</v>
      </c>
      <c r="BY211">
        <f t="shared" si="611"/>
        <v>-1</v>
      </c>
      <c r="BZ211">
        <f t="shared" si="611"/>
        <v>-1</v>
      </c>
      <c r="CA211">
        <f t="shared" si="611"/>
        <v>-1</v>
      </c>
      <c r="CB211">
        <f t="shared" si="611"/>
        <v>-1</v>
      </c>
      <c r="CC211">
        <f t="shared" si="611"/>
        <v>-1</v>
      </c>
      <c r="CD211">
        <f t="shared" si="611"/>
        <v>-1</v>
      </c>
      <c r="CE211">
        <f t="shared" si="611"/>
        <v>-1</v>
      </c>
      <c r="CF211">
        <f t="shared" si="611"/>
        <v>-1</v>
      </c>
      <c r="CG211">
        <f t="shared" si="611"/>
        <v>-1</v>
      </c>
      <c r="CH211">
        <f t="shared" si="611"/>
        <v>72.40000000000002</v>
      </c>
      <c r="CI211">
        <f t="shared" si="611"/>
        <v>68.800000000000054</v>
      </c>
      <c r="CJ211">
        <f t="shared" si="611"/>
        <v>65.200000000000088</v>
      </c>
      <c r="CK211">
        <f t="shared" si="611"/>
        <v>61.600000000000101</v>
      </c>
      <c r="CL211">
        <f t="shared" si="611"/>
        <v>58.000000000000092</v>
      </c>
      <c r="CM211">
        <f t="shared" si="611"/>
        <v>54.400000000000084</v>
      </c>
      <c r="CN211">
        <f t="shared" si="611"/>
        <v>50.800000000000075</v>
      </c>
      <c r="CO211">
        <f t="shared" si="611"/>
        <v>-1</v>
      </c>
      <c r="CP211">
        <f t="shared" si="611"/>
        <v>-1</v>
      </c>
      <c r="CQ211">
        <f t="shared" si="611"/>
        <v>-1</v>
      </c>
      <c r="CR211">
        <f t="shared" si="611"/>
        <v>-1</v>
      </c>
      <c r="CS211">
        <f t="shared" si="611"/>
        <v>-1</v>
      </c>
      <c r="CT211">
        <f t="shared" si="611"/>
        <v>-1</v>
      </c>
      <c r="CU211">
        <f t="shared" si="611"/>
        <v>-1</v>
      </c>
      <c r="CV211">
        <f t="shared" si="611"/>
        <v>-1</v>
      </c>
      <c r="CW211">
        <f t="shared" si="611"/>
        <v>-1</v>
      </c>
      <c r="CX211">
        <f t="shared" si="611"/>
        <v>-1</v>
      </c>
      <c r="CY211">
        <f t="shared" si="611"/>
        <v>-1</v>
      </c>
      <c r="CZ211">
        <f t="shared" si="611"/>
        <v>-1</v>
      </c>
      <c r="DA211">
        <f t="shared" si="611"/>
        <v>-1</v>
      </c>
      <c r="DB211">
        <f t="shared" si="611"/>
        <v>-1</v>
      </c>
      <c r="DC211">
        <f t="shared" si="611"/>
        <v>-1</v>
      </c>
      <c r="DD211">
        <f t="shared" si="611"/>
        <v>-1</v>
      </c>
      <c r="DE211">
        <f t="shared" si="611"/>
        <v>-1</v>
      </c>
      <c r="DF211">
        <f t="shared" si="611"/>
        <v>-1</v>
      </c>
      <c r="DG211">
        <f t="shared" si="611"/>
        <v>-1</v>
      </c>
      <c r="DH211">
        <f t="shared" si="611"/>
        <v>-1</v>
      </c>
      <c r="DI211">
        <f t="shared" si="611"/>
        <v>-1</v>
      </c>
      <c r="DJ211">
        <f t="shared" si="611"/>
        <v>-1</v>
      </c>
      <c r="DK211">
        <f t="shared" si="611"/>
        <v>-1</v>
      </c>
      <c r="DL211">
        <f t="shared" si="611"/>
        <v>-1</v>
      </c>
      <c r="DM211">
        <f t="shared" si="611"/>
        <v>-1</v>
      </c>
      <c r="DN211">
        <f t="shared" si="611"/>
        <v>-1</v>
      </c>
      <c r="DO211">
        <f t="shared" si="611"/>
        <v>-1</v>
      </c>
      <c r="DP211">
        <f t="shared" si="611"/>
        <v>-1</v>
      </c>
      <c r="DQ211">
        <f t="shared" si="611"/>
        <v>-1</v>
      </c>
      <c r="DR211">
        <f t="shared" si="611"/>
        <v>-1</v>
      </c>
      <c r="DS211">
        <f t="shared" si="611"/>
        <v>-1</v>
      </c>
      <c r="DT211">
        <f t="shared" si="611"/>
        <v>-1</v>
      </c>
      <c r="DU211">
        <f t="shared" si="611"/>
        <v>-1</v>
      </c>
      <c r="DV211">
        <f t="shared" si="611"/>
        <v>-1</v>
      </c>
      <c r="DW211">
        <f t="shared" si="611"/>
        <v>-1</v>
      </c>
      <c r="DX211">
        <f t="shared" si="611"/>
        <v>-1</v>
      </c>
      <c r="DY211">
        <f t="shared" si="611"/>
        <v>-1</v>
      </c>
      <c r="DZ211">
        <f t="shared" si="611"/>
        <v>-1</v>
      </c>
      <c r="EA211">
        <f t="shared" si="611"/>
        <v>-1</v>
      </c>
      <c r="EB211">
        <f t="shared" ref="EB211:EO211" si="612">IF(OR(EB210=-1,AND(IF(EB$3&lt;$B211,EB210+EB$6,IF(EB$3=$B211,1,""))&gt;$B$1,EB$3&lt;$B211)),-1,IF(EB$3&lt;$B211,EB210+EB$6,IF(EB$3=$B211,1,"")))</f>
        <v>-1</v>
      </c>
      <c r="EC211">
        <f t="shared" si="612"/>
        <v>-1</v>
      </c>
      <c r="ED211">
        <f t="shared" si="612"/>
        <v>-1</v>
      </c>
      <c r="EE211">
        <f t="shared" si="612"/>
        <v>-1</v>
      </c>
      <c r="EF211">
        <f t="shared" si="612"/>
        <v>-1</v>
      </c>
      <c r="EG211">
        <f t="shared" si="612"/>
        <v>-1</v>
      </c>
      <c r="EH211">
        <f t="shared" si="612"/>
        <v>-1</v>
      </c>
      <c r="EI211">
        <f t="shared" si="612"/>
        <v>-1</v>
      </c>
      <c r="EJ211">
        <f t="shared" si="612"/>
        <v>-1</v>
      </c>
      <c r="EK211">
        <f t="shared" si="612"/>
        <v>-1</v>
      </c>
      <c r="EL211">
        <f t="shared" si="612"/>
        <v>-1</v>
      </c>
      <c r="EM211">
        <f t="shared" si="612"/>
        <v>-1</v>
      </c>
      <c r="EN211">
        <f t="shared" si="612"/>
        <v>-1</v>
      </c>
      <c r="EO211">
        <f t="shared" si="612"/>
        <v>-1</v>
      </c>
    </row>
    <row r="212" spans="1:145" x14ac:dyDescent="0.15">
      <c r="A212" t="e">
        <f t="shared" si="579"/>
        <v>#N/A</v>
      </c>
      <c r="B212" s="218">
        <v>204</v>
      </c>
      <c r="C212">
        <f t="shared" si="579"/>
        <v>-1</v>
      </c>
      <c r="D212">
        <f t="shared" ref="D212:BO212" si="613">IF(OR(D211=-1,AND(IF(D$3&lt;$B212,D211+D$6,IF(D$3=$B212,1,""))&gt;$B$1,D$3&lt;$B212)),-1,IF(D$3&lt;$B212,D211+D$6,IF(D$3=$B212,1,"")))</f>
        <v>-1</v>
      </c>
      <c r="E212">
        <f t="shared" si="613"/>
        <v>-1</v>
      </c>
      <c r="F212">
        <f t="shared" si="613"/>
        <v>-1</v>
      </c>
      <c r="G212">
        <f t="shared" si="613"/>
        <v>-1</v>
      </c>
      <c r="H212">
        <f t="shared" si="613"/>
        <v>-1</v>
      </c>
      <c r="I212">
        <f t="shared" si="613"/>
        <v>-1</v>
      </c>
      <c r="J212">
        <f t="shared" si="613"/>
        <v>-1</v>
      </c>
      <c r="K212">
        <f t="shared" si="613"/>
        <v>-1</v>
      </c>
      <c r="L212">
        <f t="shared" si="613"/>
        <v>-1</v>
      </c>
      <c r="M212">
        <f t="shared" si="613"/>
        <v>-1</v>
      </c>
      <c r="N212">
        <f t="shared" si="613"/>
        <v>-1</v>
      </c>
      <c r="O212">
        <f t="shared" si="613"/>
        <v>-1</v>
      </c>
      <c r="P212">
        <f t="shared" si="613"/>
        <v>-1</v>
      </c>
      <c r="Q212">
        <f t="shared" si="613"/>
        <v>-1</v>
      </c>
      <c r="R212">
        <f t="shared" si="613"/>
        <v>-1</v>
      </c>
      <c r="S212">
        <f t="shared" si="613"/>
        <v>-1</v>
      </c>
      <c r="T212">
        <f t="shared" si="613"/>
        <v>-1</v>
      </c>
      <c r="U212">
        <f t="shared" si="613"/>
        <v>-1</v>
      </c>
      <c r="V212">
        <f t="shared" si="613"/>
        <v>-1</v>
      </c>
      <c r="W212">
        <f t="shared" si="613"/>
        <v>-1</v>
      </c>
      <c r="X212">
        <f t="shared" si="613"/>
        <v>-1</v>
      </c>
      <c r="Y212">
        <f t="shared" si="613"/>
        <v>-1</v>
      </c>
      <c r="Z212">
        <f t="shared" si="613"/>
        <v>-1</v>
      </c>
      <c r="AA212">
        <f t="shared" si="613"/>
        <v>-1</v>
      </c>
      <c r="AB212">
        <f t="shared" si="613"/>
        <v>-1</v>
      </c>
      <c r="AC212">
        <f t="shared" si="613"/>
        <v>-1</v>
      </c>
      <c r="AD212">
        <f t="shared" si="613"/>
        <v>-1</v>
      </c>
      <c r="AE212">
        <f t="shared" si="613"/>
        <v>-1</v>
      </c>
      <c r="AF212">
        <f t="shared" si="613"/>
        <v>-1</v>
      </c>
      <c r="AG212">
        <f t="shared" si="613"/>
        <v>-1</v>
      </c>
      <c r="AH212">
        <f t="shared" si="613"/>
        <v>-1</v>
      </c>
      <c r="AI212">
        <f t="shared" si="613"/>
        <v>-1</v>
      </c>
      <c r="AJ212">
        <f t="shared" si="613"/>
        <v>-1</v>
      </c>
      <c r="AK212">
        <f t="shared" si="613"/>
        <v>-1</v>
      </c>
      <c r="AL212">
        <f t="shared" si="613"/>
        <v>-1</v>
      </c>
      <c r="AM212">
        <f t="shared" si="613"/>
        <v>-1</v>
      </c>
      <c r="AN212">
        <f t="shared" si="613"/>
        <v>-1</v>
      </c>
      <c r="AO212">
        <f t="shared" si="613"/>
        <v>-1</v>
      </c>
      <c r="AP212">
        <f t="shared" si="613"/>
        <v>-1</v>
      </c>
      <c r="AQ212">
        <f t="shared" si="613"/>
        <v>-1</v>
      </c>
      <c r="AR212">
        <f t="shared" si="613"/>
        <v>-1</v>
      </c>
      <c r="AS212">
        <f t="shared" si="613"/>
        <v>-1</v>
      </c>
      <c r="AT212">
        <f t="shared" si="613"/>
        <v>-1</v>
      </c>
      <c r="AU212">
        <f t="shared" si="613"/>
        <v>-1</v>
      </c>
      <c r="AV212">
        <f t="shared" si="613"/>
        <v>-1</v>
      </c>
      <c r="AW212">
        <f t="shared" si="613"/>
        <v>-1</v>
      </c>
      <c r="AX212">
        <f t="shared" si="613"/>
        <v>-1</v>
      </c>
      <c r="AY212">
        <f t="shared" si="613"/>
        <v>-1</v>
      </c>
      <c r="AZ212">
        <f t="shared" si="613"/>
        <v>-1</v>
      </c>
      <c r="BA212">
        <f t="shared" si="613"/>
        <v>-1</v>
      </c>
      <c r="BB212">
        <f t="shared" si="613"/>
        <v>-1</v>
      </c>
      <c r="BC212">
        <f t="shared" si="613"/>
        <v>-1</v>
      </c>
      <c r="BD212">
        <f t="shared" si="613"/>
        <v>-1</v>
      </c>
      <c r="BE212">
        <f t="shared" si="613"/>
        <v>-1</v>
      </c>
      <c r="BF212">
        <f t="shared" si="613"/>
        <v>-1</v>
      </c>
      <c r="BG212">
        <f t="shared" si="613"/>
        <v>-1</v>
      </c>
      <c r="BH212">
        <f t="shared" si="613"/>
        <v>-1</v>
      </c>
      <c r="BI212">
        <f t="shared" si="613"/>
        <v>-1</v>
      </c>
      <c r="BJ212">
        <f t="shared" si="613"/>
        <v>-1</v>
      </c>
      <c r="BK212">
        <f t="shared" si="613"/>
        <v>-1</v>
      </c>
      <c r="BL212">
        <f t="shared" si="613"/>
        <v>-1</v>
      </c>
      <c r="BM212">
        <f t="shared" si="613"/>
        <v>-1</v>
      </c>
      <c r="BN212">
        <f t="shared" si="613"/>
        <v>-1</v>
      </c>
      <c r="BO212">
        <f t="shared" si="613"/>
        <v>-1</v>
      </c>
      <c r="BP212">
        <f t="shared" ref="BP212:EA212" si="614">IF(OR(BP211=-1,AND(IF(BP$3&lt;$B212,BP211+BP$6,IF(BP$3=$B212,1,""))&gt;$B$1,BP$3&lt;$B212)),-1,IF(BP$3&lt;$B212,BP211+BP$6,IF(BP$3=$B212,1,"")))</f>
        <v>-1</v>
      </c>
      <c r="BQ212">
        <f t="shared" si="614"/>
        <v>-1</v>
      </c>
      <c r="BR212">
        <f t="shared" si="614"/>
        <v>-1</v>
      </c>
      <c r="BS212">
        <f t="shared" si="614"/>
        <v>-1</v>
      </c>
      <c r="BT212">
        <f t="shared" si="614"/>
        <v>-1</v>
      </c>
      <c r="BU212">
        <f t="shared" si="614"/>
        <v>-1</v>
      </c>
      <c r="BV212">
        <f t="shared" si="614"/>
        <v>-1</v>
      </c>
      <c r="BW212">
        <f t="shared" si="614"/>
        <v>-1</v>
      </c>
      <c r="BX212">
        <f t="shared" si="614"/>
        <v>-1</v>
      </c>
      <c r="BY212">
        <f t="shared" si="614"/>
        <v>-1</v>
      </c>
      <c r="BZ212">
        <f t="shared" si="614"/>
        <v>-1</v>
      </c>
      <c r="CA212">
        <f t="shared" si="614"/>
        <v>-1</v>
      </c>
      <c r="CB212">
        <f t="shared" si="614"/>
        <v>-1</v>
      </c>
      <c r="CC212">
        <f t="shared" si="614"/>
        <v>-1</v>
      </c>
      <c r="CD212">
        <f t="shared" si="614"/>
        <v>-1</v>
      </c>
      <c r="CE212">
        <f t="shared" si="614"/>
        <v>-1</v>
      </c>
      <c r="CF212">
        <f t="shared" si="614"/>
        <v>-1</v>
      </c>
      <c r="CG212">
        <f t="shared" si="614"/>
        <v>-1</v>
      </c>
      <c r="CH212">
        <f t="shared" si="614"/>
        <v>73.000000000000014</v>
      </c>
      <c r="CI212">
        <f t="shared" si="614"/>
        <v>69.400000000000048</v>
      </c>
      <c r="CJ212">
        <f t="shared" si="614"/>
        <v>65.800000000000082</v>
      </c>
      <c r="CK212">
        <f t="shared" si="614"/>
        <v>62.200000000000102</v>
      </c>
      <c r="CL212">
        <f t="shared" si="614"/>
        <v>58.600000000000094</v>
      </c>
      <c r="CM212">
        <f t="shared" si="614"/>
        <v>55.000000000000085</v>
      </c>
      <c r="CN212">
        <f t="shared" si="614"/>
        <v>51.400000000000077</v>
      </c>
      <c r="CO212">
        <f t="shared" si="614"/>
        <v>-1</v>
      </c>
      <c r="CP212">
        <f t="shared" si="614"/>
        <v>-1</v>
      </c>
      <c r="CQ212">
        <f t="shared" si="614"/>
        <v>-1</v>
      </c>
      <c r="CR212">
        <f t="shared" si="614"/>
        <v>-1</v>
      </c>
      <c r="CS212">
        <f t="shared" si="614"/>
        <v>-1</v>
      </c>
      <c r="CT212">
        <f t="shared" si="614"/>
        <v>-1</v>
      </c>
      <c r="CU212">
        <f t="shared" si="614"/>
        <v>-1</v>
      </c>
      <c r="CV212">
        <f t="shared" si="614"/>
        <v>-1</v>
      </c>
      <c r="CW212">
        <f t="shared" si="614"/>
        <v>-1</v>
      </c>
      <c r="CX212">
        <f t="shared" si="614"/>
        <v>-1</v>
      </c>
      <c r="CY212">
        <f t="shared" si="614"/>
        <v>-1</v>
      </c>
      <c r="CZ212">
        <f t="shared" si="614"/>
        <v>-1</v>
      </c>
      <c r="DA212">
        <f t="shared" si="614"/>
        <v>-1</v>
      </c>
      <c r="DB212">
        <f t="shared" si="614"/>
        <v>-1</v>
      </c>
      <c r="DC212">
        <f t="shared" si="614"/>
        <v>-1</v>
      </c>
      <c r="DD212">
        <f t="shared" si="614"/>
        <v>-1</v>
      </c>
      <c r="DE212">
        <f t="shared" si="614"/>
        <v>-1</v>
      </c>
      <c r="DF212">
        <f t="shared" si="614"/>
        <v>-1</v>
      </c>
      <c r="DG212">
        <f t="shared" si="614"/>
        <v>-1</v>
      </c>
      <c r="DH212">
        <f t="shared" si="614"/>
        <v>-1</v>
      </c>
      <c r="DI212">
        <f t="shared" si="614"/>
        <v>-1</v>
      </c>
      <c r="DJ212">
        <f t="shared" si="614"/>
        <v>-1</v>
      </c>
      <c r="DK212">
        <f t="shared" si="614"/>
        <v>-1</v>
      </c>
      <c r="DL212">
        <f t="shared" si="614"/>
        <v>-1</v>
      </c>
      <c r="DM212">
        <f t="shared" si="614"/>
        <v>-1</v>
      </c>
      <c r="DN212">
        <f t="shared" si="614"/>
        <v>-1</v>
      </c>
      <c r="DO212">
        <f t="shared" si="614"/>
        <v>-1</v>
      </c>
      <c r="DP212">
        <f t="shared" si="614"/>
        <v>-1</v>
      </c>
      <c r="DQ212">
        <f t="shared" si="614"/>
        <v>-1</v>
      </c>
      <c r="DR212">
        <f t="shared" si="614"/>
        <v>-1</v>
      </c>
      <c r="DS212">
        <f t="shared" si="614"/>
        <v>-1</v>
      </c>
      <c r="DT212">
        <f t="shared" si="614"/>
        <v>-1</v>
      </c>
      <c r="DU212">
        <f t="shared" si="614"/>
        <v>-1</v>
      </c>
      <c r="DV212">
        <f t="shared" si="614"/>
        <v>-1</v>
      </c>
      <c r="DW212">
        <f t="shared" si="614"/>
        <v>-1</v>
      </c>
      <c r="DX212">
        <f t="shared" si="614"/>
        <v>-1</v>
      </c>
      <c r="DY212">
        <f t="shared" si="614"/>
        <v>-1</v>
      </c>
      <c r="DZ212">
        <f t="shared" si="614"/>
        <v>-1</v>
      </c>
      <c r="EA212">
        <f t="shared" si="614"/>
        <v>-1</v>
      </c>
      <c r="EB212">
        <f t="shared" ref="EB212:EO212" si="615">IF(OR(EB211=-1,AND(IF(EB$3&lt;$B212,EB211+EB$6,IF(EB$3=$B212,1,""))&gt;$B$1,EB$3&lt;$B212)),-1,IF(EB$3&lt;$B212,EB211+EB$6,IF(EB$3=$B212,1,"")))</f>
        <v>-1</v>
      </c>
      <c r="EC212">
        <f t="shared" si="615"/>
        <v>-1</v>
      </c>
      <c r="ED212">
        <f t="shared" si="615"/>
        <v>-1</v>
      </c>
      <c r="EE212">
        <f t="shared" si="615"/>
        <v>-1</v>
      </c>
      <c r="EF212">
        <f t="shared" si="615"/>
        <v>-1</v>
      </c>
      <c r="EG212">
        <f t="shared" si="615"/>
        <v>-1</v>
      </c>
      <c r="EH212">
        <f t="shared" si="615"/>
        <v>-1</v>
      </c>
      <c r="EI212">
        <f t="shared" si="615"/>
        <v>-1</v>
      </c>
      <c r="EJ212">
        <f t="shared" si="615"/>
        <v>-1</v>
      </c>
      <c r="EK212">
        <f t="shared" si="615"/>
        <v>-1</v>
      </c>
      <c r="EL212">
        <f t="shared" si="615"/>
        <v>-1</v>
      </c>
      <c r="EM212">
        <f t="shared" si="615"/>
        <v>-1</v>
      </c>
      <c r="EN212">
        <f t="shared" si="615"/>
        <v>-1</v>
      </c>
      <c r="EO212">
        <f t="shared" si="615"/>
        <v>-1</v>
      </c>
    </row>
    <row r="213" spans="1:145" x14ac:dyDescent="0.15">
      <c r="A213" t="e">
        <f t="shared" si="579"/>
        <v>#N/A</v>
      </c>
      <c r="B213" s="218">
        <v>205</v>
      </c>
      <c r="C213">
        <f t="shared" si="579"/>
        <v>-1</v>
      </c>
      <c r="D213">
        <f t="shared" ref="D213:BO213" si="616">IF(OR(D212=-1,AND(IF(D$3&lt;$B213,D212+D$6,IF(D$3=$B213,1,""))&gt;$B$1,D$3&lt;$B213)),-1,IF(D$3&lt;$B213,D212+D$6,IF(D$3=$B213,1,"")))</f>
        <v>-1</v>
      </c>
      <c r="E213">
        <f t="shared" si="616"/>
        <v>-1</v>
      </c>
      <c r="F213">
        <f t="shared" si="616"/>
        <v>-1</v>
      </c>
      <c r="G213">
        <f t="shared" si="616"/>
        <v>-1</v>
      </c>
      <c r="H213">
        <f t="shared" si="616"/>
        <v>-1</v>
      </c>
      <c r="I213">
        <f t="shared" si="616"/>
        <v>-1</v>
      </c>
      <c r="J213">
        <f t="shared" si="616"/>
        <v>-1</v>
      </c>
      <c r="K213">
        <f t="shared" si="616"/>
        <v>-1</v>
      </c>
      <c r="L213">
        <f t="shared" si="616"/>
        <v>-1</v>
      </c>
      <c r="M213">
        <f t="shared" si="616"/>
        <v>-1</v>
      </c>
      <c r="N213">
        <f t="shared" si="616"/>
        <v>-1</v>
      </c>
      <c r="O213">
        <f t="shared" si="616"/>
        <v>-1</v>
      </c>
      <c r="P213">
        <f t="shared" si="616"/>
        <v>-1</v>
      </c>
      <c r="Q213">
        <f t="shared" si="616"/>
        <v>-1</v>
      </c>
      <c r="R213">
        <f t="shared" si="616"/>
        <v>-1</v>
      </c>
      <c r="S213">
        <f t="shared" si="616"/>
        <v>-1</v>
      </c>
      <c r="T213">
        <f t="shared" si="616"/>
        <v>-1</v>
      </c>
      <c r="U213">
        <f t="shared" si="616"/>
        <v>-1</v>
      </c>
      <c r="V213">
        <f t="shared" si="616"/>
        <v>-1</v>
      </c>
      <c r="W213">
        <f t="shared" si="616"/>
        <v>-1</v>
      </c>
      <c r="X213">
        <f t="shared" si="616"/>
        <v>-1</v>
      </c>
      <c r="Y213">
        <f t="shared" si="616"/>
        <v>-1</v>
      </c>
      <c r="Z213">
        <f t="shared" si="616"/>
        <v>-1</v>
      </c>
      <c r="AA213">
        <f t="shared" si="616"/>
        <v>-1</v>
      </c>
      <c r="AB213">
        <f t="shared" si="616"/>
        <v>-1</v>
      </c>
      <c r="AC213">
        <f t="shared" si="616"/>
        <v>-1</v>
      </c>
      <c r="AD213">
        <f t="shared" si="616"/>
        <v>-1</v>
      </c>
      <c r="AE213">
        <f t="shared" si="616"/>
        <v>-1</v>
      </c>
      <c r="AF213">
        <f t="shared" si="616"/>
        <v>-1</v>
      </c>
      <c r="AG213">
        <f t="shared" si="616"/>
        <v>-1</v>
      </c>
      <c r="AH213">
        <f t="shared" si="616"/>
        <v>-1</v>
      </c>
      <c r="AI213">
        <f t="shared" si="616"/>
        <v>-1</v>
      </c>
      <c r="AJ213">
        <f t="shared" si="616"/>
        <v>-1</v>
      </c>
      <c r="AK213">
        <f t="shared" si="616"/>
        <v>-1</v>
      </c>
      <c r="AL213">
        <f t="shared" si="616"/>
        <v>-1</v>
      </c>
      <c r="AM213">
        <f t="shared" si="616"/>
        <v>-1</v>
      </c>
      <c r="AN213">
        <f t="shared" si="616"/>
        <v>-1</v>
      </c>
      <c r="AO213">
        <f t="shared" si="616"/>
        <v>-1</v>
      </c>
      <c r="AP213">
        <f t="shared" si="616"/>
        <v>-1</v>
      </c>
      <c r="AQ213">
        <f t="shared" si="616"/>
        <v>-1</v>
      </c>
      <c r="AR213">
        <f t="shared" si="616"/>
        <v>-1</v>
      </c>
      <c r="AS213">
        <f t="shared" si="616"/>
        <v>-1</v>
      </c>
      <c r="AT213">
        <f t="shared" si="616"/>
        <v>-1</v>
      </c>
      <c r="AU213">
        <f t="shared" si="616"/>
        <v>-1</v>
      </c>
      <c r="AV213">
        <f t="shared" si="616"/>
        <v>-1</v>
      </c>
      <c r="AW213">
        <f t="shared" si="616"/>
        <v>-1</v>
      </c>
      <c r="AX213">
        <f t="shared" si="616"/>
        <v>-1</v>
      </c>
      <c r="AY213">
        <f t="shared" si="616"/>
        <v>-1</v>
      </c>
      <c r="AZ213">
        <f t="shared" si="616"/>
        <v>-1</v>
      </c>
      <c r="BA213">
        <f t="shared" si="616"/>
        <v>-1</v>
      </c>
      <c r="BB213">
        <f t="shared" si="616"/>
        <v>-1</v>
      </c>
      <c r="BC213">
        <f t="shared" si="616"/>
        <v>-1</v>
      </c>
      <c r="BD213">
        <f t="shared" si="616"/>
        <v>-1</v>
      </c>
      <c r="BE213">
        <f t="shared" si="616"/>
        <v>-1</v>
      </c>
      <c r="BF213">
        <f t="shared" si="616"/>
        <v>-1</v>
      </c>
      <c r="BG213">
        <f t="shared" si="616"/>
        <v>-1</v>
      </c>
      <c r="BH213">
        <f t="shared" si="616"/>
        <v>-1</v>
      </c>
      <c r="BI213">
        <f t="shared" si="616"/>
        <v>-1</v>
      </c>
      <c r="BJ213">
        <f t="shared" si="616"/>
        <v>-1</v>
      </c>
      <c r="BK213">
        <f t="shared" si="616"/>
        <v>-1</v>
      </c>
      <c r="BL213">
        <f t="shared" si="616"/>
        <v>-1</v>
      </c>
      <c r="BM213">
        <f t="shared" si="616"/>
        <v>-1</v>
      </c>
      <c r="BN213">
        <f t="shared" si="616"/>
        <v>-1</v>
      </c>
      <c r="BO213">
        <f t="shared" si="616"/>
        <v>-1</v>
      </c>
      <c r="BP213">
        <f t="shared" ref="BP213:EA213" si="617">IF(OR(BP212=-1,AND(IF(BP$3&lt;$B213,BP212+BP$6,IF(BP$3=$B213,1,""))&gt;$B$1,BP$3&lt;$B213)),-1,IF(BP$3&lt;$B213,BP212+BP$6,IF(BP$3=$B213,1,"")))</f>
        <v>-1</v>
      </c>
      <c r="BQ213">
        <f t="shared" si="617"/>
        <v>-1</v>
      </c>
      <c r="BR213">
        <f t="shared" si="617"/>
        <v>-1</v>
      </c>
      <c r="BS213">
        <f t="shared" si="617"/>
        <v>-1</v>
      </c>
      <c r="BT213">
        <f t="shared" si="617"/>
        <v>-1</v>
      </c>
      <c r="BU213">
        <f t="shared" si="617"/>
        <v>-1</v>
      </c>
      <c r="BV213">
        <f t="shared" si="617"/>
        <v>-1</v>
      </c>
      <c r="BW213">
        <f t="shared" si="617"/>
        <v>-1</v>
      </c>
      <c r="BX213">
        <f t="shared" si="617"/>
        <v>-1</v>
      </c>
      <c r="BY213">
        <f t="shared" si="617"/>
        <v>-1</v>
      </c>
      <c r="BZ213">
        <f t="shared" si="617"/>
        <v>-1</v>
      </c>
      <c r="CA213">
        <f t="shared" si="617"/>
        <v>-1</v>
      </c>
      <c r="CB213">
        <f t="shared" si="617"/>
        <v>-1</v>
      </c>
      <c r="CC213">
        <f t="shared" si="617"/>
        <v>-1</v>
      </c>
      <c r="CD213">
        <f t="shared" si="617"/>
        <v>-1</v>
      </c>
      <c r="CE213">
        <f t="shared" si="617"/>
        <v>-1</v>
      </c>
      <c r="CF213">
        <f t="shared" si="617"/>
        <v>-1</v>
      </c>
      <c r="CG213">
        <f t="shared" si="617"/>
        <v>-1</v>
      </c>
      <c r="CH213">
        <f t="shared" si="617"/>
        <v>73.600000000000009</v>
      </c>
      <c r="CI213">
        <f t="shared" si="617"/>
        <v>70.000000000000043</v>
      </c>
      <c r="CJ213">
        <f t="shared" si="617"/>
        <v>66.400000000000077</v>
      </c>
      <c r="CK213">
        <f t="shared" si="617"/>
        <v>62.800000000000104</v>
      </c>
      <c r="CL213">
        <f t="shared" si="617"/>
        <v>59.200000000000095</v>
      </c>
      <c r="CM213">
        <f t="shared" si="617"/>
        <v>55.600000000000087</v>
      </c>
      <c r="CN213">
        <f t="shared" si="617"/>
        <v>52.000000000000078</v>
      </c>
      <c r="CO213">
        <f t="shared" si="617"/>
        <v>-1</v>
      </c>
      <c r="CP213">
        <f t="shared" si="617"/>
        <v>-1</v>
      </c>
      <c r="CQ213">
        <f t="shared" si="617"/>
        <v>-1</v>
      </c>
      <c r="CR213">
        <f t="shared" si="617"/>
        <v>-1</v>
      </c>
      <c r="CS213">
        <f t="shared" si="617"/>
        <v>-1</v>
      </c>
      <c r="CT213">
        <f t="shared" si="617"/>
        <v>-1</v>
      </c>
      <c r="CU213">
        <f t="shared" si="617"/>
        <v>-1</v>
      </c>
      <c r="CV213">
        <f t="shared" si="617"/>
        <v>-1</v>
      </c>
      <c r="CW213">
        <f t="shared" si="617"/>
        <v>-1</v>
      </c>
      <c r="CX213">
        <f t="shared" si="617"/>
        <v>-1</v>
      </c>
      <c r="CY213">
        <f t="shared" si="617"/>
        <v>-1</v>
      </c>
      <c r="CZ213">
        <f t="shared" si="617"/>
        <v>-1</v>
      </c>
      <c r="DA213">
        <f t="shared" si="617"/>
        <v>-1</v>
      </c>
      <c r="DB213">
        <f t="shared" si="617"/>
        <v>-1</v>
      </c>
      <c r="DC213">
        <f t="shared" si="617"/>
        <v>-1</v>
      </c>
      <c r="DD213">
        <f t="shared" si="617"/>
        <v>-1</v>
      </c>
      <c r="DE213">
        <f t="shared" si="617"/>
        <v>-1</v>
      </c>
      <c r="DF213">
        <f t="shared" si="617"/>
        <v>-1</v>
      </c>
      <c r="DG213">
        <f t="shared" si="617"/>
        <v>-1</v>
      </c>
      <c r="DH213">
        <f t="shared" si="617"/>
        <v>-1</v>
      </c>
      <c r="DI213">
        <f t="shared" si="617"/>
        <v>-1</v>
      </c>
      <c r="DJ213">
        <f t="shared" si="617"/>
        <v>-1</v>
      </c>
      <c r="DK213">
        <f t="shared" si="617"/>
        <v>-1</v>
      </c>
      <c r="DL213">
        <f t="shared" si="617"/>
        <v>-1</v>
      </c>
      <c r="DM213">
        <f t="shared" si="617"/>
        <v>-1</v>
      </c>
      <c r="DN213">
        <f t="shared" si="617"/>
        <v>-1</v>
      </c>
      <c r="DO213">
        <f t="shared" si="617"/>
        <v>-1</v>
      </c>
      <c r="DP213">
        <f t="shared" si="617"/>
        <v>-1</v>
      </c>
      <c r="DQ213">
        <f t="shared" si="617"/>
        <v>-1</v>
      </c>
      <c r="DR213">
        <f t="shared" si="617"/>
        <v>-1</v>
      </c>
      <c r="DS213">
        <f t="shared" si="617"/>
        <v>-1</v>
      </c>
      <c r="DT213">
        <f t="shared" si="617"/>
        <v>-1</v>
      </c>
      <c r="DU213">
        <f t="shared" si="617"/>
        <v>-1</v>
      </c>
      <c r="DV213">
        <f t="shared" si="617"/>
        <v>-1</v>
      </c>
      <c r="DW213">
        <f t="shared" si="617"/>
        <v>-1</v>
      </c>
      <c r="DX213">
        <f t="shared" si="617"/>
        <v>-1</v>
      </c>
      <c r="DY213">
        <f t="shared" si="617"/>
        <v>-1</v>
      </c>
      <c r="DZ213">
        <f t="shared" si="617"/>
        <v>-1</v>
      </c>
      <c r="EA213">
        <f t="shared" si="617"/>
        <v>-1</v>
      </c>
      <c r="EB213">
        <f t="shared" ref="EB213:EO213" si="618">IF(OR(EB212=-1,AND(IF(EB$3&lt;$B213,EB212+EB$6,IF(EB$3=$B213,1,""))&gt;$B$1,EB$3&lt;$B213)),-1,IF(EB$3&lt;$B213,EB212+EB$6,IF(EB$3=$B213,1,"")))</f>
        <v>-1</v>
      </c>
      <c r="EC213">
        <f t="shared" si="618"/>
        <v>-1</v>
      </c>
      <c r="ED213">
        <f t="shared" si="618"/>
        <v>-1</v>
      </c>
      <c r="EE213">
        <f t="shared" si="618"/>
        <v>-1</v>
      </c>
      <c r="EF213">
        <f t="shared" si="618"/>
        <v>-1</v>
      </c>
      <c r="EG213">
        <f t="shared" si="618"/>
        <v>-1</v>
      </c>
      <c r="EH213">
        <f t="shared" si="618"/>
        <v>-1</v>
      </c>
      <c r="EI213">
        <f t="shared" si="618"/>
        <v>-1</v>
      </c>
      <c r="EJ213">
        <f t="shared" si="618"/>
        <v>-1</v>
      </c>
      <c r="EK213">
        <f t="shared" si="618"/>
        <v>-1</v>
      </c>
      <c r="EL213">
        <f t="shared" si="618"/>
        <v>-1</v>
      </c>
      <c r="EM213">
        <f t="shared" si="618"/>
        <v>-1</v>
      </c>
      <c r="EN213">
        <f t="shared" si="618"/>
        <v>-1</v>
      </c>
      <c r="EO213">
        <f t="shared" si="618"/>
        <v>-1</v>
      </c>
    </row>
    <row r="214" spans="1:145" x14ac:dyDescent="0.15">
      <c r="A214" t="e">
        <f t="shared" si="579"/>
        <v>#N/A</v>
      </c>
      <c r="B214" s="218">
        <v>206</v>
      </c>
      <c r="C214">
        <f t="shared" si="579"/>
        <v>-1</v>
      </c>
      <c r="D214">
        <f t="shared" ref="D214:BO214" si="619">IF(OR(D213=-1,AND(IF(D$3&lt;$B214,D213+D$6,IF(D$3=$B214,1,""))&gt;$B$1,D$3&lt;$B214)),-1,IF(D$3&lt;$B214,D213+D$6,IF(D$3=$B214,1,"")))</f>
        <v>-1</v>
      </c>
      <c r="E214">
        <f t="shared" si="619"/>
        <v>-1</v>
      </c>
      <c r="F214">
        <f t="shared" si="619"/>
        <v>-1</v>
      </c>
      <c r="G214">
        <f t="shared" si="619"/>
        <v>-1</v>
      </c>
      <c r="H214">
        <f t="shared" si="619"/>
        <v>-1</v>
      </c>
      <c r="I214">
        <f t="shared" si="619"/>
        <v>-1</v>
      </c>
      <c r="J214">
        <f t="shared" si="619"/>
        <v>-1</v>
      </c>
      <c r="K214">
        <f t="shared" si="619"/>
        <v>-1</v>
      </c>
      <c r="L214">
        <f t="shared" si="619"/>
        <v>-1</v>
      </c>
      <c r="M214">
        <f t="shared" si="619"/>
        <v>-1</v>
      </c>
      <c r="N214">
        <f t="shared" si="619"/>
        <v>-1</v>
      </c>
      <c r="O214">
        <f t="shared" si="619"/>
        <v>-1</v>
      </c>
      <c r="P214">
        <f t="shared" si="619"/>
        <v>-1</v>
      </c>
      <c r="Q214">
        <f t="shared" si="619"/>
        <v>-1</v>
      </c>
      <c r="R214">
        <f t="shared" si="619"/>
        <v>-1</v>
      </c>
      <c r="S214">
        <f t="shared" si="619"/>
        <v>-1</v>
      </c>
      <c r="T214">
        <f t="shared" si="619"/>
        <v>-1</v>
      </c>
      <c r="U214">
        <f t="shared" si="619"/>
        <v>-1</v>
      </c>
      <c r="V214">
        <f t="shared" si="619"/>
        <v>-1</v>
      </c>
      <c r="W214">
        <f t="shared" si="619"/>
        <v>-1</v>
      </c>
      <c r="X214">
        <f t="shared" si="619"/>
        <v>-1</v>
      </c>
      <c r="Y214">
        <f t="shared" si="619"/>
        <v>-1</v>
      </c>
      <c r="Z214">
        <f t="shared" si="619"/>
        <v>-1</v>
      </c>
      <c r="AA214">
        <f t="shared" si="619"/>
        <v>-1</v>
      </c>
      <c r="AB214">
        <f t="shared" si="619"/>
        <v>-1</v>
      </c>
      <c r="AC214">
        <f t="shared" si="619"/>
        <v>-1</v>
      </c>
      <c r="AD214">
        <f t="shared" si="619"/>
        <v>-1</v>
      </c>
      <c r="AE214">
        <f t="shared" si="619"/>
        <v>-1</v>
      </c>
      <c r="AF214">
        <f t="shared" si="619"/>
        <v>-1</v>
      </c>
      <c r="AG214">
        <f t="shared" si="619"/>
        <v>-1</v>
      </c>
      <c r="AH214">
        <f t="shared" si="619"/>
        <v>-1</v>
      </c>
      <c r="AI214">
        <f t="shared" si="619"/>
        <v>-1</v>
      </c>
      <c r="AJ214">
        <f t="shared" si="619"/>
        <v>-1</v>
      </c>
      <c r="AK214">
        <f t="shared" si="619"/>
        <v>-1</v>
      </c>
      <c r="AL214">
        <f t="shared" si="619"/>
        <v>-1</v>
      </c>
      <c r="AM214">
        <f t="shared" si="619"/>
        <v>-1</v>
      </c>
      <c r="AN214">
        <f t="shared" si="619"/>
        <v>-1</v>
      </c>
      <c r="AO214">
        <f t="shared" si="619"/>
        <v>-1</v>
      </c>
      <c r="AP214">
        <f t="shared" si="619"/>
        <v>-1</v>
      </c>
      <c r="AQ214">
        <f t="shared" si="619"/>
        <v>-1</v>
      </c>
      <c r="AR214">
        <f t="shared" si="619"/>
        <v>-1</v>
      </c>
      <c r="AS214">
        <f t="shared" si="619"/>
        <v>-1</v>
      </c>
      <c r="AT214">
        <f t="shared" si="619"/>
        <v>-1</v>
      </c>
      <c r="AU214">
        <f t="shared" si="619"/>
        <v>-1</v>
      </c>
      <c r="AV214">
        <f t="shared" si="619"/>
        <v>-1</v>
      </c>
      <c r="AW214">
        <f t="shared" si="619"/>
        <v>-1</v>
      </c>
      <c r="AX214">
        <f t="shared" si="619"/>
        <v>-1</v>
      </c>
      <c r="AY214">
        <f t="shared" si="619"/>
        <v>-1</v>
      </c>
      <c r="AZ214">
        <f t="shared" si="619"/>
        <v>-1</v>
      </c>
      <c r="BA214">
        <f t="shared" si="619"/>
        <v>-1</v>
      </c>
      <c r="BB214">
        <f t="shared" si="619"/>
        <v>-1</v>
      </c>
      <c r="BC214">
        <f t="shared" si="619"/>
        <v>-1</v>
      </c>
      <c r="BD214">
        <f t="shared" si="619"/>
        <v>-1</v>
      </c>
      <c r="BE214">
        <f t="shared" si="619"/>
        <v>-1</v>
      </c>
      <c r="BF214">
        <f t="shared" si="619"/>
        <v>-1</v>
      </c>
      <c r="BG214">
        <f t="shared" si="619"/>
        <v>-1</v>
      </c>
      <c r="BH214">
        <f t="shared" si="619"/>
        <v>-1</v>
      </c>
      <c r="BI214">
        <f t="shared" si="619"/>
        <v>-1</v>
      </c>
      <c r="BJ214">
        <f t="shared" si="619"/>
        <v>-1</v>
      </c>
      <c r="BK214">
        <f t="shared" si="619"/>
        <v>-1</v>
      </c>
      <c r="BL214">
        <f t="shared" si="619"/>
        <v>-1</v>
      </c>
      <c r="BM214">
        <f t="shared" si="619"/>
        <v>-1</v>
      </c>
      <c r="BN214">
        <f t="shared" si="619"/>
        <v>-1</v>
      </c>
      <c r="BO214">
        <f t="shared" si="619"/>
        <v>-1</v>
      </c>
      <c r="BP214">
        <f t="shared" ref="BP214:EA214" si="620">IF(OR(BP213=-1,AND(IF(BP$3&lt;$B214,BP213+BP$6,IF(BP$3=$B214,1,""))&gt;$B$1,BP$3&lt;$B214)),-1,IF(BP$3&lt;$B214,BP213+BP$6,IF(BP$3=$B214,1,"")))</f>
        <v>-1</v>
      </c>
      <c r="BQ214">
        <f t="shared" si="620"/>
        <v>-1</v>
      </c>
      <c r="BR214">
        <f t="shared" si="620"/>
        <v>-1</v>
      </c>
      <c r="BS214">
        <f t="shared" si="620"/>
        <v>-1</v>
      </c>
      <c r="BT214">
        <f t="shared" si="620"/>
        <v>-1</v>
      </c>
      <c r="BU214">
        <f t="shared" si="620"/>
        <v>-1</v>
      </c>
      <c r="BV214">
        <f t="shared" si="620"/>
        <v>-1</v>
      </c>
      <c r="BW214">
        <f t="shared" si="620"/>
        <v>-1</v>
      </c>
      <c r="BX214">
        <f t="shared" si="620"/>
        <v>-1</v>
      </c>
      <c r="BY214">
        <f t="shared" si="620"/>
        <v>-1</v>
      </c>
      <c r="BZ214">
        <f t="shared" si="620"/>
        <v>-1</v>
      </c>
      <c r="CA214">
        <f t="shared" si="620"/>
        <v>-1</v>
      </c>
      <c r="CB214">
        <f t="shared" si="620"/>
        <v>-1</v>
      </c>
      <c r="CC214">
        <f t="shared" si="620"/>
        <v>-1</v>
      </c>
      <c r="CD214">
        <f t="shared" si="620"/>
        <v>-1</v>
      </c>
      <c r="CE214">
        <f t="shared" si="620"/>
        <v>-1</v>
      </c>
      <c r="CF214">
        <f t="shared" si="620"/>
        <v>-1</v>
      </c>
      <c r="CG214">
        <f t="shared" si="620"/>
        <v>-1</v>
      </c>
      <c r="CH214">
        <f t="shared" si="620"/>
        <v>74.2</v>
      </c>
      <c r="CI214">
        <f t="shared" si="620"/>
        <v>70.600000000000037</v>
      </c>
      <c r="CJ214">
        <f t="shared" si="620"/>
        <v>67.000000000000071</v>
      </c>
      <c r="CK214">
        <f t="shared" si="620"/>
        <v>63.400000000000105</v>
      </c>
      <c r="CL214">
        <f t="shared" si="620"/>
        <v>59.800000000000097</v>
      </c>
      <c r="CM214">
        <f t="shared" si="620"/>
        <v>56.200000000000088</v>
      </c>
      <c r="CN214">
        <f t="shared" si="620"/>
        <v>52.60000000000008</v>
      </c>
      <c r="CO214">
        <f t="shared" si="620"/>
        <v>-1</v>
      </c>
      <c r="CP214">
        <f t="shared" si="620"/>
        <v>-1</v>
      </c>
      <c r="CQ214">
        <f t="shared" si="620"/>
        <v>-1</v>
      </c>
      <c r="CR214">
        <f t="shared" si="620"/>
        <v>-1</v>
      </c>
      <c r="CS214">
        <f t="shared" si="620"/>
        <v>-1</v>
      </c>
      <c r="CT214">
        <f t="shared" si="620"/>
        <v>-1</v>
      </c>
      <c r="CU214">
        <f t="shared" si="620"/>
        <v>-1</v>
      </c>
      <c r="CV214">
        <f t="shared" si="620"/>
        <v>-1</v>
      </c>
      <c r="CW214">
        <f t="shared" si="620"/>
        <v>-1</v>
      </c>
      <c r="CX214">
        <f t="shared" si="620"/>
        <v>-1</v>
      </c>
      <c r="CY214">
        <f t="shared" si="620"/>
        <v>-1</v>
      </c>
      <c r="CZ214">
        <f t="shared" si="620"/>
        <v>-1</v>
      </c>
      <c r="DA214">
        <f t="shared" si="620"/>
        <v>-1</v>
      </c>
      <c r="DB214">
        <f t="shared" si="620"/>
        <v>-1</v>
      </c>
      <c r="DC214">
        <f t="shared" si="620"/>
        <v>-1</v>
      </c>
      <c r="DD214">
        <f t="shared" si="620"/>
        <v>-1</v>
      </c>
      <c r="DE214">
        <f t="shared" si="620"/>
        <v>-1</v>
      </c>
      <c r="DF214">
        <f t="shared" si="620"/>
        <v>-1</v>
      </c>
      <c r="DG214">
        <f t="shared" si="620"/>
        <v>-1</v>
      </c>
      <c r="DH214">
        <f t="shared" si="620"/>
        <v>-1</v>
      </c>
      <c r="DI214">
        <f t="shared" si="620"/>
        <v>-1</v>
      </c>
      <c r="DJ214">
        <f t="shared" si="620"/>
        <v>-1</v>
      </c>
      <c r="DK214">
        <f t="shared" si="620"/>
        <v>-1</v>
      </c>
      <c r="DL214">
        <f t="shared" si="620"/>
        <v>-1</v>
      </c>
      <c r="DM214">
        <f t="shared" si="620"/>
        <v>-1</v>
      </c>
      <c r="DN214">
        <f t="shared" si="620"/>
        <v>-1</v>
      </c>
      <c r="DO214">
        <f t="shared" si="620"/>
        <v>-1</v>
      </c>
      <c r="DP214">
        <f t="shared" si="620"/>
        <v>-1</v>
      </c>
      <c r="DQ214">
        <f t="shared" si="620"/>
        <v>-1</v>
      </c>
      <c r="DR214">
        <f t="shared" si="620"/>
        <v>-1</v>
      </c>
      <c r="DS214">
        <f t="shared" si="620"/>
        <v>-1</v>
      </c>
      <c r="DT214">
        <f t="shared" si="620"/>
        <v>-1</v>
      </c>
      <c r="DU214">
        <f t="shared" si="620"/>
        <v>-1</v>
      </c>
      <c r="DV214">
        <f t="shared" si="620"/>
        <v>-1</v>
      </c>
      <c r="DW214">
        <f t="shared" si="620"/>
        <v>-1</v>
      </c>
      <c r="DX214">
        <f t="shared" si="620"/>
        <v>-1</v>
      </c>
      <c r="DY214">
        <f t="shared" si="620"/>
        <v>-1</v>
      </c>
      <c r="DZ214">
        <f t="shared" si="620"/>
        <v>-1</v>
      </c>
      <c r="EA214">
        <f t="shared" si="620"/>
        <v>-1</v>
      </c>
      <c r="EB214">
        <f t="shared" ref="EB214:EO214" si="621">IF(OR(EB213=-1,AND(IF(EB$3&lt;$B214,EB213+EB$6,IF(EB$3=$B214,1,""))&gt;$B$1,EB$3&lt;$B214)),-1,IF(EB$3&lt;$B214,EB213+EB$6,IF(EB$3=$B214,1,"")))</f>
        <v>-1</v>
      </c>
      <c r="EC214">
        <f t="shared" si="621"/>
        <v>-1</v>
      </c>
      <c r="ED214">
        <f t="shared" si="621"/>
        <v>-1</v>
      </c>
      <c r="EE214">
        <f t="shared" si="621"/>
        <v>-1</v>
      </c>
      <c r="EF214">
        <f t="shared" si="621"/>
        <v>-1</v>
      </c>
      <c r="EG214">
        <f t="shared" si="621"/>
        <v>-1</v>
      </c>
      <c r="EH214">
        <f t="shared" si="621"/>
        <v>-1</v>
      </c>
      <c r="EI214">
        <f t="shared" si="621"/>
        <v>-1</v>
      </c>
      <c r="EJ214">
        <f t="shared" si="621"/>
        <v>-1</v>
      </c>
      <c r="EK214">
        <f t="shared" si="621"/>
        <v>-1</v>
      </c>
      <c r="EL214">
        <f t="shared" si="621"/>
        <v>-1</v>
      </c>
      <c r="EM214">
        <f t="shared" si="621"/>
        <v>-1</v>
      </c>
      <c r="EN214">
        <f t="shared" si="621"/>
        <v>-1</v>
      </c>
      <c r="EO214">
        <f t="shared" si="621"/>
        <v>-1</v>
      </c>
    </row>
    <row r="215" spans="1:145" x14ac:dyDescent="0.15">
      <c r="A215" t="e">
        <f t="shared" si="579"/>
        <v>#N/A</v>
      </c>
      <c r="B215" s="218">
        <v>207</v>
      </c>
      <c r="C215">
        <f t="shared" si="579"/>
        <v>-1</v>
      </c>
      <c r="D215">
        <f t="shared" ref="D215:BO215" si="622">IF(OR(D214=-1,AND(IF(D$3&lt;$B215,D214+D$6,IF(D$3=$B215,1,""))&gt;$B$1,D$3&lt;$B215)),-1,IF(D$3&lt;$B215,D214+D$6,IF(D$3=$B215,1,"")))</f>
        <v>-1</v>
      </c>
      <c r="E215">
        <f t="shared" si="622"/>
        <v>-1</v>
      </c>
      <c r="F215">
        <f t="shared" si="622"/>
        <v>-1</v>
      </c>
      <c r="G215">
        <f t="shared" si="622"/>
        <v>-1</v>
      </c>
      <c r="H215">
        <f t="shared" si="622"/>
        <v>-1</v>
      </c>
      <c r="I215">
        <f t="shared" si="622"/>
        <v>-1</v>
      </c>
      <c r="J215">
        <f t="shared" si="622"/>
        <v>-1</v>
      </c>
      <c r="K215">
        <f t="shared" si="622"/>
        <v>-1</v>
      </c>
      <c r="L215">
        <f t="shared" si="622"/>
        <v>-1</v>
      </c>
      <c r="M215">
        <f t="shared" si="622"/>
        <v>-1</v>
      </c>
      <c r="N215">
        <f t="shared" si="622"/>
        <v>-1</v>
      </c>
      <c r="O215">
        <f t="shared" si="622"/>
        <v>-1</v>
      </c>
      <c r="P215">
        <f t="shared" si="622"/>
        <v>-1</v>
      </c>
      <c r="Q215">
        <f t="shared" si="622"/>
        <v>-1</v>
      </c>
      <c r="R215">
        <f t="shared" si="622"/>
        <v>-1</v>
      </c>
      <c r="S215">
        <f t="shared" si="622"/>
        <v>-1</v>
      </c>
      <c r="T215">
        <f t="shared" si="622"/>
        <v>-1</v>
      </c>
      <c r="U215">
        <f t="shared" si="622"/>
        <v>-1</v>
      </c>
      <c r="V215">
        <f t="shared" si="622"/>
        <v>-1</v>
      </c>
      <c r="W215">
        <f t="shared" si="622"/>
        <v>-1</v>
      </c>
      <c r="X215">
        <f t="shared" si="622"/>
        <v>-1</v>
      </c>
      <c r="Y215">
        <f t="shared" si="622"/>
        <v>-1</v>
      </c>
      <c r="Z215">
        <f t="shared" si="622"/>
        <v>-1</v>
      </c>
      <c r="AA215">
        <f t="shared" si="622"/>
        <v>-1</v>
      </c>
      <c r="AB215">
        <f t="shared" si="622"/>
        <v>-1</v>
      </c>
      <c r="AC215">
        <f t="shared" si="622"/>
        <v>-1</v>
      </c>
      <c r="AD215">
        <f t="shared" si="622"/>
        <v>-1</v>
      </c>
      <c r="AE215">
        <f t="shared" si="622"/>
        <v>-1</v>
      </c>
      <c r="AF215">
        <f t="shared" si="622"/>
        <v>-1</v>
      </c>
      <c r="AG215">
        <f t="shared" si="622"/>
        <v>-1</v>
      </c>
      <c r="AH215">
        <f t="shared" si="622"/>
        <v>-1</v>
      </c>
      <c r="AI215">
        <f t="shared" si="622"/>
        <v>-1</v>
      </c>
      <c r="AJ215">
        <f t="shared" si="622"/>
        <v>-1</v>
      </c>
      <c r="AK215">
        <f t="shared" si="622"/>
        <v>-1</v>
      </c>
      <c r="AL215">
        <f t="shared" si="622"/>
        <v>-1</v>
      </c>
      <c r="AM215">
        <f t="shared" si="622"/>
        <v>-1</v>
      </c>
      <c r="AN215">
        <f t="shared" si="622"/>
        <v>-1</v>
      </c>
      <c r="AO215">
        <f t="shared" si="622"/>
        <v>-1</v>
      </c>
      <c r="AP215">
        <f t="shared" si="622"/>
        <v>-1</v>
      </c>
      <c r="AQ215">
        <f t="shared" si="622"/>
        <v>-1</v>
      </c>
      <c r="AR215">
        <f t="shared" si="622"/>
        <v>-1</v>
      </c>
      <c r="AS215">
        <f t="shared" si="622"/>
        <v>-1</v>
      </c>
      <c r="AT215">
        <f t="shared" si="622"/>
        <v>-1</v>
      </c>
      <c r="AU215">
        <f t="shared" si="622"/>
        <v>-1</v>
      </c>
      <c r="AV215">
        <f t="shared" si="622"/>
        <v>-1</v>
      </c>
      <c r="AW215">
        <f t="shared" si="622"/>
        <v>-1</v>
      </c>
      <c r="AX215">
        <f t="shared" si="622"/>
        <v>-1</v>
      </c>
      <c r="AY215">
        <f t="shared" si="622"/>
        <v>-1</v>
      </c>
      <c r="AZ215">
        <f t="shared" si="622"/>
        <v>-1</v>
      </c>
      <c r="BA215">
        <f t="shared" si="622"/>
        <v>-1</v>
      </c>
      <c r="BB215">
        <f t="shared" si="622"/>
        <v>-1</v>
      </c>
      <c r="BC215">
        <f t="shared" si="622"/>
        <v>-1</v>
      </c>
      <c r="BD215">
        <f t="shared" si="622"/>
        <v>-1</v>
      </c>
      <c r="BE215">
        <f t="shared" si="622"/>
        <v>-1</v>
      </c>
      <c r="BF215">
        <f t="shared" si="622"/>
        <v>-1</v>
      </c>
      <c r="BG215">
        <f t="shared" si="622"/>
        <v>-1</v>
      </c>
      <c r="BH215">
        <f t="shared" si="622"/>
        <v>-1</v>
      </c>
      <c r="BI215">
        <f t="shared" si="622"/>
        <v>-1</v>
      </c>
      <c r="BJ215">
        <f t="shared" si="622"/>
        <v>-1</v>
      </c>
      <c r="BK215">
        <f t="shared" si="622"/>
        <v>-1</v>
      </c>
      <c r="BL215">
        <f t="shared" si="622"/>
        <v>-1</v>
      </c>
      <c r="BM215">
        <f t="shared" si="622"/>
        <v>-1</v>
      </c>
      <c r="BN215">
        <f t="shared" si="622"/>
        <v>-1</v>
      </c>
      <c r="BO215">
        <f t="shared" si="622"/>
        <v>-1</v>
      </c>
      <c r="BP215">
        <f t="shared" ref="BP215:EA215" si="623">IF(OR(BP214=-1,AND(IF(BP$3&lt;$B215,BP214+BP$6,IF(BP$3=$B215,1,""))&gt;$B$1,BP$3&lt;$B215)),-1,IF(BP$3&lt;$B215,BP214+BP$6,IF(BP$3=$B215,1,"")))</f>
        <v>-1</v>
      </c>
      <c r="BQ215">
        <f t="shared" si="623"/>
        <v>-1</v>
      </c>
      <c r="BR215">
        <f t="shared" si="623"/>
        <v>-1</v>
      </c>
      <c r="BS215">
        <f t="shared" si="623"/>
        <v>-1</v>
      </c>
      <c r="BT215">
        <f t="shared" si="623"/>
        <v>-1</v>
      </c>
      <c r="BU215">
        <f t="shared" si="623"/>
        <v>-1</v>
      </c>
      <c r="BV215">
        <f t="shared" si="623"/>
        <v>-1</v>
      </c>
      <c r="BW215">
        <f t="shared" si="623"/>
        <v>-1</v>
      </c>
      <c r="BX215">
        <f t="shared" si="623"/>
        <v>-1</v>
      </c>
      <c r="BY215">
        <f t="shared" si="623"/>
        <v>-1</v>
      </c>
      <c r="BZ215">
        <f t="shared" si="623"/>
        <v>-1</v>
      </c>
      <c r="CA215">
        <f t="shared" si="623"/>
        <v>-1</v>
      </c>
      <c r="CB215">
        <f t="shared" si="623"/>
        <v>-1</v>
      </c>
      <c r="CC215">
        <f t="shared" si="623"/>
        <v>-1</v>
      </c>
      <c r="CD215">
        <f t="shared" si="623"/>
        <v>-1</v>
      </c>
      <c r="CE215">
        <f t="shared" si="623"/>
        <v>-1</v>
      </c>
      <c r="CF215">
        <f t="shared" si="623"/>
        <v>-1</v>
      </c>
      <c r="CG215">
        <f t="shared" si="623"/>
        <v>-1</v>
      </c>
      <c r="CH215">
        <f t="shared" si="623"/>
        <v>74.8</v>
      </c>
      <c r="CI215">
        <f t="shared" si="623"/>
        <v>71.200000000000031</v>
      </c>
      <c r="CJ215">
        <f t="shared" si="623"/>
        <v>67.600000000000065</v>
      </c>
      <c r="CK215">
        <f t="shared" si="623"/>
        <v>64.000000000000099</v>
      </c>
      <c r="CL215">
        <f t="shared" si="623"/>
        <v>60.400000000000098</v>
      </c>
      <c r="CM215">
        <f t="shared" si="623"/>
        <v>56.80000000000009</v>
      </c>
      <c r="CN215">
        <f t="shared" si="623"/>
        <v>53.200000000000081</v>
      </c>
      <c r="CO215">
        <f t="shared" si="623"/>
        <v>-1</v>
      </c>
      <c r="CP215">
        <f t="shared" si="623"/>
        <v>-1</v>
      </c>
      <c r="CQ215">
        <f t="shared" si="623"/>
        <v>-1</v>
      </c>
      <c r="CR215">
        <f t="shared" si="623"/>
        <v>-1</v>
      </c>
      <c r="CS215">
        <f t="shared" si="623"/>
        <v>-1</v>
      </c>
      <c r="CT215">
        <f t="shared" si="623"/>
        <v>-1</v>
      </c>
      <c r="CU215">
        <f t="shared" si="623"/>
        <v>-1</v>
      </c>
      <c r="CV215">
        <f t="shared" si="623"/>
        <v>-1</v>
      </c>
      <c r="CW215">
        <f t="shared" si="623"/>
        <v>-1</v>
      </c>
      <c r="CX215">
        <f t="shared" si="623"/>
        <v>-1</v>
      </c>
      <c r="CY215">
        <f t="shared" si="623"/>
        <v>-1</v>
      </c>
      <c r="CZ215">
        <f t="shared" si="623"/>
        <v>-1</v>
      </c>
      <c r="DA215">
        <f t="shared" si="623"/>
        <v>-1</v>
      </c>
      <c r="DB215">
        <f t="shared" si="623"/>
        <v>-1</v>
      </c>
      <c r="DC215">
        <f t="shared" si="623"/>
        <v>-1</v>
      </c>
      <c r="DD215">
        <f t="shared" si="623"/>
        <v>-1</v>
      </c>
      <c r="DE215">
        <f t="shared" si="623"/>
        <v>-1</v>
      </c>
      <c r="DF215">
        <f t="shared" si="623"/>
        <v>-1</v>
      </c>
      <c r="DG215">
        <f t="shared" si="623"/>
        <v>-1</v>
      </c>
      <c r="DH215">
        <f t="shared" si="623"/>
        <v>-1</v>
      </c>
      <c r="DI215">
        <f t="shared" si="623"/>
        <v>-1</v>
      </c>
      <c r="DJ215">
        <f t="shared" si="623"/>
        <v>-1</v>
      </c>
      <c r="DK215">
        <f t="shared" si="623"/>
        <v>-1</v>
      </c>
      <c r="DL215">
        <f t="shared" si="623"/>
        <v>-1</v>
      </c>
      <c r="DM215">
        <f t="shared" si="623"/>
        <v>-1</v>
      </c>
      <c r="DN215">
        <f t="shared" si="623"/>
        <v>-1</v>
      </c>
      <c r="DO215">
        <f t="shared" si="623"/>
        <v>-1</v>
      </c>
      <c r="DP215">
        <f t="shared" si="623"/>
        <v>-1</v>
      </c>
      <c r="DQ215">
        <f t="shared" si="623"/>
        <v>-1</v>
      </c>
      <c r="DR215">
        <f t="shared" si="623"/>
        <v>-1</v>
      </c>
      <c r="DS215">
        <f t="shared" si="623"/>
        <v>-1</v>
      </c>
      <c r="DT215">
        <f t="shared" si="623"/>
        <v>-1</v>
      </c>
      <c r="DU215">
        <f t="shared" si="623"/>
        <v>-1</v>
      </c>
      <c r="DV215">
        <f t="shared" si="623"/>
        <v>-1</v>
      </c>
      <c r="DW215">
        <f t="shared" si="623"/>
        <v>-1</v>
      </c>
      <c r="DX215">
        <f t="shared" si="623"/>
        <v>-1</v>
      </c>
      <c r="DY215">
        <f t="shared" si="623"/>
        <v>-1</v>
      </c>
      <c r="DZ215">
        <f t="shared" si="623"/>
        <v>-1</v>
      </c>
      <c r="EA215">
        <f t="shared" si="623"/>
        <v>-1</v>
      </c>
      <c r="EB215">
        <f t="shared" ref="EB215:EO215" si="624">IF(OR(EB214=-1,AND(IF(EB$3&lt;$B215,EB214+EB$6,IF(EB$3=$B215,1,""))&gt;$B$1,EB$3&lt;$B215)),-1,IF(EB$3&lt;$B215,EB214+EB$6,IF(EB$3=$B215,1,"")))</f>
        <v>-1</v>
      </c>
      <c r="EC215">
        <f t="shared" si="624"/>
        <v>-1</v>
      </c>
      <c r="ED215">
        <f t="shared" si="624"/>
        <v>-1</v>
      </c>
      <c r="EE215">
        <f t="shared" si="624"/>
        <v>-1</v>
      </c>
      <c r="EF215">
        <f t="shared" si="624"/>
        <v>-1</v>
      </c>
      <c r="EG215">
        <f t="shared" si="624"/>
        <v>-1</v>
      </c>
      <c r="EH215">
        <f t="shared" si="624"/>
        <v>-1</v>
      </c>
      <c r="EI215">
        <f t="shared" si="624"/>
        <v>-1</v>
      </c>
      <c r="EJ215">
        <f t="shared" si="624"/>
        <v>-1</v>
      </c>
      <c r="EK215">
        <f t="shared" si="624"/>
        <v>-1</v>
      </c>
      <c r="EL215">
        <f t="shared" si="624"/>
        <v>-1</v>
      </c>
      <c r="EM215">
        <f t="shared" si="624"/>
        <v>-1</v>
      </c>
      <c r="EN215">
        <f t="shared" si="624"/>
        <v>-1</v>
      </c>
      <c r="EO215">
        <f t="shared" si="624"/>
        <v>-1</v>
      </c>
    </row>
    <row r="216" spans="1:145" x14ac:dyDescent="0.15">
      <c r="A216" t="e">
        <f t="shared" si="579"/>
        <v>#N/A</v>
      </c>
      <c r="B216" s="218">
        <v>208</v>
      </c>
      <c r="C216">
        <f t="shared" si="579"/>
        <v>-1</v>
      </c>
      <c r="D216">
        <f t="shared" ref="D216:BO216" si="625">IF(OR(D215=-1,AND(IF(D$3&lt;$B216,D215+D$6,IF(D$3=$B216,1,""))&gt;$B$1,D$3&lt;$B216)),-1,IF(D$3&lt;$B216,D215+D$6,IF(D$3=$B216,1,"")))</f>
        <v>-1</v>
      </c>
      <c r="E216">
        <f t="shared" si="625"/>
        <v>-1</v>
      </c>
      <c r="F216">
        <f t="shared" si="625"/>
        <v>-1</v>
      </c>
      <c r="G216">
        <f t="shared" si="625"/>
        <v>-1</v>
      </c>
      <c r="H216">
        <f t="shared" si="625"/>
        <v>-1</v>
      </c>
      <c r="I216">
        <f t="shared" si="625"/>
        <v>-1</v>
      </c>
      <c r="J216">
        <f t="shared" si="625"/>
        <v>-1</v>
      </c>
      <c r="K216">
        <f t="shared" si="625"/>
        <v>-1</v>
      </c>
      <c r="L216">
        <f t="shared" si="625"/>
        <v>-1</v>
      </c>
      <c r="M216">
        <f t="shared" si="625"/>
        <v>-1</v>
      </c>
      <c r="N216">
        <f t="shared" si="625"/>
        <v>-1</v>
      </c>
      <c r="O216">
        <f t="shared" si="625"/>
        <v>-1</v>
      </c>
      <c r="P216">
        <f t="shared" si="625"/>
        <v>-1</v>
      </c>
      <c r="Q216">
        <f t="shared" si="625"/>
        <v>-1</v>
      </c>
      <c r="R216">
        <f t="shared" si="625"/>
        <v>-1</v>
      </c>
      <c r="S216">
        <f t="shared" si="625"/>
        <v>-1</v>
      </c>
      <c r="T216">
        <f t="shared" si="625"/>
        <v>-1</v>
      </c>
      <c r="U216">
        <f t="shared" si="625"/>
        <v>-1</v>
      </c>
      <c r="V216">
        <f t="shared" si="625"/>
        <v>-1</v>
      </c>
      <c r="W216">
        <f t="shared" si="625"/>
        <v>-1</v>
      </c>
      <c r="X216">
        <f t="shared" si="625"/>
        <v>-1</v>
      </c>
      <c r="Y216">
        <f t="shared" si="625"/>
        <v>-1</v>
      </c>
      <c r="Z216">
        <f t="shared" si="625"/>
        <v>-1</v>
      </c>
      <c r="AA216">
        <f t="shared" si="625"/>
        <v>-1</v>
      </c>
      <c r="AB216">
        <f t="shared" si="625"/>
        <v>-1</v>
      </c>
      <c r="AC216">
        <f t="shared" si="625"/>
        <v>-1</v>
      </c>
      <c r="AD216">
        <f t="shared" si="625"/>
        <v>-1</v>
      </c>
      <c r="AE216">
        <f t="shared" si="625"/>
        <v>-1</v>
      </c>
      <c r="AF216">
        <f t="shared" si="625"/>
        <v>-1</v>
      </c>
      <c r="AG216">
        <f t="shared" si="625"/>
        <v>-1</v>
      </c>
      <c r="AH216">
        <f t="shared" si="625"/>
        <v>-1</v>
      </c>
      <c r="AI216">
        <f t="shared" si="625"/>
        <v>-1</v>
      </c>
      <c r="AJ216">
        <f t="shared" si="625"/>
        <v>-1</v>
      </c>
      <c r="AK216">
        <f t="shared" si="625"/>
        <v>-1</v>
      </c>
      <c r="AL216">
        <f t="shared" si="625"/>
        <v>-1</v>
      </c>
      <c r="AM216">
        <f t="shared" si="625"/>
        <v>-1</v>
      </c>
      <c r="AN216">
        <f t="shared" si="625"/>
        <v>-1</v>
      </c>
      <c r="AO216">
        <f t="shared" si="625"/>
        <v>-1</v>
      </c>
      <c r="AP216">
        <f t="shared" si="625"/>
        <v>-1</v>
      </c>
      <c r="AQ216">
        <f t="shared" si="625"/>
        <v>-1</v>
      </c>
      <c r="AR216">
        <f t="shared" si="625"/>
        <v>-1</v>
      </c>
      <c r="AS216">
        <f t="shared" si="625"/>
        <v>-1</v>
      </c>
      <c r="AT216">
        <f t="shared" si="625"/>
        <v>-1</v>
      </c>
      <c r="AU216">
        <f t="shared" si="625"/>
        <v>-1</v>
      </c>
      <c r="AV216">
        <f t="shared" si="625"/>
        <v>-1</v>
      </c>
      <c r="AW216">
        <f t="shared" si="625"/>
        <v>-1</v>
      </c>
      <c r="AX216">
        <f t="shared" si="625"/>
        <v>-1</v>
      </c>
      <c r="AY216">
        <f t="shared" si="625"/>
        <v>-1</v>
      </c>
      <c r="AZ216">
        <f t="shared" si="625"/>
        <v>-1</v>
      </c>
      <c r="BA216">
        <f t="shared" si="625"/>
        <v>-1</v>
      </c>
      <c r="BB216">
        <f t="shared" si="625"/>
        <v>-1</v>
      </c>
      <c r="BC216">
        <f t="shared" si="625"/>
        <v>-1</v>
      </c>
      <c r="BD216">
        <f t="shared" si="625"/>
        <v>-1</v>
      </c>
      <c r="BE216">
        <f t="shared" si="625"/>
        <v>-1</v>
      </c>
      <c r="BF216">
        <f t="shared" si="625"/>
        <v>-1</v>
      </c>
      <c r="BG216">
        <f t="shared" si="625"/>
        <v>-1</v>
      </c>
      <c r="BH216">
        <f t="shared" si="625"/>
        <v>-1</v>
      </c>
      <c r="BI216">
        <f t="shared" si="625"/>
        <v>-1</v>
      </c>
      <c r="BJ216">
        <f t="shared" si="625"/>
        <v>-1</v>
      </c>
      <c r="BK216">
        <f t="shared" si="625"/>
        <v>-1</v>
      </c>
      <c r="BL216">
        <f t="shared" si="625"/>
        <v>-1</v>
      </c>
      <c r="BM216">
        <f t="shared" si="625"/>
        <v>-1</v>
      </c>
      <c r="BN216">
        <f t="shared" si="625"/>
        <v>-1</v>
      </c>
      <c r="BO216">
        <f t="shared" si="625"/>
        <v>-1</v>
      </c>
      <c r="BP216">
        <f t="shared" ref="BP216:EA216" si="626">IF(OR(BP215=-1,AND(IF(BP$3&lt;$B216,BP215+BP$6,IF(BP$3=$B216,1,""))&gt;$B$1,BP$3&lt;$B216)),-1,IF(BP$3&lt;$B216,BP215+BP$6,IF(BP$3=$B216,1,"")))</f>
        <v>-1</v>
      </c>
      <c r="BQ216">
        <f t="shared" si="626"/>
        <v>-1</v>
      </c>
      <c r="BR216">
        <f t="shared" si="626"/>
        <v>-1</v>
      </c>
      <c r="BS216">
        <f t="shared" si="626"/>
        <v>-1</v>
      </c>
      <c r="BT216">
        <f t="shared" si="626"/>
        <v>-1</v>
      </c>
      <c r="BU216">
        <f t="shared" si="626"/>
        <v>-1</v>
      </c>
      <c r="BV216">
        <f t="shared" si="626"/>
        <v>-1</v>
      </c>
      <c r="BW216">
        <f t="shared" si="626"/>
        <v>-1</v>
      </c>
      <c r="BX216">
        <f t="shared" si="626"/>
        <v>-1</v>
      </c>
      <c r="BY216">
        <f t="shared" si="626"/>
        <v>-1</v>
      </c>
      <c r="BZ216">
        <f t="shared" si="626"/>
        <v>-1</v>
      </c>
      <c r="CA216">
        <f t="shared" si="626"/>
        <v>-1</v>
      </c>
      <c r="CB216">
        <f t="shared" si="626"/>
        <v>-1</v>
      </c>
      <c r="CC216">
        <f t="shared" si="626"/>
        <v>-1</v>
      </c>
      <c r="CD216">
        <f t="shared" si="626"/>
        <v>-1</v>
      </c>
      <c r="CE216">
        <f t="shared" si="626"/>
        <v>-1</v>
      </c>
      <c r="CF216">
        <f t="shared" si="626"/>
        <v>-1</v>
      </c>
      <c r="CG216">
        <f t="shared" si="626"/>
        <v>-1</v>
      </c>
      <c r="CH216">
        <f t="shared" si="626"/>
        <v>-1</v>
      </c>
      <c r="CI216">
        <f t="shared" si="626"/>
        <v>71.800000000000026</v>
      </c>
      <c r="CJ216">
        <f t="shared" si="626"/>
        <v>68.20000000000006</v>
      </c>
      <c r="CK216">
        <f t="shared" si="626"/>
        <v>64.600000000000094</v>
      </c>
      <c r="CL216">
        <f t="shared" si="626"/>
        <v>61.000000000000099</v>
      </c>
      <c r="CM216">
        <f t="shared" si="626"/>
        <v>57.400000000000091</v>
      </c>
      <c r="CN216">
        <f t="shared" si="626"/>
        <v>53.800000000000082</v>
      </c>
      <c r="CO216">
        <f t="shared" si="626"/>
        <v>-1</v>
      </c>
      <c r="CP216">
        <f t="shared" si="626"/>
        <v>-1</v>
      </c>
      <c r="CQ216">
        <f t="shared" si="626"/>
        <v>-1</v>
      </c>
      <c r="CR216">
        <f t="shared" si="626"/>
        <v>-1</v>
      </c>
      <c r="CS216">
        <f t="shared" si="626"/>
        <v>-1</v>
      </c>
      <c r="CT216">
        <f t="shared" si="626"/>
        <v>-1</v>
      </c>
      <c r="CU216">
        <f t="shared" si="626"/>
        <v>-1</v>
      </c>
      <c r="CV216">
        <f t="shared" si="626"/>
        <v>-1</v>
      </c>
      <c r="CW216">
        <f t="shared" si="626"/>
        <v>-1</v>
      </c>
      <c r="CX216">
        <f t="shared" si="626"/>
        <v>-1</v>
      </c>
      <c r="CY216">
        <f t="shared" si="626"/>
        <v>-1</v>
      </c>
      <c r="CZ216">
        <f t="shared" si="626"/>
        <v>-1</v>
      </c>
      <c r="DA216">
        <f t="shared" si="626"/>
        <v>-1</v>
      </c>
      <c r="DB216">
        <f t="shared" si="626"/>
        <v>-1</v>
      </c>
      <c r="DC216">
        <f t="shared" si="626"/>
        <v>-1</v>
      </c>
      <c r="DD216">
        <f t="shared" si="626"/>
        <v>-1</v>
      </c>
      <c r="DE216">
        <f t="shared" si="626"/>
        <v>-1</v>
      </c>
      <c r="DF216">
        <f t="shared" si="626"/>
        <v>-1</v>
      </c>
      <c r="DG216">
        <f t="shared" si="626"/>
        <v>-1</v>
      </c>
      <c r="DH216">
        <f t="shared" si="626"/>
        <v>-1</v>
      </c>
      <c r="DI216">
        <f t="shared" si="626"/>
        <v>-1</v>
      </c>
      <c r="DJ216">
        <f t="shared" si="626"/>
        <v>-1</v>
      </c>
      <c r="DK216">
        <f t="shared" si="626"/>
        <v>-1</v>
      </c>
      <c r="DL216">
        <f t="shared" si="626"/>
        <v>-1</v>
      </c>
      <c r="DM216">
        <f t="shared" si="626"/>
        <v>-1</v>
      </c>
      <c r="DN216">
        <f t="shared" si="626"/>
        <v>-1</v>
      </c>
      <c r="DO216">
        <f t="shared" si="626"/>
        <v>-1</v>
      </c>
      <c r="DP216">
        <f t="shared" si="626"/>
        <v>-1</v>
      </c>
      <c r="DQ216">
        <f t="shared" si="626"/>
        <v>-1</v>
      </c>
      <c r="DR216">
        <f t="shared" si="626"/>
        <v>-1</v>
      </c>
      <c r="DS216">
        <f t="shared" si="626"/>
        <v>-1</v>
      </c>
      <c r="DT216">
        <f t="shared" si="626"/>
        <v>-1</v>
      </c>
      <c r="DU216">
        <f t="shared" si="626"/>
        <v>-1</v>
      </c>
      <c r="DV216">
        <f t="shared" si="626"/>
        <v>-1</v>
      </c>
      <c r="DW216">
        <f t="shared" si="626"/>
        <v>-1</v>
      </c>
      <c r="DX216">
        <f t="shared" si="626"/>
        <v>-1</v>
      </c>
      <c r="DY216">
        <f t="shared" si="626"/>
        <v>-1</v>
      </c>
      <c r="DZ216">
        <f t="shared" si="626"/>
        <v>-1</v>
      </c>
      <c r="EA216">
        <f t="shared" si="626"/>
        <v>-1</v>
      </c>
      <c r="EB216">
        <f t="shared" ref="EB216:EO216" si="627">IF(OR(EB215=-1,AND(IF(EB$3&lt;$B216,EB215+EB$6,IF(EB$3=$B216,1,""))&gt;$B$1,EB$3&lt;$B216)),-1,IF(EB$3&lt;$B216,EB215+EB$6,IF(EB$3=$B216,1,"")))</f>
        <v>-1</v>
      </c>
      <c r="EC216">
        <f t="shared" si="627"/>
        <v>-1</v>
      </c>
      <c r="ED216">
        <f t="shared" si="627"/>
        <v>-1</v>
      </c>
      <c r="EE216">
        <f t="shared" si="627"/>
        <v>-1</v>
      </c>
      <c r="EF216">
        <f t="shared" si="627"/>
        <v>-1</v>
      </c>
      <c r="EG216">
        <f t="shared" si="627"/>
        <v>-1</v>
      </c>
      <c r="EH216">
        <f t="shared" si="627"/>
        <v>-1</v>
      </c>
      <c r="EI216">
        <f t="shared" si="627"/>
        <v>-1</v>
      </c>
      <c r="EJ216">
        <f t="shared" si="627"/>
        <v>-1</v>
      </c>
      <c r="EK216">
        <f t="shared" si="627"/>
        <v>-1</v>
      </c>
      <c r="EL216">
        <f t="shared" si="627"/>
        <v>-1</v>
      </c>
      <c r="EM216">
        <f t="shared" si="627"/>
        <v>-1</v>
      </c>
      <c r="EN216">
        <f t="shared" si="627"/>
        <v>-1</v>
      </c>
      <c r="EO216">
        <f t="shared" si="627"/>
        <v>-1</v>
      </c>
    </row>
    <row r="217" spans="1:145" x14ac:dyDescent="0.15">
      <c r="A217" t="e">
        <f t="shared" si="579"/>
        <v>#N/A</v>
      </c>
      <c r="B217" s="218">
        <v>209</v>
      </c>
      <c r="C217">
        <f t="shared" si="579"/>
        <v>-1</v>
      </c>
      <c r="D217">
        <f t="shared" ref="D217:BO217" si="628">IF(OR(D216=-1,AND(IF(D$3&lt;$B217,D216+D$6,IF(D$3=$B217,1,""))&gt;$B$1,D$3&lt;$B217)),-1,IF(D$3&lt;$B217,D216+D$6,IF(D$3=$B217,1,"")))</f>
        <v>-1</v>
      </c>
      <c r="E217">
        <f t="shared" si="628"/>
        <v>-1</v>
      </c>
      <c r="F217">
        <f t="shared" si="628"/>
        <v>-1</v>
      </c>
      <c r="G217">
        <f t="shared" si="628"/>
        <v>-1</v>
      </c>
      <c r="H217">
        <f t="shared" si="628"/>
        <v>-1</v>
      </c>
      <c r="I217">
        <f t="shared" si="628"/>
        <v>-1</v>
      </c>
      <c r="J217">
        <f t="shared" si="628"/>
        <v>-1</v>
      </c>
      <c r="K217">
        <f t="shared" si="628"/>
        <v>-1</v>
      </c>
      <c r="L217">
        <f t="shared" si="628"/>
        <v>-1</v>
      </c>
      <c r="M217">
        <f t="shared" si="628"/>
        <v>-1</v>
      </c>
      <c r="N217">
        <f t="shared" si="628"/>
        <v>-1</v>
      </c>
      <c r="O217">
        <f t="shared" si="628"/>
        <v>-1</v>
      </c>
      <c r="P217">
        <f t="shared" si="628"/>
        <v>-1</v>
      </c>
      <c r="Q217">
        <f t="shared" si="628"/>
        <v>-1</v>
      </c>
      <c r="R217">
        <f t="shared" si="628"/>
        <v>-1</v>
      </c>
      <c r="S217">
        <f t="shared" si="628"/>
        <v>-1</v>
      </c>
      <c r="T217">
        <f t="shared" si="628"/>
        <v>-1</v>
      </c>
      <c r="U217">
        <f t="shared" si="628"/>
        <v>-1</v>
      </c>
      <c r="V217">
        <f t="shared" si="628"/>
        <v>-1</v>
      </c>
      <c r="W217">
        <f t="shared" si="628"/>
        <v>-1</v>
      </c>
      <c r="X217">
        <f t="shared" si="628"/>
        <v>-1</v>
      </c>
      <c r="Y217">
        <f t="shared" si="628"/>
        <v>-1</v>
      </c>
      <c r="Z217">
        <f t="shared" si="628"/>
        <v>-1</v>
      </c>
      <c r="AA217">
        <f t="shared" si="628"/>
        <v>-1</v>
      </c>
      <c r="AB217">
        <f t="shared" si="628"/>
        <v>-1</v>
      </c>
      <c r="AC217">
        <f t="shared" si="628"/>
        <v>-1</v>
      </c>
      <c r="AD217">
        <f t="shared" si="628"/>
        <v>-1</v>
      </c>
      <c r="AE217">
        <f t="shared" si="628"/>
        <v>-1</v>
      </c>
      <c r="AF217">
        <f t="shared" si="628"/>
        <v>-1</v>
      </c>
      <c r="AG217">
        <f t="shared" si="628"/>
        <v>-1</v>
      </c>
      <c r="AH217">
        <f t="shared" si="628"/>
        <v>-1</v>
      </c>
      <c r="AI217">
        <f t="shared" si="628"/>
        <v>-1</v>
      </c>
      <c r="AJ217">
        <f t="shared" si="628"/>
        <v>-1</v>
      </c>
      <c r="AK217">
        <f t="shared" si="628"/>
        <v>-1</v>
      </c>
      <c r="AL217">
        <f t="shared" si="628"/>
        <v>-1</v>
      </c>
      <c r="AM217">
        <f t="shared" si="628"/>
        <v>-1</v>
      </c>
      <c r="AN217">
        <f t="shared" si="628"/>
        <v>-1</v>
      </c>
      <c r="AO217">
        <f t="shared" si="628"/>
        <v>-1</v>
      </c>
      <c r="AP217">
        <f t="shared" si="628"/>
        <v>-1</v>
      </c>
      <c r="AQ217">
        <f t="shared" si="628"/>
        <v>-1</v>
      </c>
      <c r="AR217">
        <f t="shared" si="628"/>
        <v>-1</v>
      </c>
      <c r="AS217">
        <f t="shared" si="628"/>
        <v>-1</v>
      </c>
      <c r="AT217">
        <f t="shared" si="628"/>
        <v>-1</v>
      </c>
      <c r="AU217">
        <f t="shared" si="628"/>
        <v>-1</v>
      </c>
      <c r="AV217">
        <f t="shared" si="628"/>
        <v>-1</v>
      </c>
      <c r="AW217">
        <f t="shared" si="628"/>
        <v>-1</v>
      </c>
      <c r="AX217">
        <f t="shared" si="628"/>
        <v>-1</v>
      </c>
      <c r="AY217">
        <f t="shared" si="628"/>
        <v>-1</v>
      </c>
      <c r="AZ217">
        <f t="shared" si="628"/>
        <v>-1</v>
      </c>
      <c r="BA217">
        <f t="shared" si="628"/>
        <v>-1</v>
      </c>
      <c r="BB217">
        <f t="shared" si="628"/>
        <v>-1</v>
      </c>
      <c r="BC217">
        <f t="shared" si="628"/>
        <v>-1</v>
      </c>
      <c r="BD217">
        <f t="shared" si="628"/>
        <v>-1</v>
      </c>
      <c r="BE217">
        <f t="shared" si="628"/>
        <v>-1</v>
      </c>
      <c r="BF217">
        <f t="shared" si="628"/>
        <v>-1</v>
      </c>
      <c r="BG217">
        <f t="shared" si="628"/>
        <v>-1</v>
      </c>
      <c r="BH217">
        <f t="shared" si="628"/>
        <v>-1</v>
      </c>
      <c r="BI217">
        <f t="shared" si="628"/>
        <v>-1</v>
      </c>
      <c r="BJ217">
        <f t="shared" si="628"/>
        <v>-1</v>
      </c>
      <c r="BK217">
        <f t="shared" si="628"/>
        <v>-1</v>
      </c>
      <c r="BL217">
        <f t="shared" si="628"/>
        <v>-1</v>
      </c>
      <c r="BM217">
        <f t="shared" si="628"/>
        <v>-1</v>
      </c>
      <c r="BN217">
        <f t="shared" si="628"/>
        <v>-1</v>
      </c>
      <c r="BO217">
        <f t="shared" si="628"/>
        <v>-1</v>
      </c>
      <c r="BP217">
        <f t="shared" ref="BP217:EA217" si="629">IF(OR(BP216=-1,AND(IF(BP$3&lt;$B217,BP216+BP$6,IF(BP$3=$B217,1,""))&gt;$B$1,BP$3&lt;$B217)),-1,IF(BP$3&lt;$B217,BP216+BP$6,IF(BP$3=$B217,1,"")))</f>
        <v>-1</v>
      </c>
      <c r="BQ217">
        <f t="shared" si="629"/>
        <v>-1</v>
      </c>
      <c r="BR217">
        <f t="shared" si="629"/>
        <v>-1</v>
      </c>
      <c r="BS217">
        <f t="shared" si="629"/>
        <v>-1</v>
      </c>
      <c r="BT217">
        <f t="shared" si="629"/>
        <v>-1</v>
      </c>
      <c r="BU217">
        <f t="shared" si="629"/>
        <v>-1</v>
      </c>
      <c r="BV217">
        <f t="shared" si="629"/>
        <v>-1</v>
      </c>
      <c r="BW217">
        <f t="shared" si="629"/>
        <v>-1</v>
      </c>
      <c r="BX217">
        <f t="shared" si="629"/>
        <v>-1</v>
      </c>
      <c r="BY217">
        <f t="shared" si="629"/>
        <v>-1</v>
      </c>
      <c r="BZ217">
        <f t="shared" si="629"/>
        <v>-1</v>
      </c>
      <c r="CA217">
        <f t="shared" si="629"/>
        <v>-1</v>
      </c>
      <c r="CB217">
        <f t="shared" si="629"/>
        <v>-1</v>
      </c>
      <c r="CC217">
        <f t="shared" si="629"/>
        <v>-1</v>
      </c>
      <c r="CD217">
        <f t="shared" si="629"/>
        <v>-1</v>
      </c>
      <c r="CE217">
        <f t="shared" si="629"/>
        <v>-1</v>
      </c>
      <c r="CF217">
        <f t="shared" si="629"/>
        <v>-1</v>
      </c>
      <c r="CG217">
        <f t="shared" si="629"/>
        <v>-1</v>
      </c>
      <c r="CH217">
        <f t="shared" si="629"/>
        <v>-1</v>
      </c>
      <c r="CI217">
        <f t="shared" si="629"/>
        <v>72.40000000000002</v>
      </c>
      <c r="CJ217">
        <f t="shared" si="629"/>
        <v>68.800000000000054</v>
      </c>
      <c r="CK217">
        <f t="shared" si="629"/>
        <v>65.200000000000088</v>
      </c>
      <c r="CL217">
        <f t="shared" si="629"/>
        <v>61.600000000000101</v>
      </c>
      <c r="CM217">
        <f t="shared" si="629"/>
        <v>58.000000000000092</v>
      </c>
      <c r="CN217">
        <f t="shared" si="629"/>
        <v>54.400000000000084</v>
      </c>
      <c r="CO217">
        <f t="shared" si="629"/>
        <v>-1</v>
      </c>
      <c r="CP217">
        <f t="shared" si="629"/>
        <v>-1</v>
      </c>
      <c r="CQ217">
        <f t="shared" si="629"/>
        <v>-1</v>
      </c>
      <c r="CR217">
        <f t="shared" si="629"/>
        <v>-1</v>
      </c>
      <c r="CS217">
        <f t="shared" si="629"/>
        <v>-1</v>
      </c>
      <c r="CT217">
        <f t="shared" si="629"/>
        <v>-1</v>
      </c>
      <c r="CU217">
        <f t="shared" si="629"/>
        <v>-1</v>
      </c>
      <c r="CV217">
        <f t="shared" si="629"/>
        <v>-1</v>
      </c>
      <c r="CW217">
        <f t="shared" si="629"/>
        <v>-1</v>
      </c>
      <c r="CX217">
        <f t="shared" si="629"/>
        <v>-1</v>
      </c>
      <c r="CY217">
        <f t="shared" si="629"/>
        <v>-1</v>
      </c>
      <c r="CZ217">
        <f t="shared" si="629"/>
        <v>-1</v>
      </c>
      <c r="DA217">
        <f t="shared" si="629"/>
        <v>-1</v>
      </c>
      <c r="DB217">
        <f t="shared" si="629"/>
        <v>-1</v>
      </c>
      <c r="DC217">
        <f t="shared" si="629"/>
        <v>-1</v>
      </c>
      <c r="DD217">
        <f t="shared" si="629"/>
        <v>-1</v>
      </c>
      <c r="DE217">
        <f t="shared" si="629"/>
        <v>-1</v>
      </c>
      <c r="DF217">
        <f t="shared" si="629"/>
        <v>-1</v>
      </c>
      <c r="DG217">
        <f t="shared" si="629"/>
        <v>-1</v>
      </c>
      <c r="DH217">
        <f t="shared" si="629"/>
        <v>-1</v>
      </c>
      <c r="DI217">
        <f t="shared" si="629"/>
        <v>-1</v>
      </c>
      <c r="DJ217">
        <f t="shared" si="629"/>
        <v>-1</v>
      </c>
      <c r="DK217">
        <f t="shared" si="629"/>
        <v>-1</v>
      </c>
      <c r="DL217">
        <f t="shared" si="629"/>
        <v>-1</v>
      </c>
      <c r="DM217">
        <f t="shared" si="629"/>
        <v>-1</v>
      </c>
      <c r="DN217">
        <f t="shared" si="629"/>
        <v>-1</v>
      </c>
      <c r="DO217">
        <f t="shared" si="629"/>
        <v>-1</v>
      </c>
      <c r="DP217">
        <f t="shared" si="629"/>
        <v>-1</v>
      </c>
      <c r="DQ217">
        <f t="shared" si="629"/>
        <v>-1</v>
      </c>
      <c r="DR217">
        <f t="shared" si="629"/>
        <v>-1</v>
      </c>
      <c r="DS217">
        <f t="shared" si="629"/>
        <v>-1</v>
      </c>
      <c r="DT217">
        <f t="shared" si="629"/>
        <v>-1</v>
      </c>
      <c r="DU217">
        <f t="shared" si="629"/>
        <v>-1</v>
      </c>
      <c r="DV217">
        <f t="shared" si="629"/>
        <v>-1</v>
      </c>
      <c r="DW217">
        <f t="shared" si="629"/>
        <v>-1</v>
      </c>
      <c r="DX217">
        <f t="shared" si="629"/>
        <v>-1</v>
      </c>
      <c r="DY217">
        <f t="shared" si="629"/>
        <v>-1</v>
      </c>
      <c r="DZ217">
        <f t="shared" si="629"/>
        <v>-1</v>
      </c>
      <c r="EA217">
        <f t="shared" si="629"/>
        <v>-1</v>
      </c>
      <c r="EB217">
        <f t="shared" ref="EB217:EO217" si="630">IF(OR(EB216=-1,AND(IF(EB$3&lt;$B217,EB216+EB$6,IF(EB$3=$B217,1,""))&gt;$B$1,EB$3&lt;$B217)),-1,IF(EB$3&lt;$B217,EB216+EB$6,IF(EB$3=$B217,1,"")))</f>
        <v>-1</v>
      </c>
      <c r="EC217">
        <f t="shared" si="630"/>
        <v>-1</v>
      </c>
      <c r="ED217">
        <f t="shared" si="630"/>
        <v>-1</v>
      </c>
      <c r="EE217">
        <f t="shared" si="630"/>
        <v>-1</v>
      </c>
      <c r="EF217">
        <f t="shared" si="630"/>
        <v>-1</v>
      </c>
      <c r="EG217">
        <f t="shared" si="630"/>
        <v>-1</v>
      </c>
      <c r="EH217">
        <f t="shared" si="630"/>
        <v>-1</v>
      </c>
      <c r="EI217">
        <f t="shared" si="630"/>
        <v>-1</v>
      </c>
      <c r="EJ217">
        <f t="shared" si="630"/>
        <v>-1</v>
      </c>
      <c r="EK217">
        <f t="shared" si="630"/>
        <v>-1</v>
      </c>
      <c r="EL217">
        <f t="shared" si="630"/>
        <v>-1</v>
      </c>
      <c r="EM217">
        <f t="shared" si="630"/>
        <v>-1</v>
      </c>
      <c r="EN217">
        <f t="shared" si="630"/>
        <v>-1</v>
      </c>
      <c r="EO217">
        <f t="shared" si="630"/>
        <v>-1</v>
      </c>
    </row>
    <row r="218" spans="1:145" x14ac:dyDescent="0.15">
      <c r="A218" t="e">
        <f t="shared" si="579"/>
        <v>#N/A</v>
      </c>
      <c r="B218" s="218">
        <v>210</v>
      </c>
      <c r="C218">
        <f t="shared" si="579"/>
        <v>-1</v>
      </c>
      <c r="D218">
        <f t="shared" ref="D218:BO218" si="631">IF(OR(D217=-1,AND(IF(D$3&lt;$B218,D217+D$6,IF(D$3=$B218,1,""))&gt;$B$1,D$3&lt;$B218)),-1,IF(D$3&lt;$B218,D217+D$6,IF(D$3=$B218,1,"")))</f>
        <v>-1</v>
      </c>
      <c r="E218">
        <f t="shared" si="631"/>
        <v>-1</v>
      </c>
      <c r="F218">
        <f t="shared" si="631"/>
        <v>-1</v>
      </c>
      <c r="G218">
        <f t="shared" si="631"/>
        <v>-1</v>
      </c>
      <c r="H218">
        <f t="shared" si="631"/>
        <v>-1</v>
      </c>
      <c r="I218">
        <f t="shared" si="631"/>
        <v>-1</v>
      </c>
      <c r="J218">
        <f t="shared" si="631"/>
        <v>-1</v>
      </c>
      <c r="K218">
        <f t="shared" si="631"/>
        <v>-1</v>
      </c>
      <c r="L218">
        <f t="shared" si="631"/>
        <v>-1</v>
      </c>
      <c r="M218">
        <f t="shared" si="631"/>
        <v>-1</v>
      </c>
      <c r="N218">
        <f t="shared" si="631"/>
        <v>-1</v>
      </c>
      <c r="O218">
        <f t="shared" si="631"/>
        <v>-1</v>
      </c>
      <c r="P218">
        <f t="shared" si="631"/>
        <v>-1</v>
      </c>
      <c r="Q218">
        <f t="shared" si="631"/>
        <v>-1</v>
      </c>
      <c r="R218">
        <f t="shared" si="631"/>
        <v>-1</v>
      </c>
      <c r="S218">
        <f t="shared" si="631"/>
        <v>-1</v>
      </c>
      <c r="T218">
        <f t="shared" si="631"/>
        <v>-1</v>
      </c>
      <c r="U218">
        <f t="shared" si="631"/>
        <v>-1</v>
      </c>
      <c r="V218">
        <f t="shared" si="631"/>
        <v>-1</v>
      </c>
      <c r="W218">
        <f t="shared" si="631"/>
        <v>-1</v>
      </c>
      <c r="X218">
        <f t="shared" si="631"/>
        <v>-1</v>
      </c>
      <c r="Y218">
        <f t="shared" si="631"/>
        <v>-1</v>
      </c>
      <c r="Z218">
        <f t="shared" si="631"/>
        <v>-1</v>
      </c>
      <c r="AA218">
        <f t="shared" si="631"/>
        <v>-1</v>
      </c>
      <c r="AB218">
        <f t="shared" si="631"/>
        <v>-1</v>
      </c>
      <c r="AC218">
        <f t="shared" si="631"/>
        <v>-1</v>
      </c>
      <c r="AD218">
        <f t="shared" si="631"/>
        <v>-1</v>
      </c>
      <c r="AE218">
        <f t="shared" si="631"/>
        <v>-1</v>
      </c>
      <c r="AF218">
        <f t="shared" si="631"/>
        <v>-1</v>
      </c>
      <c r="AG218">
        <f t="shared" si="631"/>
        <v>-1</v>
      </c>
      <c r="AH218">
        <f t="shared" si="631"/>
        <v>-1</v>
      </c>
      <c r="AI218">
        <f t="shared" si="631"/>
        <v>-1</v>
      </c>
      <c r="AJ218">
        <f t="shared" si="631"/>
        <v>-1</v>
      </c>
      <c r="AK218">
        <f t="shared" si="631"/>
        <v>-1</v>
      </c>
      <c r="AL218">
        <f t="shared" si="631"/>
        <v>-1</v>
      </c>
      <c r="AM218">
        <f t="shared" si="631"/>
        <v>-1</v>
      </c>
      <c r="AN218">
        <f t="shared" si="631"/>
        <v>-1</v>
      </c>
      <c r="AO218">
        <f t="shared" si="631"/>
        <v>-1</v>
      </c>
      <c r="AP218">
        <f t="shared" si="631"/>
        <v>-1</v>
      </c>
      <c r="AQ218">
        <f t="shared" si="631"/>
        <v>-1</v>
      </c>
      <c r="AR218">
        <f t="shared" si="631"/>
        <v>-1</v>
      </c>
      <c r="AS218">
        <f t="shared" si="631"/>
        <v>-1</v>
      </c>
      <c r="AT218">
        <f t="shared" si="631"/>
        <v>-1</v>
      </c>
      <c r="AU218">
        <f t="shared" si="631"/>
        <v>-1</v>
      </c>
      <c r="AV218">
        <f t="shared" si="631"/>
        <v>-1</v>
      </c>
      <c r="AW218">
        <f t="shared" si="631"/>
        <v>-1</v>
      </c>
      <c r="AX218">
        <f t="shared" si="631"/>
        <v>-1</v>
      </c>
      <c r="AY218">
        <f t="shared" si="631"/>
        <v>-1</v>
      </c>
      <c r="AZ218">
        <f t="shared" si="631"/>
        <v>-1</v>
      </c>
      <c r="BA218">
        <f t="shared" si="631"/>
        <v>-1</v>
      </c>
      <c r="BB218">
        <f t="shared" si="631"/>
        <v>-1</v>
      </c>
      <c r="BC218">
        <f t="shared" si="631"/>
        <v>-1</v>
      </c>
      <c r="BD218">
        <f t="shared" si="631"/>
        <v>-1</v>
      </c>
      <c r="BE218">
        <f t="shared" si="631"/>
        <v>-1</v>
      </c>
      <c r="BF218">
        <f t="shared" si="631"/>
        <v>-1</v>
      </c>
      <c r="BG218">
        <f t="shared" si="631"/>
        <v>-1</v>
      </c>
      <c r="BH218">
        <f t="shared" si="631"/>
        <v>-1</v>
      </c>
      <c r="BI218">
        <f t="shared" si="631"/>
        <v>-1</v>
      </c>
      <c r="BJ218">
        <f t="shared" si="631"/>
        <v>-1</v>
      </c>
      <c r="BK218">
        <f t="shared" si="631"/>
        <v>-1</v>
      </c>
      <c r="BL218">
        <f t="shared" si="631"/>
        <v>-1</v>
      </c>
      <c r="BM218">
        <f t="shared" si="631"/>
        <v>-1</v>
      </c>
      <c r="BN218">
        <f t="shared" si="631"/>
        <v>-1</v>
      </c>
      <c r="BO218">
        <f t="shared" si="631"/>
        <v>-1</v>
      </c>
      <c r="BP218">
        <f t="shared" ref="BP218:EA218" si="632">IF(OR(BP217=-1,AND(IF(BP$3&lt;$B218,BP217+BP$6,IF(BP$3=$B218,1,""))&gt;$B$1,BP$3&lt;$B218)),-1,IF(BP$3&lt;$B218,BP217+BP$6,IF(BP$3=$B218,1,"")))</f>
        <v>-1</v>
      </c>
      <c r="BQ218">
        <f t="shared" si="632"/>
        <v>-1</v>
      </c>
      <c r="BR218">
        <f t="shared" si="632"/>
        <v>-1</v>
      </c>
      <c r="BS218">
        <f t="shared" si="632"/>
        <v>-1</v>
      </c>
      <c r="BT218">
        <f t="shared" si="632"/>
        <v>-1</v>
      </c>
      <c r="BU218">
        <f t="shared" si="632"/>
        <v>-1</v>
      </c>
      <c r="BV218">
        <f t="shared" si="632"/>
        <v>-1</v>
      </c>
      <c r="BW218">
        <f t="shared" si="632"/>
        <v>-1</v>
      </c>
      <c r="BX218">
        <f t="shared" si="632"/>
        <v>-1</v>
      </c>
      <c r="BY218">
        <f t="shared" si="632"/>
        <v>-1</v>
      </c>
      <c r="BZ218">
        <f t="shared" si="632"/>
        <v>-1</v>
      </c>
      <c r="CA218">
        <f t="shared" si="632"/>
        <v>-1</v>
      </c>
      <c r="CB218">
        <f t="shared" si="632"/>
        <v>-1</v>
      </c>
      <c r="CC218">
        <f t="shared" si="632"/>
        <v>-1</v>
      </c>
      <c r="CD218">
        <f t="shared" si="632"/>
        <v>-1</v>
      </c>
      <c r="CE218">
        <f t="shared" si="632"/>
        <v>-1</v>
      </c>
      <c r="CF218">
        <f t="shared" si="632"/>
        <v>-1</v>
      </c>
      <c r="CG218">
        <f t="shared" si="632"/>
        <v>-1</v>
      </c>
      <c r="CH218">
        <f t="shared" si="632"/>
        <v>-1</v>
      </c>
      <c r="CI218">
        <f t="shared" si="632"/>
        <v>73.000000000000014</v>
      </c>
      <c r="CJ218">
        <f t="shared" si="632"/>
        <v>69.400000000000048</v>
      </c>
      <c r="CK218">
        <f t="shared" si="632"/>
        <v>65.800000000000082</v>
      </c>
      <c r="CL218">
        <f t="shared" si="632"/>
        <v>62.200000000000102</v>
      </c>
      <c r="CM218">
        <f t="shared" si="632"/>
        <v>58.600000000000094</v>
      </c>
      <c r="CN218">
        <f t="shared" si="632"/>
        <v>55.000000000000085</v>
      </c>
      <c r="CO218">
        <f t="shared" si="632"/>
        <v>-1</v>
      </c>
      <c r="CP218">
        <f t="shared" si="632"/>
        <v>-1</v>
      </c>
      <c r="CQ218">
        <f t="shared" si="632"/>
        <v>-1</v>
      </c>
      <c r="CR218">
        <f t="shared" si="632"/>
        <v>-1</v>
      </c>
      <c r="CS218">
        <f t="shared" si="632"/>
        <v>-1</v>
      </c>
      <c r="CT218">
        <f t="shared" si="632"/>
        <v>-1</v>
      </c>
      <c r="CU218">
        <f t="shared" si="632"/>
        <v>-1</v>
      </c>
      <c r="CV218">
        <f t="shared" si="632"/>
        <v>-1</v>
      </c>
      <c r="CW218">
        <f t="shared" si="632"/>
        <v>-1</v>
      </c>
      <c r="CX218">
        <f t="shared" si="632"/>
        <v>-1</v>
      </c>
      <c r="CY218">
        <f t="shared" si="632"/>
        <v>-1</v>
      </c>
      <c r="CZ218">
        <f t="shared" si="632"/>
        <v>-1</v>
      </c>
      <c r="DA218">
        <f t="shared" si="632"/>
        <v>-1</v>
      </c>
      <c r="DB218">
        <f t="shared" si="632"/>
        <v>-1</v>
      </c>
      <c r="DC218">
        <f t="shared" si="632"/>
        <v>-1</v>
      </c>
      <c r="DD218">
        <f t="shared" si="632"/>
        <v>-1</v>
      </c>
      <c r="DE218">
        <f t="shared" si="632"/>
        <v>-1</v>
      </c>
      <c r="DF218">
        <f t="shared" si="632"/>
        <v>-1</v>
      </c>
      <c r="DG218">
        <f t="shared" si="632"/>
        <v>-1</v>
      </c>
      <c r="DH218">
        <f t="shared" si="632"/>
        <v>-1</v>
      </c>
      <c r="DI218">
        <f t="shared" si="632"/>
        <v>-1</v>
      </c>
      <c r="DJ218">
        <f t="shared" si="632"/>
        <v>-1</v>
      </c>
      <c r="DK218">
        <f t="shared" si="632"/>
        <v>-1</v>
      </c>
      <c r="DL218">
        <f t="shared" si="632"/>
        <v>-1</v>
      </c>
      <c r="DM218">
        <f t="shared" si="632"/>
        <v>-1</v>
      </c>
      <c r="DN218">
        <f t="shared" si="632"/>
        <v>-1</v>
      </c>
      <c r="DO218">
        <f t="shared" si="632"/>
        <v>-1</v>
      </c>
      <c r="DP218">
        <f t="shared" si="632"/>
        <v>-1</v>
      </c>
      <c r="DQ218">
        <f t="shared" si="632"/>
        <v>-1</v>
      </c>
      <c r="DR218">
        <f t="shared" si="632"/>
        <v>-1</v>
      </c>
      <c r="DS218">
        <f t="shared" si="632"/>
        <v>-1</v>
      </c>
      <c r="DT218">
        <f t="shared" si="632"/>
        <v>-1</v>
      </c>
      <c r="DU218">
        <f t="shared" si="632"/>
        <v>-1</v>
      </c>
      <c r="DV218">
        <f t="shared" si="632"/>
        <v>-1</v>
      </c>
      <c r="DW218">
        <f t="shared" si="632"/>
        <v>-1</v>
      </c>
      <c r="DX218">
        <f t="shared" si="632"/>
        <v>-1</v>
      </c>
      <c r="DY218">
        <f t="shared" si="632"/>
        <v>-1</v>
      </c>
      <c r="DZ218">
        <f t="shared" si="632"/>
        <v>-1</v>
      </c>
      <c r="EA218">
        <f t="shared" si="632"/>
        <v>-1</v>
      </c>
      <c r="EB218">
        <f t="shared" ref="EB218:EO218" si="633">IF(OR(EB217=-1,AND(IF(EB$3&lt;$B218,EB217+EB$6,IF(EB$3=$B218,1,""))&gt;$B$1,EB$3&lt;$B218)),-1,IF(EB$3&lt;$B218,EB217+EB$6,IF(EB$3=$B218,1,"")))</f>
        <v>-1</v>
      </c>
      <c r="EC218">
        <f t="shared" si="633"/>
        <v>-1</v>
      </c>
      <c r="ED218">
        <f t="shared" si="633"/>
        <v>-1</v>
      </c>
      <c r="EE218">
        <f t="shared" si="633"/>
        <v>-1</v>
      </c>
      <c r="EF218">
        <f t="shared" si="633"/>
        <v>-1</v>
      </c>
      <c r="EG218">
        <f t="shared" si="633"/>
        <v>-1</v>
      </c>
      <c r="EH218">
        <f t="shared" si="633"/>
        <v>-1</v>
      </c>
      <c r="EI218">
        <f t="shared" si="633"/>
        <v>-1</v>
      </c>
      <c r="EJ218">
        <f t="shared" si="633"/>
        <v>-1</v>
      </c>
      <c r="EK218">
        <f t="shared" si="633"/>
        <v>-1</v>
      </c>
      <c r="EL218">
        <f t="shared" si="633"/>
        <v>-1</v>
      </c>
      <c r="EM218">
        <f t="shared" si="633"/>
        <v>-1</v>
      </c>
      <c r="EN218">
        <f t="shared" si="633"/>
        <v>-1</v>
      </c>
      <c r="EO218">
        <f t="shared" si="633"/>
        <v>-1</v>
      </c>
    </row>
    <row r="219" spans="1:145" x14ac:dyDescent="0.15">
      <c r="A219" t="e">
        <f t="shared" si="579"/>
        <v>#N/A</v>
      </c>
      <c r="B219" s="218">
        <v>211</v>
      </c>
      <c r="C219">
        <f t="shared" si="579"/>
        <v>-1</v>
      </c>
      <c r="D219">
        <f t="shared" ref="D219:BO219" si="634">IF(OR(D218=-1,AND(IF(D$3&lt;$B219,D218+D$6,IF(D$3=$B219,1,""))&gt;$B$1,D$3&lt;$B219)),-1,IF(D$3&lt;$B219,D218+D$6,IF(D$3=$B219,1,"")))</f>
        <v>-1</v>
      </c>
      <c r="E219">
        <f t="shared" si="634"/>
        <v>-1</v>
      </c>
      <c r="F219">
        <f t="shared" si="634"/>
        <v>-1</v>
      </c>
      <c r="G219">
        <f t="shared" si="634"/>
        <v>-1</v>
      </c>
      <c r="H219">
        <f t="shared" si="634"/>
        <v>-1</v>
      </c>
      <c r="I219">
        <f t="shared" si="634"/>
        <v>-1</v>
      </c>
      <c r="J219">
        <f t="shared" si="634"/>
        <v>-1</v>
      </c>
      <c r="K219">
        <f t="shared" si="634"/>
        <v>-1</v>
      </c>
      <c r="L219">
        <f t="shared" si="634"/>
        <v>-1</v>
      </c>
      <c r="M219">
        <f t="shared" si="634"/>
        <v>-1</v>
      </c>
      <c r="N219">
        <f t="shared" si="634"/>
        <v>-1</v>
      </c>
      <c r="O219">
        <f t="shared" si="634"/>
        <v>-1</v>
      </c>
      <c r="P219">
        <f t="shared" si="634"/>
        <v>-1</v>
      </c>
      <c r="Q219">
        <f t="shared" si="634"/>
        <v>-1</v>
      </c>
      <c r="R219">
        <f t="shared" si="634"/>
        <v>-1</v>
      </c>
      <c r="S219">
        <f t="shared" si="634"/>
        <v>-1</v>
      </c>
      <c r="T219">
        <f t="shared" si="634"/>
        <v>-1</v>
      </c>
      <c r="U219">
        <f t="shared" si="634"/>
        <v>-1</v>
      </c>
      <c r="V219">
        <f t="shared" si="634"/>
        <v>-1</v>
      </c>
      <c r="W219">
        <f t="shared" si="634"/>
        <v>-1</v>
      </c>
      <c r="X219">
        <f t="shared" si="634"/>
        <v>-1</v>
      </c>
      <c r="Y219">
        <f t="shared" si="634"/>
        <v>-1</v>
      </c>
      <c r="Z219">
        <f t="shared" si="634"/>
        <v>-1</v>
      </c>
      <c r="AA219">
        <f t="shared" si="634"/>
        <v>-1</v>
      </c>
      <c r="AB219">
        <f t="shared" si="634"/>
        <v>-1</v>
      </c>
      <c r="AC219">
        <f t="shared" si="634"/>
        <v>-1</v>
      </c>
      <c r="AD219">
        <f t="shared" si="634"/>
        <v>-1</v>
      </c>
      <c r="AE219">
        <f t="shared" si="634"/>
        <v>-1</v>
      </c>
      <c r="AF219">
        <f t="shared" si="634"/>
        <v>-1</v>
      </c>
      <c r="AG219">
        <f t="shared" si="634"/>
        <v>-1</v>
      </c>
      <c r="AH219">
        <f t="shared" si="634"/>
        <v>-1</v>
      </c>
      <c r="AI219">
        <f t="shared" si="634"/>
        <v>-1</v>
      </c>
      <c r="AJ219">
        <f t="shared" si="634"/>
        <v>-1</v>
      </c>
      <c r="AK219">
        <f t="shared" si="634"/>
        <v>-1</v>
      </c>
      <c r="AL219">
        <f t="shared" si="634"/>
        <v>-1</v>
      </c>
      <c r="AM219">
        <f t="shared" si="634"/>
        <v>-1</v>
      </c>
      <c r="AN219">
        <f t="shared" si="634"/>
        <v>-1</v>
      </c>
      <c r="AO219">
        <f t="shared" si="634"/>
        <v>-1</v>
      </c>
      <c r="AP219">
        <f t="shared" si="634"/>
        <v>-1</v>
      </c>
      <c r="AQ219">
        <f t="shared" si="634"/>
        <v>-1</v>
      </c>
      <c r="AR219">
        <f t="shared" si="634"/>
        <v>-1</v>
      </c>
      <c r="AS219">
        <f t="shared" si="634"/>
        <v>-1</v>
      </c>
      <c r="AT219">
        <f t="shared" si="634"/>
        <v>-1</v>
      </c>
      <c r="AU219">
        <f t="shared" si="634"/>
        <v>-1</v>
      </c>
      <c r="AV219">
        <f t="shared" si="634"/>
        <v>-1</v>
      </c>
      <c r="AW219">
        <f t="shared" si="634"/>
        <v>-1</v>
      </c>
      <c r="AX219">
        <f t="shared" si="634"/>
        <v>-1</v>
      </c>
      <c r="AY219">
        <f t="shared" si="634"/>
        <v>-1</v>
      </c>
      <c r="AZ219">
        <f t="shared" si="634"/>
        <v>-1</v>
      </c>
      <c r="BA219">
        <f t="shared" si="634"/>
        <v>-1</v>
      </c>
      <c r="BB219">
        <f t="shared" si="634"/>
        <v>-1</v>
      </c>
      <c r="BC219">
        <f t="shared" si="634"/>
        <v>-1</v>
      </c>
      <c r="BD219">
        <f t="shared" si="634"/>
        <v>-1</v>
      </c>
      <c r="BE219">
        <f t="shared" si="634"/>
        <v>-1</v>
      </c>
      <c r="BF219">
        <f t="shared" si="634"/>
        <v>-1</v>
      </c>
      <c r="BG219">
        <f t="shared" si="634"/>
        <v>-1</v>
      </c>
      <c r="BH219">
        <f t="shared" si="634"/>
        <v>-1</v>
      </c>
      <c r="BI219">
        <f t="shared" si="634"/>
        <v>-1</v>
      </c>
      <c r="BJ219">
        <f t="shared" si="634"/>
        <v>-1</v>
      </c>
      <c r="BK219">
        <f t="shared" si="634"/>
        <v>-1</v>
      </c>
      <c r="BL219">
        <f t="shared" si="634"/>
        <v>-1</v>
      </c>
      <c r="BM219">
        <f t="shared" si="634"/>
        <v>-1</v>
      </c>
      <c r="BN219">
        <f t="shared" si="634"/>
        <v>-1</v>
      </c>
      <c r="BO219">
        <f t="shared" si="634"/>
        <v>-1</v>
      </c>
      <c r="BP219">
        <f t="shared" ref="BP219:EA219" si="635">IF(OR(BP218=-1,AND(IF(BP$3&lt;$B219,BP218+BP$6,IF(BP$3=$B219,1,""))&gt;$B$1,BP$3&lt;$B219)),-1,IF(BP$3&lt;$B219,BP218+BP$6,IF(BP$3=$B219,1,"")))</f>
        <v>-1</v>
      </c>
      <c r="BQ219">
        <f t="shared" si="635"/>
        <v>-1</v>
      </c>
      <c r="BR219">
        <f t="shared" si="635"/>
        <v>-1</v>
      </c>
      <c r="BS219">
        <f t="shared" si="635"/>
        <v>-1</v>
      </c>
      <c r="BT219">
        <f t="shared" si="635"/>
        <v>-1</v>
      </c>
      <c r="BU219">
        <f t="shared" si="635"/>
        <v>-1</v>
      </c>
      <c r="BV219">
        <f t="shared" si="635"/>
        <v>-1</v>
      </c>
      <c r="BW219">
        <f t="shared" si="635"/>
        <v>-1</v>
      </c>
      <c r="BX219">
        <f t="shared" si="635"/>
        <v>-1</v>
      </c>
      <c r="BY219">
        <f t="shared" si="635"/>
        <v>-1</v>
      </c>
      <c r="BZ219">
        <f t="shared" si="635"/>
        <v>-1</v>
      </c>
      <c r="CA219">
        <f t="shared" si="635"/>
        <v>-1</v>
      </c>
      <c r="CB219">
        <f t="shared" si="635"/>
        <v>-1</v>
      </c>
      <c r="CC219">
        <f t="shared" si="635"/>
        <v>-1</v>
      </c>
      <c r="CD219">
        <f t="shared" si="635"/>
        <v>-1</v>
      </c>
      <c r="CE219">
        <f t="shared" si="635"/>
        <v>-1</v>
      </c>
      <c r="CF219">
        <f t="shared" si="635"/>
        <v>-1</v>
      </c>
      <c r="CG219">
        <f t="shared" si="635"/>
        <v>-1</v>
      </c>
      <c r="CH219">
        <f t="shared" si="635"/>
        <v>-1</v>
      </c>
      <c r="CI219">
        <f t="shared" si="635"/>
        <v>73.600000000000009</v>
      </c>
      <c r="CJ219">
        <f t="shared" si="635"/>
        <v>70.000000000000043</v>
      </c>
      <c r="CK219">
        <f t="shared" si="635"/>
        <v>66.400000000000077</v>
      </c>
      <c r="CL219">
        <f t="shared" si="635"/>
        <v>62.800000000000104</v>
      </c>
      <c r="CM219">
        <f t="shared" si="635"/>
        <v>59.200000000000095</v>
      </c>
      <c r="CN219">
        <f t="shared" si="635"/>
        <v>55.600000000000087</v>
      </c>
      <c r="CO219">
        <f t="shared" si="635"/>
        <v>-1</v>
      </c>
      <c r="CP219">
        <f t="shared" si="635"/>
        <v>-1</v>
      </c>
      <c r="CQ219">
        <f t="shared" si="635"/>
        <v>-1</v>
      </c>
      <c r="CR219">
        <f t="shared" si="635"/>
        <v>-1</v>
      </c>
      <c r="CS219">
        <f t="shared" si="635"/>
        <v>-1</v>
      </c>
      <c r="CT219">
        <f t="shared" si="635"/>
        <v>-1</v>
      </c>
      <c r="CU219">
        <f t="shared" si="635"/>
        <v>-1</v>
      </c>
      <c r="CV219">
        <f t="shared" si="635"/>
        <v>-1</v>
      </c>
      <c r="CW219">
        <f t="shared" si="635"/>
        <v>-1</v>
      </c>
      <c r="CX219">
        <f t="shared" si="635"/>
        <v>-1</v>
      </c>
      <c r="CY219">
        <f t="shared" si="635"/>
        <v>-1</v>
      </c>
      <c r="CZ219">
        <f t="shared" si="635"/>
        <v>-1</v>
      </c>
      <c r="DA219">
        <f t="shared" si="635"/>
        <v>-1</v>
      </c>
      <c r="DB219">
        <f t="shared" si="635"/>
        <v>-1</v>
      </c>
      <c r="DC219">
        <f t="shared" si="635"/>
        <v>-1</v>
      </c>
      <c r="DD219">
        <f t="shared" si="635"/>
        <v>-1</v>
      </c>
      <c r="DE219">
        <f t="shared" si="635"/>
        <v>-1</v>
      </c>
      <c r="DF219">
        <f t="shared" si="635"/>
        <v>-1</v>
      </c>
      <c r="DG219">
        <f t="shared" si="635"/>
        <v>-1</v>
      </c>
      <c r="DH219">
        <f t="shared" si="635"/>
        <v>-1</v>
      </c>
      <c r="DI219">
        <f t="shared" si="635"/>
        <v>-1</v>
      </c>
      <c r="DJ219">
        <f t="shared" si="635"/>
        <v>-1</v>
      </c>
      <c r="DK219">
        <f t="shared" si="635"/>
        <v>-1</v>
      </c>
      <c r="DL219">
        <f t="shared" si="635"/>
        <v>-1</v>
      </c>
      <c r="DM219">
        <f t="shared" si="635"/>
        <v>-1</v>
      </c>
      <c r="DN219">
        <f t="shared" si="635"/>
        <v>-1</v>
      </c>
      <c r="DO219">
        <f t="shared" si="635"/>
        <v>-1</v>
      </c>
      <c r="DP219">
        <f t="shared" si="635"/>
        <v>-1</v>
      </c>
      <c r="DQ219">
        <f t="shared" si="635"/>
        <v>-1</v>
      </c>
      <c r="DR219">
        <f t="shared" si="635"/>
        <v>-1</v>
      </c>
      <c r="DS219">
        <f t="shared" si="635"/>
        <v>-1</v>
      </c>
      <c r="DT219">
        <f t="shared" si="635"/>
        <v>-1</v>
      </c>
      <c r="DU219">
        <f t="shared" si="635"/>
        <v>-1</v>
      </c>
      <c r="DV219">
        <f t="shared" si="635"/>
        <v>-1</v>
      </c>
      <c r="DW219">
        <f t="shared" si="635"/>
        <v>-1</v>
      </c>
      <c r="DX219">
        <f t="shared" si="635"/>
        <v>-1</v>
      </c>
      <c r="DY219">
        <f t="shared" si="635"/>
        <v>-1</v>
      </c>
      <c r="DZ219">
        <f t="shared" si="635"/>
        <v>-1</v>
      </c>
      <c r="EA219">
        <f t="shared" si="635"/>
        <v>-1</v>
      </c>
      <c r="EB219">
        <f t="shared" ref="EB219:EO219" si="636">IF(OR(EB218=-1,AND(IF(EB$3&lt;$B219,EB218+EB$6,IF(EB$3=$B219,1,""))&gt;$B$1,EB$3&lt;$B219)),-1,IF(EB$3&lt;$B219,EB218+EB$6,IF(EB$3=$B219,1,"")))</f>
        <v>-1</v>
      </c>
      <c r="EC219">
        <f t="shared" si="636"/>
        <v>-1</v>
      </c>
      <c r="ED219">
        <f t="shared" si="636"/>
        <v>-1</v>
      </c>
      <c r="EE219">
        <f t="shared" si="636"/>
        <v>-1</v>
      </c>
      <c r="EF219">
        <f t="shared" si="636"/>
        <v>-1</v>
      </c>
      <c r="EG219">
        <f t="shared" si="636"/>
        <v>-1</v>
      </c>
      <c r="EH219">
        <f t="shared" si="636"/>
        <v>-1</v>
      </c>
      <c r="EI219">
        <f t="shared" si="636"/>
        <v>-1</v>
      </c>
      <c r="EJ219">
        <f t="shared" si="636"/>
        <v>-1</v>
      </c>
      <c r="EK219">
        <f t="shared" si="636"/>
        <v>-1</v>
      </c>
      <c r="EL219">
        <f t="shared" si="636"/>
        <v>-1</v>
      </c>
      <c r="EM219">
        <f t="shared" si="636"/>
        <v>-1</v>
      </c>
      <c r="EN219">
        <f t="shared" si="636"/>
        <v>-1</v>
      </c>
      <c r="EO219">
        <f t="shared" si="636"/>
        <v>-1</v>
      </c>
    </row>
    <row r="220" spans="1:145" x14ac:dyDescent="0.15">
      <c r="A220" t="e">
        <f t="shared" si="579"/>
        <v>#N/A</v>
      </c>
      <c r="B220" s="218">
        <v>212</v>
      </c>
      <c r="C220">
        <f t="shared" si="579"/>
        <v>-1</v>
      </c>
      <c r="D220">
        <f t="shared" ref="D220:BO220" si="637">IF(OR(D219=-1,AND(IF(D$3&lt;$B220,D219+D$6,IF(D$3=$B220,1,""))&gt;$B$1,D$3&lt;$B220)),-1,IF(D$3&lt;$B220,D219+D$6,IF(D$3=$B220,1,"")))</f>
        <v>-1</v>
      </c>
      <c r="E220">
        <f t="shared" si="637"/>
        <v>-1</v>
      </c>
      <c r="F220">
        <f t="shared" si="637"/>
        <v>-1</v>
      </c>
      <c r="G220">
        <f t="shared" si="637"/>
        <v>-1</v>
      </c>
      <c r="H220">
        <f t="shared" si="637"/>
        <v>-1</v>
      </c>
      <c r="I220">
        <f t="shared" si="637"/>
        <v>-1</v>
      </c>
      <c r="J220">
        <f t="shared" si="637"/>
        <v>-1</v>
      </c>
      <c r="K220">
        <f t="shared" si="637"/>
        <v>-1</v>
      </c>
      <c r="L220">
        <f t="shared" si="637"/>
        <v>-1</v>
      </c>
      <c r="M220">
        <f t="shared" si="637"/>
        <v>-1</v>
      </c>
      <c r="N220">
        <f t="shared" si="637"/>
        <v>-1</v>
      </c>
      <c r="O220">
        <f t="shared" si="637"/>
        <v>-1</v>
      </c>
      <c r="P220">
        <f t="shared" si="637"/>
        <v>-1</v>
      </c>
      <c r="Q220">
        <f t="shared" si="637"/>
        <v>-1</v>
      </c>
      <c r="R220">
        <f t="shared" si="637"/>
        <v>-1</v>
      </c>
      <c r="S220">
        <f t="shared" si="637"/>
        <v>-1</v>
      </c>
      <c r="T220">
        <f t="shared" si="637"/>
        <v>-1</v>
      </c>
      <c r="U220">
        <f t="shared" si="637"/>
        <v>-1</v>
      </c>
      <c r="V220">
        <f t="shared" si="637"/>
        <v>-1</v>
      </c>
      <c r="W220">
        <f t="shared" si="637"/>
        <v>-1</v>
      </c>
      <c r="X220">
        <f t="shared" si="637"/>
        <v>-1</v>
      </c>
      <c r="Y220">
        <f t="shared" si="637"/>
        <v>-1</v>
      </c>
      <c r="Z220">
        <f t="shared" si="637"/>
        <v>-1</v>
      </c>
      <c r="AA220">
        <f t="shared" si="637"/>
        <v>-1</v>
      </c>
      <c r="AB220">
        <f t="shared" si="637"/>
        <v>-1</v>
      </c>
      <c r="AC220">
        <f t="shared" si="637"/>
        <v>-1</v>
      </c>
      <c r="AD220">
        <f t="shared" si="637"/>
        <v>-1</v>
      </c>
      <c r="AE220">
        <f t="shared" si="637"/>
        <v>-1</v>
      </c>
      <c r="AF220">
        <f t="shared" si="637"/>
        <v>-1</v>
      </c>
      <c r="AG220">
        <f t="shared" si="637"/>
        <v>-1</v>
      </c>
      <c r="AH220">
        <f t="shared" si="637"/>
        <v>-1</v>
      </c>
      <c r="AI220">
        <f t="shared" si="637"/>
        <v>-1</v>
      </c>
      <c r="AJ220">
        <f t="shared" si="637"/>
        <v>-1</v>
      </c>
      <c r="AK220">
        <f t="shared" si="637"/>
        <v>-1</v>
      </c>
      <c r="AL220">
        <f t="shared" si="637"/>
        <v>-1</v>
      </c>
      <c r="AM220">
        <f t="shared" si="637"/>
        <v>-1</v>
      </c>
      <c r="AN220">
        <f t="shared" si="637"/>
        <v>-1</v>
      </c>
      <c r="AO220">
        <f t="shared" si="637"/>
        <v>-1</v>
      </c>
      <c r="AP220">
        <f t="shared" si="637"/>
        <v>-1</v>
      </c>
      <c r="AQ220">
        <f t="shared" si="637"/>
        <v>-1</v>
      </c>
      <c r="AR220">
        <f t="shared" si="637"/>
        <v>-1</v>
      </c>
      <c r="AS220">
        <f t="shared" si="637"/>
        <v>-1</v>
      </c>
      <c r="AT220">
        <f t="shared" si="637"/>
        <v>-1</v>
      </c>
      <c r="AU220">
        <f t="shared" si="637"/>
        <v>-1</v>
      </c>
      <c r="AV220">
        <f t="shared" si="637"/>
        <v>-1</v>
      </c>
      <c r="AW220">
        <f t="shared" si="637"/>
        <v>-1</v>
      </c>
      <c r="AX220">
        <f t="shared" si="637"/>
        <v>-1</v>
      </c>
      <c r="AY220">
        <f t="shared" si="637"/>
        <v>-1</v>
      </c>
      <c r="AZ220">
        <f t="shared" si="637"/>
        <v>-1</v>
      </c>
      <c r="BA220">
        <f t="shared" si="637"/>
        <v>-1</v>
      </c>
      <c r="BB220">
        <f t="shared" si="637"/>
        <v>-1</v>
      </c>
      <c r="BC220">
        <f t="shared" si="637"/>
        <v>-1</v>
      </c>
      <c r="BD220">
        <f t="shared" si="637"/>
        <v>-1</v>
      </c>
      <c r="BE220">
        <f t="shared" si="637"/>
        <v>-1</v>
      </c>
      <c r="BF220">
        <f t="shared" si="637"/>
        <v>-1</v>
      </c>
      <c r="BG220">
        <f t="shared" si="637"/>
        <v>-1</v>
      </c>
      <c r="BH220">
        <f t="shared" si="637"/>
        <v>-1</v>
      </c>
      <c r="BI220">
        <f t="shared" si="637"/>
        <v>-1</v>
      </c>
      <c r="BJ220">
        <f t="shared" si="637"/>
        <v>-1</v>
      </c>
      <c r="BK220">
        <f t="shared" si="637"/>
        <v>-1</v>
      </c>
      <c r="BL220">
        <f t="shared" si="637"/>
        <v>-1</v>
      </c>
      <c r="BM220">
        <f t="shared" si="637"/>
        <v>-1</v>
      </c>
      <c r="BN220">
        <f t="shared" si="637"/>
        <v>-1</v>
      </c>
      <c r="BO220">
        <f t="shared" si="637"/>
        <v>-1</v>
      </c>
      <c r="BP220">
        <f t="shared" ref="BP220:EA220" si="638">IF(OR(BP219=-1,AND(IF(BP$3&lt;$B220,BP219+BP$6,IF(BP$3=$B220,1,""))&gt;$B$1,BP$3&lt;$B220)),-1,IF(BP$3&lt;$B220,BP219+BP$6,IF(BP$3=$B220,1,"")))</f>
        <v>-1</v>
      </c>
      <c r="BQ220">
        <f t="shared" si="638"/>
        <v>-1</v>
      </c>
      <c r="BR220">
        <f t="shared" si="638"/>
        <v>-1</v>
      </c>
      <c r="BS220">
        <f t="shared" si="638"/>
        <v>-1</v>
      </c>
      <c r="BT220">
        <f t="shared" si="638"/>
        <v>-1</v>
      </c>
      <c r="BU220">
        <f t="shared" si="638"/>
        <v>-1</v>
      </c>
      <c r="BV220">
        <f t="shared" si="638"/>
        <v>-1</v>
      </c>
      <c r="BW220">
        <f t="shared" si="638"/>
        <v>-1</v>
      </c>
      <c r="BX220">
        <f t="shared" si="638"/>
        <v>-1</v>
      </c>
      <c r="BY220">
        <f t="shared" si="638"/>
        <v>-1</v>
      </c>
      <c r="BZ220">
        <f t="shared" si="638"/>
        <v>-1</v>
      </c>
      <c r="CA220">
        <f t="shared" si="638"/>
        <v>-1</v>
      </c>
      <c r="CB220">
        <f t="shared" si="638"/>
        <v>-1</v>
      </c>
      <c r="CC220">
        <f t="shared" si="638"/>
        <v>-1</v>
      </c>
      <c r="CD220">
        <f t="shared" si="638"/>
        <v>-1</v>
      </c>
      <c r="CE220">
        <f t="shared" si="638"/>
        <v>-1</v>
      </c>
      <c r="CF220">
        <f t="shared" si="638"/>
        <v>-1</v>
      </c>
      <c r="CG220">
        <f t="shared" si="638"/>
        <v>-1</v>
      </c>
      <c r="CH220">
        <f t="shared" si="638"/>
        <v>-1</v>
      </c>
      <c r="CI220">
        <f t="shared" si="638"/>
        <v>74.2</v>
      </c>
      <c r="CJ220">
        <f t="shared" si="638"/>
        <v>70.600000000000037</v>
      </c>
      <c r="CK220">
        <f t="shared" si="638"/>
        <v>67.000000000000071</v>
      </c>
      <c r="CL220">
        <f t="shared" si="638"/>
        <v>63.400000000000105</v>
      </c>
      <c r="CM220">
        <f t="shared" si="638"/>
        <v>59.800000000000097</v>
      </c>
      <c r="CN220">
        <f t="shared" si="638"/>
        <v>56.200000000000088</v>
      </c>
      <c r="CO220">
        <f t="shared" si="638"/>
        <v>-1</v>
      </c>
      <c r="CP220">
        <f t="shared" si="638"/>
        <v>-1</v>
      </c>
      <c r="CQ220">
        <f t="shared" si="638"/>
        <v>-1</v>
      </c>
      <c r="CR220">
        <f t="shared" si="638"/>
        <v>-1</v>
      </c>
      <c r="CS220">
        <f t="shared" si="638"/>
        <v>-1</v>
      </c>
      <c r="CT220">
        <f t="shared" si="638"/>
        <v>-1</v>
      </c>
      <c r="CU220">
        <f t="shared" si="638"/>
        <v>-1</v>
      </c>
      <c r="CV220">
        <f t="shared" si="638"/>
        <v>-1</v>
      </c>
      <c r="CW220">
        <f t="shared" si="638"/>
        <v>-1</v>
      </c>
      <c r="CX220">
        <f t="shared" si="638"/>
        <v>-1</v>
      </c>
      <c r="CY220">
        <f t="shared" si="638"/>
        <v>-1</v>
      </c>
      <c r="CZ220">
        <f t="shared" si="638"/>
        <v>-1</v>
      </c>
      <c r="DA220">
        <f t="shared" si="638"/>
        <v>-1</v>
      </c>
      <c r="DB220">
        <f t="shared" si="638"/>
        <v>-1</v>
      </c>
      <c r="DC220">
        <f t="shared" si="638"/>
        <v>-1</v>
      </c>
      <c r="DD220">
        <f t="shared" si="638"/>
        <v>-1</v>
      </c>
      <c r="DE220">
        <f t="shared" si="638"/>
        <v>-1</v>
      </c>
      <c r="DF220">
        <f t="shared" si="638"/>
        <v>-1</v>
      </c>
      <c r="DG220">
        <f t="shared" si="638"/>
        <v>-1</v>
      </c>
      <c r="DH220">
        <f t="shared" si="638"/>
        <v>-1</v>
      </c>
      <c r="DI220">
        <f t="shared" si="638"/>
        <v>-1</v>
      </c>
      <c r="DJ220">
        <f t="shared" si="638"/>
        <v>-1</v>
      </c>
      <c r="DK220">
        <f t="shared" si="638"/>
        <v>-1</v>
      </c>
      <c r="DL220">
        <f t="shared" si="638"/>
        <v>-1</v>
      </c>
      <c r="DM220">
        <f t="shared" si="638"/>
        <v>-1</v>
      </c>
      <c r="DN220">
        <f t="shared" si="638"/>
        <v>-1</v>
      </c>
      <c r="DO220">
        <f t="shared" si="638"/>
        <v>-1</v>
      </c>
      <c r="DP220">
        <f t="shared" si="638"/>
        <v>-1</v>
      </c>
      <c r="DQ220">
        <f t="shared" si="638"/>
        <v>-1</v>
      </c>
      <c r="DR220">
        <f t="shared" si="638"/>
        <v>-1</v>
      </c>
      <c r="DS220">
        <f t="shared" si="638"/>
        <v>-1</v>
      </c>
      <c r="DT220">
        <f t="shared" si="638"/>
        <v>-1</v>
      </c>
      <c r="DU220">
        <f t="shared" si="638"/>
        <v>-1</v>
      </c>
      <c r="DV220">
        <f t="shared" si="638"/>
        <v>-1</v>
      </c>
      <c r="DW220">
        <f t="shared" si="638"/>
        <v>-1</v>
      </c>
      <c r="DX220">
        <f t="shared" si="638"/>
        <v>-1</v>
      </c>
      <c r="DY220">
        <f t="shared" si="638"/>
        <v>-1</v>
      </c>
      <c r="DZ220">
        <f t="shared" si="638"/>
        <v>-1</v>
      </c>
      <c r="EA220">
        <f t="shared" si="638"/>
        <v>-1</v>
      </c>
      <c r="EB220">
        <f t="shared" ref="EB220:EO220" si="639">IF(OR(EB219=-1,AND(IF(EB$3&lt;$B220,EB219+EB$6,IF(EB$3=$B220,1,""))&gt;$B$1,EB$3&lt;$B220)),-1,IF(EB$3&lt;$B220,EB219+EB$6,IF(EB$3=$B220,1,"")))</f>
        <v>-1</v>
      </c>
      <c r="EC220">
        <f t="shared" si="639"/>
        <v>-1</v>
      </c>
      <c r="ED220">
        <f t="shared" si="639"/>
        <v>-1</v>
      </c>
      <c r="EE220">
        <f t="shared" si="639"/>
        <v>-1</v>
      </c>
      <c r="EF220">
        <f t="shared" si="639"/>
        <v>-1</v>
      </c>
      <c r="EG220">
        <f t="shared" si="639"/>
        <v>-1</v>
      </c>
      <c r="EH220">
        <f t="shared" si="639"/>
        <v>-1</v>
      </c>
      <c r="EI220">
        <f t="shared" si="639"/>
        <v>-1</v>
      </c>
      <c r="EJ220">
        <f t="shared" si="639"/>
        <v>-1</v>
      </c>
      <c r="EK220">
        <f t="shared" si="639"/>
        <v>-1</v>
      </c>
      <c r="EL220">
        <f t="shared" si="639"/>
        <v>-1</v>
      </c>
      <c r="EM220">
        <f t="shared" si="639"/>
        <v>-1</v>
      </c>
      <c r="EN220">
        <f t="shared" si="639"/>
        <v>-1</v>
      </c>
      <c r="EO220">
        <f t="shared" si="639"/>
        <v>-1</v>
      </c>
    </row>
    <row r="221" spans="1:145" x14ac:dyDescent="0.15">
      <c r="A221" t="e">
        <f t="shared" si="579"/>
        <v>#N/A</v>
      </c>
      <c r="B221" s="218">
        <v>213</v>
      </c>
      <c r="C221">
        <f t="shared" si="579"/>
        <v>-1</v>
      </c>
      <c r="D221">
        <f t="shared" ref="D221:BO221" si="640">IF(OR(D220=-1,AND(IF(D$3&lt;$B221,D220+D$6,IF(D$3=$B221,1,""))&gt;$B$1,D$3&lt;$B221)),-1,IF(D$3&lt;$B221,D220+D$6,IF(D$3=$B221,1,"")))</f>
        <v>-1</v>
      </c>
      <c r="E221">
        <f t="shared" si="640"/>
        <v>-1</v>
      </c>
      <c r="F221">
        <f t="shared" si="640"/>
        <v>-1</v>
      </c>
      <c r="G221">
        <f t="shared" si="640"/>
        <v>-1</v>
      </c>
      <c r="H221">
        <f t="shared" si="640"/>
        <v>-1</v>
      </c>
      <c r="I221">
        <f t="shared" si="640"/>
        <v>-1</v>
      </c>
      <c r="J221">
        <f t="shared" si="640"/>
        <v>-1</v>
      </c>
      <c r="K221">
        <f t="shared" si="640"/>
        <v>-1</v>
      </c>
      <c r="L221">
        <f t="shared" si="640"/>
        <v>-1</v>
      </c>
      <c r="M221">
        <f t="shared" si="640"/>
        <v>-1</v>
      </c>
      <c r="N221">
        <f t="shared" si="640"/>
        <v>-1</v>
      </c>
      <c r="O221">
        <f t="shared" si="640"/>
        <v>-1</v>
      </c>
      <c r="P221">
        <f t="shared" si="640"/>
        <v>-1</v>
      </c>
      <c r="Q221">
        <f t="shared" si="640"/>
        <v>-1</v>
      </c>
      <c r="R221">
        <f t="shared" si="640"/>
        <v>-1</v>
      </c>
      <c r="S221">
        <f t="shared" si="640"/>
        <v>-1</v>
      </c>
      <c r="T221">
        <f t="shared" si="640"/>
        <v>-1</v>
      </c>
      <c r="U221">
        <f t="shared" si="640"/>
        <v>-1</v>
      </c>
      <c r="V221">
        <f t="shared" si="640"/>
        <v>-1</v>
      </c>
      <c r="W221">
        <f t="shared" si="640"/>
        <v>-1</v>
      </c>
      <c r="X221">
        <f t="shared" si="640"/>
        <v>-1</v>
      </c>
      <c r="Y221">
        <f t="shared" si="640"/>
        <v>-1</v>
      </c>
      <c r="Z221">
        <f t="shared" si="640"/>
        <v>-1</v>
      </c>
      <c r="AA221">
        <f t="shared" si="640"/>
        <v>-1</v>
      </c>
      <c r="AB221">
        <f t="shared" si="640"/>
        <v>-1</v>
      </c>
      <c r="AC221">
        <f t="shared" si="640"/>
        <v>-1</v>
      </c>
      <c r="AD221">
        <f t="shared" si="640"/>
        <v>-1</v>
      </c>
      <c r="AE221">
        <f t="shared" si="640"/>
        <v>-1</v>
      </c>
      <c r="AF221">
        <f t="shared" si="640"/>
        <v>-1</v>
      </c>
      <c r="AG221">
        <f t="shared" si="640"/>
        <v>-1</v>
      </c>
      <c r="AH221">
        <f t="shared" si="640"/>
        <v>-1</v>
      </c>
      <c r="AI221">
        <f t="shared" si="640"/>
        <v>-1</v>
      </c>
      <c r="AJ221">
        <f t="shared" si="640"/>
        <v>-1</v>
      </c>
      <c r="AK221">
        <f t="shared" si="640"/>
        <v>-1</v>
      </c>
      <c r="AL221">
        <f t="shared" si="640"/>
        <v>-1</v>
      </c>
      <c r="AM221">
        <f t="shared" si="640"/>
        <v>-1</v>
      </c>
      <c r="AN221">
        <f t="shared" si="640"/>
        <v>-1</v>
      </c>
      <c r="AO221">
        <f t="shared" si="640"/>
        <v>-1</v>
      </c>
      <c r="AP221">
        <f t="shared" si="640"/>
        <v>-1</v>
      </c>
      <c r="AQ221">
        <f t="shared" si="640"/>
        <v>-1</v>
      </c>
      <c r="AR221">
        <f t="shared" si="640"/>
        <v>-1</v>
      </c>
      <c r="AS221">
        <f t="shared" si="640"/>
        <v>-1</v>
      </c>
      <c r="AT221">
        <f t="shared" si="640"/>
        <v>-1</v>
      </c>
      <c r="AU221">
        <f t="shared" si="640"/>
        <v>-1</v>
      </c>
      <c r="AV221">
        <f t="shared" si="640"/>
        <v>-1</v>
      </c>
      <c r="AW221">
        <f t="shared" si="640"/>
        <v>-1</v>
      </c>
      <c r="AX221">
        <f t="shared" si="640"/>
        <v>-1</v>
      </c>
      <c r="AY221">
        <f t="shared" si="640"/>
        <v>-1</v>
      </c>
      <c r="AZ221">
        <f t="shared" si="640"/>
        <v>-1</v>
      </c>
      <c r="BA221">
        <f t="shared" si="640"/>
        <v>-1</v>
      </c>
      <c r="BB221">
        <f t="shared" si="640"/>
        <v>-1</v>
      </c>
      <c r="BC221">
        <f t="shared" si="640"/>
        <v>-1</v>
      </c>
      <c r="BD221">
        <f t="shared" si="640"/>
        <v>-1</v>
      </c>
      <c r="BE221">
        <f t="shared" si="640"/>
        <v>-1</v>
      </c>
      <c r="BF221">
        <f t="shared" si="640"/>
        <v>-1</v>
      </c>
      <c r="BG221">
        <f t="shared" si="640"/>
        <v>-1</v>
      </c>
      <c r="BH221">
        <f t="shared" si="640"/>
        <v>-1</v>
      </c>
      <c r="BI221">
        <f t="shared" si="640"/>
        <v>-1</v>
      </c>
      <c r="BJ221">
        <f t="shared" si="640"/>
        <v>-1</v>
      </c>
      <c r="BK221">
        <f t="shared" si="640"/>
        <v>-1</v>
      </c>
      <c r="BL221">
        <f t="shared" si="640"/>
        <v>-1</v>
      </c>
      <c r="BM221">
        <f t="shared" si="640"/>
        <v>-1</v>
      </c>
      <c r="BN221">
        <f t="shared" si="640"/>
        <v>-1</v>
      </c>
      <c r="BO221">
        <f t="shared" si="640"/>
        <v>-1</v>
      </c>
      <c r="BP221">
        <f t="shared" ref="BP221:EA221" si="641">IF(OR(BP220=-1,AND(IF(BP$3&lt;$B221,BP220+BP$6,IF(BP$3=$B221,1,""))&gt;$B$1,BP$3&lt;$B221)),-1,IF(BP$3&lt;$B221,BP220+BP$6,IF(BP$3=$B221,1,"")))</f>
        <v>-1</v>
      </c>
      <c r="BQ221">
        <f t="shared" si="641"/>
        <v>-1</v>
      </c>
      <c r="BR221">
        <f t="shared" si="641"/>
        <v>-1</v>
      </c>
      <c r="BS221">
        <f t="shared" si="641"/>
        <v>-1</v>
      </c>
      <c r="BT221">
        <f t="shared" si="641"/>
        <v>-1</v>
      </c>
      <c r="BU221">
        <f t="shared" si="641"/>
        <v>-1</v>
      </c>
      <c r="BV221">
        <f t="shared" si="641"/>
        <v>-1</v>
      </c>
      <c r="BW221">
        <f t="shared" si="641"/>
        <v>-1</v>
      </c>
      <c r="BX221">
        <f t="shared" si="641"/>
        <v>-1</v>
      </c>
      <c r="BY221">
        <f t="shared" si="641"/>
        <v>-1</v>
      </c>
      <c r="BZ221">
        <f t="shared" si="641"/>
        <v>-1</v>
      </c>
      <c r="CA221">
        <f t="shared" si="641"/>
        <v>-1</v>
      </c>
      <c r="CB221">
        <f t="shared" si="641"/>
        <v>-1</v>
      </c>
      <c r="CC221">
        <f t="shared" si="641"/>
        <v>-1</v>
      </c>
      <c r="CD221">
        <f t="shared" si="641"/>
        <v>-1</v>
      </c>
      <c r="CE221">
        <f t="shared" si="641"/>
        <v>-1</v>
      </c>
      <c r="CF221">
        <f t="shared" si="641"/>
        <v>-1</v>
      </c>
      <c r="CG221">
        <f t="shared" si="641"/>
        <v>-1</v>
      </c>
      <c r="CH221">
        <f t="shared" si="641"/>
        <v>-1</v>
      </c>
      <c r="CI221">
        <f t="shared" si="641"/>
        <v>74.8</v>
      </c>
      <c r="CJ221">
        <f t="shared" si="641"/>
        <v>71.200000000000031</v>
      </c>
      <c r="CK221">
        <f t="shared" si="641"/>
        <v>67.600000000000065</v>
      </c>
      <c r="CL221">
        <f t="shared" si="641"/>
        <v>64.000000000000099</v>
      </c>
      <c r="CM221">
        <f t="shared" si="641"/>
        <v>60.400000000000098</v>
      </c>
      <c r="CN221">
        <f t="shared" si="641"/>
        <v>56.80000000000009</v>
      </c>
      <c r="CO221">
        <f t="shared" si="641"/>
        <v>-1</v>
      </c>
      <c r="CP221">
        <f t="shared" si="641"/>
        <v>-1</v>
      </c>
      <c r="CQ221">
        <f t="shared" si="641"/>
        <v>-1</v>
      </c>
      <c r="CR221">
        <f t="shared" si="641"/>
        <v>-1</v>
      </c>
      <c r="CS221">
        <f t="shared" si="641"/>
        <v>-1</v>
      </c>
      <c r="CT221">
        <f t="shared" si="641"/>
        <v>-1</v>
      </c>
      <c r="CU221">
        <f t="shared" si="641"/>
        <v>-1</v>
      </c>
      <c r="CV221">
        <f t="shared" si="641"/>
        <v>-1</v>
      </c>
      <c r="CW221">
        <f t="shared" si="641"/>
        <v>-1</v>
      </c>
      <c r="CX221">
        <f t="shared" si="641"/>
        <v>-1</v>
      </c>
      <c r="CY221">
        <f t="shared" si="641"/>
        <v>-1</v>
      </c>
      <c r="CZ221">
        <f t="shared" si="641"/>
        <v>-1</v>
      </c>
      <c r="DA221">
        <f t="shared" si="641"/>
        <v>-1</v>
      </c>
      <c r="DB221">
        <f t="shared" si="641"/>
        <v>-1</v>
      </c>
      <c r="DC221">
        <f t="shared" si="641"/>
        <v>-1</v>
      </c>
      <c r="DD221">
        <f t="shared" si="641"/>
        <v>-1</v>
      </c>
      <c r="DE221">
        <f t="shared" si="641"/>
        <v>-1</v>
      </c>
      <c r="DF221">
        <f t="shared" si="641"/>
        <v>-1</v>
      </c>
      <c r="DG221">
        <f t="shared" si="641"/>
        <v>-1</v>
      </c>
      <c r="DH221">
        <f t="shared" si="641"/>
        <v>-1</v>
      </c>
      <c r="DI221">
        <f t="shared" si="641"/>
        <v>-1</v>
      </c>
      <c r="DJ221">
        <f t="shared" si="641"/>
        <v>-1</v>
      </c>
      <c r="DK221">
        <f t="shared" si="641"/>
        <v>-1</v>
      </c>
      <c r="DL221">
        <f t="shared" si="641"/>
        <v>-1</v>
      </c>
      <c r="DM221">
        <f t="shared" si="641"/>
        <v>-1</v>
      </c>
      <c r="DN221">
        <f t="shared" si="641"/>
        <v>-1</v>
      </c>
      <c r="DO221">
        <f t="shared" si="641"/>
        <v>-1</v>
      </c>
      <c r="DP221">
        <f t="shared" si="641"/>
        <v>-1</v>
      </c>
      <c r="DQ221">
        <f t="shared" si="641"/>
        <v>-1</v>
      </c>
      <c r="DR221">
        <f t="shared" si="641"/>
        <v>-1</v>
      </c>
      <c r="DS221">
        <f t="shared" si="641"/>
        <v>-1</v>
      </c>
      <c r="DT221">
        <f t="shared" si="641"/>
        <v>-1</v>
      </c>
      <c r="DU221">
        <f t="shared" si="641"/>
        <v>-1</v>
      </c>
      <c r="DV221">
        <f t="shared" si="641"/>
        <v>-1</v>
      </c>
      <c r="DW221">
        <f t="shared" si="641"/>
        <v>-1</v>
      </c>
      <c r="DX221">
        <f t="shared" si="641"/>
        <v>-1</v>
      </c>
      <c r="DY221">
        <f t="shared" si="641"/>
        <v>-1</v>
      </c>
      <c r="DZ221">
        <f t="shared" si="641"/>
        <v>-1</v>
      </c>
      <c r="EA221">
        <f t="shared" si="641"/>
        <v>-1</v>
      </c>
      <c r="EB221">
        <f t="shared" ref="EB221:EO221" si="642">IF(OR(EB220=-1,AND(IF(EB$3&lt;$B221,EB220+EB$6,IF(EB$3=$B221,1,""))&gt;$B$1,EB$3&lt;$B221)),-1,IF(EB$3&lt;$B221,EB220+EB$6,IF(EB$3=$B221,1,"")))</f>
        <v>-1</v>
      </c>
      <c r="EC221">
        <f t="shared" si="642"/>
        <v>-1</v>
      </c>
      <c r="ED221">
        <f t="shared" si="642"/>
        <v>-1</v>
      </c>
      <c r="EE221">
        <f t="shared" si="642"/>
        <v>-1</v>
      </c>
      <c r="EF221">
        <f t="shared" si="642"/>
        <v>-1</v>
      </c>
      <c r="EG221">
        <f t="shared" si="642"/>
        <v>-1</v>
      </c>
      <c r="EH221">
        <f t="shared" si="642"/>
        <v>-1</v>
      </c>
      <c r="EI221">
        <f t="shared" si="642"/>
        <v>-1</v>
      </c>
      <c r="EJ221">
        <f t="shared" si="642"/>
        <v>-1</v>
      </c>
      <c r="EK221">
        <f t="shared" si="642"/>
        <v>-1</v>
      </c>
      <c r="EL221">
        <f t="shared" si="642"/>
        <v>-1</v>
      </c>
      <c r="EM221">
        <f t="shared" si="642"/>
        <v>-1</v>
      </c>
      <c r="EN221">
        <f t="shared" si="642"/>
        <v>-1</v>
      </c>
      <c r="EO221">
        <f t="shared" si="642"/>
        <v>-1</v>
      </c>
    </row>
    <row r="222" spans="1:145" x14ac:dyDescent="0.15">
      <c r="A222" t="e">
        <f t="shared" si="579"/>
        <v>#N/A</v>
      </c>
      <c r="B222" s="218">
        <v>214</v>
      </c>
      <c r="C222">
        <f t="shared" si="579"/>
        <v>-1</v>
      </c>
      <c r="D222">
        <f t="shared" ref="D222:BO222" si="643">IF(OR(D221=-1,AND(IF(D$3&lt;$B222,D221+D$6,IF(D$3=$B222,1,""))&gt;$B$1,D$3&lt;$B222)),-1,IF(D$3&lt;$B222,D221+D$6,IF(D$3=$B222,1,"")))</f>
        <v>-1</v>
      </c>
      <c r="E222">
        <f t="shared" si="643"/>
        <v>-1</v>
      </c>
      <c r="F222">
        <f t="shared" si="643"/>
        <v>-1</v>
      </c>
      <c r="G222">
        <f t="shared" si="643"/>
        <v>-1</v>
      </c>
      <c r="H222">
        <f t="shared" si="643"/>
        <v>-1</v>
      </c>
      <c r="I222">
        <f t="shared" si="643"/>
        <v>-1</v>
      </c>
      <c r="J222">
        <f t="shared" si="643"/>
        <v>-1</v>
      </c>
      <c r="K222">
        <f t="shared" si="643"/>
        <v>-1</v>
      </c>
      <c r="L222">
        <f t="shared" si="643"/>
        <v>-1</v>
      </c>
      <c r="M222">
        <f t="shared" si="643"/>
        <v>-1</v>
      </c>
      <c r="N222">
        <f t="shared" si="643"/>
        <v>-1</v>
      </c>
      <c r="O222">
        <f t="shared" si="643"/>
        <v>-1</v>
      </c>
      <c r="P222">
        <f t="shared" si="643"/>
        <v>-1</v>
      </c>
      <c r="Q222">
        <f t="shared" si="643"/>
        <v>-1</v>
      </c>
      <c r="R222">
        <f t="shared" si="643"/>
        <v>-1</v>
      </c>
      <c r="S222">
        <f t="shared" si="643"/>
        <v>-1</v>
      </c>
      <c r="T222">
        <f t="shared" si="643"/>
        <v>-1</v>
      </c>
      <c r="U222">
        <f t="shared" si="643"/>
        <v>-1</v>
      </c>
      <c r="V222">
        <f t="shared" si="643"/>
        <v>-1</v>
      </c>
      <c r="W222">
        <f t="shared" si="643"/>
        <v>-1</v>
      </c>
      <c r="X222">
        <f t="shared" si="643"/>
        <v>-1</v>
      </c>
      <c r="Y222">
        <f t="shared" si="643"/>
        <v>-1</v>
      </c>
      <c r="Z222">
        <f t="shared" si="643"/>
        <v>-1</v>
      </c>
      <c r="AA222">
        <f t="shared" si="643"/>
        <v>-1</v>
      </c>
      <c r="AB222">
        <f t="shared" si="643"/>
        <v>-1</v>
      </c>
      <c r="AC222">
        <f t="shared" si="643"/>
        <v>-1</v>
      </c>
      <c r="AD222">
        <f t="shared" si="643"/>
        <v>-1</v>
      </c>
      <c r="AE222">
        <f t="shared" si="643"/>
        <v>-1</v>
      </c>
      <c r="AF222">
        <f t="shared" si="643"/>
        <v>-1</v>
      </c>
      <c r="AG222">
        <f t="shared" si="643"/>
        <v>-1</v>
      </c>
      <c r="AH222">
        <f t="shared" si="643"/>
        <v>-1</v>
      </c>
      <c r="AI222">
        <f t="shared" si="643"/>
        <v>-1</v>
      </c>
      <c r="AJ222">
        <f t="shared" si="643"/>
        <v>-1</v>
      </c>
      <c r="AK222">
        <f t="shared" si="643"/>
        <v>-1</v>
      </c>
      <c r="AL222">
        <f t="shared" si="643"/>
        <v>-1</v>
      </c>
      <c r="AM222">
        <f t="shared" si="643"/>
        <v>-1</v>
      </c>
      <c r="AN222">
        <f t="shared" si="643"/>
        <v>-1</v>
      </c>
      <c r="AO222">
        <f t="shared" si="643"/>
        <v>-1</v>
      </c>
      <c r="AP222">
        <f t="shared" si="643"/>
        <v>-1</v>
      </c>
      <c r="AQ222">
        <f t="shared" si="643"/>
        <v>-1</v>
      </c>
      <c r="AR222">
        <f t="shared" si="643"/>
        <v>-1</v>
      </c>
      <c r="AS222">
        <f t="shared" si="643"/>
        <v>-1</v>
      </c>
      <c r="AT222">
        <f t="shared" si="643"/>
        <v>-1</v>
      </c>
      <c r="AU222">
        <f t="shared" si="643"/>
        <v>-1</v>
      </c>
      <c r="AV222">
        <f t="shared" si="643"/>
        <v>-1</v>
      </c>
      <c r="AW222">
        <f t="shared" si="643"/>
        <v>-1</v>
      </c>
      <c r="AX222">
        <f t="shared" si="643"/>
        <v>-1</v>
      </c>
      <c r="AY222">
        <f t="shared" si="643"/>
        <v>-1</v>
      </c>
      <c r="AZ222">
        <f t="shared" si="643"/>
        <v>-1</v>
      </c>
      <c r="BA222">
        <f t="shared" si="643"/>
        <v>-1</v>
      </c>
      <c r="BB222">
        <f t="shared" si="643"/>
        <v>-1</v>
      </c>
      <c r="BC222">
        <f t="shared" si="643"/>
        <v>-1</v>
      </c>
      <c r="BD222">
        <f t="shared" si="643"/>
        <v>-1</v>
      </c>
      <c r="BE222">
        <f t="shared" si="643"/>
        <v>-1</v>
      </c>
      <c r="BF222">
        <f t="shared" si="643"/>
        <v>-1</v>
      </c>
      <c r="BG222">
        <f t="shared" si="643"/>
        <v>-1</v>
      </c>
      <c r="BH222">
        <f t="shared" si="643"/>
        <v>-1</v>
      </c>
      <c r="BI222">
        <f t="shared" si="643"/>
        <v>-1</v>
      </c>
      <c r="BJ222">
        <f t="shared" si="643"/>
        <v>-1</v>
      </c>
      <c r="BK222">
        <f t="shared" si="643"/>
        <v>-1</v>
      </c>
      <c r="BL222">
        <f t="shared" si="643"/>
        <v>-1</v>
      </c>
      <c r="BM222">
        <f t="shared" si="643"/>
        <v>-1</v>
      </c>
      <c r="BN222">
        <f t="shared" si="643"/>
        <v>-1</v>
      </c>
      <c r="BO222">
        <f t="shared" si="643"/>
        <v>-1</v>
      </c>
      <c r="BP222">
        <f t="shared" ref="BP222:EA222" si="644">IF(OR(BP221=-1,AND(IF(BP$3&lt;$B222,BP221+BP$6,IF(BP$3=$B222,1,""))&gt;$B$1,BP$3&lt;$B222)),-1,IF(BP$3&lt;$B222,BP221+BP$6,IF(BP$3=$B222,1,"")))</f>
        <v>-1</v>
      </c>
      <c r="BQ222">
        <f t="shared" si="644"/>
        <v>-1</v>
      </c>
      <c r="BR222">
        <f t="shared" si="644"/>
        <v>-1</v>
      </c>
      <c r="BS222">
        <f t="shared" si="644"/>
        <v>-1</v>
      </c>
      <c r="BT222">
        <f t="shared" si="644"/>
        <v>-1</v>
      </c>
      <c r="BU222">
        <f t="shared" si="644"/>
        <v>-1</v>
      </c>
      <c r="BV222">
        <f t="shared" si="644"/>
        <v>-1</v>
      </c>
      <c r="BW222">
        <f t="shared" si="644"/>
        <v>-1</v>
      </c>
      <c r="BX222">
        <f t="shared" si="644"/>
        <v>-1</v>
      </c>
      <c r="BY222">
        <f t="shared" si="644"/>
        <v>-1</v>
      </c>
      <c r="BZ222">
        <f t="shared" si="644"/>
        <v>-1</v>
      </c>
      <c r="CA222">
        <f t="shared" si="644"/>
        <v>-1</v>
      </c>
      <c r="CB222">
        <f t="shared" si="644"/>
        <v>-1</v>
      </c>
      <c r="CC222">
        <f t="shared" si="644"/>
        <v>-1</v>
      </c>
      <c r="CD222">
        <f t="shared" si="644"/>
        <v>-1</v>
      </c>
      <c r="CE222">
        <f t="shared" si="644"/>
        <v>-1</v>
      </c>
      <c r="CF222">
        <f t="shared" si="644"/>
        <v>-1</v>
      </c>
      <c r="CG222">
        <f t="shared" si="644"/>
        <v>-1</v>
      </c>
      <c r="CH222">
        <f t="shared" si="644"/>
        <v>-1</v>
      </c>
      <c r="CI222">
        <f t="shared" si="644"/>
        <v>-1</v>
      </c>
      <c r="CJ222">
        <f t="shared" si="644"/>
        <v>71.800000000000026</v>
      </c>
      <c r="CK222">
        <f t="shared" si="644"/>
        <v>68.20000000000006</v>
      </c>
      <c r="CL222">
        <f t="shared" si="644"/>
        <v>64.600000000000094</v>
      </c>
      <c r="CM222">
        <f t="shared" si="644"/>
        <v>61.000000000000099</v>
      </c>
      <c r="CN222">
        <f t="shared" si="644"/>
        <v>57.400000000000091</v>
      </c>
      <c r="CO222">
        <f t="shared" si="644"/>
        <v>-1</v>
      </c>
      <c r="CP222">
        <f t="shared" si="644"/>
        <v>-1</v>
      </c>
      <c r="CQ222">
        <f t="shared" si="644"/>
        <v>-1</v>
      </c>
      <c r="CR222">
        <f t="shared" si="644"/>
        <v>-1</v>
      </c>
      <c r="CS222">
        <f t="shared" si="644"/>
        <v>-1</v>
      </c>
      <c r="CT222">
        <f t="shared" si="644"/>
        <v>-1</v>
      </c>
      <c r="CU222">
        <f t="shared" si="644"/>
        <v>-1</v>
      </c>
      <c r="CV222">
        <f t="shared" si="644"/>
        <v>-1</v>
      </c>
      <c r="CW222">
        <f t="shared" si="644"/>
        <v>-1</v>
      </c>
      <c r="CX222">
        <f t="shared" si="644"/>
        <v>-1</v>
      </c>
      <c r="CY222">
        <f t="shared" si="644"/>
        <v>-1</v>
      </c>
      <c r="CZ222">
        <f t="shared" si="644"/>
        <v>-1</v>
      </c>
      <c r="DA222">
        <f t="shared" si="644"/>
        <v>-1</v>
      </c>
      <c r="DB222">
        <f t="shared" si="644"/>
        <v>-1</v>
      </c>
      <c r="DC222">
        <f t="shared" si="644"/>
        <v>-1</v>
      </c>
      <c r="DD222">
        <f t="shared" si="644"/>
        <v>-1</v>
      </c>
      <c r="DE222">
        <f t="shared" si="644"/>
        <v>-1</v>
      </c>
      <c r="DF222">
        <f t="shared" si="644"/>
        <v>-1</v>
      </c>
      <c r="DG222">
        <f t="shared" si="644"/>
        <v>-1</v>
      </c>
      <c r="DH222">
        <f t="shared" si="644"/>
        <v>-1</v>
      </c>
      <c r="DI222">
        <f t="shared" si="644"/>
        <v>-1</v>
      </c>
      <c r="DJ222">
        <f t="shared" si="644"/>
        <v>-1</v>
      </c>
      <c r="DK222">
        <f t="shared" si="644"/>
        <v>-1</v>
      </c>
      <c r="DL222">
        <f t="shared" si="644"/>
        <v>-1</v>
      </c>
      <c r="DM222">
        <f t="shared" si="644"/>
        <v>-1</v>
      </c>
      <c r="DN222">
        <f t="shared" si="644"/>
        <v>-1</v>
      </c>
      <c r="DO222">
        <f t="shared" si="644"/>
        <v>-1</v>
      </c>
      <c r="DP222">
        <f t="shared" si="644"/>
        <v>-1</v>
      </c>
      <c r="DQ222">
        <f t="shared" si="644"/>
        <v>-1</v>
      </c>
      <c r="DR222">
        <f t="shared" si="644"/>
        <v>-1</v>
      </c>
      <c r="DS222">
        <f t="shared" si="644"/>
        <v>-1</v>
      </c>
      <c r="DT222">
        <f t="shared" si="644"/>
        <v>-1</v>
      </c>
      <c r="DU222">
        <f t="shared" si="644"/>
        <v>-1</v>
      </c>
      <c r="DV222">
        <f t="shared" si="644"/>
        <v>-1</v>
      </c>
      <c r="DW222">
        <f t="shared" si="644"/>
        <v>-1</v>
      </c>
      <c r="DX222">
        <f t="shared" si="644"/>
        <v>-1</v>
      </c>
      <c r="DY222">
        <f t="shared" si="644"/>
        <v>-1</v>
      </c>
      <c r="DZ222">
        <f t="shared" si="644"/>
        <v>-1</v>
      </c>
      <c r="EA222">
        <f t="shared" si="644"/>
        <v>-1</v>
      </c>
      <c r="EB222">
        <f t="shared" ref="EB222:EO222" si="645">IF(OR(EB221=-1,AND(IF(EB$3&lt;$B222,EB221+EB$6,IF(EB$3=$B222,1,""))&gt;$B$1,EB$3&lt;$B222)),-1,IF(EB$3&lt;$B222,EB221+EB$6,IF(EB$3=$B222,1,"")))</f>
        <v>-1</v>
      </c>
      <c r="EC222">
        <f t="shared" si="645"/>
        <v>-1</v>
      </c>
      <c r="ED222">
        <f t="shared" si="645"/>
        <v>-1</v>
      </c>
      <c r="EE222">
        <f t="shared" si="645"/>
        <v>-1</v>
      </c>
      <c r="EF222">
        <f t="shared" si="645"/>
        <v>-1</v>
      </c>
      <c r="EG222">
        <f t="shared" si="645"/>
        <v>-1</v>
      </c>
      <c r="EH222">
        <f t="shared" si="645"/>
        <v>-1</v>
      </c>
      <c r="EI222">
        <f t="shared" si="645"/>
        <v>-1</v>
      </c>
      <c r="EJ222">
        <f t="shared" si="645"/>
        <v>-1</v>
      </c>
      <c r="EK222">
        <f t="shared" si="645"/>
        <v>-1</v>
      </c>
      <c r="EL222">
        <f t="shared" si="645"/>
        <v>-1</v>
      </c>
      <c r="EM222">
        <f t="shared" si="645"/>
        <v>-1</v>
      </c>
      <c r="EN222">
        <f t="shared" si="645"/>
        <v>-1</v>
      </c>
      <c r="EO222">
        <f t="shared" si="645"/>
        <v>-1</v>
      </c>
    </row>
    <row r="223" spans="1:145" x14ac:dyDescent="0.15">
      <c r="A223" t="e">
        <f t="shared" si="579"/>
        <v>#N/A</v>
      </c>
      <c r="B223" s="218">
        <v>215</v>
      </c>
      <c r="C223">
        <f t="shared" si="579"/>
        <v>-1</v>
      </c>
      <c r="D223">
        <f t="shared" ref="D223:BO223" si="646">IF(OR(D222=-1,AND(IF(D$3&lt;$B223,D222+D$6,IF(D$3=$B223,1,""))&gt;$B$1,D$3&lt;$B223)),-1,IF(D$3&lt;$B223,D222+D$6,IF(D$3=$B223,1,"")))</f>
        <v>-1</v>
      </c>
      <c r="E223">
        <f t="shared" si="646"/>
        <v>-1</v>
      </c>
      <c r="F223">
        <f t="shared" si="646"/>
        <v>-1</v>
      </c>
      <c r="G223">
        <f t="shared" si="646"/>
        <v>-1</v>
      </c>
      <c r="H223">
        <f t="shared" si="646"/>
        <v>-1</v>
      </c>
      <c r="I223">
        <f t="shared" si="646"/>
        <v>-1</v>
      </c>
      <c r="J223">
        <f t="shared" si="646"/>
        <v>-1</v>
      </c>
      <c r="K223">
        <f t="shared" si="646"/>
        <v>-1</v>
      </c>
      <c r="L223">
        <f t="shared" si="646"/>
        <v>-1</v>
      </c>
      <c r="M223">
        <f t="shared" si="646"/>
        <v>-1</v>
      </c>
      <c r="N223">
        <f t="shared" si="646"/>
        <v>-1</v>
      </c>
      <c r="O223">
        <f t="shared" si="646"/>
        <v>-1</v>
      </c>
      <c r="P223">
        <f t="shared" si="646"/>
        <v>-1</v>
      </c>
      <c r="Q223">
        <f t="shared" si="646"/>
        <v>-1</v>
      </c>
      <c r="R223">
        <f t="shared" si="646"/>
        <v>-1</v>
      </c>
      <c r="S223">
        <f t="shared" si="646"/>
        <v>-1</v>
      </c>
      <c r="T223">
        <f t="shared" si="646"/>
        <v>-1</v>
      </c>
      <c r="U223">
        <f t="shared" si="646"/>
        <v>-1</v>
      </c>
      <c r="V223">
        <f t="shared" si="646"/>
        <v>-1</v>
      </c>
      <c r="W223">
        <f t="shared" si="646"/>
        <v>-1</v>
      </c>
      <c r="X223">
        <f t="shared" si="646"/>
        <v>-1</v>
      </c>
      <c r="Y223">
        <f t="shared" si="646"/>
        <v>-1</v>
      </c>
      <c r="Z223">
        <f t="shared" si="646"/>
        <v>-1</v>
      </c>
      <c r="AA223">
        <f t="shared" si="646"/>
        <v>-1</v>
      </c>
      <c r="AB223">
        <f t="shared" si="646"/>
        <v>-1</v>
      </c>
      <c r="AC223">
        <f t="shared" si="646"/>
        <v>-1</v>
      </c>
      <c r="AD223">
        <f t="shared" si="646"/>
        <v>-1</v>
      </c>
      <c r="AE223">
        <f t="shared" si="646"/>
        <v>-1</v>
      </c>
      <c r="AF223">
        <f t="shared" si="646"/>
        <v>-1</v>
      </c>
      <c r="AG223">
        <f t="shared" si="646"/>
        <v>-1</v>
      </c>
      <c r="AH223">
        <f t="shared" si="646"/>
        <v>-1</v>
      </c>
      <c r="AI223">
        <f t="shared" si="646"/>
        <v>-1</v>
      </c>
      <c r="AJ223">
        <f t="shared" si="646"/>
        <v>-1</v>
      </c>
      <c r="AK223">
        <f t="shared" si="646"/>
        <v>-1</v>
      </c>
      <c r="AL223">
        <f t="shared" si="646"/>
        <v>-1</v>
      </c>
      <c r="AM223">
        <f t="shared" si="646"/>
        <v>-1</v>
      </c>
      <c r="AN223">
        <f t="shared" si="646"/>
        <v>-1</v>
      </c>
      <c r="AO223">
        <f t="shared" si="646"/>
        <v>-1</v>
      </c>
      <c r="AP223">
        <f t="shared" si="646"/>
        <v>-1</v>
      </c>
      <c r="AQ223">
        <f t="shared" si="646"/>
        <v>-1</v>
      </c>
      <c r="AR223">
        <f t="shared" si="646"/>
        <v>-1</v>
      </c>
      <c r="AS223">
        <f t="shared" si="646"/>
        <v>-1</v>
      </c>
      <c r="AT223">
        <f t="shared" si="646"/>
        <v>-1</v>
      </c>
      <c r="AU223">
        <f t="shared" si="646"/>
        <v>-1</v>
      </c>
      <c r="AV223">
        <f t="shared" si="646"/>
        <v>-1</v>
      </c>
      <c r="AW223">
        <f t="shared" si="646"/>
        <v>-1</v>
      </c>
      <c r="AX223">
        <f t="shared" si="646"/>
        <v>-1</v>
      </c>
      <c r="AY223">
        <f t="shared" si="646"/>
        <v>-1</v>
      </c>
      <c r="AZ223">
        <f t="shared" si="646"/>
        <v>-1</v>
      </c>
      <c r="BA223">
        <f t="shared" si="646"/>
        <v>-1</v>
      </c>
      <c r="BB223">
        <f t="shared" si="646"/>
        <v>-1</v>
      </c>
      <c r="BC223">
        <f t="shared" si="646"/>
        <v>-1</v>
      </c>
      <c r="BD223">
        <f t="shared" si="646"/>
        <v>-1</v>
      </c>
      <c r="BE223">
        <f t="shared" si="646"/>
        <v>-1</v>
      </c>
      <c r="BF223">
        <f t="shared" si="646"/>
        <v>-1</v>
      </c>
      <c r="BG223">
        <f t="shared" si="646"/>
        <v>-1</v>
      </c>
      <c r="BH223">
        <f t="shared" si="646"/>
        <v>-1</v>
      </c>
      <c r="BI223">
        <f t="shared" si="646"/>
        <v>-1</v>
      </c>
      <c r="BJ223">
        <f t="shared" si="646"/>
        <v>-1</v>
      </c>
      <c r="BK223">
        <f t="shared" si="646"/>
        <v>-1</v>
      </c>
      <c r="BL223">
        <f t="shared" si="646"/>
        <v>-1</v>
      </c>
      <c r="BM223">
        <f t="shared" si="646"/>
        <v>-1</v>
      </c>
      <c r="BN223">
        <f t="shared" si="646"/>
        <v>-1</v>
      </c>
      <c r="BO223">
        <f t="shared" si="646"/>
        <v>-1</v>
      </c>
      <c r="BP223">
        <f t="shared" ref="BP223:EA223" si="647">IF(OR(BP222=-1,AND(IF(BP$3&lt;$B223,BP222+BP$6,IF(BP$3=$B223,1,""))&gt;$B$1,BP$3&lt;$B223)),-1,IF(BP$3&lt;$B223,BP222+BP$6,IF(BP$3=$B223,1,"")))</f>
        <v>-1</v>
      </c>
      <c r="BQ223">
        <f t="shared" si="647"/>
        <v>-1</v>
      </c>
      <c r="BR223">
        <f t="shared" si="647"/>
        <v>-1</v>
      </c>
      <c r="BS223">
        <f t="shared" si="647"/>
        <v>-1</v>
      </c>
      <c r="BT223">
        <f t="shared" si="647"/>
        <v>-1</v>
      </c>
      <c r="BU223">
        <f t="shared" si="647"/>
        <v>-1</v>
      </c>
      <c r="BV223">
        <f t="shared" si="647"/>
        <v>-1</v>
      </c>
      <c r="BW223">
        <f t="shared" si="647"/>
        <v>-1</v>
      </c>
      <c r="BX223">
        <f t="shared" si="647"/>
        <v>-1</v>
      </c>
      <c r="BY223">
        <f t="shared" si="647"/>
        <v>-1</v>
      </c>
      <c r="BZ223">
        <f t="shared" si="647"/>
        <v>-1</v>
      </c>
      <c r="CA223">
        <f t="shared" si="647"/>
        <v>-1</v>
      </c>
      <c r="CB223">
        <f t="shared" si="647"/>
        <v>-1</v>
      </c>
      <c r="CC223">
        <f t="shared" si="647"/>
        <v>-1</v>
      </c>
      <c r="CD223">
        <f t="shared" si="647"/>
        <v>-1</v>
      </c>
      <c r="CE223">
        <f t="shared" si="647"/>
        <v>-1</v>
      </c>
      <c r="CF223">
        <f t="shared" si="647"/>
        <v>-1</v>
      </c>
      <c r="CG223">
        <f t="shared" si="647"/>
        <v>-1</v>
      </c>
      <c r="CH223">
        <f t="shared" si="647"/>
        <v>-1</v>
      </c>
      <c r="CI223">
        <f t="shared" si="647"/>
        <v>-1</v>
      </c>
      <c r="CJ223">
        <f t="shared" si="647"/>
        <v>72.40000000000002</v>
      </c>
      <c r="CK223">
        <f t="shared" si="647"/>
        <v>68.800000000000054</v>
      </c>
      <c r="CL223">
        <f t="shared" si="647"/>
        <v>65.200000000000088</v>
      </c>
      <c r="CM223">
        <f t="shared" si="647"/>
        <v>61.600000000000101</v>
      </c>
      <c r="CN223">
        <f t="shared" si="647"/>
        <v>58.000000000000092</v>
      </c>
      <c r="CO223">
        <f t="shared" si="647"/>
        <v>-1</v>
      </c>
      <c r="CP223">
        <f t="shared" si="647"/>
        <v>-1</v>
      </c>
      <c r="CQ223">
        <f t="shared" si="647"/>
        <v>-1</v>
      </c>
      <c r="CR223">
        <f t="shared" si="647"/>
        <v>-1</v>
      </c>
      <c r="CS223">
        <f t="shared" si="647"/>
        <v>-1</v>
      </c>
      <c r="CT223">
        <f t="shared" si="647"/>
        <v>-1</v>
      </c>
      <c r="CU223">
        <f t="shared" si="647"/>
        <v>-1</v>
      </c>
      <c r="CV223">
        <f t="shared" si="647"/>
        <v>-1</v>
      </c>
      <c r="CW223">
        <f t="shared" si="647"/>
        <v>-1</v>
      </c>
      <c r="CX223">
        <f t="shared" si="647"/>
        <v>-1</v>
      </c>
      <c r="CY223">
        <f t="shared" si="647"/>
        <v>-1</v>
      </c>
      <c r="CZ223">
        <f t="shared" si="647"/>
        <v>-1</v>
      </c>
      <c r="DA223">
        <f t="shared" si="647"/>
        <v>-1</v>
      </c>
      <c r="DB223">
        <f t="shared" si="647"/>
        <v>-1</v>
      </c>
      <c r="DC223">
        <f t="shared" si="647"/>
        <v>-1</v>
      </c>
      <c r="DD223">
        <f t="shared" si="647"/>
        <v>-1</v>
      </c>
      <c r="DE223">
        <f t="shared" si="647"/>
        <v>-1</v>
      </c>
      <c r="DF223">
        <f t="shared" si="647"/>
        <v>-1</v>
      </c>
      <c r="DG223">
        <f t="shared" si="647"/>
        <v>-1</v>
      </c>
      <c r="DH223">
        <f t="shared" si="647"/>
        <v>-1</v>
      </c>
      <c r="DI223">
        <f t="shared" si="647"/>
        <v>-1</v>
      </c>
      <c r="DJ223">
        <f t="shared" si="647"/>
        <v>-1</v>
      </c>
      <c r="DK223">
        <f t="shared" si="647"/>
        <v>-1</v>
      </c>
      <c r="DL223">
        <f t="shared" si="647"/>
        <v>-1</v>
      </c>
      <c r="DM223">
        <f t="shared" si="647"/>
        <v>-1</v>
      </c>
      <c r="DN223">
        <f t="shared" si="647"/>
        <v>-1</v>
      </c>
      <c r="DO223">
        <f t="shared" si="647"/>
        <v>-1</v>
      </c>
      <c r="DP223">
        <f t="shared" si="647"/>
        <v>-1</v>
      </c>
      <c r="DQ223">
        <f t="shared" si="647"/>
        <v>-1</v>
      </c>
      <c r="DR223">
        <f t="shared" si="647"/>
        <v>-1</v>
      </c>
      <c r="DS223">
        <f t="shared" si="647"/>
        <v>-1</v>
      </c>
      <c r="DT223">
        <f t="shared" si="647"/>
        <v>-1</v>
      </c>
      <c r="DU223">
        <f t="shared" si="647"/>
        <v>-1</v>
      </c>
      <c r="DV223">
        <f t="shared" si="647"/>
        <v>-1</v>
      </c>
      <c r="DW223">
        <f t="shared" si="647"/>
        <v>-1</v>
      </c>
      <c r="DX223">
        <f t="shared" si="647"/>
        <v>-1</v>
      </c>
      <c r="DY223">
        <f t="shared" si="647"/>
        <v>-1</v>
      </c>
      <c r="DZ223">
        <f t="shared" si="647"/>
        <v>-1</v>
      </c>
      <c r="EA223">
        <f t="shared" si="647"/>
        <v>-1</v>
      </c>
      <c r="EB223">
        <f t="shared" ref="EB223:EO223" si="648">IF(OR(EB222=-1,AND(IF(EB$3&lt;$B223,EB222+EB$6,IF(EB$3=$B223,1,""))&gt;$B$1,EB$3&lt;$B223)),-1,IF(EB$3&lt;$B223,EB222+EB$6,IF(EB$3=$B223,1,"")))</f>
        <v>-1</v>
      </c>
      <c r="EC223">
        <f t="shared" si="648"/>
        <v>-1</v>
      </c>
      <c r="ED223">
        <f t="shared" si="648"/>
        <v>-1</v>
      </c>
      <c r="EE223">
        <f t="shared" si="648"/>
        <v>-1</v>
      </c>
      <c r="EF223">
        <f t="shared" si="648"/>
        <v>-1</v>
      </c>
      <c r="EG223">
        <f t="shared" si="648"/>
        <v>-1</v>
      </c>
      <c r="EH223">
        <f t="shared" si="648"/>
        <v>-1</v>
      </c>
      <c r="EI223">
        <f t="shared" si="648"/>
        <v>-1</v>
      </c>
      <c r="EJ223">
        <f t="shared" si="648"/>
        <v>-1</v>
      </c>
      <c r="EK223">
        <f t="shared" si="648"/>
        <v>-1</v>
      </c>
      <c r="EL223">
        <f t="shared" si="648"/>
        <v>-1</v>
      </c>
      <c r="EM223">
        <f t="shared" si="648"/>
        <v>-1</v>
      </c>
      <c r="EN223">
        <f t="shared" si="648"/>
        <v>-1</v>
      </c>
      <c r="EO223">
        <f t="shared" si="648"/>
        <v>-1</v>
      </c>
    </row>
    <row r="224" spans="1:145" x14ac:dyDescent="0.15">
      <c r="A224" t="e">
        <f t="shared" si="579"/>
        <v>#N/A</v>
      </c>
      <c r="B224" s="218">
        <v>216</v>
      </c>
      <c r="C224">
        <f t="shared" si="579"/>
        <v>-1</v>
      </c>
      <c r="D224">
        <f t="shared" ref="D224:BO224" si="649">IF(OR(D223=-1,AND(IF(D$3&lt;$B224,D223+D$6,IF(D$3=$B224,1,""))&gt;$B$1,D$3&lt;$B224)),-1,IF(D$3&lt;$B224,D223+D$6,IF(D$3=$B224,1,"")))</f>
        <v>-1</v>
      </c>
      <c r="E224">
        <f t="shared" si="649"/>
        <v>-1</v>
      </c>
      <c r="F224">
        <f t="shared" si="649"/>
        <v>-1</v>
      </c>
      <c r="G224">
        <f t="shared" si="649"/>
        <v>-1</v>
      </c>
      <c r="H224">
        <f t="shared" si="649"/>
        <v>-1</v>
      </c>
      <c r="I224">
        <f t="shared" si="649"/>
        <v>-1</v>
      </c>
      <c r="J224">
        <f t="shared" si="649"/>
        <v>-1</v>
      </c>
      <c r="K224">
        <f t="shared" si="649"/>
        <v>-1</v>
      </c>
      <c r="L224">
        <f t="shared" si="649"/>
        <v>-1</v>
      </c>
      <c r="M224">
        <f t="shared" si="649"/>
        <v>-1</v>
      </c>
      <c r="N224">
        <f t="shared" si="649"/>
        <v>-1</v>
      </c>
      <c r="O224">
        <f t="shared" si="649"/>
        <v>-1</v>
      </c>
      <c r="P224">
        <f t="shared" si="649"/>
        <v>-1</v>
      </c>
      <c r="Q224">
        <f t="shared" si="649"/>
        <v>-1</v>
      </c>
      <c r="R224">
        <f t="shared" si="649"/>
        <v>-1</v>
      </c>
      <c r="S224">
        <f t="shared" si="649"/>
        <v>-1</v>
      </c>
      <c r="T224">
        <f t="shared" si="649"/>
        <v>-1</v>
      </c>
      <c r="U224">
        <f t="shared" si="649"/>
        <v>-1</v>
      </c>
      <c r="V224">
        <f t="shared" si="649"/>
        <v>-1</v>
      </c>
      <c r="W224">
        <f t="shared" si="649"/>
        <v>-1</v>
      </c>
      <c r="X224">
        <f t="shared" si="649"/>
        <v>-1</v>
      </c>
      <c r="Y224">
        <f t="shared" si="649"/>
        <v>-1</v>
      </c>
      <c r="Z224">
        <f t="shared" si="649"/>
        <v>-1</v>
      </c>
      <c r="AA224">
        <f t="shared" si="649"/>
        <v>-1</v>
      </c>
      <c r="AB224">
        <f t="shared" si="649"/>
        <v>-1</v>
      </c>
      <c r="AC224">
        <f t="shared" si="649"/>
        <v>-1</v>
      </c>
      <c r="AD224">
        <f t="shared" si="649"/>
        <v>-1</v>
      </c>
      <c r="AE224">
        <f t="shared" si="649"/>
        <v>-1</v>
      </c>
      <c r="AF224">
        <f t="shared" si="649"/>
        <v>-1</v>
      </c>
      <c r="AG224">
        <f t="shared" si="649"/>
        <v>-1</v>
      </c>
      <c r="AH224">
        <f t="shared" si="649"/>
        <v>-1</v>
      </c>
      <c r="AI224">
        <f t="shared" si="649"/>
        <v>-1</v>
      </c>
      <c r="AJ224">
        <f t="shared" si="649"/>
        <v>-1</v>
      </c>
      <c r="AK224">
        <f t="shared" si="649"/>
        <v>-1</v>
      </c>
      <c r="AL224">
        <f t="shared" si="649"/>
        <v>-1</v>
      </c>
      <c r="AM224">
        <f t="shared" si="649"/>
        <v>-1</v>
      </c>
      <c r="AN224">
        <f t="shared" si="649"/>
        <v>-1</v>
      </c>
      <c r="AO224">
        <f t="shared" si="649"/>
        <v>-1</v>
      </c>
      <c r="AP224">
        <f t="shared" si="649"/>
        <v>-1</v>
      </c>
      <c r="AQ224">
        <f t="shared" si="649"/>
        <v>-1</v>
      </c>
      <c r="AR224">
        <f t="shared" si="649"/>
        <v>-1</v>
      </c>
      <c r="AS224">
        <f t="shared" si="649"/>
        <v>-1</v>
      </c>
      <c r="AT224">
        <f t="shared" si="649"/>
        <v>-1</v>
      </c>
      <c r="AU224">
        <f t="shared" si="649"/>
        <v>-1</v>
      </c>
      <c r="AV224">
        <f t="shared" si="649"/>
        <v>-1</v>
      </c>
      <c r="AW224">
        <f t="shared" si="649"/>
        <v>-1</v>
      </c>
      <c r="AX224">
        <f t="shared" si="649"/>
        <v>-1</v>
      </c>
      <c r="AY224">
        <f t="shared" si="649"/>
        <v>-1</v>
      </c>
      <c r="AZ224">
        <f t="shared" si="649"/>
        <v>-1</v>
      </c>
      <c r="BA224">
        <f t="shared" si="649"/>
        <v>-1</v>
      </c>
      <c r="BB224">
        <f t="shared" si="649"/>
        <v>-1</v>
      </c>
      <c r="BC224">
        <f t="shared" si="649"/>
        <v>-1</v>
      </c>
      <c r="BD224">
        <f t="shared" si="649"/>
        <v>-1</v>
      </c>
      <c r="BE224">
        <f t="shared" si="649"/>
        <v>-1</v>
      </c>
      <c r="BF224">
        <f t="shared" si="649"/>
        <v>-1</v>
      </c>
      <c r="BG224">
        <f t="shared" si="649"/>
        <v>-1</v>
      </c>
      <c r="BH224">
        <f t="shared" si="649"/>
        <v>-1</v>
      </c>
      <c r="BI224">
        <f t="shared" si="649"/>
        <v>-1</v>
      </c>
      <c r="BJ224">
        <f t="shared" si="649"/>
        <v>-1</v>
      </c>
      <c r="BK224">
        <f t="shared" si="649"/>
        <v>-1</v>
      </c>
      <c r="BL224">
        <f t="shared" si="649"/>
        <v>-1</v>
      </c>
      <c r="BM224">
        <f t="shared" si="649"/>
        <v>-1</v>
      </c>
      <c r="BN224">
        <f t="shared" si="649"/>
        <v>-1</v>
      </c>
      <c r="BO224">
        <f t="shared" si="649"/>
        <v>-1</v>
      </c>
      <c r="BP224">
        <f t="shared" ref="BP224:EA224" si="650">IF(OR(BP223=-1,AND(IF(BP$3&lt;$B224,BP223+BP$6,IF(BP$3=$B224,1,""))&gt;$B$1,BP$3&lt;$B224)),-1,IF(BP$3&lt;$B224,BP223+BP$6,IF(BP$3=$B224,1,"")))</f>
        <v>-1</v>
      </c>
      <c r="BQ224">
        <f t="shared" si="650"/>
        <v>-1</v>
      </c>
      <c r="BR224">
        <f t="shared" si="650"/>
        <v>-1</v>
      </c>
      <c r="BS224">
        <f t="shared" si="650"/>
        <v>-1</v>
      </c>
      <c r="BT224">
        <f t="shared" si="650"/>
        <v>-1</v>
      </c>
      <c r="BU224">
        <f t="shared" si="650"/>
        <v>-1</v>
      </c>
      <c r="BV224">
        <f t="shared" si="650"/>
        <v>-1</v>
      </c>
      <c r="BW224">
        <f t="shared" si="650"/>
        <v>-1</v>
      </c>
      <c r="BX224">
        <f t="shared" si="650"/>
        <v>-1</v>
      </c>
      <c r="BY224">
        <f t="shared" si="650"/>
        <v>-1</v>
      </c>
      <c r="BZ224">
        <f t="shared" si="650"/>
        <v>-1</v>
      </c>
      <c r="CA224">
        <f t="shared" si="650"/>
        <v>-1</v>
      </c>
      <c r="CB224">
        <f t="shared" si="650"/>
        <v>-1</v>
      </c>
      <c r="CC224">
        <f t="shared" si="650"/>
        <v>-1</v>
      </c>
      <c r="CD224">
        <f t="shared" si="650"/>
        <v>-1</v>
      </c>
      <c r="CE224">
        <f t="shared" si="650"/>
        <v>-1</v>
      </c>
      <c r="CF224">
        <f t="shared" si="650"/>
        <v>-1</v>
      </c>
      <c r="CG224">
        <f t="shared" si="650"/>
        <v>-1</v>
      </c>
      <c r="CH224">
        <f t="shared" si="650"/>
        <v>-1</v>
      </c>
      <c r="CI224">
        <f t="shared" si="650"/>
        <v>-1</v>
      </c>
      <c r="CJ224">
        <f t="shared" si="650"/>
        <v>73.000000000000014</v>
      </c>
      <c r="CK224">
        <f t="shared" si="650"/>
        <v>69.400000000000048</v>
      </c>
      <c r="CL224">
        <f t="shared" si="650"/>
        <v>65.800000000000082</v>
      </c>
      <c r="CM224">
        <f t="shared" si="650"/>
        <v>62.200000000000102</v>
      </c>
      <c r="CN224">
        <f t="shared" si="650"/>
        <v>58.600000000000094</v>
      </c>
      <c r="CO224">
        <f t="shared" si="650"/>
        <v>-1</v>
      </c>
      <c r="CP224">
        <f t="shared" si="650"/>
        <v>-1</v>
      </c>
      <c r="CQ224">
        <f t="shared" si="650"/>
        <v>-1</v>
      </c>
      <c r="CR224">
        <f t="shared" si="650"/>
        <v>-1</v>
      </c>
      <c r="CS224">
        <f t="shared" si="650"/>
        <v>-1</v>
      </c>
      <c r="CT224">
        <f t="shared" si="650"/>
        <v>-1</v>
      </c>
      <c r="CU224">
        <f t="shared" si="650"/>
        <v>-1</v>
      </c>
      <c r="CV224">
        <f t="shared" si="650"/>
        <v>-1</v>
      </c>
      <c r="CW224">
        <f t="shared" si="650"/>
        <v>-1</v>
      </c>
      <c r="CX224">
        <f t="shared" si="650"/>
        <v>-1</v>
      </c>
      <c r="CY224">
        <f t="shared" si="650"/>
        <v>-1</v>
      </c>
      <c r="CZ224">
        <f t="shared" si="650"/>
        <v>-1</v>
      </c>
      <c r="DA224">
        <f t="shared" si="650"/>
        <v>-1</v>
      </c>
      <c r="DB224">
        <f t="shared" si="650"/>
        <v>-1</v>
      </c>
      <c r="DC224">
        <f t="shared" si="650"/>
        <v>-1</v>
      </c>
      <c r="DD224">
        <f t="shared" si="650"/>
        <v>-1</v>
      </c>
      <c r="DE224">
        <f t="shared" si="650"/>
        <v>-1</v>
      </c>
      <c r="DF224">
        <f t="shared" si="650"/>
        <v>-1</v>
      </c>
      <c r="DG224">
        <f t="shared" si="650"/>
        <v>-1</v>
      </c>
      <c r="DH224">
        <f t="shared" si="650"/>
        <v>-1</v>
      </c>
      <c r="DI224">
        <f t="shared" si="650"/>
        <v>-1</v>
      </c>
      <c r="DJ224">
        <f t="shared" si="650"/>
        <v>-1</v>
      </c>
      <c r="DK224">
        <f t="shared" si="650"/>
        <v>-1</v>
      </c>
      <c r="DL224">
        <f t="shared" si="650"/>
        <v>-1</v>
      </c>
      <c r="DM224">
        <f t="shared" si="650"/>
        <v>-1</v>
      </c>
      <c r="DN224">
        <f t="shared" si="650"/>
        <v>-1</v>
      </c>
      <c r="DO224">
        <f t="shared" si="650"/>
        <v>-1</v>
      </c>
      <c r="DP224">
        <f t="shared" si="650"/>
        <v>-1</v>
      </c>
      <c r="DQ224">
        <f t="shared" si="650"/>
        <v>-1</v>
      </c>
      <c r="DR224">
        <f t="shared" si="650"/>
        <v>-1</v>
      </c>
      <c r="DS224">
        <f t="shared" si="650"/>
        <v>-1</v>
      </c>
      <c r="DT224">
        <f t="shared" si="650"/>
        <v>-1</v>
      </c>
      <c r="DU224">
        <f t="shared" si="650"/>
        <v>-1</v>
      </c>
      <c r="DV224">
        <f t="shared" si="650"/>
        <v>-1</v>
      </c>
      <c r="DW224">
        <f t="shared" si="650"/>
        <v>-1</v>
      </c>
      <c r="DX224">
        <f t="shared" si="650"/>
        <v>-1</v>
      </c>
      <c r="DY224">
        <f t="shared" si="650"/>
        <v>-1</v>
      </c>
      <c r="DZ224">
        <f t="shared" si="650"/>
        <v>-1</v>
      </c>
      <c r="EA224">
        <f t="shared" si="650"/>
        <v>-1</v>
      </c>
      <c r="EB224">
        <f t="shared" ref="EB224:EO224" si="651">IF(OR(EB223=-1,AND(IF(EB$3&lt;$B224,EB223+EB$6,IF(EB$3=$B224,1,""))&gt;$B$1,EB$3&lt;$B224)),-1,IF(EB$3&lt;$B224,EB223+EB$6,IF(EB$3=$B224,1,"")))</f>
        <v>-1</v>
      </c>
      <c r="EC224">
        <f t="shared" si="651"/>
        <v>-1</v>
      </c>
      <c r="ED224">
        <f t="shared" si="651"/>
        <v>-1</v>
      </c>
      <c r="EE224">
        <f t="shared" si="651"/>
        <v>-1</v>
      </c>
      <c r="EF224">
        <f t="shared" si="651"/>
        <v>-1</v>
      </c>
      <c r="EG224">
        <f t="shared" si="651"/>
        <v>-1</v>
      </c>
      <c r="EH224">
        <f t="shared" si="651"/>
        <v>-1</v>
      </c>
      <c r="EI224">
        <f t="shared" si="651"/>
        <v>-1</v>
      </c>
      <c r="EJ224">
        <f t="shared" si="651"/>
        <v>-1</v>
      </c>
      <c r="EK224">
        <f t="shared" si="651"/>
        <v>-1</v>
      </c>
      <c r="EL224">
        <f t="shared" si="651"/>
        <v>-1</v>
      </c>
      <c r="EM224">
        <f t="shared" si="651"/>
        <v>-1</v>
      </c>
      <c r="EN224">
        <f t="shared" si="651"/>
        <v>-1</v>
      </c>
      <c r="EO224">
        <f t="shared" si="651"/>
        <v>-1</v>
      </c>
    </row>
    <row r="225" spans="1:145" x14ac:dyDescent="0.15">
      <c r="A225" t="e">
        <f t="shared" si="579"/>
        <v>#N/A</v>
      </c>
      <c r="B225" s="218">
        <v>217</v>
      </c>
      <c r="C225">
        <f t="shared" si="579"/>
        <v>-1</v>
      </c>
      <c r="D225">
        <f t="shared" ref="D225:BO225" si="652">IF(OR(D224=-1,AND(IF(D$3&lt;$B225,D224+D$6,IF(D$3=$B225,1,""))&gt;$B$1,D$3&lt;$B225)),-1,IF(D$3&lt;$B225,D224+D$6,IF(D$3=$B225,1,"")))</f>
        <v>-1</v>
      </c>
      <c r="E225">
        <f t="shared" si="652"/>
        <v>-1</v>
      </c>
      <c r="F225">
        <f t="shared" si="652"/>
        <v>-1</v>
      </c>
      <c r="G225">
        <f t="shared" si="652"/>
        <v>-1</v>
      </c>
      <c r="H225">
        <f t="shared" si="652"/>
        <v>-1</v>
      </c>
      <c r="I225">
        <f t="shared" si="652"/>
        <v>-1</v>
      </c>
      <c r="J225">
        <f t="shared" si="652"/>
        <v>-1</v>
      </c>
      <c r="K225">
        <f t="shared" si="652"/>
        <v>-1</v>
      </c>
      <c r="L225">
        <f t="shared" si="652"/>
        <v>-1</v>
      </c>
      <c r="M225">
        <f t="shared" si="652"/>
        <v>-1</v>
      </c>
      <c r="N225">
        <f t="shared" si="652"/>
        <v>-1</v>
      </c>
      <c r="O225">
        <f t="shared" si="652"/>
        <v>-1</v>
      </c>
      <c r="P225">
        <f t="shared" si="652"/>
        <v>-1</v>
      </c>
      <c r="Q225">
        <f t="shared" si="652"/>
        <v>-1</v>
      </c>
      <c r="R225">
        <f t="shared" si="652"/>
        <v>-1</v>
      </c>
      <c r="S225">
        <f t="shared" si="652"/>
        <v>-1</v>
      </c>
      <c r="T225">
        <f t="shared" si="652"/>
        <v>-1</v>
      </c>
      <c r="U225">
        <f t="shared" si="652"/>
        <v>-1</v>
      </c>
      <c r="V225">
        <f t="shared" si="652"/>
        <v>-1</v>
      </c>
      <c r="W225">
        <f t="shared" si="652"/>
        <v>-1</v>
      </c>
      <c r="X225">
        <f t="shared" si="652"/>
        <v>-1</v>
      </c>
      <c r="Y225">
        <f t="shared" si="652"/>
        <v>-1</v>
      </c>
      <c r="Z225">
        <f t="shared" si="652"/>
        <v>-1</v>
      </c>
      <c r="AA225">
        <f t="shared" si="652"/>
        <v>-1</v>
      </c>
      <c r="AB225">
        <f t="shared" si="652"/>
        <v>-1</v>
      </c>
      <c r="AC225">
        <f t="shared" si="652"/>
        <v>-1</v>
      </c>
      <c r="AD225">
        <f t="shared" si="652"/>
        <v>-1</v>
      </c>
      <c r="AE225">
        <f t="shared" si="652"/>
        <v>-1</v>
      </c>
      <c r="AF225">
        <f t="shared" si="652"/>
        <v>-1</v>
      </c>
      <c r="AG225">
        <f t="shared" si="652"/>
        <v>-1</v>
      </c>
      <c r="AH225">
        <f t="shared" si="652"/>
        <v>-1</v>
      </c>
      <c r="AI225">
        <f t="shared" si="652"/>
        <v>-1</v>
      </c>
      <c r="AJ225">
        <f t="shared" si="652"/>
        <v>-1</v>
      </c>
      <c r="AK225">
        <f t="shared" si="652"/>
        <v>-1</v>
      </c>
      <c r="AL225">
        <f t="shared" si="652"/>
        <v>-1</v>
      </c>
      <c r="AM225">
        <f t="shared" si="652"/>
        <v>-1</v>
      </c>
      <c r="AN225">
        <f t="shared" si="652"/>
        <v>-1</v>
      </c>
      <c r="AO225">
        <f t="shared" si="652"/>
        <v>-1</v>
      </c>
      <c r="AP225">
        <f t="shared" si="652"/>
        <v>-1</v>
      </c>
      <c r="AQ225">
        <f t="shared" si="652"/>
        <v>-1</v>
      </c>
      <c r="AR225">
        <f t="shared" si="652"/>
        <v>-1</v>
      </c>
      <c r="AS225">
        <f t="shared" si="652"/>
        <v>-1</v>
      </c>
      <c r="AT225">
        <f t="shared" si="652"/>
        <v>-1</v>
      </c>
      <c r="AU225">
        <f t="shared" si="652"/>
        <v>-1</v>
      </c>
      <c r="AV225">
        <f t="shared" si="652"/>
        <v>-1</v>
      </c>
      <c r="AW225">
        <f t="shared" si="652"/>
        <v>-1</v>
      </c>
      <c r="AX225">
        <f t="shared" si="652"/>
        <v>-1</v>
      </c>
      <c r="AY225">
        <f t="shared" si="652"/>
        <v>-1</v>
      </c>
      <c r="AZ225">
        <f t="shared" si="652"/>
        <v>-1</v>
      </c>
      <c r="BA225">
        <f t="shared" si="652"/>
        <v>-1</v>
      </c>
      <c r="BB225">
        <f t="shared" si="652"/>
        <v>-1</v>
      </c>
      <c r="BC225">
        <f t="shared" si="652"/>
        <v>-1</v>
      </c>
      <c r="BD225">
        <f t="shared" si="652"/>
        <v>-1</v>
      </c>
      <c r="BE225">
        <f t="shared" si="652"/>
        <v>-1</v>
      </c>
      <c r="BF225">
        <f t="shared" si="652"/>
        <v>-1</v>
      </c>
      <c r="BG225">
        <f t="shared" si="652"/>
        <v>-1</v>
      </c>
      <c r="BH225">
        <f t="shared" si="652"/>
        <v>-1</v>
      </c>
      <c r="BI225">
        <f t="shared" si="652"/>
        <v>-1</v>
      </c>
      <c r="BJ225">
        <f t="shared" si="652"/>
        <v>-1</v>
      </c>
      <c r="BK225">
        <f t="shared" si="652"/>
        <v>-1</v>
      </c>
      <c r="BL225">
        <f t="shared" si="652"/>
        <v>-1</v>
      </c>
      <c r="BM225">
        <f t="shared" si="652"/>
        <v>-1</v>
      </c>
      <c r="BN225">
        <f t="shared" si="652"/>
        <v>-1</v>
      </c>
      <c r="BO225">
        <f t="shared" si="652"/>
        <v>-1</v>
      </c>
      <c r="BP225">
        <f t="shared" ref="BP225:EA225" si="653">IF(OR(BP224=-1,AND(IF(BP$3&lt;$B225,BP224+BP$6,IF(BP$3=$B225,1,""))&gt;$B$1,BP$3&lt;$B225)),-1,IF(BP$3&lt;$B225,BP224+BP$6,IF(BP$3=$B225,1,"")))</f>
        <v>-1</v>
      </c>
      <c r="BQ225">
        <f t="shared" si="653"/>
        <v>-1</v>
      </c>
      <c r="BR225">
        <f t="shared" si="653"/>
        <v>-1</v>
      </c>
      <c r="BS225">
        <f t="shared" si="653"/>
        <v>-1</v>
      </c>
      <c r="BT225">
        <f t="shared" si="653"/>
        <v>-1</v>
      </c>
      <c r="BU225">
        <f t="shared" si="653"/>
        <v>-1</v>
      </c>
      <c r="BV225">
        <f t="shared" si="653"/>
        <v>-1</v>
      </c>
      <c r="BW225">
        <f t="shared" si="653"/>
        <v>-1</v>
      </c>
      <c r="BX225">
        <f t="shared" si="653"/>
        <v>-1</v>
      </c>
      <c r="BY225">
        <f t="shared" si="653"/>
        <v>-1</v>
      </c>
      <c r="BZ225">
        <f t="shared" si="653"/>
        <v>-1</v>
      </c>
      <c r="CA225">
        <f t="shared" si="653"/>
        <v>-1</v>
      </c>
      <c r="CB225">
        <f t="shared" si="653"/>
        <v>-1</v>
      </c>
      <c r="CC225">
        <f t="shared" si="653"/>
        <v>-1</v>
      </c>
      <c r="CD225">
        <f t="shared" si="653"/>
        <v>-1</v>
      </c>
      <c r="CE225">
        <f t="shared" si="653"/>
        <v>-1</v>
      </c>
      <c r="CF225">
        <f t="shared" si="653"/>
        <v>-1</v>
      </c>
      <c r="CG225">
        <f t="shared" si="653"/>
        <v>-1</v>
      </c>
      <c r="CH225">
        <f t="shared" si="653"/>
        <v>-1</v>
      </c>
      <c r="CI225">
        <f t="shared" si="653"/>
        <v>-1</v>
      </c>
      <c r="CJ225">
        <f t="shared" si="653"/>
        <v>73.600000000000009</v>
      </c>
      <c r="CK225">
        <f t="shared" si="653"/>
        <v>70.000000000000043</v>
      </c>
      <c r="CL225">
        <f t="shared" si="653"/>
        <v>66.400000000000077</v>
      </c>
      <c r="CM225">
        <f t="shared" si="653"/>
        <v>62.800000000000104</v>
      </c>
      <c r="CN225">
        <f t="shared" si="653"/>
        <v>59.200000000000095</v>
      </c>
      <c r="CO225">
        <f t="shared" si="653"/>
        <v>-1</v>
      </c>
      <c r="CP225">
        <f t="shared" si="653"/>
        <v>-1</v>
      </c>
      <c r="CQ225">
        <f t="shared" si="653"/>
        <v>-1</v>
      </c>
      <c r="CR225">
        <f t="shared" si="653"/>
        <v>-1</v>
      </c>
      <c r="CS225">
        <f t="shared" si="653"/>
        <v>-1</v>
      </c>
      <c r="CT225">
        <f t="shared" si="653"/>
        <v>-1</v>
      </c>
      <c r="CU225">
        <f t="shared" si="653"/>
        <v>-1</v>
      </c>
      <c r="CV225">
        <f t="shared" si="653"/>
        <v>-1</v>
      </c>
      <c r="CW225">
        <f t="shared" si="653"/>
        <v>-1</v>
      </c>
      <c r="CX225">
        <f t="shared" si="653"/>
        <v>-1</v>
      </c>
      <c r="CY225">
        <f t="shared" si="653"/>
        <v>-1</v>
      </c>
      <c r="CZ225">
        <f t="shared" si="653"/>
        <v>-1</v>
      </c>
      <c r="DA225">
        <f t="shared" si="653"/>
        <v>-1</v>
      </c>
      <c r="DB225">
        <f t="shared" si="653"/>
        <v>-1</v>
      </c>
      <c r="DC225">
        <f t="shared" si="653"/>
        <v>-1</v>
      </c>
      <c r="DD225">
        <f t="shared" si="653"/>
        <v>-1</v>
      </c>
      <c r="DE225">
        <f t="shared" si="653"/>
        <v>-1</v>
      </c>
      <c r="DF225">
        <f t="shared" si="653"/>
        <v>-1</v>
      </c>
      <c r="DG225">
        <f t="shared" si="653"/>
        <v>-1</v>
      </c>
      <c r="DH225">
        <f t="shared" si="653"/>
        <v>-1</v>
      </c>
      <c r="DI225">
        <f t="shared" si="653"/>
        <v>-1</v>
      </c>
      <c r="DJ225">
        <f t="shared" si="653"/>
        <v>-1</v>
      </c>
      <c r="DK225">
        <f t="shared" si="653"/>
        <v>-1</v>
      </c>
      <c r="DL225">
        <f t="shared" si="653"/>
        <v>-1</v>
      </c>
      <c r="DM225">
        <f t="shared" si="653"/>
        <v>-1</v>
      </c>
      <c r="DN225">
        <f t="shared" si="653"/>
        <v>-1</v>
      </c>
      <c r="DO225">
        <f t="shared" si="653"/>
        <v>-1</v>
      </c>
      <c r="DP225">
        <f t="shared" si="653"/>
        <v>-1</v>
      </c>
      <c r="DQ225">
        <f t="shared" si="653"/>
        <v>-1</v>
      </c>
      <c r="DR225">
        <f t="shared" si="653"/>
        <v>-1</v>
      </c>
      <c r="DS225">
        <f t="shared" si="653"/>
        <v>-1</v>
      </c>
      <c r="DT225">
        <f t="shared" si="653"/>
        <v>-1</v>
      </c>
      <c r="DU225">
        <f t="shared" si="653"/>
        <v>-1</v>
      </c>
      <c r="DV225">
        <f t="shared" si="653"/>
        <v>-1</v>
      </c>
      <c r="DW225">
        <f t="shared" si="653"/>
        <v>-1</v>
      </c>
      <c r="DX225">
        <f t="shared" si="653"/>
        <v>-1</v>
      </c>
      <c r="DY225">
        <f t="shared" si="653"/>
        <v>-1</v>
      </c>
      <c r="DZ225">
        <f t="shared" si="653"/>
        <v>-1</v>
      </c>
      <c r="EA225">
        <f t="shared" si="653"/>
        <v>-1</v>
      </c>
      <c r="EB225">
        <f t="shared" ref="EB225:EO225" si="654">IF(OR(EB224=-1,AND(IF(EB$3&lt;$B225,EB224+EB$6,IF(EB$3=$B225,1,""))&gt;$B$1,EB$3&lt;$B225)),-1,IF(EB$3&lt;$B225,EB224+EB$6,IF(EB$3=$B225,1,"")))</f>
        <v>-1</v>
      </c>
      <c r="EC225">
        <f t="shared" si="654"/>
        <v>-1</v>
      </c>
      <c r="ED225">
        <f t="shared" si="654"/>
        <v>-1</v>
      </c>
      <c r="EE225">
        <f t="shared" si="654"/>
        <v>-1</v>
      </c>
      <c r="EF225">
        <f t="shared" si="654"/>
        <v>-1</v>
      </c>
      <c r="EG225">
        <f t="shared" si="654"/>
        <v>-1</v>
      </c>
      <c r="EH225">
        <f t="shared" si="654"/>
        <v>-1</v>
      </c>
      <c r="EI225">
        <f t="shared" si="654"/>
        <v>-1</v>
      </c>
      <c r="EJ225">
        <f t="shared" si="654"/>
        <v>-1</v>
      </c>
      <c r="EK225">
        <f t="shared" si="654"/>
        <v>-1</v>
      </c>
      <c r="EL225">
        <f t="shared" si="654"/>
        <v>-1</v>
      </c>
      <c r="EM225">
        <f t="shared" si="654"/>
        <v>-1</v>
      </c>
      <c r="EN225">
        <f t="shared" si="654"/>
        <v>-1</v>
      </c>
      <c r="EO225">
        <f t="shared" si="654"/>
        <v>-1</v>
      </c>
    </row>
    <row r="226" spans="1:145" x14ac:dyDescent="0.15">
      <c r="A226" t="e">
        <f t="shared" si="579"/>
        <v>#N/A</v>
      </c>
      <c r="B226" s="218">
        <v>218</v>
      </c>
      <c r="C226">
        <f t="shared" si="579"/>
        <v>-1</v>
      </c>
      <c r="D226">
        <f t="shared" ref="D226:BO226" si="655">IF(OR(D225=-1,AND(IF(D$3&lt;$B226,D225+D$6,IF(D$3=$B226,1,""))&gt;$B$1,D$3&lt;$B226)),-1,IF(D$3&lt;$B226,D225+D$6,IF(D$3=$B226,1,"")))</f>
        <v>-1</v>
      </c>
      <c r="E226">
        <f t="shared" si="655"/>
        <v>-1</v>
      </c>
      <c r="F226">
        <f t="shared" si="655"/>
        <v>-1</v>
      </c>
      <c r="G226">
        <f t="shared" si="655"/>
        <v>-1</v>
      </c>
      <c r="H226">
        <f t="shared" si="655"/>
        <v>-1</v>
      </c>
      <c r="I226">
        <f t="shared" si="655"/>
        <v>-1</v>
      </c>
      <c r="J226">
        <f t="shared" si="655"/>
        <v>-1</v>
      </c>
      <c r="K226">
        <f t="shared" si="655"/>
        <v>-1</v>
      </c>
      <c r="L226">
        <f t="shared" si="655"/>
        <v>-1</v>
      </c>
      <c r="M226">
        <f t="shared" si="655"/>
        <v>-1</v>
      </c>
      <c r="N226">
        <f t="shared" si="655"/>
        <v>-1</v>
      </c>
      <c r="O226">
        <f t="shared" si="655"/>
        <v>-1</v>
      </c>
      <c r="P226">
        <f t="shared" si="655"/>
        <v>-1</v>
      </c>
      <c r="Q226">
        <f t="shared" si="655"/>
        <v>-1</v>
      </c>
      <c r="R226">
        <f t="shared" si="655"/>
        <v>-1</v>
      </c>
      <c r="S226">
        <f t="shared" si="655"/>
        <v>-1</v>
      </c>
      <c r="T226">
        <f t="shared" si="655"/>
        <v>-1</v>
      </c>
      <c r="U226">
        <f t="shared" si="655"/>
        <v>-1</v>
      </c>
      <c r="V226">
        <f t="shared" si="655"/>
        <v>-1</v>
      </c>
      <c r="W226">
        <f t="shared" si="655"/>
        <v>-1</v>
      </c>
      <c r="X226">
        <f t="shared" si="655"/>
        <v>-1</v>
      </c>
      <c r="Y226">
        <f t="shared" si="655"/>
        <v>-1</v>
      </c>
      <c r="Z226">
        <f t="shared" si="655"/>
        <v>-1</v>
      </c>
      <c r="AA226">
        <f t="shared" si="655"/>
        <v>-1</v>
      </c>
      <c r="AB226">
        <f t="shared" si="655"/>
        <v>-1</v>
      </c>
      <c r="AC226">
        <f t="shared" si="655"/>
        <v>-1</v>
      </c>
      <c r="AD226">
        <f t="shared" si="655"/>
        <v>-1</v>
      </c>
      <c r="AE226">
        <f t="shared" si="655"/>
        <v>-1</v>
      </c>
      <c r="AF226">
        <f t="shared" si="655"/>
        <v>-1</v>
      </c>
      <c r="AG226">
        <f t="shared" si="655"/>
        <v>-1</v>
      </c>
      <c r="AH226">
        <f t="shared" si="655"/>
        <v>-1</v>
      </c>
      <c r="AI226">
        <f t="shared" si="655"/>
        <v>-1</v>
      </c>
      <c r="AJ226">
        <f t="shared" si="655"/>
        <v>-1</v>
      </c>
      <c r="AK226">
        <f t="shared" si="655"/>
        <v>-1</v>
      </c>
      <c r="AL226">
        <f t="shared" si="655"/>
        <v>-1</v>
      </c>
      <c r="AM226">
        <f t="shared" si="655"/>
        <v>-1</v>
      </c>
      <c r="AN226">
        <f t="shared" si="655"/>
        <v>-1</v>
      </c>
      <c r="AO226">
        <f t="shared" si="655"/>
        <v>-1</v>
      </c>
      <c r="AP226">
        <f t="shared" si="655"/>
        <v>-1</v>
      </c>
      <c r="AQ226">
        <f t="shared" si="655"/>
        <v>-1</v>
      </c>
      <c r="AR226">
        <f t="shared" si="655"/>
        <v>-1</v>
      </c>
      <c r="AS226">
        <f t="shared" si="655"/>
        <v>-1</v>
      </c>
      <c r="AT226">
        <f t="shared" si="655"/>
        <v>-1</v>
      </c>
      <c r="AU226">
        <f t="shared" si="655"/>
        <v>-1</v>
      </c>
      <c r="AV226">
        <f t="shared" si="655"/>
        <v>-1</v>
      </c>
      <c r="AW226">
        <f t="shared" si="655"/>
        <v>-1</v>
      </c>
      <c r="AX226">
        <f t="shared" si="655"/>
        <v>-1</v>
      </c>
      <c r="AY226">
        <f t="shared" si="655"/>
        <v>-1</v>
      </c>
      <c r="AZ226">
        <f t="shared" si="655"/>
        <v>-1</v>
      </c>
      <c r="BA226">
        <f t="shared" si="655"/>
        <v>-1</v>
      </c>
      <c r="BB226">
        <f t="shared" si="655"/>
        <v>-1</v>
      </c>
      <c r="BC226">
        <f t="shared" si="655"/>
        <v>-1</v>
      </c>
      <c r="BD226">
        <f t="shared" si="655"/>
        <v>-1</v>
      </c>
      <c r="BE226">
        <f t="shared" si="655"/>
        <v>-1</v>
      </c>
      <c r="BF226">
        <f t="shared" si="655"/>
        <v>-1</v>
      </c>
      <c r="BG226">
        <f t="shared" si="655"/>
        <v>-1</v>
      </c>
      <c r="BH226">
        <f t="shared" si="655"/>
        <v>-1</v>
      </c>
      <c r="BI226">
        <f t="shared" si="655"/>
        <v>-1</v>
      </c>
      <c r="BJ226">
        <f t="shared" si="655"/>
        <v>-1</v>
      </c>
      <c r="BK226">
        <f t="shared" si="655"/>
        <v>-1</v>
      </c>
      <c r="BL226">
        <f t="shared" si="655"/>
        <v>-1</v>
      </c>
      <c r="BM226">
        <f t="shared" si="655"/>
        <v>-1</v>
      </c>
      <c r="BN226">
        <f t="shared" si="655"/>
        <v>-1</v>
      </c>
      <c r="BO226">
        <f t="shared" si="655"/>
        <v>-1</v>
      </c>
      <c r="BP226">
        <f t="shared" ref="BP226:EA226" si="656">IF(OR(BP225=-1,AND(IF(BP$3&lt;$B226,BP225+BP$6,IF(BP$3=$B226,1,""))&gt;$B$1,BP$3&lt;$B226)),-1,IF(BP$3&lt;$B226,BP225+BP$6,IF(BP$3=$B226,1,"")))</f>
        <v>-1</v>
      </c>
      <c r="BQ226">
        <f t="shared" si="656"/>
        <v>-1</v>
      </c>
      <c r="BR226">
        <f t="shared" si="656"/>
        <v>-1</v>
      </c>
      <c r="BS226">
        <f t="shared" si="656"/>
        <v>-1</v>
      </c>
      <c r="BT226">
        <f t="shared" si="656"/>
        <v>-1</v>
      </c>
      <c r="BU226">
        <f t="shared" si="656"/>
        <v>-1</v>
      </c>
      <c r="BV226">
        <f t="shared" si="656"/>
        <v>-1</v>
      </c>
      <c r="BW226">
        <f t="shared" si="656"/>
        <v>-1</v>
      </c>
      <c r="BX226">
        <f t="shared" si="656"/>
        <v>-1</v>
      </c>
      <c r="BY226">
        <f t="shared" si="656"/>
        <v>-1</v>
      </c>
      <c r="BZ226">
        <f t="shared" si="656"/>
        <v>-1</v>
      </c>
      <c r="CA226">
        <f t="shared" si="656"/>
        <v>-1</v>
      </c>
      <c r="CB226">
        <f t="shared" si="656"/>
        <v>-1</v>
      </c>
      <c r="CC226">
        <f t="shared" si="656"/>
        <v>-1</v>
      </c>
      <c r="CD226">
        <f t="shared" si="656"/>
        <v>-1</v>
      </c>
      <c r="CE226">
        <f t="shared" si="656"/>
        <v>-1</v>
      </c>
      <c r="CF226">
        <f t="shared" si="656"/>
        <v>-1</v>
      </c>
      <c r="CG226">
        <f t="shared" si="656"/>
        <v>-1</v>
      </c>
      <c r="CH226">
        <f t="shared" si="656"/>
        <v>-1</v>
      </c>
      <c r="CI226">
        <f t="shared" si="656"/>
        <v>-1</v>
      </c>
      <c r="CJ226">
        <f t="shared" si="656"/>
        <v>74.2</v>
      </c>
      <c r="CK226">
        <f t="shared" si="656"/>
        <v>70.600000000000037</v>
      </c>
      <c r="CL226">
        <f t="shared" si="656"/>
        <v>67.000000000000071</v>
      </c>
      <c r="CM226">
        <f t="shared" si="656"/>
        <v>63.400000000000105</v>
      </c>
      <c r="CN226">
        <f t="shared" si="656"/>
        <v>59.800000000000097</v>
      </c>
      <c r="CO226">
        <f t="shared" si="656"/>
        <v>-1</v>
      </c>
      <c r="CP226">
        <f t="shared" si="656"/>
        <v>-1</v>
      </c>
      <c r="CQ226">
        <f t="shared" si="656"/>
        <v>-1</v>
      </c>
      <c r="CR226">
        <f t="shared" si="656"/>
        <v>-1</v>
      </c>
      <c r="CS226">
        <f t="shared" si="656"/>
        <v>-1</v>
      </c>
      <c r="CT226">
        <f t="shared" si="656"/>
        <v>-1</v>
      </c>
      <c r="CU226">
        <f t="shared" si="656"/>
        <v>-1</v>
      </c>
      <c r="CV226">
        <f t="shared" si="656"/>
        <v>-1</v>
      </c>
      <c r="CW226">
        <f t="shared" si="656"/>
        <v>-1</v>
      </c>
      <c r="CX226">
        <f t="shared" si="656"/>
        <v>-1</v>
      </c>
      <c r="CY226">
        <f t="shared" si="656"/>
        <v>-1</v>
      </c>
      <c r="CZ226">
        <f t="shared" si="656"/>
        <v>-1</v>
      </c>
      <c r="DA226">
        <f t="shared" si="656"/>
        <v>-1</v>
      </c>
      <c r="DB226">
        <f t="shared" si="656"/>
        <v>-1</v>
      </c>
      <c r="DC226">
        <f t="shared" si="656"/>
        <v>-1</v>
      </c>
      <c r="DD226">
        <f t="shared" si="656"/>
        <v>-1</v>
      </c>
      <c r="DE226">
        <f t="shared" si="656"/>
        <v>-1</v>
      </c>
      <c r="DF226">
        <f t="shared" si="656"/>
        <v>-1</v>
      </c>
      <c r="DG226">
        <f t="shared" si="656"/>
        <v>-1</v>
      </c>
      <c r="DH226">
        <f t="shared" si="656"/>
        <v>-1</v>
      </c>
      <c r="DI226">
        <f t="shared" si="656"/>
        <v>-1</v>
      </c>
      <c r="DJ226">
        <f t="shared" si="656"/>
        <v>-1</v>
      </c>
      <c r="DK226">
        <f t="shared" si="656"/>
        <v>-1</v>
      </c>
      <c r="DL226">
        <f t="shared" si="656"/>
        <v>-1</v>
      </c>
      <c r="DM226">
        <f t="shared" si="656"/>
        <v>-1</v>
      </c>
      <c r="DN226">
        <f t="shared" si="656"/>
        <v>-1</v>
      </c>
      <c r="DO226">
        <f t="shared" si="656"/>
        <v>-1</v>
      </c>
      <c r="DP226">
        <f t="shared" si="656"/>
        <v>-1</v>
      </c>
      <c r="DQ226">
        <f t="shared" si="656"/>
        <v>-1</v>
      </c>
      <c r="DR226">
        <f t="shared" si="656"/>
        <v>-1</v>
      </c>
      <c r="DS226">
        <f t="shared" si="656"/>
        <v>-1</v>
      </c>
      <c r="DT226">
        <f t="shared" si="656"/>
        <v>-1</v>
      </c>
      <c r="DU226">
        <f t="shared" si="656"/>
        <v>-1</v>
      </c>
      <c r="DV226">
        <f t="shared" si="656"/>
        <v>-1</v>
      </c>
      <c r="DW226">
        <f t="shared" si="656"/>
        <v>-1</v>
      </c>
      <c r="DX226">
        <f t="shared" si="656"/>
        <v>-1</v>
      </c>
      <c r="DY226">
        <f t="shared" si="656"/>
        <v>-1</v>
      </c>
      <c r="DZ226">
        <f t="shared" si="656"/>
        <v>-1</v>
      </c>
      <c r="EA226">
        <f t="shared" si="656"/>
        <v>-1</v>
      </c>
      <c r="EB226">
        <f t="shared" ref="EB226:EO226" si="657">IF(OR(EB225=-1,AND(IF(EB$3&lt;$B226,EB225+EB$6,IF(EB$3=$B226,1,""))&gt;$B$1,EB$3&lt;$B226)),-1,IF(EB$3&lt;$B226,EB225+EB$6,IF(EB$3=$B226,1,"")))</f>
        <v>-1</v>
      </c>
      <c r="EC226">
        <f t="shared" si="657"/>
        <v>-1</v>
      </c>
      <c r="ED226">
        <f t="shared" si="657"/>
        <v>-1</v>
      </c>
      <c r="EE226">
        <f t="shared" si="657"/>
        <v>-1</v>
      </c>
      <c r="EF226">
        <f t="shared" si="657"/>
        <v>-1</v>
      </c>
      <c r="EG226">
        <f t="shared" si="657"/>
        <v>-1</v>
      </c>
      <c r="EH226">
        <f t="shared" si="657"/>
        <v>-1</v>
      </c>
      <c r="EI226">
        <f t="shared" si="657"/>
        <v>-1</v>
      </c>
      <c r="EJ226">
        <f t="shared" si="657"/>
        <v>-1</v>
      </c>
      <c r="EK226">
        <f t="shared" si="657"/>
        <v>-1</v>
      </c>
      <c r="EL226">
        <f t="shared" si="657"/>
        <v>-1</v>
      </c>
      <c r="EM226">
        <f t="shared" si="657"/>
        <v>-1</v>
      </c>
      <c r="EN226">
        <f t="shared" si="657"/>
        <v>-1</v>
      </c>
      <c r="EO226">
        <f t="shared" si="657"/>
        <v>-1</v>
      </c>
    </row>
    <row r="227" spans="1:145" x14ac:dyDescent="0.15">
      <c r="A227" t="e">
        <f t="shared" si="579"/>
        <v>#N/A</v>
      </c>
      <c r="B227" s="218">
        <v>219</v>
      </c>
      <c r="C227">
        <f t="shared" si="579"/>
        <v>-1</v>
      </c>
      <c r="D227">
        <f t="shared" ref="D227:BO227" si="658">IF(OR(D226=-1,AND(IF(D$3&lt;$B227,D226+D$6,IF(D$3=$B227,1,""))&gt;$B$1,D$3&lt;$B227)),-1,IF(D$3&lt;$B227,D226+D$6,IF(D$3=$B227,1,"")))</f>
        <v>-1</v>
      </c>
      <c r="E227">
        <f t="shared" si="658"/>
        <v>-1</v>
      </c>
      <c r="F227">
        <f t="shared" si="658"/>
        <v>-1</v>
      </c>
      <c r="G227">
        <f t="shared" si="658"/>
        <v>-1</v>
      </c>
      <c r="H227">
        <f t="shared" si="658"/>
        <v>-1</v>
      </c>
      <c r="I227">
        <f t="shared" si="658"/>
        <v>-1</v>
      </c>
      <c r="J227">
        <f t="shared" si="658"/>
        <v>-1</v>
      </c>
      <c r="K227">
        <f t="shared" si="658"/>
        <v>-1</v>
      </c>
      <c r="L227">
        <f t="shared" si="658"/>
        <v>-1</v>
      </c>
      <c r="M227">
        <f t="shared" si="658"/>
        <v>-1</v>
      </c>
      <c r="N227">
        <f t="shared" si="658"/>
        <v>-1</v>
      </c>
      <c r="O227">
        <f t="shared" si="658"/>
        <v>-1</v>
      </c>
      <c r="P227">
        <f t="shared" si="658"/>
        <v>-1</v>
      </c>
      <c r="Q227">
        <f t="shared" si="658"/>
        <v>-1</v>
      </c>
      <c r="R227">
        <f t="shared" si="658"/>
        <v>-1</v>
      </c>
      <c r="S227">
        <f t="shared" si="658"/>
        <v>-1</v>
      </c>
      <c r="T227">
        <f t="shared" si="658"/>
        <v>-1</v>
      </c>
      <c r="U227">
        <f t="shared" si="658"/>
        <v>-1</v>
      </c>
      <c r="V227">
        <f t="shared" si="658"/>
        <v>-1</v>
      </c>
      <c r="W227">
        <f t="shared" si="658"/>
        <v>-1</v>
      </c>
      <c r="X227">
        <f t="shared" si="658"/>
        <v>-1</v>
      </c>
      <c r="Y227">
        <f t="shared" si="658"/>
        <v>-1</v>
      </c>
      <c r="Z227">
        <f t="shared" si="658"/>
        <v>-1</v>
      </c>
      <c r="AA227">
        <f t="shared" si="658"/>
        <v>-1</v>
      </c>
      <c r="AB227">
        <f t="shared" si="658"/>
        <v>-1</v>
      </c>
      <c r="AC227">
        <f t="shared" si="658"/>
        <v>-1</v>
      </c>
      <c r="AD227">
        <f t="shared" si="658"/>
        <v>-1</v>
      </c>
      <c r="AE227">
        <f t="shared" si="658"/>
        <v>-1</v>
      </c>
      <c r="AF227">
        <f t="shared" si="658"/>
        <v>-1</v>
      </c>
      <c r="AG227">
        <f t="shared" si="658"/>
        <v>-1</v>
      </c>
      <c r="AH227">
        <f t="shared" si="658"/>
        <v>-1</v>
      </c>
      <c r="AI227">
        <f t="shared" si="658"/>
        <v>-1</v>
      </c>
      <c r="AJ227">
        <f t="shared" si="658"/>
        <v>-1</v>
      </c>
      <c r="AK227">
        <f t="shared" si="658"/>
        <v>-1</v>
      </c>
      <c r="AL227">
        <f t="shared" si="658"/>
        <v>-1</v>
      </c>
      <c r="AM227">
        <f t="shared" si="658"/>
        <v>-1</v>
      </c>
      <c r="AN227">
        <f t="shared" si="658"/>
        <v>-1</v>
      </c>
      <c r="AO227">
        <f t="shared" si="658"/>
        <v>-1</v>
      </c>
      <c r="AP227">
        <f t="shared" si="658"/>
        <v>-1</v>
      </c>
      <c r="AQ227">
        <f t="shared" si="658"/>
        <v>-1</v>
      </c>
      <c r="AR227">
        <f t="shared" si="658"/>
        <v>-1</v>
      </c>
      <c r="AS227">
        <f t="shared" si="658"/>
        <v>-1</v>
      </c>
      <c r="AT227">
        <f t="shared" si="658"/>
        <v>-1</v>
      </c>
      <c r="AU227">
        <f t="shared" si="658"/>
        <v>-1</v>
      </c>
      <c r="AV227">
        <f t="shared" si="658"/>
        <v>-1</v>
      </c>
      <c r="AW227">
        <f t="shared" si="658"/>
        <v>-1</v>
      </c>
      <c r="AX227">
        <f t="shared" si="658"/>
        <v>-1</v>
      </c>
      <c r="AY227">
        <f t="shared" si="658"/>
        <v>-1</v>
      </c>
      <c r="AZ227">
        <f t="shared" si="658"/>
        <v>-1</v>
      </c>
      <c r="BA227">
        <f t="shared" si="658"/>
        <v>-1</v>
      </c>
      <c r="BB227">
        <f t="shared" si="658"/>
        <v>-1</v>
      </c>
      <c r="BC227">
        <f t="shared" si="658"/>
        <v>-1</v>
      </c>
      <c r="BD227">
        <f t="shared" si="658"/>
        <v>-1</v>
      </c>
      <c r="BE227">
        <f t="shared" si="658"/>
        <v>-1</v>
      </c>
      <c r="BF227">
        <f t="shared" si="658"/>
        <v>-1</v>
      </c>
      <c r="BG227">
        <f t="shared" si="658"/>
        <v>-1</v>
      </c>
      <c r="BH227">
        <f t="shared" si="658"/>
        <v>-1</v>
      </c>
      <c r="BI227">
        <f t="shared" si="658"/>
        <v>-1</v>
      </c>
      <c r="BJ227">
        <f t="shared" si="658"/>
        <v>-1</v>
      </c>
      <c r="BK227">
        <f t="shared" si="658"/>
        <v>-1</v>
      </c>
      <c r="BL227">
        <f t="shared" si="658"/>
        <v>-1</v>
      </c>
      <c r="BM227">
        <f t="shared" si="658"/>
        <v>-1</v>
      </c>
      <c r="BN227">
        <f t="shared" si="658"/>
        <v>-1</v>
      </c>
      <c r="BO227">
        <f t="shared" si="658"/>
        <v>-1</v>
      </c>
      <c r="BP227">
        <f t="shared" ref="BP227:EA227" si="659">IF(OR(BP226=-1,AND(IF(BP$3&lt;$B227,BP226+BP$6,IF(BP$3=$B227,1,""))&gt;$B$1,BP$3&lt;$B227)),-1,IF(BP$3&lt;$B227,BP226+BP$6,IF(BP$3=$B227,1,"")))</f>
        <v>-1</v>
      </c>
      <c r="BQ227">
        <f t="shared" si="659"/>
        <v>-1</v>
      </c>
      <c r="BR227">
        <f t="shared" si="659"/>
        <v>-1</v>
      </c>
      <c r="BS227">
        <f t="shared" si="659"/>
        <v>-1</v>
      </c>
      <c r="BT227">
        <f t="shared" si="659"/>
        <v>-1</v>
      </c>
      <c r="BU227">
        <f t="shared" si="659"/>
        <v>-1</v>
      </c>
      <c r="BV227">
        <f t="shared" si="659"/>
        <v>-1</v>
      </c>
      <c r="BW227">
        <f t="shared" si="659"/>
        <v>-1</v>
      </c>
      <c r="BX227">
        <f t="shared" si="659"/>
        <v>-1</v>
      </c>
      <c r="BY227">
        <f t="shared" si="659"/>
        <v>-1</v>
      </c>
      <c r="BZ227">
        <f t="shared" si="659"/>
        <v>-1</v>
      </c>
      <c r="CA227">
        <f t="shared" si="659"/>
        <v>-1</v>
      </c>
      <c r="CB227">
        <f t="shared" si="659"/>
        <v>-1</v>
      </c>
      <c r="CC227">
        <f t="shared" si="659"/>
        <v>-1</v>
      </c>
      <c r="CD227">
        <f t="shared" si="659"/>
        <v>-1</v>
      </c>
      <c r="CE227">
        <f t="shared" si="659"/>
        <v>-1</v>
      </c>
      <c r="CF227">
        <f t="shared" si="659"/>
        <v>-1</v>
      </c>
      <c r="CG227">
        <f t="shared" si="659"/>
        <v>-1</v>
      </c>
      <c r="CH227">
        <f t="shared" si="659"/>
        <v>-1</v>
      </c>
      <c r="CI227">
        <f t="shared" si="659"/>
        <v>-1</v>
      </c>
      <c r="CJ227">
        <f t="shared" si="659"/>
        <v>74.8</v>
      </c>
      <c r="CK227">
        <f t="shared" si="659"/>
        <v>71.200000000000031</v>
      </c>
      <c r="CL227">
        <f t="shared" si="659"/>
        <v>67.600000000000065</v>
      </c>
      <c r="CM227">
        <f t="shared" si="659"/>
        <v>64.000000000000099</v>
      </c>
      <c r="CN227">
        <f t="shared" si="659"/>
        <v>60.400000000000098</v>
      </c>
      <c r="CO227">
        <f t="shared" si="659"/>
        <v>-1</v>
      </c>
      <c r="CP227">
        <f t="shared" si="659"/>
        <v>-1</v>
      </c>
      <c r="CQ227">
        <f t="shared" si="659"/>
        <v>-1</v>
      </c>
      <c r="CR227">
        <f t="shared" si="659"/>
        <v>-1</v>
      </c>
      <c r="CS227">
        <f t="shared" si="659"/>
        <v>-1</v>
      </c>
      <c r="CT227">
        <f t="shared" si="659"/>
        <v>-1</v>
      </c>
      <c r="CU227">
        <f t="shared" si="659"/>
        <v>-1</v>
      </c>
      <c r="CV227">
        <f t="shared" si="659"/>
        <v>-1</v>
      </c>
      <c r="CW227">
        <f t="shared" si="659"/>
        <v>-1</v>
      </c>
      <c r="CX227">
        <f t="shared" si="659"/>
        <v>-1</v>
      </c>
      <c r="CY227">
        <f t="shared" si="659"/>
        <v>-1</v>
      </c>
      <c r="CZ227">
        <f t="shared" si="659"/>
        <v>-1</v>
      </c>
      <c r="DA227">
        <f t="shared" si="659"/>
        <v>-1</v>
      </c>
      <c r="DB227">
        <f t="shared" si="659"/>
        <v>-1</v>
      </c>
      <c r="DC227">
        <f t="shared" si="659"/>
        <v>-1</v>
      </c>
      <c r="DD227">
        <f t="shared" si="659"/>
        <v>-1</v>
      </c>
      <c r="DE227">
        <f t="shared" si="659"/>
        <v>-1</v>
      </c>
      <c r="DF227">
        <f t="shared" si="659"/>
        <v>-1</v>
      </c>
      <c r="DG227">
        <f t="shared" si="659"/>
        <v>-1</v>
      </c>
      <c r="DH227">
        <f t="shared" si="659"/>
        <v>-1</v>
      </c>
      <c r="DI227">
        <f t="shared" si="659"/>
        <v>-1</v>
      </c>
      <c r="DJ227">
        <f t="shared" si="659"/>
        <v>-1</v>
      </c>
      <c r="DK227">
        <f t="shared" si="659"/>
        <v>-1</v>
      </c>
      <c r="DL227">
        <f t="shared" si="659"/>
        <v>-1</v>
      </c>
      <c r="DM227">
        <f t="shared" si="659"/>
        <v>-1</v>
      </c>
      <c r="DN227">
        <f t="shared" si="659"/>
        <v>-1</v>
      </c>
      <c r="DO227">
        <f t="shared" si="659"/>
        <v>-1</v>
      </c>
      <c r="DP227">
        <f t="shared" si="659"/>
        <v>-1</v>
      </c>
      <c r="DQ227">
        <f t="shared" si="659"/>
        <v>-1</v>
      </c>
      <c r="DR227">
        <f t="shared" si="659"/>
        <v>-1</v>
      </c>
      <c r="DS227">
        <f t="shared" si="659"/>
        <v>-1</v>
      </c>
      <c r="DT227">
        <f t="shared" si="659"/>
        <v>-1</v>
      </c>
      <c r="DU227">
        <f t="shared" si="659"/>
        <v>-1</v>
      </c>
      <c r="DV227">
        <f t="shared" si="659"/>
        <v>-1</v>
      </c>
      <c r="DW227">
        <f t="shared" si="659"/>
        <v>-1</v>
      </c>
      <c r="DX227">
        <f t="shared" si="659"/>
        <v>-1</v>
      </c>
      <c r="DY227">
        <f t="shared" si="659"/>
        <v>-1</v>
      </c>
      <c r="DZ227">
        <f t="shared" si="659"/>
        <v>-1</v>
      </c>
      <c r="EA227">
        <f t="shared" si="659"/>
        <v>-1</v>
      </c>
      <c r="EB227">
        <f t="shared" ref="EB227:EO227" si="660">IF(OR(EB226=-1,AND(IF(EB$3&lt;$B227,EB226+EB$6,IF(EB$3=$B227,1,""))&gt;$B$1,EB$3&lt;$B227)),-1,IF(EB$3&lt;$B227,EB226+EB$6,IF(EB$3=$B227,1,"")))</f>
        <v>-1</v>
      </c>
      <c r="EC227">
        <f t="shared" si="660"/>
        <v>-1</v>
      </c>
      <c r="ED227">
        <f t="shared" si="660"/>
        <v>-1</v>
      </c>
      <c r="EE227">
        <f t="shared" si="660"/>
        <v>-1</v>
      </c>
      <c r="EF227">
        <f t="shared" si="660"/>
        <v>-1</v>
      </c>
      <c r="EG227">
        <f t="shared" si="660"/>
        <v>-1</v>
      </c>
      <c r="EH227">
        <f t="shared" si="660"/>
        <v>-1</v>
      </c>
      <c r="EI227">
        <f t="shared" si="660"/>
        <v>-1</v>
      </c>
      <c r="EJ227">
        <f t="shared" si="660"/>
        <v>-1</v>
      </c>
      <c r="EK227">
        <f t="shared" si="660"/>
        <v>-1</v>
      </c>
      <c r="EL227">
        <f t="shared" si="660"/>
        <v>-1</v>
      </c>
      <c r="EM227">
        <f t="shared" si="660"/>
        <v>-1</v>
      </c>
      <c r="EN227">
        <f t="shared" si="660"/>
        <v>-1</v>
      </c>
      <c r="EO227">
        <f t="shared" si="660"/>
        <v>-1</v>
      </c>
    </row>
    <row r="228" spans="1:145" x14ac:dyDescent="0.15">
      <c r="A228" t="e">
        <f t="shared" si="579"/>
        <v>#N/A</v>
      </c>
      <c r="B228" s="218">
        <v>220</v>
      </c>
      <c r="C228">
        <f t="shared" si="579"/>
        <v>-1</v>
      </c>
      <c r="D228">
        <f t="shared" ref="D228:BO228" si="661">IF(OR(D227=-1,AND(IF(D$3&lt;$B228,D227+D$6,IF(D$3=$B228,1,""))&gt;$B$1,D$3&lt;$B228)),-1,IF(D$3&lt;$B228,D227+D$6,IF(D$3=$B228,1,"")))</f>
        <v>-1</v>
      </c>
      <c r="E228">
        <f t="shared" si="661"/>
        <v>-1</v>
      </c>
      <c r="F228">
        <f t="shared" si="661"/>
        <v>-1</v>
      </c>
      <c r="G228">
        <f t="shared" si="661"/>
        <v>-1</v>
      </c>
      <c r="H228">
        <f t="shared" si="661"/>
        <v>-1</v>
      </c>
      <c r="I228">
        <f t="shared" si="661"/>
        <v>-1</v>
      </c>
      <c r="J228">
        <f t="shared" si="661"/>
        <v>-1</v>
      </c>
      <c r="K228">
        <f t="shared" si="661"/>
        <v>-1</v>
      </c>
      <c r="L228">
        <f t="shared" si="661"/>
        <v>-1</v>
      </c>
      <c r="M228">
        <f t="shared" si="661"/>
        <v>-1</v>
      </c>
      <c r="N228">
        <f t="shared" si="661"/>
        <v>-1</v>
      </c>
      <c r="O228">
        <f t="shared" si="661"/>
        <v>-1</v>
      </c>
      <c r="P228">
        <f t="shared" si="661"/>
        <v>-1</v>
      </c>
      <c r="Q228">
        <f t="shared" si="661"/>
        <v>-1</v>
      </c>
      <c r="R228">
        <f t="shared" si="661"/>
        <v>-1</v>
      </c>
      <c r="S228">
        <f t="shared" si="661"/>
        <v>-1</v>
      </c>
      <c r="T228">
        <f t="shared" si="661"/>
        <v>-1</v>
      </c>
      <c r="U228">
        <f t="shared" si="661"/>
        <v>-1</v>
      </c>
      <c r="V228">
        <f t="shared" si="661"/>
        <v>-1</v>
      </c>
      <c r="W228">
        <f t="shared" si="661"/>
        <v>-1</v>
      </c>
      <c r="X228">
        <f t="shared" si="661"/>
        <v>-1</v>
      </c>
      <c r="Y228">
        <f t="shared" si="661"/>
        <v>-1</v>
      </c>
      <c r="Z228">
        <f t="shared" si="661"/>
        <v>-1</v>
      </c>
      <c r="AA228">
        <f t="shared" si="661"/>
        <v>-1</v>
      </c>
      <c r="AB228">
        <f t="shared" si="661"/>
        <v>-1</v>
      </c>
      <c r="AC228">
        <f t="shared" si="661"/>
        <v>-1</v>
      </c>
      <c r="AD228">
        <f t="shared" si="661"/>
        <v>-1</v>
      </c>
      <c r="AE228">
        <f t="shared" si="661"/>
        <v>-1</v>
      </c>
      <c r="AF228">
        <f t="shared" si="661"/>
        <v>-1</v>
      </c>
      <c r="AG228">
        <f t="shared" si="661"/>
        <v>-1</v>
      </c>
      <c r="AH228">
        <f t="shared" si="661"/>
        <v>-1</v>
      </c>
      <c r="AI228">
        <f t="shared" si="661"/>
        <v>-1</v>
      </c>
      <c r="AJ228">
        <f t="shared" si="661"/>
        <v>-1</v>
      </c>
      <c r="AK228">
        <f t="shared" si="661"/>
        <v>-1</v>
      </c>
      <c r="AL228">
        <f t="shared" si="661"/>
        <v>-1</v>
      </c>
      <c r="AM228">
        <f t="shared" si="661"/>
        <v>-1</v>
      </c>
      <c r="AN228">
        <f t="shared" si="661"/>
        <v>-1</v>
      </c>
      <c r="AO228">
        <f t="shared" si="661"/>
        <v>-1</v>
      </c>
      <c r="AP228">
        <f t="shared" si="661"/>
        <v>-1</v>
      </c>
      <c r="AQ228">
        <f t="shared" si="661"/>
        <v>-1</v>
      </c>
      <c r="AR228">
        <f t="shared" si="661"/>
        <v>-1</v>
      </c>
      <c r="AS228">
        <f t="shared" si="661"/>
        <v>-1</v>
      </c>
      <c r="AT228">
        <f t="shared" si="661"/>
        <v>-1</v>
      </c>
      <c r="AU228">
        <f t="shared" si="661"/>
        <v>-1</v>
      </c>
      <c r="AV228">
        <f t="shared" si="661"/>
        <v>-1</v>
      </c>
      <c r="AW228">
        <f t="shared" si="661"/>
        <v>-1</v>
      </c>
      <c r="AX228">
        <f t="shared" si="661"/>
        <v>-1</v>
      </c>
      <c r="AY228">
        <f t="shared" si="661"/>
        <v>-1</v>
      </c>
      <c r="AZ228">
        <f t="shared" si="661"/>
        <v>-1</v>
      </c>
      <c r="BA228">
        <f t="shared" si="661"/>
        <v>-1</v>
      </c>
      <c r="BB228">
        <f t="shared" si="661"/>
        <v>-1</v>
      </c>
      <c r="BC228">
        <f t="shared" si="661"/>
        <v>-1</v>
      </c>
      <c r="BD228">
        <f t="shared" si="661"/>
        <v>-1</v>
      </c>
      <c r="BE228">
        <f t="shared" si="661"/>
        <v>-1</v>
      </c>
      <c r="BF228">
        <f t="shared" si="661"/>
        <v>-1</v>
      </c>
      <c r="BG228">
        <f t="shared" si="661"/>
        <v>-1</v>
      </c>
      <c r="BH228">
        <f t="shared" si="661"/>
        <v>-1</v>
      </c>
      <c r="BI228">
        <f t="shared" si="661"/>
        <v>-1</v>
      </c>
      <c r="BJ228">
        <f t="shared" si="661"/>
        <v>-1</v>
      </c>
      <c r="BK228">
        <f t="shared" si="661"/>
        <v>-1</v>
      </c>
      <c r="BL228">
        <f t="shared" si="661"/>
        <v>-1</v>
      </c>
      <c r="BM228">
        <f t="shared" si="661"/>
        <v>-1</v>
      </c>
      <c r="BN228">
        <f t="shared" si="661"/>
        <v>-1</v>
      </c>
      <c r="BO228">
        <f t="shared" si="661"/>
        <v>-1</v>
      </c>
      <c r="BP228">
        <f t="shared" ref="BP228:EA228" si="662">IF(OR(BP227=-1,AND(IF(BP$3&lt;$B228,BP227+BP$6,IF(BP$3=$B228,1,""))&gt;$B$1,BP$3&lt;$B228)),-1,IF(BP$3&lt;$B228,BP227+BP$6,IF(BP$3=$B228,1,"")))</f>
        <v>-1</v>
      </c>
      <c r="BQ228">
        <f t="shared" si="662"/>
        <v>-1</v>
      </c>
      <c r="BR228">
        <f t="shared" si="662"/>
        <v>-1</v>
      </c>
      <c r="BS228">
        <f t="shared" si="662"/>
        <v>-1</v>
      </c>
      <c r="BT228">
        <f t="shared" si="662"/>
        <v>-1</v>
      </c>
      <c r="BU228">
        <f t="shared" si="662"/>
        <v>-1</v>
      </c>
      <c r="BV228">
        <f t="shared" si="662"/>
        <v>-1</v>
      </c>
      <c r="BW228">
        <f t="shared" si="662"/>
        <v>-1</v>
      </c>
      <c r="BX228">
        <f t="shared" si="662"/>
        <v>-1</v>
      </c>
      <c r="BY228">
        <f t="shared" si="662"/>
        <v>-1</v>
      </c>
      <c r="BZ228">
        <f t="shared" si="662"/>
        <v>-1</v>
      </c>
      <c r="CA228">
        <f t="shared" si="662"/>
        <v>-1</v>
      </c>
      <c r="CB228">
        <f t="shared" si="662"/>
        <v>-1</v>
      </c>
      <c r="CC228">
        <f t="shared" si="662"/>
        <v>-1</v>
      </c>
      <c r="CD228">
        <f t="shared" si="662"/>
        <v>-1</v>
      </c>
      <c r="CE228">
        <f t="shared" si="662"/>
        <v>-1</v>
      </c>
      <c r="CF228">
        <f t="shared" si="662"/>
        <v>-1</v>
      </c>
      <c r="CG228">
        <f t="shared" si="662"/>
        <v>-1</v>
      </c>
      <c r="CH228">
        <f t="shared" si="662"/>
        <v>-1</v>
      </c>
      <c r="CI228">
        <f t="shared" si="662"/>
        <v>-1</v>
      </c>
      <c r="CJ228">
        <f t="shared" si="662"/>
        <v>-1</v>
      </c>
      <c r="CK228">
        <f t="shared" si="662"/>
        <v>71.800000000000026</v>
      </c>
      <c r="CL228">
        <f t="shared" si="662"/>
        <v>68.20000000000006</v>
      </c>
      <c r="CM228">
        <f t="shared" si="662"/>
        <v>64.600000000000094</v>
      </c>
      <c r="CN228">
        <f t="shared" si="662"/>
        <v>61.000000000000099</v>
      </c>
      <c r="CO228">
        <f t="shared" si="662"/>
        <v>-1</v>
      </c>
      <c r="CP228">
        <f t="shared" si="662"/>
        <v>-1</v>
      </c>
      <c r="CQ228">
        <f t="shared" si="662"/>
        <v>-1</v>
      </c>
      <c r="CR228">
        <f t="shared" si="662"/>
        <v>-1</v>
      </c>
      <c r="CS228">
        <f t="shared" si="662"/>
        <v>-1</v>
      </c>
      <c r="CT228">
        <f t="shared" si="662"/>
        <v>-1</v>
      </c>
      <c r="CU228">
        <f t="shared" si="662"/>
        <v>-1</v>
      </c>
      <c r="CV228">
        <f t="shared" si="662"/>
        <v>-1</v>
      </c>
      <c r="CW228">
        <f t="shared" si="662"/>
        <v>-1</v>
      </c>
      <c r="CX228">
        <f t="shared" si="662"/>
        <v>-1</v>
      </c>
      <c r="CY228">
        <f t="shared" si="662"/>
        <v>-1</v>
      </c>
      <c r="CZ228">
        <f t="shared" si="662"/>
        <v>-1</v>
      </c>
      <c r="DA228">
        <f t="shared" si="662"/>
        <v>-1</v>
      </c>
      <c r="DB228">
        <f t="shared" si="662"/>
        <v>-1</v>
      </c>
      <c r="DC228">
        <f t="shared" si="662"/>
        <v>-1</v>
      </c>
      <c r="DD228">
        <f t="shared" si="662"/>
        <v>-1</v>
      </c>
      <c r="DE228">
        <f t="shared" si="662"/>
        <v>-1</v>
      </c>
      <c r="DF228">
        <f t="shared" si="662"/>
        <v>-1</v>
      </c>
      <c r="DG228">
        <f t="shared" si="662"/>
        <v>-1</v>
      </c>
      <c r="DH228">
        <f t="shared" si="662"/>
        <v>-1</v>
      </c>
      <c r="DI228">
        <f t="shared" si="662"/>
        <v>-1</v>
      </c>
      <c r="DJ228">
        <f t="shared" si="662"/>
        <v>-1</v>
      </c>
      <c r="DK228">
        <f t="shared" si="662"/>
        <v>-1</v>
      </c>
      <c r="DL228">
        <f t="shared" si="662"/>
        <v>-1</v>
      </c>
      <c r="DM228">
        <f t="shared" si="662"/>
        <v>-1</v>
      </c>
      <c r="DN228">
        <f t="shared" si="662"/>
        <v>-1</v>
      </c>
      <c r="DO228">
        <f t="shared" si="662"/>
        <v>-1</v>
      </c>
      <c r="DP228">
        <f t="shared" si="662"/>
        <v>-1</v>
      </c>
      <c r="DQ228">
        <f t="shared" si="662"/>
        <v>-1</v>
      </c>
      <c r="DR228">
        <f t="shared" si="662"/>
        <v>-1</v>
      </c>
      <c r="DS228">
        <f t="shared" si="662"/>
        <v>-1</v>
      </c>
      <c r="DT228">
        <f t="shared" si="662"/>
        <v>-1</v>
      </c>
      <c r="DU228">
        <f t="shared" si="662"/>
        <v>-1</v>
      </c>
      <c r="DV228">
        <f t="shared" si="662"/>
        <v>-1</v>
      </c>
      <c r="DW228">
        <f t="shared" si="662"/>
        <v>-1</v>
      </c>
      <c r="DX228">
        <f t="shared" si="662"/>
        <v>-1</v>
      </c>
      <c r="DY228">
        <f t="shared" si="662"/>
        <v>-1</v>
      </c>
      <c r="DZ228">
        <f t="shared" si="662"/>
        <v>-1</v>
      </c>
      <c r="EA228">
        <f t="shared" si="662"/>
        <v>-1</v>
      </c>
      <c r="EB228">
        <f t="shared" ref="EB228:EO228" si="663">IF(OR(EB227=-1,AND(IF(EB$3&lt;$B228,EB227+EB$6,IF(EB$3=$B228,1,""))&gt;$B$1,EB$3&lt;$B228)),-1,IF(EB$3&lt;$B228,EB227+EB$6,IF(EB$3=$B228,1,"")))</f>
        <v>-1</v>
      </c>
      <c r="EC228">
        <f t="shared" si="663"/>
        <v>-1</v>
      </c>
      <c r="ED228">
        <f t="shared" si="663"/>
        <v>-1</v>
      </c>
      <c r="EE228">
        <f t="shared" si="663"/>
        <v>-1</v>
      </c>
      <c r="EF228">
        <f t="shared" si="663"/>
        <v>-1</v>
      </c>
      <c r="EG228">
        <f t="shared" si="663"/>
        <v>-1</v>
      </c>
      <c r="EH228">
        <f t="shared" si="663"/>
        <v>-1</v>
      </c>
      <c r="EI228">
        <f t="shared" si="663"/>
        <v>-1</v>
      </c>
      <c r="EJ228">
        <f t="shared" si="663"/>
        <v>-1</v>
      </c>
      <c r="EK228">
        <f t="shared" si="663"/>
        <v>-1</v>
      </c>
      <c r="EL228">
        <f t="shared" si="663"/>
        <v>-1</v>
      </c>
      <c r="EM228">
        <f t="shared" si="663"/>
        <v>-1</v>
      </c>
      <c r="EN228">
        <f t="shared" si="663"/>
        <v>-1</v>
      </c>
      <c r="EO228">
        <f t="shared" si="663"/>
        <v>-1</v>
      </c>
    </row>
    <row r="229" spans="1:145" x14ac:dyDescent="0.15">
      <c r="A229" t="e">
        <f t="shared" si="579"/>
        <v>#N/A</v>
      </c>
      <c r="B229" s="218">
        <v>221</v>
      </c>
      <c r="C229">
        <f t="shared" si="579"/>
        <v>-1</v>
      </c>
      <c r="D229">
        <f t="shared" ref="D229:BO229" si="664">IF(OR(D228=-1,AND(IF(D$3&lt;$B229,D228+D$6,IF(D$3=$B229,1,""))&gt;$B$1,D$3&lt;$B229)),-1,IF(D$3&lt;$B229,D228+D$6,IF(D$3=$B229,1,"")))</f>
        <v>-1</v>
      </c>
      <c r="E229">
        <f t="shared" si="664"/>
        <v>-1</v>
      </c>
      <c r="F229">
        <f t="shared" si="664"/>
        <v>-1</v>
      </c>
      <c r="G229">
        <f t="shared" si="664"/>
        <v>-1</v>
      </c>
      <c r="H229">
        <f t="shared" si="664"/>
        <v>-1</v>
      </c>
      <c r="I229">
        <f t="shared" si="664"/>
        <v>-1</v>
      </c>
      <c r="J229">
        <f t="shared" si="664"/>
        <v>-1</v>
      </c>
      <c r="K229">
        <f t="shared" si="664"/>
        <v>-1</v>
      </c>
      <c r="L229">
        <f t="shared" si="664"/>
        <v>-1</v>
      </c>
      <c r="M229">
        <f t="shared" si="664"/>
        <v>-1</v>
      </c>
      <c r="N229">
        <f t="shared" si="664"/>
        <v>-1</v>
      </c>
      <c r="O229">
        <f t="shared" si="664"/>
        <v>-1</v>
      </c>
      <c r="P229">
        <f t="shared" si="664"/>
        <v>-1</v>
      </c>
      <c r="Q229">
        <f t="shared" si="664"/>
        <v>-1</v>
      </c>
      <c r="R229">
        <f t="shared" si="664"/>
        <v>-1</v>
      </c>
      <c r="S229">
        <f t="shared" si="664"/>
        <v>-1</v>
      </c>
      <c r="T229">
        <f t="shared" si="664"/>
        <v>-1</v>
      </c>
      <c r="U229">
        <f t="shared" si="664"/>
        <v>-1</v>
      </c>
      <c r="V229">
        <f t="shared" si="664"/>
        <v>-1</v>
      </c>
      <c r="W229">
        <f t="shared" si="664"/>
        <v>-1</v>
      </c>
      <c r="X229">
        <f t="shared" si="664"/>
        <v>-1</v>
      </c>
      <c r="Y229">
        <f t="shared" si="664"/>
        <v>-1</v>
      </c>
      <c r="Z229">
        <f t="shared" si="664"/>
        <v>-1</v>
      </c>
      <c r="AA229">
        <f t="shared" si="664"/>
        <v>-1</v>
      </c>
      <c r="AB229">
        <f t="shared" si="664"/>
        <v>-1</v>
      </c>
      <c r="AC229">
        <f t="shared" si="664"/>
        <v>-1</v>
      </c>
      <c r="AD229">
        <f t="shared" si="664"/>
        <v>-1</v>
      </c>
      <c r="AE229">
        <f t="shared" si="664"/>
        <v>-1</v>
      </c>
      <c r="AF229">
        <f t="shared" si="664"/>
        <v>-1</v>
      </c>
      <c r="AG229">
        <f t="shared" si="664"/>
        <v>-1</v>
      </c>
      <c r="AH229">
        <f t="shared" si="664"/>
        <v>-1</v>
      </c>
      <c r="AI229">
        <f t="shared" si="664"/>
        <v>-1</v>
      </c>
      <c r="AJ229">
        <f t="shared" si="664"/>
        <v>-1</v>
      </c>
      <c r="AK229">
        <f t="shared" si="664"/>
        <v>-1</v>
      </c>
      <c r="AL229">
        <f t="shared" si="664"/>
        <v>-1</v>
      </c>
      <c r="AM229">
        <f t="shared" si="664"/>
        <v>-1</v>
      </c>
      <c r="AN229">
        <f t="shared" si="664"/>
        <v>-1</v>
      </c>
      <c r="AO229">
        <f t="shared" si="664"/>
        <v>-1</v>
      </c>
      <c r="AP229">
        <f t="shared" si="664"/>
        <v>-1</v>
      </c>
      <c r="AQ229">
        <f t="shared" si="664"/>
        <v>-1</v>
      </c>
      <c r="AR229">
        <f t="shared" si="664"/>
        <v>-1</v>
      </c>
      <c r="AS229">
        <f t="shared" si="664"/>
        <v>-1</v>
      </c>
      <c r="AT229">
        <f t="shared" si="664"/>
        <v>-1</v>
      </c>
      <c r="AU229">
        <f t="shared" si="664"/>
        <v>-1</v>
      </c>
      <c r="AV229">
        <f t="shared" si="664"/>
        <v>-1</v>
      </c>
      <c r="AW229">
        <f t="shared" si="664"/>
        <v>-1</v>
      </c>
      <c r="AX229">
        <f t="shared" si="664"/>
        <v>-1</v>
      </c>
      <c r="AY229">
        <f t="shared" si="664"/>
        <v>-1</v>
      </c>
      <c r="AZ229">
        <f t="shared" si="664"/>
        <v>-1</v>
      </c>
      <c r="BA229">
        <f t="shared" si="664"/>
        <v>-1</v>
      </c>
      <c r="BB229">
        <f t="shared" si="664"/>
        <v>-1</v>
      </c>
      <c r="BC229">
        <f t="shared" si="664"/>
        <v>-1</v>
      </c>
      <c r="BD229">
        <f t="shared" si="664"/>
        <v>-1</v>
      </c>
      <c r="BE229">
        <f t="shared" si="664"/>
        <v>-1</v>
      </c>
      <c r="BF229">
        <f t="shared" si="664"/>
        <v>-1</v>
      </c>
      <c r="BG229">
        <f t="shared" si="664"/>
        <v>-1</v>
      </c>
      <c r="BH229">
        <f t="shared" si="664"/>
        <v>-1</v>
      </c>
      <c r="BI229">
        <f t="shared" si="664"/>
        <v>-1</v>
      </c>
      <c r="BJ229">
        <f t="shared" si="664"/>
        <v>-1</v>
      </c>
      <c r="BK229">
        <f t="shared" si="664"/>
        <v>-1</v>
      </c>
      <c r="BL229">
        <f t="shared" si="664"/>
        <v>-1</v>
      </c>
      <c r="BM229">
        <f t="shared" si="664"/>
        <v>-1</v>
      </c>
      <c r="BN229">
        <f t="shared" si="664"/>
        <v>-1</v>
      </c>
      <c r="BO229">
        <f t="shared" si="664"/>
        <v>-1</v>
      </c>
      <c r="BP229">
        <f t="shared" ref="BP229:EA229" si="665">IF(OR(BP228=-1,AND(IF(BP$3&lt;$B229,BP228+BP$6,IF(BP$3=$B229,1,""))&gt;$B$1,BP$3&lt;$B229)),-1,IF(BP$3&lt;$B229,BP228+BP$6,IF(BP$3=$B229,1,"")))</f>
        <v>-1</v>
      </c>
      <c r="BQ229">
        <f t="shared" si="665"/>
        <v>-1</v>
      </c>
      <c r="BR229">
        <f t="shared" si="665"/>
        <v>-1</v>
      </c>
      <c r="BS229">
        <f t="shared" si="665"/>
        <v>-1</v>
      </c>
      <c r="BT229">
        <f t="shared" si="665"/>
        <v>-1</v>
      </c>
      <c r="BU229">
        <f t="shared" si="665"/>
        <v>-1</v>
      </c>
      <c r="BV229">
        <f t="shared" si="665"/>
        <v>-1</v>
      </c>
      <c r="BW229">
        <f t="shared" si="665"/>
        <v>-1</v>
      </c>
      <c r="BX229">
        <f t="shared" si="665"/>
        <v>-1</v>
      </c>
      <c r="BY229">
        <f t="shared" si="665"/>
        <v>-1</v>
      </c>
      <c r="BZ229">
        <f t="shared" si="665"/>
        <v>-1</v>
      </c>
      <c r="CA229">
        <f t="shared" si="665"/>
        <v>-1</v>
      </c>
      <c r="CB229">
        <f t="shared" si="665"/>
        <v>-1</v>
      </c>
      <c r="CC229">
        <f t="shared" si="665"/>
        <v>-1</v>
      </c>
      <c r="CD229">
        <f t="shared" si="665"/>
        <v>-1</v>
      </c>
      <c r="CE229">
        <f t="shared" si="665"/>
        <v>-1</v>
      </c>
      <c r="CF229">
        <f t="shared" si="665"/>
        <v>-1</v>
      </c>
      <c r="CG229">
        <f t="shared" si="665"/>
        <v>-1</v>
      </c>
      <c r="CH229">
        <f t="shared" si="665"/>
        <v>-1</v>
      </c>
      <c r="CI229">
        <f t="shared" si="665"/>
        <v>-1</v>
      </c>
      <c r="CJ229">
        <f t="shared" si="665"/>
        <v>-1</v>
      </c>
      <c r="CK229">
        <f t="shared" si="665"/>
        <v>72.40000000000002</v>
      </c>
      <c r="CL229">
        <f t="shared" si="665"/>
        <v>68.800000000000054</v>
      </c>
      <c r="CM229">
        <f t="shared" si="665"/>
        <v>65.200000000000088</v>
      </c>
      <c r="CN229">
        <f t="shared" si="665"/>
        <v>61.600000000000101</v>
      </c>
      <c r="CO229">
        <f t="shared" si="665"/>
        <v>-1</v>
      </c>
      <c r="CP229">
        <f t="shared" si="665"/>
        <v>-1</v>
      </c>
      <c r="CQ229">
        <f t="shared" si="665"/>
        <v>-1</v>
      </c>
      <c r="CR229">
        <f t="shared" si="665"/>
        <v>-1</v>
      </c>
      <c r="CS229">
        <f t="shared" si="665"/>
        <v>-1</v>
      </c>
      <c r="CT229">
        <f t="shared" si="665"/>
        <v>-1</v>
      </c>
      <c r="CU229">
        <f t="shared" si="665"/>
        <v>-1</v>
      </c>
      <c r="CV229">
        <f t="shared" si="665"/>
        <v>-1</v>
      </c>
      <c r="CW229">
        <f t="shared" si="665"/>
        <v>-1</v>
      </c>
      <c r="CX229">
        <f t="shared" si="665"/>
        <v>-1</v>
      </c>
      <c r="CY229">
        <f t="shared" si="665"/>
        <v>-1</v>
      </c>
      <c r="CZ229">
        <f t="shared" si="665"/>
        <v>-1</v>
      </c>
      <c r="DA229">
        <f t="shared" si="665"/>
        <v>-1</v>
      </c>
      <c r="DB229">
        <f t="shared" si="665"/>
        <v>-1</v>
      </c>
      <c r="DC229">
        <f t="shared" si="665"/>
        <v>-1</v>
      </c>
      <c r="DD229">
        <f t="shared" si="665"/>
        <v>-1</v>
      </c>
      <c r="DE229">
        <f t="shared" si="665"/>
        <v>-1</v>
      </c>
      <c r="DF229">
        <f t="shared" si="665"/>
        <v>-1</v>
      </c>
      <c r="DG229">
        <f t="shared" si="665"/>
        <v>-1</v>
      </c>
      <c r="DH229">
        <f t="shared" si="665"/>
        <v>-1</v>
      </c>
      <c r="DI229">
        <f t="shared" si="665"/>
        <v>-1</v>
      </c>
      <c r="DJ229">
        <f t="shared" si="665"/>
        <v>-1</v>
      </c>
      <c r="DK229">
        <f t="shared" si="665"/>
        <v>-1</v>
      </c>
      <c r="DL229">
        <f t="shared" si="665"/>
        <v>-1</v>
      </c>
      <c r="DM229">
        <f t="shared" si="665"/>
        <v>-1</v>
      </c>
      <c r="DN229">
        <f t="shared" si="665"/>
        <v>-1</v>
      </c>
      <c r="DO229">
        <f t="shared" si="665"/>
        <v>-1</v>
      </c>
      <c r="DP229">
        <f t="shared" si="665"/>
        <v>-1</v>
      </c>
      <c r="DQ229">
        <f t="shared" si="665"/>
        <v>-1</v>
      </c>
      <c r="DR229">
        <f t="shared" si="665"/>
        <v>-1</v>
      </c>
      <c r="DS229">
        <f t="shared" si="665"/>
        <v>-1</v>
      </c>
      <c r="DT229">
        <f t="shared" si="665"/>
        <v>-1</v>
      </c>
      <c r="DU229">
        <f t="shared" si="665"/>
        <v>-1</v>
      </c>
      <c r="DV229">
        <f t="shared" si="665"/>
        <v>-1</v>
      </c>
      <c r="DW229">
        <f t="shared" si="665"/>
        <v>-1</v>
      </c>
      <c r="DX229">
        <f t="shared" si="665"/>
        <v>-1</v>
      </c>
      <c r="DY229">
        <f t="shared" si="665"/>
        <v>-1</v>
      </c>
      <c r="DZ229">
        <f t="shared" si="665"/>
        <v>-1</v>
      </c>
      <c r="EA229">
        <f t="shared" si="665"/>
        <v>-1</v>
      </c>
      <c r="EB229">
        <f t="shared" ref="EB229:EO229" si="666">IF(OR(EB228=-1,AND(IF(EB$3&lt;$B229,EB228+EB$6,IF(EB$3=$B229,1,""))&gt;$B$1,EB$3&lt;$B229)),-1,IF(EB$3&lt;$B229,EB228+EB$6,IF(EB$3=$B229,1,"")))</f>
        <v>-1</v>
      </c>
      <c r="EC229">
        <f t="shared" si="666"/>
        <v>-1</v>
      </c>
      <c r="ED229">
        <f t="shared" si="666"/>
        <v>-1</v>
      </c>
      <c r="EE229">
        <f t="shared" si="666"/>
        <v>-1</v>
      </c>
      <c r="EF229">
        <f t="shared" si="666"/>
        <v>-1</v>
      </c>
      <c r="EG229">
        <f t="shared" si="666"/>
        <v>-1</v>
      </c>
      <c r="EH229">
        <f t="shared" si="666"/>
        <v>-1</v>
      </c>
      <c r="EI229">
        <f t="shared" si="666"/>
        <v>-1</v>
      </c>
      <c r="EJ229">
        <f t="shared" si="666"/>
        <v>-1</v>
      </c>
      <c r="EK229">
        <f t="shared" si="666"/>
        <v>-1</v>
      </c>
      <c r="EL229">
        <f t="shared" si="666"/>
        <v>-1</v>
      </c>
      <c r="EM229">
        <f t="shared" si="666"/>
        <v>-1</v>
      </c>
      <c r="EN229">
        <f t="shared" si="666"/>
        <v>-1</v>
      </c>
      <c r="EO229">
        <f t="shared" si="666"/>
        <v>-1</v>
      </c>
    </row>
    <row r="230" spans="1:145" x14ac:dyDescent="0.15">
      <c r="A230" t="e">
        <f t="shared" si="579"/>
        <v>#N/A</v>
      </c>
      <c r="B230" s="218">
        <v>222</v>
      </c>
      <c r="C230">
        <f t="shared" si="579"/>
        <v>-1</v>
      </c>
      <c r="D230">
        <f t="shared" ref="D230:BO230" si="667">IF(OR(D229=-1,AND(IF(D$3&lt;$B230,D229+D$6,IF(D$3=$B230,1,""))&gt;$B$1,D$3&lt;$B230)),-1,IF(D$3&lt;$B230,D229+D$6,IF(D$3=$B230,1,"")))</f>
        <v>-1</v>
      </c>
      <c r="E230">
        <f t="shared" si="667"/>
        <v>-1</v>
      </c>
      <c r="F230">
        <f t="shared" si="667"/>
        <v>-1</v>
      </c>
      <c r="G230">
        <f t="shared" si="667"/>
        <v>-1</v>
      </c>
      <c r="H230">
        <f t="shared" si="667"/>
        <v>-1</v>
      </c>
      <c r="I230">
        <f t="shared" si="667"/>
        <v>-1</v>
      </c>
      <c r="J230">
        <f t="shared" si="667"/>
        <v>-1</v>
      </c>
      <c r="K230">
        <f t="shared" si="667"/>
        <v>-1</v>
      </c>
      <c r="L230">
        <f t="shared" si="667"/>
        <v>-1</v>
      </c>
      <c r="M230">
        <f t="shared" si="667"/>
        <v>-1</v>
      </c>
      <c r="N230">
        <f t="shared" si="667"/>
        <v>-1</v>
      </c>
      <c r="O230">
        <f t="shared" si="667"/>
        <v>-1</v>
      </c>
      <c r="P230">
        <f t="shared" si="667"/>
        <v>-1</v>
      </c>
      <c r="Q230">
        <f t="shared" si="667"/>
        <v>-1</v>
      </c>
      <c r="R230">
        <f t="shared" si="667"/>
        <v>-1</v>
      </c>
      <c r="S230">
        <f t="shared" si="667"/>
        <v>-1</v>
      </c>
      <c r="T230">
        <f t="shared" si="667"/>
        <v>-1</v>
      </c>
      <c r="U230">
        <f t="shared" si="667"/>
        <v>-1</v>
      </c>
      <c r="V230">
        <f t="shared" si="667"/>
        <v>-1</v>
      </c>
      <c r="W230">
        <f t="shared" si="667"/>
        <v>-1</v>
      </c>
      <c r="X230">
        <f t="shared" si="667"/>
        <v>-1</v>
      </c>
      <c r="Y230">
        <f t="shared" si="667"/>
        <v>-1</v>
      </c>
      <c r="Z230">
        <f t="shared" si="667"/>
        <v>-1</v>
      </c>
      <c r="AA230">
        <f t="shared" si="667"/>
        <v>-1</v>
      </c>
      <c r="AB230">
        <f t="shared" si="667"/>
        <v>-1</v>
      </c>
      <c r="AC230">
        <f t="shared" si="667"/>
        <v>-1</v>
      </c>
      <c r="AD230">
        <f t="shared" si="667"/>
        <v>-1</v>
      </c>
      <c r="AE230">
        <f t="shared" si="667"/>
        <v>-1</v>
      </c>
      <c r="AF230">
        <f t="shared" si="667"/>
        <v>-1</v>
      </c>
      <c r="AG230">
        <f t="shared" si="667"/>
        <v>-1</v>
      </c>
      <c r="AH230">
        <f t="shared" si="667"/>
        <v>-1</v>
      </c>
      <c r="AI230">
        <f t="shared" si="667"/>
        <v>-1</v>
      </c>
      <c r="AJ230">
        <f t="shared" si="667"/>
        <v>-1</v>
      </c>
      <c r="AK230">
        <f t="shared" si="667"/>
        <v>-1</v>
      </c>
      <c r="AL230">
        <f t="shared" si="667"/>
        <v>-1</v>
      </c>
      <c r="AM230">
        <f t="shared" si="667"/>
        <v>-1</v>
      </c>
      <c r="AN230">
        <f t="shared" si="667"/>
        <v>-1</v>
      </c>
      <c r="AO230">
        <f t="shared" si="667"/>
        <v>-1</v>
      </c>
      <c r="AP230">
        <f t="shared" si="667"/>
        <v>-1</v>
      </c>
      <c r="AQ230">
        <f t="shared" si="667"/>
        <v>-1</v>
      </c>
      <c r="AR230">
        <f t="shared" si="667"/>
        <v>-1</v>
      </c>
      <c r="AS230">
        <f t="shared" si="667"/>
        <v>-1</v>
      </c>
      <c r="AT230">
        <f t="shared" si="667"/>
        <v>-1</v>
      </c>
      <c r="AU230">
        <f t="shared" si="667"/>
        <v>-1</v>
      </c>
      <c r="AV230">
        <f t="shared" si="667"/>
        <v>-1</v>
      </c>
      <c r="AW230">
        <f t="shared" si="667"/>
        <v>-1</v>
      </c>
      <c r="AX230">
        <f t="shared" si="667"/>
        <v>-1</v>
      </c>
      <c r="AY230">
        <f t="shared" si="667"/>
        <v>-1</v>
      </c>
      <c r="AZ230">
        <f t="shared" si="667"/>
        <v>-1</v>
      </c>
      <c r="BA230">
        <f t="shared" si="667"/>
        <v>-1</v>
      </c>
      <c r="BB230">
        <f t="shared" si="667"/>
        <v>-1</v>
      </c>
      <c r="BC230">
        <f t="shared" si="667"/>
        <v>-1</v>
      </c>
      <c r="BD230">
        <f t="shared" si="667"/>
        <v>-1</v>
      </c>
      <c r="BE230">
        <f t="shared" si="667"/>
        <v>-1</v>
      </c>
      <c r="BF230">
        <f t="shared" si="667"/>
        <v>-1</v>
      </c>
      <c r="BG230">
        <f t="shared" si="667"/>
        <v>-1</v>
      </c>
      <c r="BH230">
        <f t="shared" si="667"/>
        <v>-1</v>
      </c>
      <c r="BI230">
        <f t="shared" si="667"/>
        <v>-1</v>
      </c>
      <c r="BJ230">
        <f t="shared" si="667"/>
        <v>-1</v>
      </c>
      <c r="BK230">
        <f t="shared" si="667"/>
        <v>-1</v>
      </c>
      <c r="BL230">
        <f t="shared" si="667"/>
        <v>-1</v>
      </c>
      <c r="BM230">
        <f t="shared" si="667"/>
        <v>-1</v>
      </c>
      <c r="BN230">
        <f t="shared" si="667"/>
        <v>-1</v>
      </c>
      <c r="BO230">
        <f t="shared" si="667"/>
        <v>-1</v>
      </c>
      <c r="BP230">
        <f t="shared" ref="BP230:EA230" si="668">IF(OR(BP229=-1,AND(IF(BP$3&lt;$B230,BP229+BP$6,IF(BP$3=$B230,1,""))&gt;$B$1,BP$3&lt;$B230)),-1,IF(BP$3&lt;$B230,BP229+BP$6,IF(BP$3=$B230,1,"")))</f>
        <v>-1</v>
      </c>
      <c r="BQ230">
        <f t="shared" si="668"/>
        <v>-1</v>
      </c>
      <c r="BR230">
        <f t="shared" si="668"/>
        <v>-1</v>
      </c>
      <c r="BS230">
        <f t="shared" si="668"/>
        <v>-1</v>
      </c>
      <c r="BT230">
        <f t="shared" si="668"/>
        <v>-1</v>
      </c>
      <c r="BU230">
        <f t="shared" si="668"/>
        <v>-1</v>
      </c>
      <c r="BV230">
        <f t="shared" si="668"/>
        <v>-1</v>
      </c>
      <c r="BW230">
        <f t="shared" si="668"/>
        <v>-1</v>
      </c>
      <c r="BX230">
        <f t="shared" si="668"/>
        <v>-1</v>
      </c>
      <c r="BY230">
        <f t="shared" si="668"/>
        <v>-1</v>
      </c>
      <c r="BZ230">
        <f t="shared" si="668"/>
        <v>-1</v>
      </c>
      <c r="CA230">
        <f t="shared" si="668"/>
        <v>-1</v>
      </c>
      <c r="CB230">
        <f t="shared" si="668"/>
        <v>-1</v>
      </c>
      <c r="CC230">
        <f t="shared" si="668"/>
        <v>-1</v>
      </c>
      <c r="CD230">
        <f t="shared" si="668"/>
        <v>-1</v>
      </c>
      <c r="CE230">
        <f t="shared" si="668"/>
        <v>-1</v>
      </c>
      <c r="CF230">
        <f t="shared" si="668"/>
        <v>-1</v>
      </c>
      <c r="CG230">
        <f t="shared" si="668"/>
        <v>-1</v>
      </c>
      <c r="CH230">
        <f t="shared" si="668"/>
        <v>-1</v>
      </c>
      <c r="CI230">
        <f t="shared" si="668"/>
        <v>-1</v>
      </c>
      <c r="CJ230">
        <f t="shared" si="668"/>
        <v>-1</v>
      </c>
      <c r="CK230">
        <f t="shared" si="668"/>
        <v>73.000000000000014</v>
      </c>
      <c r="CL230">
        <f t="shared" si="668"/>
        <v>69.400000000000048</v>
      </c>
      <c r="CM230">
        <f t="shared" si="668"/>
        <v>65.800000000000082</v>
      </c>
      <c r="CN230">
        <f t="shared" si="668"/>
        <v>62.200000000000102</v>
      </c>
      <c r="CO230">
        <f t="shared" si="668"/>
        <v>-1</v>
      </c>
      <c r="CP230">
        <f t="shared" si="668"/>
        <v>-1</v>
      </c>
      <c r="CQ230">
        <f t="shared" si="668"/>
        <v>-1</v>
      </c>
      <c r="CR230">
        <f t="shared" si="668"/>
        <v>-1</v>
      </c>
      <c r="CS230">
        <f t="shared" si="668"/>
        <v>-1</v>
      </c>
      <c r="CT230">
        <f t="shared" si="668"/>
        <v>-1</v>
      </c>
      <c r="CU230">
        <f t="shared" si="668"/>
        <v>-1</v>
      </c>
      <c r="CV230">
        <f t="shared" si="668"/>
        <v>-1</v>
      </c>
      <c r="CW230">
        <f t="shared" si="668"/>
        <v>-1</v>
      </c>
      <c r="CX230">
        <f t="shared" si="668"/>
        <v>-1</v>
      </c>
      <c r="CY230">
        <f t="shared" si="668"/>
        <v>-1</v>
      </c>
      <c r="CZ230">
        <f t="shared" si="668"/>
        <v>-1</v>
      </c>
      <c r="DA230">
        <f t="shared" si="668"/>
        <v>-1</v>
      </c>
      <c r="DB230">
        <f t="shared" si="668"/>
        <v>-1</v>
      </c>
      <c r="DC230">
        <f t="shared" si="668"/>
        <v>-1</v>
      </c>
      <c r="DD230">
        <f t="shared" si="668"/>
        <v>-1</v>
      </c>
      <c r="DE230">
        <f t="shared" si="668"/>
        <v>-1</v>
      </c>
      <c r="DF230">
        <f t="shared" si="668"/>
        <v>-1</v>
      </c>
      <c r="DG230">
        <f t="shared" si="668"/>
        <v>-1</v>
      </c>
      <c r="DH230">
        <f t="shared" si="668"/>
        <v>-1</v>
      </c>
      <c r="DI230">
        <f t="shared" si="668"/>
        <v>-1</v>
      </c>
      <c r="DJ230">
        <f t="shared" si="668"/>
        <v>-1</v>
      </c>
      <c r="DK230">
        <f t="shared" si="668"/>
        <v>-1</v>
      </c>
      <c r="DL230">
        <f t="shared" si="668"/>
        <v>-1</v>
      </c>
      <c r="DM230">
        <f t="shared" si="668"/>
        <v>-1</v>
      </c>
      <c r="DN230">
        <f t="shared" si="668"/>
        <v>-1</v>
      </c>
      <c r="DO230">
        <f t="shared" si="668"/>
        <v>-1</v>
      </c>
      <c r="DP230">
        <f t="shared" si="668"/>
        <v>-1</v>
      </c>
      <c r="DQ230">
        <f t="shared" si="668"/>
        <v>-1</v>
      </c>
      <c r="DR230">
        <f t="shared" si="668"/>
        <v>-1</v>
      </c>
      <c r="DS230">
        <f t="shared" si="668"/>
        <v>-1</v>
      </c>
      <c r="DT230">
        <f t="shared" si="668"/>
        <v>-1</v>
      </c>
      <c r="DU230">
        <f t="shared" si="668"/>
        <v>-1</v>
      </c>
      <c r="DV230">
        <f t="shared" si="668"/>
        <v>-1</v>
      </c>
      <c r="DW230">
        <f t="shared" si="668"/>
        <v>-1</v>
      </c>
      <c r="DX230">
        <f t="shared" si="668"/>
        <v>-1</v>
      </c>
      <c r="DY230">
        <f t="shared" si="668"/>
        <v>-1</v>
      </c>
      <c r="DZ230">
        <f t="shared" si="668"/>
        <v>-1</v>
      </c>
      <c r="EA230">
        <f t="shared" si="668"/>
        <v>-1</v>
      </c>
      <c r="EB230">
        <f t="shared" ref="EB230:EO230" si="669">IF(OR(EB229=-1,AND(IF(EB$3&lt;$B230,EB229+EB$6,IF(EB$3=$B230,1,""))&gt;$B$1,EB$3&lt;$B230)),-1,IF(EB$3&lt;$B230,EB229+EB$6,IF(EB$3=$B230,1,"")))</f>
        <v>-1</v>
      </c>
      <c r="EC230">
        <f t="shared" si="669"/>
        <v>-1</v>
      </c>
      <c r="ED230">
        <f t="shared" si="669"/>
        <v>-1</v>
      </c>
      <c r="EE230">
        <f t="shared" si="669"/>
        <v>-1</v>
      </c>
      <c r="EF230">
        <f t="shared" si="669"/>
        <v>-1</v>
      </c>
      <c r="EG230">
        <f t="shared" si="669"/>
        <v>-1</v>
      </c>
      <c r="EH230">
        <f t="shared" si="669"/>
        <v>-1</v>
      </c>
      <c r="EI230">
        <f t="shared" si="669"/>
        <v>-1</v>
      </c>
      <c r="EJ230">
        <f t="shared" si="669"/>
        <v>-1</v>
      </c>
      <c r="EK230">
        <f t="shared" si="669"/>
        <v>-1</v>
      </c>
      <c r="EL230">
        <f t="shared" si="669"/>
        <v>-1</v>
      </c>
      <c r="EM230">
        <f t="shared" si="669"/>
        <v>-1</v>
      </c>
      <c r="EN230">
        <f t="shared" si="669"/>
        <v>-1</v>
      </c>
      <c r="EO230">
        <f t="shared" si="669"/>
        <v>-1</v>
      </c>
    </row>
    <row r="231" spans="1:145" x14ac:dyDescent="0.15">
      <c r="A231" t="e">
        <f t="shared" si="579"/>
        <v>#N/A</v>
      </c>
      <c r="B231" s="218">
        <v>223</v>
      </c>
      <c r="C231">
        <f t="shared" si="579"/>
        <v>-1</v>
      </c>
      <c r="D231">
        <f t="shared" ref="D231:BO231" si="670">IF(OR(D230=-1,AND(IF(D$3&lt;$B231,D230+D$6,IF(D$3=$B231,1,""))&gt;$B$1,D$3&lt;$B231)),-1,IF(D$3&lt;$B231,D230+D$6,IF(D$3=$B231,1,"")))</f>
        <v>-1</v>
      </c>
      <c r="E231">
        <f t="shared" si="670"/>
        <v>-1</v>
      </c>
      <c r="F231">
        <f t="shared" si="670"/>
        <v>-1</v>
      </c>
      <c r="G231">
        <f t="shared" si="670"/>
        <v>-1</v>
      </c>
      <c r="H231">
        <f t="shared" si="670"/>
        <v>-1</v>
      </c>
      <c r="I231">
        <f t="shared" si="670"/>
        <v>-1</v>
      </c>
      <c r="J231">
        <f t="shared" si="670"/>
        <v>-1</v>
      </c>
      <c r="K231">
        <f t="shared" si="670"/>
        <v>-1</v>
      </c>
      <c r="L231">
        <f t="shared" si="670"/>
        <v>-1</v>
      </c>
      <c r="M231">
        <f t="shared" si="670"/>
        <v>-1</v>
      </c>
      <c r="N231">
        <f t="shared" si="670"/>
        <v>-1</v>
      </c>
      <c r="O231">
        <f t="shared" si="670"/>
        <v>-1</v>
      </c>
      <c r="P231">
        <f t="shared" si="670"/>
        <v>-1</v>
      </c>
      <c r="Q231">
        <f t="shared" si="670"/>
        <v>-1</v>
      </c>
      <c r="R231">
        <f t="shared" si="670"/>
        <v>-1</v>
      </c>
      <c r="S231">
        <f t="shared" si="670"/>
        <v>-1</v>
      </c>
      <c r="T231">
        <f t="shared" si="670"/>
        <v>-1</v>
      </c>
      <c r="U231">
        <f t="shared" si="670"/>
        <v>-1</v>
      </c>
      <c r="V231">
        <f t="shared" si="670"/>
        <v>-1</v>
      </c>
      <c r="W231">
        <f t="shared" si="670"/>
        <v>-1</v>
      </c>
      <c r="X231">
        <f t="shared" si="670"/>
        <v>-1</v>
      </c>
      <c r="Y231">
        <f t="shared" si="670"/>
        <v>-1</v>
      </c>
      <c r="Z231">
        <f t="shared" si="670"/>
        <v>-1</v>
      </c>
      <c r="AA231">
        <f t="shared" si="670"/>
        <v>-1</v>
      </c>
      <c r="AB231">
        <f t="shared" si="670"/>
        <v>-1</v>
      </c>
      <c r="AC231">
        <f t="shared" si="670"/>
        <v>-1</v>
      </c>
      <c r="AD231">
        <f t="shared" si="670"/>
        <v>-1</v>
      </c>
      <c r="AE231">
        <f t="shared" si="670"/>
        <v>-1</v>
      </c>
      <c r="AF231">
        <f t="shared" si="670"/>
        <v>-1</v>
      </c>
      <c r="AG231">
        <f t="shared" si="670"/>
        <v>-1</v>
      </c>
      <c r="AH231">
        <f t="shared" si="670"/>
        <v>-1</v>
      </c>
      <c r="AI231">
        <f t="shared" si="670"/>
        <v>-1</v>
      </c>
      <c r="AJ231">
        <f t="shared" si="670"/>
        <v>-1</v>
      </c>
      <c r="AK231">
        <f t="shared" si="670"/>
        <v>-1</v>
      </c>
      <c r="AL231">
        <f t="shared" si="670"/>
        <v>-1</v>
      </c>
      <c r="AM231">
        <f t="shared" si="670"/>
        <v>-1</v>
      </c>
      <c r="AN231">
        <f t="shared" si="670"/>
        <v>-1</v>
      </c>
      <c r="AO231">
        <f t="shared" si="670"/>
        <v>-1</v>
      </c>
      <c r="AP231">
        <f t="shared" si="670"/>
        <v>-1</v>
      </c>
      <c r="AQ231">
        <f t="shared" si="670"/>
        <v>-1</v>
      </c>
      <c r="AR231">
        <f t="shared" si="670"/>
        <v>-1</v>
      </c>
      <c r="AS231">
        <f t="shared" si="670"/>
        <v>-1</v>
      </c>
      <c r="AT231">
        <f t="shared" si="670"/>
        <v>-1</v>
      </c>
      <c r="AU231">
        <f t="shared" si="670"/>
        <v>-1</v>
      </c>
      <c r="AV231">
        <f t="shared" si="670"/>
        <v>-1</v>
      </c>
      <c r="AW231">
        <f t="shared" si="670"/>
        <v>-1</v>
      </c>
      <c r="AX231">
        <f t="shared" si="670"/>
        <v>-1</v>
      </c>
      <c r="AY231">
        <f t="shared" si="670"/>
        <v>-1</v>
      </c>
      <c r="AZ231">
        <f t="shared" si="670"/>
        <v>-1</v>
      </c>
      <c r="BA231">
        <f t="shared" si="670"/>
        <v>-1</v>
      </c>
      <c r="BB231">
        <f t="shared" si="670"/>
        <v>-1</v>
      </c>
      <c r="BC231">
        <f t="shared" si="670"/>
        <v>-1</v>
      </c>
      <c r="BD231">
        <f t="shared" si="670"/>
        <v>-1</v>
      </c>
      <c r="BE231">
        <f t="shared" si="670"/>
        <v>-1</v>
      </c>
      <c r="BF231">
        <f t="shared" si="670"/>
        <v>-1</v>
      </c>
      <c r="BG231">
        <f t="shared" si="670"/>
        <v>-1</v>
      </c>
      <c r="BH231">
        <f t="shared" si="670"/>
        <v>-1</v>
      </c>
      <c r="BI231">
        <f t="shared" si="670"/>
        <v>-1</v>
      </c>
      <c r="BJ231">
        <f t="shared" si="670"/>
        <v>-1</v>
      </c>
      <c r="BK231">
        <f t="shared" si="670"/>
        <v>-1</v>
      </c>
      <c r="BL231">
        <f t="shared" si="670"/>
        <v>-1</v>
      </c>
      <c r="BM231">
        <f t="shared" si="670"/>
        <v>-1</v>
      </c>
      <c r="BN231">
        <f t="shared" si="670"/>
        <v>-1</v>
      </c>
      <c r="BO231">
        <f t="shared" si="670"/>
        <v>-1</v>
      </c>
      <c r="BP231">
        <f t="shared" ref="BP231:EA231" si="671">IF(OR(BP230=-1,AND(IF(BP$3&lt;$B231,BP230+BP$6,IF(BP$3=$B231,1,""))&gt;$B$1,BP$3&lt;$B231)),-1,IF(BP$3&lt;$B231,BP230+BP$6,IF(BP$3=$B231,1,"")))</f>
        <v>-1</v>
      </c>
      <c r="BQ231">
        <f t="shared" si="671"/>
        <v>-1</v>
      </c>
      <c r="BR231">
        <f t="shared" si="671"/>
        <v>-1</v>
      </c>
      <c r="BS231">
        <f t="shared" si="671"/>
        <v>-1</v>
      </c>
      <c r="BT231">
        <f t="shared" si="671"/>
        <v>-1</v>
      </c>
      <c r="BU231">
        <f t="shared" si="671"/>
        <v>-1</v>
      </c>
      <c r="BV231">
        <f t="shared" si="671"/>
        <v>-1</v>
      </c>
      <c r="BW231">
        <f t="shared" si="671"/>
        <v>-1</v>
      </c>
      <c r="BX231">
        <f t="shared" si="671"/>
        <v>-1</v>
      </c>
      <c r="BY231">
        <f t="shared" si="671"/>
        <v>-1</v>
      </c>
      <c r="BZ231">
        <f t="shared" si="671"/>
        <v>-1</v>
      </c>
      <c r="CA231">
        <f t="shared" si="671"/>
        <v>-1</v>
      </c>
      <c r="CB231">
        <f t="shared" si="671"/>
        <v>-1</v>
      </c>
      <c r="CC231">
        <f t="shared" si="671"/>
        <v>-1</v>
      </c>
      <c r="CD231">
        <f t="shared" si="671"/>
        <v>-1</v>
      </c>
      <c r="CE231">
        <f t="shared" si="671"/>
        <v>-1</v>
      </c>
      <c r="CF231">
        <f t="shared" si="671"/>
        <v>-1</v>
      </c>
      <c r="CG231">
        <f t="shared" si="671"/>
        <v>-1</v>
      </c>
      <c r="CH231">
        <f t="shared" si="671"/>
        <v>-1</v>
      </c>
      <c r="CI231">
        <f t="shared" si="671"/>
        <v>-1</v>
      </c>
      <c r="CJ231">
        <f t="shared" si="671"/>
        <v>-1</v>
      </c>
      <c r="CK231">
        <f t="shared" si="671"/>
        <v>73.600000000000009</v>
      </c>
      <c r="CL231">
        <f t="shared" si="671"/>
        <v>70.000000000000043</v>
      </c>
      <c r="CM231">
        <f t="shared" si="671"/>
        <v>66.400000000000077</v>
      </c>
      <c r="CN231">
        <f t="shared" si="671"/>
        <v>62.800000000000104</v>
      </c>
      <c r="CO231">
        <f t="shared" si="671"/>
        <v>-1</v>
      </c>
      <c r="CP231">
        <f t="shared" si="671"/>
        <v>-1</v>
      </c>
      <c r="CQ231">
        <f t="shared" si="671"/>
        <v>-1</v>
      </c>
      <c r="CR231">
        <f t="shared" si="671"/>
        <v>-1</v>
      </c>
      <c r="CS231">
        <f t="shared" si="671"/>
        <v>-1</v>
      </c>
      <c r="CT231">
        <f t="shared" si="671"/>
        <v>-1</v>
      </c>
      <c r="CU231">
        <f t="shared" si="671"/>
        <v>-1</v>
      </c>
      <c r="CV231">
        <f t="shared" si="671"/>
        <v>-1</v>
      </c>
      <c r="CW231">
        <f t="shared" si="671"/>
        <v>-1</v>
      </c>
      <c r="CX231">
        <f t="shared" si="671"/>
        <v>-1</v>
      </c>
      <c r="CY231">
        <f t="shared" si="671"/>
        <v>-1</v>
      </c>
      <c r="CZ231">
        <f t="shared" si="671"/>
        <v>-1</v>
      </c>
      <c r="DA231">
        <f t="shared" si="671"/>
        <v>-1</v>
      </c>
      <c r="DB231">
        <f t="shared" si="671"/>
        <v>-1</v>
      </c>
      <c r="DC231">
        <f t="shared" si="671"/>
        <v>-1</v>
      </c>
      <c r="DD231">
        <f t="shared" si="671"/>
        <v>-1</v>
      </c>
      <c r="DE231">
        <f t="shared" si="671"/>
        <v>-1</v>
      </c>
      <c r="DF231">
        <f t="shared" si="671"/>
        <v>-1</v>
      </c>
      <c r="DG231">
        <f t="shared" si="671"/>
        <v>-1</v>
      </c>
      <c r="DH231">
        <f t="shared" si="671"/>
        <v>-1</v>
      </c>
      <c r="DI231">
        <f t="shared" si="671"/>
        <v>-1</v>
      </c>
      <c r="DJ231">
        <f t="shared" si="671"/>
        <v>-1</v>
      </c>
      <c r="DK231">
        <f t="shared" si="671"/>
        <v>-1</v>
      </c>
      <c r="DL231">
        <f t="shared" si="671"/>
        <v>-1</v>
      </c>
      <c r="DM231">
        <f t="shared" si="671"/>
        <v>-1</v>
      </c>
      <c r="DN231">
        <f t="shared" si="671"/>
        <v>-1</v>
      </c>
      <c r="DO231">
        <f t="shared" si="671"/>
        <v>-1</v>
      </c>
      <c r="DP231">
        <f t="shared" si="671"/>
        <v>-1</v>
      </c>
      <c r="DQ231">
        <f t="shared" si="671"/>
        <v>-1</v>
      </c>
      <c r="DR231">
        <f t="shared" si="671"/>
        <v>-1</v>
      </c>
      <c r="DS231">
        <f t="shared" si="671"/>
        <v>-1</v>
      </c>
      <c r="DT231">
        <f t="shared" si="671"/>
        <v>-1</v>
      </c>
      <c r="DU231">
        <f t="shared" si="671"/>
        <v>-1</v>
      </c>
      <c r="DV231">
        <f t="shared" si="671"/>
        <v>-1</v>
      </c>
      <c r="DW231">
        <f t="shared" si="671"/>
        <v>-1</v>
      </c>
      <c r="DX231">
        <f t="shared" si="671"/>
        <v>-1</v>
      </c>
      <c r="DY231">
        <f t="shared" si="671"/>
        <v>-1</v>
      </c>
      <c r="DZ231">
        <f t="shared" si="671"/>
        <v>-1</v>
      </c>
      <c r="EA231">
        <f t="shared" si="671"/>
        <v>-1</v>
      </c>
      <c r="EB231">
        <f t="shared" ref="EB231:EO231" si="672">IF(OR(EB230=-1,AND(IF(EB$3&lt;$B231,EB230+EB$6,IF(EB$3=$B231,1,""))&gt;$B$1,EB$3&lt;$B231)),-1,IF(EB$3&lt;$B231,EB230+EB$6,IF(EB$3=$B231,1,"")))</f>
        <v>-1</v>
      </c>
      <c r="EC231">
        <f t="shared" si="672"/>
        <v>-1</v>
      </c>
      <c r="ED231">
        <f t="shared" si="672"/>
        <v>-1</v>
      </c>
      <c r="EE231">
        <f t="shared" si="672"/>
        <v>-1</v>
      </c>
      <c r="EF231">
        <f t="shared" si="672"/>
        <v>-1</v>
      </c>
      <c r="EG231">
        <f t="shared" si="672"/>
        <v>-1</v>
      </c>
      <c r="EH231">
        <f t="shared" si="672"/>
        <v>-1</v>
      </c>
      <c r="EI231">
        <f t="shared" si="672"/>
        <v>-1</v>
      </c>
      <c r="EJ231">
        <f t="shared" si="672"/>
        <v>-1</v>
      </c>
      <c r="EK231">
        <f t="shared" si="672"/>
        <v>-1</v>
      </c>
      <c r="EL231">
        <f t="shared" si="672"/>
        <v>-1</v>
      </c>
      <c r="EM231">
        <f t="shared" si="672"/>
        <v>-1</v>
      </c>
      <c r="EN231">
        <f t="shared" si="672"/>
        <v>-1</v>
      </c>
      <c r="EO231">
        <f t="shared" si="672"/>
        <v>-1</v>
      </c>
    </row>
    <row r="232" spans="1:145" x14ac:dyDescent="0.15">
      <c r="A232" t="e">
        <f t="shared" si="579"/>
        <v>#N/A</v>
      </c>
      <c r="B232" s="218">
        <v>224</v>
      </c>
      <c r="C232">
        <f t="shared" si="579"/>
        <v>-1</v>
      </c>
      <c r="D232">
        <f t="shared" ref="D232:BO232" si="673">IF(OR(D231=-1,AND(IF(D$3&lt;$B232,D231+D$6,IF(D$3=$B232,1,""))&gt;$B$1,D$3&lt;$B232)),-1,IF(D$3&lt;$B232,D231+D$6,IF(D$3=$B232,1,"")))</f>
        <v>-1</v>
      </c>
      <c r="E232">
        <f t="shared" si="673"/>
        <v>-1</v>
      </c>
      <c r="F232">
        <f t="shared" si="673"/>
        <v>-1</v>
      </c>
      <c r="G232">
        <f t="shared" si="673"/>
        <v>-1</v>
      </c>
      <c r="H232">
        <f t="shared" si="673"/>
        <v>-1</v>
      </c>
      <c r="I232">
        <f t="shared" si="673"/>
        <v>-1</v>
      </c>
      <c r="J232">
        <f t="shared" si="673"/>
        <v>-1</v>
      </c>
      <c r="K232">
        <f t="shared" si="673"/>
        <v>-1</v>
      </c>
      <c r="L232">
        <f t="shared" si="673"/>
        <v>-1</v>
      </c>
      <c r="M232">
        <f t="shared" si="673"/>
        <v>-1</v>
      </c>
      <c r="N232">
        <f t="shared" si="673"/>
        <v>-1</v>
      </c>
      <c r="O232">
        <f t="shared" si="673"/>
        <v>-1</v>
      </c>
      <c r="P232">
        <f t="shared" si="673"/>
        <v>-1</v>
      </c>
      <c r="Q232">
        <f t="shared" si="673"/>
        <v>-1</v>
      </c>
      <c r="R232">
        <f t="shared" si="673"/>
        <v>-1</v>
      </c>
      <c r="S232">
        <f t="shared" si="673"/>
        <v>-1</v>
      </c>
      <c r="T232">
        <f t="shared" si="673"/>
        <v>-1</v>
      </c>
      <c r="U232">
        <f t="shared" si="673"/>
        <v>-1</v>
      </c>
      <c r="V232">
        <f t="shared" si="673"/>
        <v>-1</v>
      </c>
      <c r="W232">
        <f t="shared" si="673"/>
        <v>-1</v>
      </c>
      <c r="X232">
        <f t="shared" si="673"/>
        <v>-1</v>
      </c>
      <c r="Y232">
        <f t="shared" si="673"/>
        <v>-1</v>
      </c>
      <c r="Z232">
        <f t="shared" si="673"/>
        <v>-1</v>
      </c>
      <c r="AA232">
        <f t="shared" si="673"/>
        <v>-1</v>
      </c>
      <c r="AB232">
        <f t="shared" si="673"/>
        <v>-1</v>
      </c>
      <c r="AC232">
        <f t="shared" si="673"/>
        <v>-1</v>
      </c>
      <c r="AD232">
        <f t="shared" si="673"/>
        <v>-1</v>
      </c>
      <c r="AE232">
        <f t="shared" si="673"/>
        <v>-1</v>
      </c>
      <c r="AF232">
        <f t="shared" si="673"/>
        <v>-1</v>
      </c>
      <c r="AG232">
        <f t="shared" si="673"/>
        <v>-1</v>
      </c>
      <c r="AH232">
        <f t="shared" si="673"/>
        <v>-1</v>
      </c>
      <c r="AI232">
        <f t="shared" si="673"/>
        <v>-1</v>
      </c>
      <c r="AJ232">
        <f t="shared" si="673"/>
        <v>-1</v>
      </c>
      <c r="AK232">
        <f t="shared" si="673"/>
        <v>-1</v>
      </c>
      <c r="AL232">
        <f t="shared" si="673"/>
        <v>-1</v>
      </c>
      <c r="AM232">
        <f t="shared" si="673"/>
        <v>-1</v>
      </c>
      <c r="AN232">
        <f t="shared" si="673"/>
        <v>-1</v>
      </c>
      <c r="AO232">
        <f t="shared" si="673"/>
        <v>-1</v>
      </c>
      <c r="AP232">
        <f t="shared" si="673"/>
        <v>-1</v>
      </c>
      <c r="AQ232">
        <f t="shared" si="673"/>
        <v>-1</v>
      </c>
      <c r="AR232">
        <f t="shared" si="673"/>
        <v>-1</v>
      </c>
      <c r="AS232">
        <f t="shared" si="673"/>
        <v>-1</v>
      </c>
      <c r="AT232">
        <f t="shared" si="673"/>
        <v>-1</v>
      </c>
      <c r="AU232">
        <f t="shared" si="673"/>
        <v>-1</v>
      </c>
      <c r="AV232">
        <f t="shared" si="673"/>
        <v>-1</v>
      </c>
      <c r="AW232">
        <f t="shared" si="673"/>
        <v>-1</v>
      </c>
      <c r="AX232">
        <f t="shared" si="673"/>
        <v>-1</v>
      </c>
      <c r="AY232">
        <f t="shared" si="673"/>
        <v>-1</v>
      </c>
      <c r="AZ232">
        <f t="shared" si="673"/>
        <v>-1</v>
      </c>
      <c r="BA232">
        <f t="shared" si="673"/>
        <v>-1</v>
      </c>
      <c r="BB232">
        <f t="shared" si="673"/>
        <v>-1</v>
      </c>
      <c r="BC232">
        <f t="shared" si="673"/>
        <v>-1</v>
      </c>
      <c r="BD232">
        <f t="shared" si="673"/>
        <v>-1</v>
      </c>
      <c r="BE232">
        <f t="shared" si="673"/>
        <v>-1</v>
      </c>
      <c r="BF232">
        <f t="shared" si="673"/>
        <v>-1</v>
      </c>
      <c r="BG232">
        <f t="shared" si="673"/>
        <v>-1</v>
      </c>
      <c r="BH232">
        <f t="shared" si="673"/>
        <v>-1</v>
      </c>
      <c r="BI232">
        <f t="shared" si="673"/>
        <v>-1</v>
      </c>
      <c r="BJ232">
        <f t="shared" si="673"/>
        <v>-1</v>
      </c>
      <c r="BK232">
        <f t="shared" si="673"/>
        <v>-1</v>
      </c>
      <c r="BL232">
        <f t="shared" si="673"/>
        <v>-1</v>
      </c>
      <c r="BM232">
        <f t="shared" si="673"/>
        <v>-1</v>
      </c>
      <c r="BN232">
        <f t="shared" si="673"/>
        <v>-1</v>
      </c>
      <c r="BO232">
        <f t="shared" si="673"/>
        <v>-1</v>
      </c>
      <c r="BP232">
        <f t="shared" ref="BP232:EA232" si="674">IF(OR(BP231=-1,AND(IF(BP$3&lt;$B232,BP231+BP$6,IF(BP$3=$B232,1,""))&gt;$B$1,BP$3&lt;$B232)),-1,IF(BP$3&lt;$B232,BP231+BP$6,IF(BP$3=$B232,1,"")))</f>
        <v>-1</v>
      </c>
      <c r="BQ232">
        <f t="shared" si="674"/>
        <v>-1</v>
      </c>
      <c r="BR232">
        <f t="shared" si="674"/>
        <v>-1</v>
      </c>
      <c r="BS232">
        <f t="shared" si="674"/>
        <v>-1</v>
      </c>
      <c r="BT232">
        <f t="shared" si="674"/>
        <v>-1</v>
      </c>
      <c r="BU232">
        <f t="shared" si="674"/>
        <v>-1</v>
      </c>
      <c r="BV232">
        <f t="shared" si="674"/>
        <v>-1</v>
      </c>
      <c r="BW232">
        <f t="shared" si="674"/>
        <v>-1</v>
      </c>
      <c r="BX232">
        <f t="shared" si="674"/>
        <v>-1</v>
      </c>
      <c r="BY232">
        <f t="shared" si="674"/>
        <v>-1</v>
      </c>
      <c r="BZ232">
        <f t="shared" si="674"/>
        <v>-1</v>
      </c>
      <c r="CA232">
        <f t="shared" si="674"/>
        <v>-1</v>
      </c>
      <c r="CB232">
        <f t="shared" si="674"/>
        <v>-1</v>
      </c>
      <c r="CC232">
        <f t="shared" si="674"/>
        <v>-1</v>
      </c>
      <c r="CD232">
        <f t="shared" si="674"/>
        <v>-1</v>
      </c>
      <c r="CE232">
        <f t="shared" si="674"/>
        <v>-1</v>
      </c>
      <c r="CF232">
        <f t="shared" si="674"/>
        <v>-1</v>
      </c>
      <c r="CG232">
        <f t="shared" si="674"/>
        <v>-1</v>
      </c>
      <c r="CH232">
        <f t="shared" si="674"/>
        <v>-1</v>
      </c>
      <c r="CI232">
        <f t="shared" si="674"/>
        <v>-1</v>
      </c>
      <c r="CJ232">
        <f t="shared" si="674"/>
        <v>-1</v>
      </c>
      <c r="CK232">
        <f t="shared" si="674"/>
        <v>74.2</v>
      </c>
      <c r="CL232">
        <f t="shared" si="674"/>
        <v>70.600000000000037</v>
      </c>
      <c r="CM232">
        <f t="shared" si="674"/>
        <v>67.000000000000071</v>
      </c>
      <c r="CN232">
        <f t="shared" si="674"/>
        <v>63.400000000000105</v>
      </c>
      <c r="CO232">
        <f t="shared" si="674"/>
        <v>-1</v>
      </c>
      <c r="CP232">
        <f t="shared" si="674"/>
        <v>-1</v>
      </c>
      <c r="CQ232">
        <f t="shared" si="674"/>
        <v>-1</v>
      </c>
      <c r="CR232">
        <f t="shared" si="674"/>
        <v>-1</v>
      </c>
      <c r="CS232">
        <f t="shared" si="674"/>
        <v>-1</v>
      </c>
      <c r="CT232">
        <f t="shared" si="674"/>
        <v>-1</v>
      </c>
      <c r="CU232">
        <f t="shared" si="674"/>
        <v>-1</v>
      </c>
      <c r="CV232">
        <f t="shared" si="674"/>
        <v>-1</v>
      </c>
      <c r="CW232">
        <f t="shared" si="674"/>
        <v>-1</v>
      </c>
      <c r="CX232">
        <f t="shared" si="674"/>
        <v>-1</v>
      </c>
      <c r="CY232">
        <f t="shared" si="674"/>
        <v>-1</v>
      </c>
      <c r="CZ232">
        <f t="shared" si="674"/>
        <v>-1</v>
      </c>
      <c r="DA232">
        <f t="shared" si="674"/>
        <v>-1</v>
      </c>
      <c r="DB232">
        <f t="shared" si="674"/>
        <v>-1</v>
      </c>
      <c r="DC232">
        <f t="shared" si="674"/>
        <v>-1</v>
      </c>
      <c r="DD232">
        <f t="shared" si="674"/>
        <v>-1</v>
      </c>
      <c r="DE232">
        <f t="shared" si="674"/>
        <v>-1</v>
      </c>
      <c r="DF232">
        <f t="shared" si="674"/>
        <v>-1</v>
      </c>
      <c r="DG232">
        <f t="shared" si="674"/>
        <v>-1</v>
      </c>
      <c r="DH232">
        <f t="shared" si="674"/>
        <v>-1</v>
      </c>
      <c r="DI232">
        <f t="shared" si="674"/>
        <v>-1</v>
      </c>
      <c r="DJ232">
        <f t="shared" si="674"/>
        <v>-1</v>
      </c>
      <c r="DK232">
        <f t="shared" si="674"/>
        <v>-1</v>
      </c>
      <c r="DL232">
        <f t="shared" si="674"/>
        <v>-1</v>
      </c>
      <c r="DM232">
        <f t="shared" si="674"/>
        <v>-1</v>
      </c>
      <c r="DN232">
        <f t="shared" si="674"/>
        <v>-1</v>
      </c>
      <c r="DO232">
        <f t="shared" si="674"/>
        <v>-1</v>
      </c>
      <c r="DP232">
        <f t="shared" si="674"/>
        <v>-1</v>
      </c>
      <c r="DQ232">
        <f t="shared" si="674"/>
        <v>-1</v>
      </c>
      <c r="DR232">
        <f t="shared" si="674"/>
        <v>-1</v>
      </c>
      <c r="DS232">
        <f t="shared" si="674"/>
        <v>-1</v>
      </c>
      <c r="DT232">
        <f t="shared" si="674"/>
        <v>-1</v>
      </c>
      <c r="DU232">
        <f t="shared" si="674"/>
        <v>-1</v>
      </c>
      <c r="DV232">
        <f t="shared" si="674"/>
        <v>-1</v>
      </c>
      <c r="DW232">
        <f t="shared" si="674"/>
        <v>-1</v>
      </c>
      <c r="DX232">
        <f t="shared" si="674"/>
        <v>-1</v>
      </c>
      <c r="DY232">
        <f t="shared" si="674"/>
        <v>-1</v>
      </c>
      <c r="DZ232">
        <f t="shared" si="674"/>
        <v>-1</v>
      </c>
      <c r="EA232">
        <f t="shared" si="674"/>
        <v>-1</v>
      </c>
      <c r="EB232">
        <f t="shared" ref="EB232:EO232" si="675">IF(OR(EB231=-1,AND(IF(EB$3&lt;$B232,EB231+EB$6,IF(EB$3=$B232,1,""))&gt;$B$1,EB$3&lt;$B232)),-1,IF(EB$3&lt;$B232,EB231+EB$6,IF(EB$3=$B232,1,"")))</f>
        <v>-1</v>
      </c>
      <c r="EC232">
        <f t="shared" si="675"/>
        <v>-1</v>
      </c>
      <c r="ED232">
        <f t="shared" si="675"/>
        <v>-1</v>
      </c>
      <c r="EE232">
        <f t="shared" si="675"/>
        <v>-1</v>
      </c>
      <c r="EF232">
        <f t="shared" si="675"/>
        <v>-1</v>
      </c>
      <c r="EG232">
        <f t="shared" si="675"/>
        <v>-1</v>
      </c>
      <c r="EH232">
        <f t="shared" si="675"/>
        <v>-1</v>
      </c>
      <c r="EI232">
        <f t="shared" si="675"/>
        <v>-1</v>
      </c>
      <c r="EJ232">
        <f t="shared" si="675"/>
        <v>-1</v>
      </c>
      <c r="EK232">
        <f t="shared" si="675"/>
        <v>-1</v>
      </c>
      <c r="EL232">
        <f t="shared" si="675"/>
        <v>-1</v>
      </c>
      <c r="EM232">
        <f t="shared" si="675"/>
        <v>-1</v>
      </c>
      <c r="EN232">
        <f t="shared" si="675"/>
        <v>-1</v>
      </c>
      <c r="EO232">
        <f t="shared" si="675"/>
        <v>-1</v>
      </c>
    </row>
    <row r="233" spans="1:145" x14ac:dyDescent="0.15">
      <c r="A233" t="e">
        <f t="shared" si="579"/>
        <v>#N/A</v>
      </c>
      <c r="B233" s="218">
        <v>225</v>
      </c>
      <c r="C233">
        <f t="shared" si="579"/>
        <v>-1</v>
      </c>
      <c r="D233">
        <f t="shared" ref="D233:BO233" si="676">IF(OR(D232=-1,AND(IF(D$3&lt;$B233,D232+D$6,IF(D$3=$B233,1,""))&gt;$B$1,D$3&lt;$B233)),-1,IF(D$3&lt;$B233,D232+D$6,IF(D$3=$B233,1,"")))</f>
        <v>-1</v>
      </c>
      <c r="E233">
        <f t="shared" si="676"/>
        <v>-1</v>
      </c>
      <c r="F233">
        <f t="shared" si="676"/>
        <v>-1</v>
      </c>
      <c r="G233">
        <f t="shared" si="676"/>
        <v>-1</v>
      </c>
      <c r="H233">
        <f t="shared" si="676"/>
        <v>-1</v>
      </c>
      <c r="I233">
        <f t="shared" si="676"/>
        <v>-1</v>
      </c>
      <c r="J233">
        <f t="shared" si="676"/>
        <v>-1</v>
      </c>
      <c r="K233">
        <f t="shared" si="676"/>
        <v>-1</v>
      </c>
      <c r="L233">
        <f t="shared" si="676"/>
        <v>-1</v>
      </c>
      <c r="M233">
        <f t="shared" si="676"/>
        <v>-1</v>
      </c>
      <c r="N233">
        <f t="shared" si="676"/>
        <v>-1</v>
      </c>
      <c r="O233">
        <f t="shared" si="676"/>
        <v>-1</v>
      </c>
      <c r="P233">
        <f t="shared" si="676"/>
        <v>-1</v>
      </c>
      <c r="Q233">
        <f t="shared" si="676"/>
        <v>-1</v>
      </c>
      <c r="R233">
        <f t="shared" si="676"/>
        <v>-1</v>
      </c>
      <c r="S233">
        <f t="shared" si="676"/>
        <v>-1</v>
      </c>
      <c r="T233">
        <f t="shared" si="676"/>
        <v>-1</v>
      </c>
      <c r="U233">
        <f t="shared" si="676"/>
        <v>-1</v>
      </c>
      <c r="V233">
        <f t="shared" si="676"/>
        <v>-1</v>
      </c>
      <c r="W233">
        <f t="shared" si="676"/>
        <v>-1</v>
      </c>
      <c r="X233">
        <f t="shared" si="676"/>
        <v>-1</v>
      </c>
      <c r="Y233">
        <f t="shared" si="676"/>
        <v>-1</v>
      </c>
      <c r="Z233">
        <f t="shared" si="676"/>
        <v>-1</v>
      </c>
      <c r="AA233">
        <f t="shared" si="676"/>
        <v>-1</v>
      </c>
      <c r="AB233">
        <f t="shared" si="676"/>
        <v>-1</v>
      </c>
      <c r="AC233">
        <f t="shared" si="676"/>
        <v>-1</v>
      </c>
      <c r="AD233">
        <f t="shared" si="676"/>
        <v>-1</v>
      </c>
      <c r="AE233">
        <f t="shared" si="676"/>
        <v>-1</v>
      </c>
      <c r="AF233">
        <f t="shared" si="676"/>
        <v>-1</v>
      </c>
      <c r="AG233">
        <f t="shared" si="676"/>
        <v>-1</v>
      </c>
      <c r="AH233">
        <f t="shared" si="676"/>
        <v>-1</v>
      </c>
      <c r="AI233">
        <f t="shared" si="676"/>
        <v>-1</v>
      </c>
      <c r="AJ233">
        <f t="shared" si="676"/>
        <v>-1</v>
      </c>
      <c r="AK233">
        <f t="shared" si="676"/>
        <v>-1</v>
      </c>
      <c r="AL233">
        <f t="shared" si="676"/>
        <v>-1</v>
      </c>
      <c r="AM233">
        <f t="shared" si="676"/>
        <v>-1</v>
      </c>
      <c r="AN233">
        <f t="shared" si="676"/>
        <v>-1</v>
      </c>
      <c r="AO233">
        <f t="shared" si="676"/>
        <v>-1</v>
      </c>
      <c r="AP233">
        <f t="shared" si="676"/>
        <v>-1</v>
      </c>
      <c r="AQ233">
        <f t="shared" si="676"/>
        <v>-1</v>
      </c>
      <c r="AR233">
        <f t="shared" si="676"/>
        <v>-1</v>
      </c>
      <c r="AS233">
        <f t="shared" si="676"/>
        <v>-1</v>
      </c>
      <c r="AT233">
        <f t="shared" si="676"/>
        <v>-1</v>
      </c>
      <c r="AU233">
        <f t="shared" si="676"/>
        <v>-1</v>
      </c>
      <c r="AV233">
        <f t="shared" si="676"/>
        <v>-1</v>
      </c>
      <c r="AW233">
        <f t="shared" si="676"/>
        <v>-1</v>
      </c>
      <c r="AX233">
        <f t="shared" si="676"/>
        <v>-1</v>
      </c>
      <c r="AY233">
        <f t="shared" si="676"/>
        <v>-1</v>
      </c>
      <c r="AZ233">
        <f t="shared" si="676"/>
        <v>-1</v>
      </c>
      <c r="BA233">
        <f t="shared" si="676"/>
        <v>-1</v>
      </c>
      <c r="BB233">
        <f t="shared" si="676"/>
        <v>-1</v>
      </c>
      <c r="BC233">
        <f t="shared" si="676"/>
        <v>-1</v>
      </c>
      <c r="BD233">
        <f t="shared" si="676"/>
        <v>-1</v>
      </c>
      <c r="BE233">
        <f t="shared" si="676"/>
        <v>-1</v>
      </c>
      <c r="BF233">
        <f t="shared" si="676"/>
        <v>-1</v>
      </c>
      <c r="BG233">
        <f t="shared" si="676"/>
        <v>-1</v>
      </c>
      <c r="BH233">
        <f t="shared" si="676"/>
        <v>-1</v>
      </c>
      <c r="BI233">
        <f t="shared" si="676"/>
        <v>-1</v>
      </c>
      <c r="BJ233">
        <f t="shared" si="676"/>
        <v>-1</v>
      </c>
      <c r="BK233">
        <f t="shared" si="676"/>
        <v>-1</v>
      </c>
      <c r="BL233">
        <f t="shared" si="676"/>
        <v>-1</v>
      </c>
      <c r="BM233">
        <f t="shared" si="676"/>
        <v>-1</v>
      </c>
      <c r="BN233">
        <f t="shared" si="676"/>
        <v>-1</v>
      </c>
      <c r="BO233">
        <f t="shared" si="676"/>
        <v>-1</v>
      </c>
      <c r="BP233">
        <f t="shared" ref="BP233:EA233" si="677">IF(OR(BP232=-1,AND(IF(BP$3&lt;$B233,BP232+BP$6,IF(BP$3=$B233,1,""))&gt;$B$1,BP$3&lt;$B233)),-1,IF(BP$3&lt;$B233,BP232+BP$6,IF(BP$3=$B233,1,"")))</f>
        <v>-1</v>
      </c>
      <c r="BQ233">
        <f t="shared" si="677"/>
        <v>-1</v>
      </c>
      <c r="BR233">
        <f t="shared" si="677"/>
        <v>-1</v>
      </c>
      <c r="BS233">
        <f t="shared" si="677"/>
        <v>-1</v>
      </c>
      <c r="BT233">
        <f t="shared" si="677"/>
        <v>-1</v>
      </c>
      <c r="BU233">
        <f t="shared" si="677"/>
        <v>-1</v>
      </c>
      <c r="BV233">
        <f t="shared" si="677"/>
        <v>-1</v>
      </c>
      <c r="BW233">
        <f t="shared" si="677"/>
        <v>-1</v>
      </c>
      <c r="BX233">
        <f t="shared" si="677"/>
        <v>-1</v>
      </c>
      <c r="BY233">
        <f t="shared" si="677"/>
        <v>-1</v>
      </c>
      <c r="BZ233">
        <f t="shared" si="677"/>
        <v>-1</v>
      </c>
      <c r="CA233">
        <f t="shared" si="677"/>
        <v>-1</v>
      </c>
      <c r="CB233">
        <f t="shared" si="677"/>
        <v>-1</v>
      </c>
      <c r="CC233">
        <f t="shared" si="677"/>
        <v>-1</v>
      </c>
      <c r="CD233">
        <f t="shared" si="677"/>
        <v>-1</v>
      </c>
      <c r="CE233">
        <f t="shared" si="677"/>
        <v>-1</v>
      </c>
      <c r="CF233">
        <f t="shared" si="677"/>
        <v>-1</v>
      </c>
      <c r="CG233">
        <f t="shared" si="677"/>
        <v>-1</v>
      </c>
      <c r="CH233">
        <f t="shared" si="677"/>
        <v>-1</v>
      </c>
      <c r="CI233">
        <f t="shared" si="677"/>
        <v>-1</v>
      </c>
      <c r="CJ233">
        <f t="shared" si="677"/>
        <v>-1</v>
      </c>
      <c r="CK233">
        <f t="shared" si="677"/>
        <v>74.8</v>
      </c>
      <c r="CL233">
        <f t="shared" si="677"/>
        <v>71.200000000000031</v>
      </c>
      <c r="CM233">
        <f t="shared" si="677"/>
        <v>67.600000000000065</v>
      </c>
      <c r="CN233">
        <f t="shared" si="677"/>
        <v>64.000000000000099</v>
      </c>
      <c r="CO233">
        <f t="shared" si="677"/>
        <v>-1</v>
      </c>
      <c r="CP233">
        <f t="shared" si="677"/>
        <v>-1</v>
      </c>
      <c r="CQ233">
        <f t="shared" si="677"/>
        <v>-1</v>
      </c>
      <c r="CR233">
        <f t="shared" si="677"/>
        <v>-1</v>
      </c>
      <c r="CS233">
        <f t="shared" si="677"/>
        <v>-1</v>
      </c>
      <c r="CT233">
        <f t="shared" si="677"/>
        <v>-1</v>
      </c>
      <c r="CU233">
        <f t="shared" si="677"/>
        <v>-1</v>
      </c>
      <c r="CV233">
        <f t="shared" si="677"/>
        <v>-1</v>
      </c>
      <c r="CW233">
        <f t="shared" si="677"/>
        <v>-1</v>
      </c>
      <c r="CX233">
        <f t="shared" si="677"/>
        <v>-1</v>
      </c>
      <c r="CY233">
        <f t="shared" si="677"/>
        <v>-1</v>
      </c>
      <c r="CZ233">
        <f t="shared" si="677"/>
        <v>-1</v>
      </c>
      <c r="DA233">
        <f t="shared" si="677"/>
        <v>-1</v>
      </c>
      <c r="DB233">
        <f t="shared" si="677"/>
        <v>-1</v>
      </c>
      <c r="DC233">
        <f t="shared" si="677"/>
        <v>-1</v>
      </c>
      <c r="DD233">
        <f t="shared" si="677"/>
        <v>-1</v>
      </c>
      <c r="DE233">
        <f t="shared" si="677"/>
        <v>-1</v>
      </c>
      <c r="DF233">
        <f t="shared" si="677"/>
        <v>-1</v>
      </c>
      <c r="DG233">
        <f t="shared" si="677"/>
        <v>-1</v>
      </c>
      <c r="DH233">
        <f t="shared" si="677"/>
        <v>-1</v>
      </c>
      <c r="DI233">
        <f t="shared" si="677"/>
        <v>-1</v>
      </c>
      <c r="DJ233">
        <f t="shared" si="677"/>
        <v>-1</v>
      </c>
      <c r="DK233">
        <f t="shared" si="677"/>
        <v>-1</v>
      </c>
      <c r="DL233">
        <f t="shared" si="677"/>
        <v>-1</v>
      </c>
      <c r="DM233">
        <f t="shared" si="677"/>
        <v>-1</v>
      </c>
      <c r="DN233">
        <f t="shared" si="677"/>
        <v>-1</v>
      </c>
      <c r="DO233">
        <f t="shared" si="677"/>
        <v>-1</v>
      </c>
      <c r="DP233">
        <f t="shared" si="677"/>
        <v>-1</v>
      </c>
      <c r="DQ233">
        <f t="shared" si="677"/>
        <v>-1</v>
      </c>
      <c r="DR233">
        <f t="shared" si="677"/>
        <v>-1</v>
      </c>
      <c r="DS233">
        <f t="shared" si="677"/>
        <v>-1</v>
      </c>
      <c r="DT233">
        <f t="shared" si="677"/>
        <v>-1</v>
      </c>
      <c r="DU233">
        <f t="shared" si="677"/>
        <v>-1</v>
      </c>
      <c r="DV233">
        <f t="shared" si="677"/>
        <v>-1</v>
      </c>
      <c r="DW233">
        <f t="shared" si="677"/>
        <v>-1</v>
      </c>
      <c r="DX233">
        <f t="shared" si="677"/>
        <v>-1</v>
      </c>
      <c r="DY233">
        <f t="shared" si="677"/>
        <v>-1</v>
      </c>
      <c r="DZ233">
        <f t="shared" si="677"/>
        <v>-1</v>
      </c>
      <c r="EA233">
        <f t="shared" si="677"/>
        <v>-1</v>
      </c>
      <c r="EB233">
        <f t="shared" ref="EB233:EO233" si="678">IF(OR(EB232=-1,AND(IF(EB$3&lt;$B233,EB232+EB$6,IF(EB$3=$B233,1,""))&gt;$B$1,EB$3&lt;$B233)),-1,IF(EB$3&lt;$B233,EB232+EB$6,IF(EB$3=$B233,1,"")))</f>
        <v>-1</v>
      </c>
      <c r="EC233">
        <f t="shared" si="678"/>
        <v>-1</v>
      </c>
      <c r="ED233">
        <f t="shared" si="678"/>
        <v>-1</v>
      </c>
      <c r="EE233">
        <f t="shared" si="678"/>
        <v>-1</v>
      </c>
      <c r="EF233">
        <f t="shared" si="678"/>
        <v>-1</v>
      </c>
      <c r="EG233">
        <f t="shared" si="678"/>
        <v>-1</v>
      </c>
      <c r="EH233">
        <f t="shared" si="678"/>
        <v>-1</v>
      </c>
      <c r="EI233">
        <f t="shared" si="678"/>
        <v>-1</v>
      </c>
      <c r="EJ233">
        <f t="shared" si="678"/>
        <v>-1</v>
      </c>
      <c r="EK233">
        <f t="shared" si="678"/>
        <v>-1</v>
      </c>
      <c r="EL233">
        <f t="shared" si="678"/>
        <v>-1</v>
      </c>
      <c r="EM233">
        <f t="shared" si="678"/>
        <v>-1</v>
      </c>
      <c r="EN233">
        <f t="shared" si="678"/>
        <v>-1</v>
      </c>
      <c r="EO233">
        <f t="shared" si="678"/>
        <v>-1</v>
      </c>
    </row>
    <row r="234" spans="1:145" x14ac:dyDescent="0.15">
      <c r="A234" t="e">
        <f t="shared" si="579"/>
        <v>#N/A</v>
      </c>
      <c r="B234" s="218">
        <v>226</v>
      </c>
      <c r="C234">
        <f t="shared" si="579"/>
        <v>-1</v>
      </c>
      <c r="D234">
        <f t="shared" ref="D234:BO234" si="679">IF(OR(D233=-1,AND(IF(D$3&lt;$B234,D233+D$6,IF(D$3=$B234,1,""))&gt;$B$1,D$3&lt;$B234)),-1,IF(D$3&lt;$B234,D233+D$6,IF(D$3=$B234,1,"")))</f>
        <v>-1</v>
      </c>
      <c r="E234">
        <f t="shared" si="679"/>
        <v>-1</v>
      </c>
      <c r="F234">
        <f t="shared" si="679"/>
        <v>-1</v>
      </c>
      <c r="G234">
        <f t="shared" si="679"/>
        <v>-1</v>
      </c>
      <c r="H234">
        <f t="shared" si="679"/>
        <v>-1</v>
      </c>
      <c r="I234">
        <f t="shared" si="679"/>
        <v>-1</v>
      </c>
      <c r="J234">
        <f t="shared" si="679"/>
        <v>-1</v>
      </c>
      <c r="K234">
        <f t="shared" si="679"/>
        <v>-1</v>
      </c>
      <c r="L234">
        <f t="shared" si="679"/>
        <v>-1</v>
      </c>
      <c r="M234">
        <f t="shared" si="679"/>
        <v>-1</v>
      </c>
      <c r="N234">
        <f t="shared" si="679"/>
        <v>-1</v>
      </c>
      <c r="O234">
        <f t="shared" si="679"/>
        <v>-1</v>
      </c>
      <c r="P234">
        <f t="shared" si="679"/>
        <v>-1</v>
      </c>
      <c r="Q234">
        <f t="shared" si="679"/>
        <v>-1</v>
      </c>
      <c r="R234">
        <f t="shared" si="679"/>
        <v>-1</v>
      </c>
      <c r="S234">
        <f t="shared" si="679"/>
        <v>-1</v>
      </c>
      <c r="T234">
        <f t="shared" si="679"/>
        <v>-1</v>
      </c>
      <c r="U234">
        <f t="shared" si="679"/>
        <v>-1</v>
      </c>
      <c r="V234">
        <f t="shared" si="679"/>
        <v>-1</v>
      </c>
      <c r="W234">
        <f t="shared" si="679"/>
        <v>-1</v>
      </c>
      <c r="X234">
        <f t="shared" si="679"/>
        <v>-1</v>
      </c>
      <c r="Y234">
        <f t="shared" si="679"/>
        <v>-1</v>
      </c>
      <c r="Z234">
        <f t="shared" si="679"/>
        <v>-1</v>
      </c>
      <c r="AA234">
        <f t="shared" si="679"/>
        <v>-1</v>
      </c>
      <c r="AB234">
        <f t="shared" si="679"/>
        <v>-1</v>
      </c>
      <c r="AC234">
        <f t="shared" si="679"/>
        <v>-1</v>
      </c>
      <c r="AD234">
        <f t="shared" si="679"/>
        <v>-1</v>
      </c>
      <c r="AE234">
        <f t="shared" si="679"/>
        <v>-1</v>
      </c>
      <c r="AF234">
        <f t="shared" si="679"/>
        <v>-1</v>
      </c>
      <c r="AG234">
        <f t="shared" si="679"/>
        <v>-1</v>
      </c>
      <c r="AH234">
        <f t="shared" si="679"/>
        <v>-1</v>
      </c>
      <c r="AI234">
        <f t="shared" si="679"/>
        <v>-1</v>
      </c>
      <c r="AJ234">
        <f t="shared" si="679"/>
        <v>-1</v>
      </c>
      <c r="AK234">
        <f t="shared" si="679"/>
        <v>-1</v>
      </c>
      <c r="AL234">
        <f t="shared" si="679"/>
        <v>-1</v>
      </c>
      <c r="AM234">
        <f t="shared" si="679"/>
        <v>-1</v>
      </c>
      <c r="AN234">
        <f t="shared" si="679"/>
        <v>-1</v>
      </c>
      <c r="AO234">
        <f t="shared" si="679"/>
        <v>-1</v>
      </c>
      <c r="AP234">
        <f t="shared" si="679"/>
        <v>-1</v>
      </c>
      <c r="AQ234">
        <f t="shared" si="679"/>
        <v>-1</v>
      </c>
      <c r="AR234">
        <f t="shared" si="679"/>
        <v>-1</v>
      </c>
      <c r="AS234">
        <f t="shared" si="679"/>
        <v>-1</v>
      </c>
      <c r="AT234">
        <f t="shared" si="679"/>
        <v>-1</v>
      </c>
      <c r="AU234">
        <f t="shared" si="679"/>
        <v>-1</v>
      </c>
      <c r="AV234">
        <f t="shared" si="679"/>
        <v>-1</v>
      </c>
      <c r="AW234">
        <f t="shared" si="679"/>
        <v>-1</v>
      </c>
      <c r="AX234">
        <f t="shared" si="679"/>
        <v>-1</v>
      </c>
      <c r="AY234">
        <f t="shared" si="679"/>
        <v>-1</v>
      </c>
      <c r="AZ234">
        <f t="shared" si="679"/>
        <v>-1</v>
      </c>
      <c r="BA234">
        <f t="shared" si="679"/>
        <v>-1</v>
      </c>
      <c r="BB234">
        <f t="shared" si="679"/>
        <v>-1</v>
      </c>
      <c r="BC234">
        <f t="shared" si="679"/>
        <v>-1</v>
      </c>
      <c r="BD234">
        <f t="shared" si="679"/>
        <v>-1</v>
      </c>
      <c r="BE234">
        <f t="shared" si="679"/>
        <v>-1</v>
      </c>
      <c r="BF234">
        <f t="shared" si="679"/>
        <v>-1</v>
      </c>
      <c r="BG234">
        <f t="shared" si="679"/>
        <v>-1</v>
      </c>
      <c r="BH234">
        <f t="shared" si="679"/>
        <v>-1</v>
      </c>
      <c r="BI234">
        <f t="shared" si="679"/>
        <v>-1</v>
      </c>
      <c r="BJ234">
        <f t="shared" si="679"/>
        <v>-1</v>
      </c>
      <c r="BK234">
        <f t="shared" si="679"/>
        <v>-1</v>
      </c>
      <c r="BL234">
        <f t="shared" si="679"/>
        <v>-1</v>
      </c>
      <c r="BM234">
        <f t="shared" si="679"/>
        <v>-1</v>
      </c>
      <c r="BN234">
        <f t="shared" si="679"/>
        <v>-1</v>
      </c>
      <c r="BO234">
        <f t="shared" si="679"/>
        <v>-1</v>
      </c>
      <c r="BP234">
        <f t="shared" ref="BP234:EA234" si="680">IF(OR(BP233=-1,AND(IF(BP$3&lt;$B234,BP233+BP$6,IF(BP$3=$B234,1,""))&gt;$B$1,BP$3&lt;$B234)),-1,IF(BP$3&lt;$B234,BP233+BP$6,IF(BP$3=$B234,1,"")))</f>
        <v>-1</v>
      </c>
      <c r="BQ234">
        <f t="shared" si="680"/>
        <v>-1</v>
      </c>
      <c r="BR234">
        <f t="shared" si="680"/>
        <v>-1</v>
      </c>
      <c r="BS234">
        <f t="shared" si="680"/>
        <v>-1</v>
      </c>
      <c r="BT234">
        <f t="shared" si="680"/>
        <v>-1</v>
      </c>
      <c r="BU234">
        <f t="shared" si="680"/>
        <v>-1</v>
      </c>
      <c r="BV234">
        <f t="shared" si="680"/>
        <v>-1</v>
      </c>
      <c r="BW234">
        <f t="shared" si="680"/>
        <v>-1</v>
      </c>
      <c r="BX234">
        <f t="shared" si="680"/>
        <v>-1</v>
      </c>
      <c r="BY234">
        <f t="shared" si="680"/>
        <v>-1</v>
      </c>
      <c r="BZ234">
        <f t="shared" si="680"/>
        <v>-1</v>
      </c>
      <c r="CA234">
        <f t="shared" si="680"/>
        <v>-1</v>
      </c>
      <c r="CB234">
        <f t="shared" si="680"/>
        <v>-1</v>
      </c>
      <c r="CC234">
        <f t="shared" si="680"/>
        <v>-1</v>
      </c>
      <c r="CD234">
        <f t="shared" si="680"/>
        <v>-1</v>
      </c>
      <c r="CE234">
        <f t="shared" si="680"/>
        <v>-1</v>
      </c>
      <c r="CF234">
        <f t="shared" si="680"/>
        <v>-1</v>
      </c>
      <c r="CG234">
        <f t="shared" si="680"/>
        <v>-1</v>
      </c>
      <c r="CH234">
        <f t="shared" si="680"/>
        <v>-1</v>
      </c>
      <c r="CI234">
        <f t="shared" si="680"/>
        <v>-1</v>
      </c>
      <c r="CJ234">
        <f t="shared" si="680"/>
        <v>-1</v>
      </c>
      <c r="CK234">
        <f t="shared" si="680"/>
        <v>-1</v>
      </c>
      <c r="CL234">
        <f t="shared" si="680"/>
        <v>71.800000000000026</v>
      </c>
      <c r="CM234">
        <f t="shared" si="680"/>
        <v>68.20000000000006</v>
      </c>
      <c r="CN234">
        <f t="shared" si="680"/>
        <v>64.600000000000094</v>
      </c>
      <c r="CO234">
        <f t="shared" si="680"/>
        <v>-1</v>
      </c>
      <c r="CP234">
        <f t="shared" si="680"/>
        <v>-1</v>
      </c>
      <c r="CQ234">
        <f t="shared" si="680"/>
        <v>-1</v>
      </c>
      <c r="CR234">
        <f t="shared" si="680"/>
        <v>-1</v>
      </c>
      <c r="CS234">
        <f t="shared" si="680"/>
        <v>-1</v>
      </c>
      <c r="CT234">
        <f t="shared" si="680"/>
        <v>-1</v>
      </c>
      <c r="CU234">
        <f t="shared" si="680"/>
        <v>-1</v>
      </c>
      <c r="CV234">
        <f t="shared" si="680"/>
        <v>-1</v>
      </c>
      <c r="CW234">
        <f t="shared" si="680"/>
        <v>-1</v>
      </c>
      <c r="CX234">
        <f t="shared" si="680"/>
        <v>-1</v>
      </c>
      <c r="CY234">
        <f t="shared" si="680"/>
        <v>-1</v>
      </c>
      <c r="CZ234">
        <f t="shared" si="680"/>
        <v>-1</v>
      </c>
      <c r="DA234">
        <f t="shared" si="680"/>
        <v>-1</v>
      </c>
      <c r="DB234">
        <f t="shared" si="680"/>
        <v>-1</v>
      </c>
      <c r="DC234">
        <f t="shared" si="680"/>
        <v>-1</v>
      </c>
      <c r="DD234">
        <f t="shared" si="680"/>
        <v>-1</v>
      </c>
      <c r="DE234">
        <f t="shared" si="680"/>
        <v>-1</v>
      </c>
      <c r="DF234">
        <f t="shared" si="680"/>
        <v>-1</v>
      </c>
      <c r="DG234">
        <f t="shared" si="680"/>
        <v>-1</v>
      </c>
      <c r="DH234">
        <f t="shared" si="680"/>
        <v>-1</v>
      </c>
      <c r="DI234">
        <f t="shared" si="680"/>
        <v>-1</v>
      </c>
      <c r="DJ234">
        <f t="shared" si="680"/>
        <v>-1</v>
      </c>
      <c r="DK234">
        <f t="shared" si="680"/>
        <v>-1</v>
      </c>
      <c r="DL234">
        <f t="shared" si="680"/>
        <v>-1</v>
      </c>
      <c r="DM234">
        <f t="shared" si="680"/>
        <v>-1</v>
      </c>
      <c r="DN234">
        <f t="shared" si="680"/>
        <v>-1</v>
      </c>
      <c r="DO234">
        <f t="shared" si="680"/>
        <v>-1</v>
      </c>
      <c r="DP234">
        <f t="shared" si="680"/>
        <v>-1</v>
      </c>
      <c r="DQ234">
        <f t="shared" si="680"/>
        <v>-1</v>
      </c>
      <c r="DR234">
        <f t="shared" si="680"/>
        <v>-1</v>
      </c>
      <c r="DS234">
        <f t="shared" si="680"/>
        <v>-1</v>
      </c>
      <c r="DT234">
        <f t="shared" si="680"/>
        <v>-1</v>
      </c>
      <c r="DU234">
        <f t="shared" si="680"/>
        <v>-1</v>
      </c>
      <c r="DV234">
        <f t="shared" si="680"/>
        <v>-1</v>
      </c>
      <c r="DW234">
        <f t="shared" si="680"/>
        <v>-1</v>
      </c>
      <c r="DX234">
        <f t="shared" si="680"/>
        <v>-1</v>
      </c>
      <c r="DY234">
        <f t="shared" si="680"/>
        <v>-1</v>
      </c>
      <c r="DZ234">
        <f t="shared" si="680"/>
        <v>-1</v>
      </c>
      <c r="EA234">
        <f t="shared" si="680"/>
        <v>-1</v>
      </c>
      <c r="EB234">
        <f t="shared" ref="EB234:EO234" si="681">IF(OR(EB233=-1,AND(IF(EB$3&lt;$B234,EB233+EB$6,IF(EB$3=$B234,1,""))&gt;$B$1,EB$3&lt;$B234)),-1,IF(EB$3&lt;$B234,EB233+EB$6,IF(EB$3=$B234,1,"")))</f>
        <v>-1</v>
      </c>
      <c r="EC234">
        <f t="shared" si="681"/>
        <v>-1</v>
      </c>
      <c r="ED234">
        <f t="shared" si="681"/>
        <v>-1</v>
      </c>
      <c r="EE234">
        <f t="shared" si="681"/>
        <v>-1</v>
      </c>
      <c r="EF234">
        <f t="shared" si="681"/>
        <v>-1</v>
      </c>
      <c r="EG234">
        <f t="shared" si="681"/>
        <v>-1</v>
      </c>
      <c r="EH234">
        <f t="shared" si="681"/>
        <v>-1</v>
      </c>
      <c r="EI234">
        <f t="shared" si="681"/>
        <v>-1</v>
      </c>
      <c r="EJ234">
        <f t="shared" si="681"/>
        <v>-1</v>
      </c>
      <c r="EK234">
        <f t="shared" si="681"/>
        <v>-1</v>
      </c>
      <c r="EL234">
        <f t="shared" si="681"/>
        <v>-1</v>
      </c>
      <c r="EM234">
        <f t="shared" si="681"/>
        <v>-1</v>
      </c>
      <c r="EN234">
        <f t="shared" si="681"/>
        <v>-1</v>
      </c>
      <c r="EO234">
        <f t="shared" si="681"/>
        <v>-1</v>
      </c>
    </row>
    <row r="235" spans="1:145" x14ac:dyDescent="0.15">
      <c r="A235" t="e">
        <f t="shared" si="579"/>
        <v>#N/A</v>
      </c>
      <c r="B235" s="218">
        <v>227</v>
      </c>
      <c r="C235">
        <f t="shared" si="579"/>
        <v>-1</v>
      </c>
      <c r="D235">
        <f t="shared" ref="D235:BO235" si="682">IF(OR(D234=-1,AND(IF(D$3&lt;$B235,D234+D$6,IF(D$3=$B235,1,""))&gt;$B$1,D$3&lt;$B235)),-1,IF(D$3&lt;$B235,D234+D$6,IF(D$3=$B235,1,"")))</f>
        <v>-1</v>
      </c>
      <c r="E235">
        <f t="shared" si="682"/>
        <v>-1</v>
      </c>
      <c r="F235">
        <f t="shared" si="682"/>
        <v>-1</v>
      </c>
      <c r="G235">
        <f t="shared" si="682"/>
        <v>-1</v>
      </c>
      <c r="H235">
        <f t="shared" si="682"/>
        <v>-1</v>
      </c>
      <c r="I235">
        <f t="shared" si="682"/>
        <v>-1</v>
      </c>
      <c r="J235">
        <f t="shared" si="682"/>
        <v>-1</v>
      </c>
      <c r="K235">
        <f t="shared" si="682"/>
        <v>-1</v>
      </c>
      <c r="L235">
        <f t="shared" si="682"/>
        <v>-1</v>
      </c>
      <c r="M235">
        <f t="shared" si="682"/>
        <v>-1</v>
      </c>
      <c r="N235">
        <f t="shared" si="682"/>
        <v>-1</v>
      </c>
      <c r="O235">
        <f t="shared" si="682"/>
        <v>-1</v>
      </c>
      <c r="P235">
        <f t="shared" si="682"/>
        <v>-1</v>
      </c>
      <c r="Q235">
        <f t="shared" si="682"/>
        <v>-1</v>
      </c>
      <c r="R235">
        <f t="shared" si="682"/>
        <v>-1</v>
      </c>
      <c r="S235">
        <f t="shared" si="682"/>
        <v>-1</v>
      </c>
      <c r="T235">
        <f t="shared" si="682"/>
        <v>-1</v>
      </c>
      <c r="U235">
        <f t="shared" si="682"/>
        <v>-1</v>
      </c>
      <c r="V235">
        <f t="shared" si="682"/>
        <v>-1</v>
      </c>
      <c r="W235">
        <f t="shared" si="682"/>
        <v>-1</v>
      </c>
      <c r="X235">
        <f t="shared" si="682"/>
        <v>-1</v>
      </c>
      <c r="Y235">
        <f t="shared" si="682"/>
        <v>-1</v>
      </c>
      <c r="Z235">
        <f t="shared" si="682"/>
        <v>-1</v>
      </c>
      <c r="AA235">
        <f t="shared" si="682"/>
        <v>-1</v>
      </c>
      <c r="AB235">
        <f t="shared" si="682"/>
        <v>-1</v>
      </c>
      <c r="AC235">
        <f t="shared" si="682"/>
        <v>-1</v>
      </c>
      <c r="AD235">
        <f t="shared" si="682"/>
        <v>-1</v>
      </c>
      <c r="AE235">
        <f t="shared" si="682"/>
        <v>-1</v>
      </c>
      <c r="AF235">
        <f t="shared" si="682"/>
        <v>-1</v>
      </c>
      <c r="AG235">
        <f t="shared" si="682"/>
        <v>-1</v>
      </c>
      <c r="AH235">
        <f t="shared" si="682"/>
        <v>-1</v>
      </c>
      <c r="AI235">
        <f t="shared" si="682"/>
        <v>-1</v>
      </c>
      <c r="AJ235">
        <f t="shared" si="682"/>
        <v>-1</v>
      </c>
      <c r="AK235">
        <f t="shared" si="682"/>
        <v>-1</v>
      </c>
      <c r="AL235">
        <f t="shared" si="682"/>
        <v>-1</v>
      </c>
      <c r="AM235">
        <f t="shared" si="682"/>
        <v>-1</v>
      </c>
      <c r="AN235">
        <f t="shared" si="682"/>
        <v>-1</v>
      </c>
      <c r="AO235">
        <f t="shared" si="682"/>
        <v>-1</v>
      </c>
      <c r="AP235">
        <f t="shared" si="682"/>
        <v>-1</v>
      </c>
      <c r="AQ235">
        <f t="shared" si="682"/>
        <v>-1</v>
      </c>
      <c r="AR235">
        <f t="shared" si="682"/>
        <v>-1</v>
      </c>
      <c r="AS235">
        <f t="shared" si="682"/>
        <v>-1</v>
      </c>
      <c r="AT235">
        <f t="shared" si="682"/>
        <v>-1</v>
      </c>
      <c r="AU235">
        <f t="shared" si="682"/>
        <v>-1</v>
      </c>
      <c r="AV235">
        <f t="shared" si="682"/>
        <v>-1</v>
      </c>
      <c r="AW235">
        <f t="shared" si="682"/>
        <v>-1</v>
      </c>
      <c r="AX235">
        <f t="shared" si="682"/>
        <v>-1</v>
      </c>
      <c r="AY235">
        <f t="shared" si="682"/>
        <v>-1</v>
      </c>
      <c r="AZ235">
        <f t="shared" si="682"/>
        <v>-1</v>
      </c>
      <c r="BA235">
        <f t="shared" si="682"/>
        <v>-1</v>
      </c>
      <c r="BB235">
        <f t="shared" si="682"/>
        <v>-1</v>
      </c>
      <c r="BC235">
        <f t="shared" si="682"/>
        <v>-1</v>
      </c>
      <c r="BD235">
        <f t="shared" si="682"/>
        <v>-1</v>
      </c>
      <c r="BE235">
        <f t="shared" si="682"/>
        <v>-1</v>
      </c>
      <c r="BF235">
        <f t="shared" si="682"/>
        <v>-1</v>
      </c>
      <c r="BG235">
        <f t="shared" si="682"/>
        <v>-1</v>
      </c>
      <c r="BH235">
        <f t="shared" si="682"/>
        <v>-1</v>
      </c>
      <c r="BI235">
        <f t="shared" si="682"/>
        <v>-1</v>
      </c>
      <c r="BJ235">
        <f t="shared" si="682"/>
        <v>-1</v>
      </c>
      <c r="BK235">
        <f t="shared" si="682"/>
        <v>-1</v>
      </c>
      <c r="BL235">
        <f t="shared" si="682"/>
        <v>-1</v>
      </c>
      <c r="BM235">
        <f t="shared" si="682"/>
        <v>-1</v>
      </c>
      <c r="BN235">
        <f t="shared" si="682"/>
        <v>-1</v>
      </c>
      <c r="BO235">
        <f t="shared" si="682"/>
        <v>-1</v>
      </c>
      <c r="BP235">
        <f t="shared" ref="BP235:EA235" si="683">IF(OR(BP234=-1,AND(IF(BP$3&lt;$B235,BP234+BP$6,IF(BP$3=$B235,1,""))&gt;$B$1,BP$3&lt;$B235)),-1,IF(BP$3&lt;$B235,BP234+BP$6,IF(BP$3=$B235,1,"")))</f>
        <v>-1</v>
      </c>
      <c r="BQ235">
        <f t="shared" si="683"/>
        <v>-1</v>
      </c>
      <c r="BR235">
        <f t="shared" si="683"/>
        <v>-1</v>
      </c>
      <c r="BS235">
        <f t="shared" si="683"/>
        <v>-1</v>
      </c>
      <c r="BT235">
        <f t="shared" si="683"/>
        <v>-1</v>
      </c>
      <c r="BU235">
        <f t="shared" si="683"/>
        <v>-1</v>
      </c>
      <c r="BV235">
        <f t="shared" si="683"/>
        <v>-1</v>
      </c>
      <c r="BW235">
        <f t="shared" si="683"/>
        <v>-1</v>
      </c>
      <c r="BX235">
        <f t="shared" si="683"/>
        <v>-1</v>
      </c>
      <c r="BY235">
        <f t="shared" si="683"/>
        <v>-1</v>
      </c>
      <c r="BZ235">
        <f t="shared" si="683"/>
        <v>-1</v>
      </c>
      <c r="CA235">
        <f t="shared" si="683"/>
        <v>-1</v>
      </c>
      <c r="CB235">
        <f t="shared" si="683"/>
        <v>-1</v>
      </c>
      <c r="CC235">
        <f t="shared" si="683"/>
        <v>-1</v>
      </c>
      <c r="CD235">
        <f t="shared" si="683"/>
        <v>-1</v>
      </c>
      <c r="CE235">
        <f t="shared" si="683"/>
        <v>-1</v>
      </c>
      <c r="CF235">
        <f t="shared" si="683"/>
        <v>-1</v>
      </c>
      <c r="CG235">
        <f t="shared" si="683"/>
        <v>-1</v>
      </c>
      <c r="CH235">
        <f t="shared" si="683"/>
        <v>-1</v>
      </c>
      <c r="CI235">
        <f t="shared" si="683"/>
        <v>-1</v>
      </c>
      <c r="CJ235">
        <f t="shared" si="683"/>
        <v>-1</v>
      </c>
      <c r="CK235">
        <f t="shared" si="683"/>
        <v>-1</v>
      </c>
      <c r="CL235">
        <f t="shared" si="683"/>
        <v>72.40000000000002</v>
      </c>
      <c r="CM235">
        <f t="shared" si="683"/>
        <v>68.800000000000054</v>
      </c>
      <c r="CN235">
        <f t="shared" si="683"/>
        <v>65.200000000000088</v>
      </c>
      <c r="CO235">
        <f t="shared" si="683"/>
        <v>-1</v>
      </c>
      <c r="CP235">
        <f t="shared" si="683"/>
        <v>-1</v>
      </c>
      <c r="CQ235">
        <f t="shared" si="683"/>
        <v>-1</v>
      </c>
      <c r="CR235">
        <f t="shared" si="683"/>
        <v>-1</v>
      </c>
      <c r="CS235">
        <f t="shared" si="683"/>
        <v>-1</v>
      </c>
      <c r="CT235">
        <f t="shared" si="683"/>
        <v>-1</v>
      </c>
      <c r="CU235">
        <f t="shared" si="683"/>
        <v>-1</v>
      </c>
      <c r="CV235">
        <f t="shared" si="683"/>
        <v>-1</v>
      </c>
      <c r="CW235">
        <f t="shared" si="683"/>
        <v>-1</v>
      </c>
      <c r="CX235">
        <f t="shared" si="683"/>
        <v>-1</v>
      </c>
      <c r="CY235">
        <f t="shared" si="683"/>
        <v>-1</v>
      </c>
      <c r="CZ235">
        <f t="shared" si="683"/>
        <v>-1</v>
      </c>
      <c r="DA235">
        <f t="shared" si="683"/>
        <v>-1</v>
      </c>
      <c r="DB235">
        <f t="shared" si="683"/>
        <v>-1</v>
      </c>
      <c r="DC235">
        <f t="shared" si="683"/>
        <v>-1</v>
      </c>
      <c r="DD235">
        <f t="shared" si="683"/>
        <v>-1</v>
      </c>
      <c r="DE235">
        <f t="shared" si="683"/>
        <v>-1</v>
      </c>
      <c r="DF235">
        <f t="shared" si="683"/>
        <v>-1</v>
      </c>
      <c r="DG235">
        <f t="shared" si="683"/>
        <v>-1</v>
      </c>
      <c r="DH235">
        <f t="shared" si="683"/>
        <v>-1</v>
      </c>
      <c r="DI235">
        <f t="shared" si="683"/>
        <v>-1</v>
      </c>
      <c r="DJ235">
        <f t="shared" si="683"/>
        <v>-1</v>
      </c>
      <c r="DK235">
        <f t="shared" si="683"/>
        <v>-1</v>
      </c>
      <c r="DL235">
        <f t="shared" si="683"/>
        <v>-1</v>
      </c>
      <c r="DM235">
        <f t="shared" si="683"/>
        <v>-1</v>
      </c>
      <c r="DN235">
        <f t="shared" si="683"/>
        <v>-1</v>
      </c>
      <c r="DO235">
        <f t="shared" si="683"/>
        <v>-1</v>
      </c>
      <c r="DP235">
        <f t="shared" si="683"/>
        <v>-1</v>
      </c>
      <c r="DQ235">
        <f t="shared" si="683"/>
        <v>-1</v>
      </c>
      <c r="DR235">
        <f t="shared" si="683"/>
        <v>-1</v>
      </c>
      <c r="DS235">
        <f t="shared" si="683"/>
        <v>-1</v>
      </c>
      <c r="DT235">
        <f t="shared" si="683"/>
        <v>-1</v>
      </c>
      <c r="DU235">
        <f t="shared" si="683"/>
        <v>-1</v>
      </c>
      <c r="DV235">
        <f t="shared" si="683"/>
        <v>-1</v>
      </c>
      <c r="DW235">
        <f t="shared" si="683"/>
        <v>-1</v>
      </c>
      <c r="DX235">
        <f t="shared" si="683"/>
        <v>-1</v>
      </c>
      <c r="DY235">
        <f t="shared" si="683"/>
        <v>-1</v>
      </c>
      <c r="DZ235">
        <f t="shared" si="683"/>
        <v>-1</v>
      </c>
      <c r="EA235">
        <f t="shared" si="683"/>
        <v>-1</v>
      </c>
      <c r="EB235">
        <f t="shared" ref="EB235:EO235" si="684">IF(OR(EB234=-1,AND(IF(EB$3&lt;$B235,EB234+EB$6,IF(EB$3=$B235,1,""))&gt;$B$1,EB$3&lt;$B235)),-1,IF(EB$3&lt;$B235,EB234+EB$6,IF(EB$3=$B235,1,"")))</f>
        <v>-1</v>
      </c>
      <c r="EC235">
        <f t="shared" si="684"/>
        <v>-1</v>
      </c>
      <c r="ED235">
        <f t="shared" si="684"/>
        <v>-1</v>
      </c>
      <c r="EE235">
        <f t="shared" si="684"/>
        <v>-1</v>
      </c>
      <c r="EF235">
        <f t="shared" si="684"/>
        <v>-1</v>
      </c>
      <c r="EG235">
        <f t="shared" si="684"/>
        <v>-1</v>
      </c>
      <c r="EH235">
        <f t="shared" si="684"/>
        <v>-1</v>
      </c>
      <c r="EI235">
        <f t="shared" si="684"/>
        <v>-1</v>
      </c>
      <c r="EJ235">
        <f t="shared" si="684"/>
        <v>-1</v>
      </c>
      <c r="EK235">
        <f t="shared" si="684"/>
        <v>-1</v>
      </c>
      <c r="EL235">
        <f t="shared" si="684"/>
        <v>-1</v>
      </c>
      <c r="EM235">
        <f t="shared" si="684"/>
        <v>-1</v>
      </c>
      <c r="EN235">
        <f t="shared" si="684"/>
        <v>-1</v>
      </c>
      <c r="EO235">
        <f t="shared" si="684"/>
        <v>-1</v>
      </c>
    </row>
    <row r="236" spans="1:145" x14ac:dyDescent="0.15">
      <c r="A236" t="e">
        <f t="shared" si="579"/>
        <v>#N/A</v>
      </c>
      <c r="B236" s="218">
        <v>228</v>
      </c>
      <c r="C236">
        <f t="shared" si="579"/>
        <v>-1</v>
      </c>
      <c r="D236">
        <f t="shared" ref="D236:BO236" si="685">IF(OR(D235=-1,AND(IF(D$3&lt;$B236,D235+D$6,IF(D$3=$B236,1,""))&gt;$B$1,D$3&lt;$B236)),-1,IF(D$3&lt;$B236,D235+D$6,IF(D$3=$B236,1,"")))</f>
        <v>-1</v>
      </c>
      <c r="E236">
        <f t="shared" si="685"/>
        <v>-1</v>
      </c>
      <c r="F236">
        <f t="shared" si="685"/>
        <v>-1</v>
      </c>
      <c r="G236">
        <f t="shared" si="685"/>
        <v>-1</v>
      </c>
      <c r="H236">
        <f t="shared" si="685"/>
        <v>-1</v>
      </c>
      <c r="I236">
        <f t="shared" si="685"/>
        <v>-1</v>
      </c>
      <c r="J236">
        <f t="shared" si="685"/>
        <v>-1</v>
      </c>
      <c r="K236">
        <f t="shared" si="685"/>
        <v>-1</v>
      </c>
      <c r="L236">
        <f t="shared" si="685"/>
        <v>-1</v>
      </c>
      <c r="M236">
        <f t="shared" si="685"/>
        <v>-1</v>
      </c>
      <c r="N236">
        <f t="shared" si="685"/>
        <v>-1</v>
      </c>
      <c r="O236">
        <f t="shared" si="685"/>
        <v>-1</v>
      </c>
      <c r="P236">
        <f t="shared" si="685"/>
        <v>-1</v>
      </c>
      <c r="Q236">
        <f t="shared" si="685"/>
        <v>-1</v>
      </c>
      <c r="R236">
        <f t="shared" si="685"/>
        <v>-1</v>
      </c>
      <c r="S236">
        <f t="shared" si="685"/>
        <v>-1</v>
      </c>
      <c r="T236">
        <f t="shared" si="685"/>
        <v>-1</v>
      </c>
      <c r="U236">
        <f t="shared" si="685"/>
        <v>-1</v>
      </c>
      <c r="V236">
        <f t="shared" si="685"/>
        <v>-1</v>
      </c>
      <c r="W236">
        <f t="shared" si="685"/>
        <v>-1</v>
      </c>
      <c r="X236">
        <f t="shared" si="685"/>
        <v>-1</v>
      </c>
      <c r="Y236">
        <f t="shared" si="685"/>
        <v>-1</v>
      </c>
      <c r="Z236">
        <f t="shared" si="685"/>
        <v>-1</v>
      </c>
      <c r="AA236">
        <f t="shared" si="685"/>
        <v>-1</v>
      </c>
      <c r="AB236">
        <f t="shared" si="685"/>
        <v>-1</v>
      </c>
      <c r="AC236">
        <f t="shared" si="685"/>
        <v>-1</v>
      </c>
      <c r="AD236">
        <f t="shared" si="685"/>
        <v>-1</v>
      </c>
      <c r="AE236">
        <f t="shared" si="685"/>
        <v>-1</v>
      </c>
      <c r="AF236">
        <f t="shared" si="685"/>
        <v>-1</v>
      </c>
      <c r="AG236">
        <f t="shared" si="685"/>
        <v>-1</v>
      </c>
      <c r="AH236">
        <f t="shared" si="685"/>
        <v>-1</v>
      </c>
      <c r="AI236">
        <f t="shared" si="685"/>
        <v>-1</v>
      </c>
      <c r="AJ236">
        <f t="shared" si="685"/>
        <v>-1</v>
      </c>
      <c r="AK236">
        <f t="shared" si="685"/>
        <v>-1</v>
      </c>
      <c r="AL236">
        <f t="shared" si="685"/>
        <v>-1</v>
      </c>
      <c r="AM236">
        <f t="shared" si="685"/>
        <v>-1</v>
      </c>
      <c r="AN236">
        <f t="shared" si="685"/>
        <v>-1</v>
      </c>
      <c r="AO236">
        <f t="shared" si="685"/>
        <v>-1</v>
      </c>
      <c r="AP236">
        <f t="shared" si="685"/>
        <v>-1</v>
      </c>
      <c r="AQ236">
        <f t="shared" si="685"/>
        <v>-1</v>
      </c>
      <c r="AR236">
        <f t="shared" si="685"/>
        <v>-1</v>
      </c>
      <c r="AS236">
        <f t="shared" si="685"/>
        <v>-1</v>
      </c>
      <c r="AT236">
        <f t="shared" si="685"/>
        <v>-1</v>
      </c>
      <c r="AU236">
        <f t="shared" si="685"/>
        <v>-1</v>
      </c>
      <c r="AV236">
        <f t="shared" si="685"/>
        <v>-1</v>
      </c>
      <c r="AW236">
        <f t="shared" si="685"/>
        <v>-1</v>
      </c>
      <c r="AX236">
        <f t="shared" si="685"/>
        <v>-1</v>
      </c>
      <c r="AY236">
        <f t="shared" si="685"/>
        <v>-1</v>
      </c>
      <c r="AZ236">
        <f t="shared" si="685"/>
        <v>-1</v>
      </c>
      <c r="BA236">
        <f t="shared" si="685"/>
        <v>-1</v>
      </c>
      <c r="BB236">
        <f t="shared" si="685"/>
        <v>-1</v>
      </c>
      <c r="BC236">
        <f t="shared" si="685"/>
        <v>-1</v>
      </c>
      <c r="BD236">
        <f t="shared" si="685"/>
        <v>-1</v>
      </c>
      <c r="BE236">
        <f t="shared" si="685"/>
        <v>-1</v>
      </c>
      <c r="BF236">
        <f t="shared" si="685"/>
        <v>-1</v>
      </c>
      <c r="BG236">
        <f t="shared" si="685"/>
        <v>-1</v>
      </c>
      <c r="BH236">
        <f t="shared" si="685"/>
        <v>-1</v>
      </c>
      <c r="BI236">
        <f t="shared" si="685"/>
        <v>-1</v>
      </c>
      <c r="BJ236">
        <f t="shared" si="685"/>
        <v>-1</v>
      </c>
      <c r="BK236">
        <f t="shared" si="685"/>
        <v>-1</v>
      </c>
      <c r="BL236">
        <f t="shared" si="685"/>
        <v>-1</v>
      </c>
      <c r="BM236">
        <f t="shared" si="685"/>
        <v>-1</v>
      </c>
      <c r="BN236">
        <f t="shared" si="685"/>
        <v>-1</v>
      </c>
      <c r="BO236">
        <f t="shared" si="685"/>
        <v>-1</v>
      </c>
      <c r="BP236">
        <f t="shared" ref="BP236:EA236" si="686">IF(OR(BP235=-1,AND(IF(BP$3&lt;$B236,BP235+BP$6,IF(BP$3=$B236,1,""))&gt;$B$1,BP$3&lt;$B236)),-1,IF(BP$3&lt;$B236,BP235+BP$6,IF(BP$3=$B236,1,"")))</f>
        <v>-1</v>
      </c>
      <c r="BQ236">
        <f t="shared" si="686"/>
        <v>-1</v>
      </c>
      <c r="BR236">
        <f t="shared" si="686"/>
        <v>-1</v>
      </c>
      <c r="BS236">
        <f t="shared" si="686"/>
        <v>-1</v>
      </c>
      <c r="BT236">
        <f t="shared" si="686"/>
        <v>-1</v>
      </c>
      <c r="BU236">
        <f t="shared" si="686"/>
        <v>-1</v>
      </c>
      <c r="BV236">
        <f t="shared" si="686"/>
        <v>-1</v>
      </c>
      <c r="BW236">
        <f t="shared" si="686"/>
        <v>-1</v>
      </c>
      <c r="BX236">
        <f t="shared" si="686"/>
        <v>-1</v>
      </c>
      <c r="BY236">
        <f t="shared" si="686"/>
        <v>-1</v>
      </c>
      <c r="BZ236">
        <f t="shared" si="686"/>
        <v>-1</v>
      </c>
      <c r="CA236">
        <f t="shared" si="686"/>
        <v>-1</v>
      </c>
      <c r="CB236">
        <f t="shared" si="686"/>
        <v>-1</v>
      </c>
      <c r="CC236">
        <f t="shared" si="686"/>
        <v>-1</v>
      </c>
      <c r="CD236">
        <f t="shared" si="686"/>
        <v>-1</v>
      </c>
      <c r="CE236">
        <f t="shared" si="686"/>
        <v>-1</v>
      </c>
      <c r="CF236">
        <f t="shared" si="686"/>
        <v>-1</v>
      </c>
      <c r="CG236">
        <f t="shared" si="686"/>
        <v>-1</v>
      </c>
      <c r="CH236">
        <f t="shared" si="686"/>
        <v>-1</v>
      </c>
      <c r="CI236">
        <f t="shared" si="686"/>
        <v>-1</v>
      </c>
      <c r="CJ236">
        <f t="shared" si="686"/>
        <v>-1</v>
      </c>
      <c r="CK236">
        <f t="shared" si="686"/>
        <v>-1</v>
      </c>
      <c r="CL236">
        <f t="shared" si="686"/>
        <v>73.000000000000014</v>
      </c>
      <c r="CM236">
        <f t="shared" si="686"/>
        <v>69.400000000000048</v>
      </c>
      <c r="CN236">
        <f t="shared" si="686"/>
        <v>65.800000000000082</v>
      </c>
      <c r="CO236">
        <f t="shared" si="686"/>
        <v>-1</v>
      </c>
      <c r="CP236">
        <f t="shared" si="686"/>
        <v>-1</v>
      </c>
      <c r="CQ236">
        <f t="shared" si="686"/>
        <v>-1</v>
      </c>
      <c r="CR236">
        <f t="shared" si="686"/>
        <v>-1</v>
      </c>
      <c r="CS236">
        <f t="shared" si="686"/>
        <v>-1</v>
      </c>
      <c r="CT236">
        <f t="shared" si="686"/>
        <v>-1</v>
      </c>
      <c r="CU236">
        <f t="shared" si="686"/>
        <v>-1</v>
      </c>
      <c r="CV236">
        <f t="shared" si="686"/>
        <v>-1</v>
      </c>
      <c r="CW236">
        <f t="shared" si="686"/>
        <v>-1</v>
      </c>
      <c r="CX236">
        <f t="shared" si="686"/>
        <v>-1</v>
      </c>
      <c r="CY236">
        <f t="shared" si="686"/>
        <v>-1</v>
      </c>
      <c r="CZ236">
        <f t="shared" si="686"/>
        <v>-1</v>
      </c>
      <c r="DA236">
        <f t="shared" si="686"/>
        <v>-1</v>
      </c>
      <c r="DB236">
        <f t="shared" si="686"/>
        <v>-1</v>
      </c>
      <c r="DC236">
        <f t="shared" si="686"/>
        <v>-1</v>
      </c>
      <c r="DD236">
        <f t="shared" si="686"/>
        <v>-1</v>
      </c>
      <c r="DE236">
        <f t="shared" si="686"/>
        <v>-1</v>
      </c>
      <c r="DF236">
        <f t="shared" si="686"/>
        <v>-1</v>
      </c>
      <c r="DG236">
        <f t="shared" si="686"/>
        <v>-1</v>
      </c>
      <c r="DH236">
        <f t="shared" si="686"/>
        <v>-1</v>
      </c>
      <c r="DI236">
        <f t="shared" si="686"/>
        <v>-1</v>
      </c>
      <c r="DJ236">
        <f t="shared" si="686"/>
        <v>-1</v>
      </c>
      <c r="DK236">
        <f t="shared" si="686"/>
        <v>-1</v>
      </c>
      <c r="DL236">
        <f t="shared" si="686"/>
        <v>-1</v>
      </c>
      <c r="DM236">
        <f t="shared" si="686"/>
        <v>-1</v>
      </c>
      <c r="DN236">
        <f t="shared" si="686"/>
        <v>-1</v>
      </c>
      <c r="DO236">
        <f t="shared" si="686"/>
        <v>-1</v>
      </c>
      <c r="DP236">
        <f t="shared" si="686"/>
        <v>-1</v>
      </c>
      <c r="DQ236">
        <f t="shared" si="686"/>
        <v>-1</v>
      </c>
      <c r="DR236">
        <f t="shared" si="686"/>
        <v>-1</v>
      </c>
      <c r="DS236">
        <f t="shared" si="686"/>
        <v>-1</v>
      </c>
      <c r="DT236">
        <f t="shared" si="686"/>
        <v>-1</v>
      </c>
      <c r="DU236">
        <f t="shared" si="686"/>
        <v>-1</v>
      </c>
      <c r="DV236">
        <f t="shared" si="686"/>
        <v>-1</v>
      </c>
      <c r="DW236">
        <f t="shared" si="686"/>
        <v>-1</v>
      </c>
      <c r="DX236">
        <f t="shared" si="686"/>
        <v>-1</v>
      </c>
      <c r="DY236">
        <f t="shared" si="686"/>
        <v>-1</v>
      </c>
      <c r="DZ236">
        <f t="shared" si="686"/>
        <v>-1</v>
      </c>
      <c r="EA236">
        <f t="shared" si="686"/>
        <v>-1</v>
      </c>
      <c r="EB236">
        <f t="shared" ref="EB236:EO236" si="687">IF(OR(EB235=-1,AND(IF(EB$3&lt;$B236,EB235+EB$6,IF(EB$3=$B236,1,""))&gt;$B$1,EB$3&lt;$B236)),-1,IF(EB$3&lt;$B236,EB235+EB$6,IF(EB$3=$B236,1,"")))</f>
        <v>-1</v>
      </c>
      <c r="EC236">
        <f t="shared" si="687"/>
        <v>-1</v>
      </c>
      <c r="ED236">
        <f t="shared" si="687"/>
        <v>-1</v>
      </c>
      <c r="EE236">
        <f t="shared" si="687"/>
        <v>-1</v>
      </c>
      <c r="EF236">
        <f t="shared" si="687"/>
        <v>-1</v>
      </c>
      <c r="EG236">
        <f t="shared" si="687"/>
        <v>-1</v>
      </c>
      <c r="EH236">
        <f t="shared" si="687"/>
        <v>-1</v>
      </c>
      <c r="EI236">
        <f t="shared" si="687"/>
        <v>-1</v>
      </c>
      <c r="EJ236">
        <f t="shared" si="687"/>
        <v>-1</v>
      </c>
      <c r="EK236">
        <f t="shared" si="687"/>
        <v>-1</v>
      </c>
      <c r="EL236">
        <f t="shared" si="687"/>
        <v>-1</v>
      </c>
      <c r="EM236">
        <f t="shared" si="687"/>
        <v>-1</v>
      </c>
      <c r="EN236">
        <f t="shared" si="687"/>
        <v>-1</v>
      </c>
      <c r="EO236">
        <f t="shared" si="687"/>
        <v>-1</v>
      </c>
    </row>
    <row r="237" spans="1:145" x14ac:dyDescent="0.15">
      <c r="A237" t="e">
        <f t="shared" si="579"/>
        <v>#N/A</v>
      </c>
      <c r="B237" s="218">
        <v>229</v>
      </c>
      <c r="C237">
        <f t="shared" si="579"/>
        <v>-1</v>
      </c>
      <c r="D237">
        <f t="shared" ref="D237:BO237" si="688">IF(OR(D236=-1,AND(IF(D$3&lt;$B237,D236+D$6,IF(D$3=$B237,1,""))&gt;$B$1,D$3&lt;$B237)),-1,IF(D$3&lt;$B237,D236+D$6,IF(D$3=$B237,1,"")))</f>
        <v>-1</v>
      </c>
      <c r="E237">
        <f t="shared" si="688"/>
        <v>-1</v>
      </c>
      <c r="F237">
        <f t="shared" si="688"/>
        <v>-1</v>
      </c>
      <c r="G237">
        <f t="shared" si="688"/>
        <v>-1</v>
      </c>
      <c r="H237">
        <f t="shared" si="688"/>
        <v>-1</v>
      </c>
      <c r="I237">
        <f t="shared" si="688"/>
        <v>-1</v>
      </c>
      <c r="J237">
        <f t="shared" si="688"/>
        <v>-1</v>
      </c>
      <c r="K237">
        <f t="shared" si="688"/>
        <v>-1</v>
      </c>
      <c r="L237">
        <f t="shared" si="688"/>
        <v>-1</v>
      </c>
      <c r="M237">
        <f t="shared" si="688"/>
        <v>-1</v>
      </c>
      <c r="N237">
        <f t="shared" si="688"/>
        <v>-1</v>
      </c>
      <c r="O237">
        <f t="shared" si="688"/>
        <v>-1</v>
      </c>
      <c r="P237">
        <f t="shared" si="688"/>
        <v>-1</v>
      </c>
      <c r="Q237">
        <f t="shared" si="688"/>
        <v>-1</v>
      </c>
      <c r="R237">
        <f t="shared" si="688"/>
        <v>-1</v>
      </c>
      <c r="S237">
        <f t="shared" si="688"/>
        <v>-1</v>
      </c>
      <c r="T237">
        <f t="shared" si="688"/>
        <v>-1</v>
      </c>
      <c r="U237">
        <f t="shared" si="688"/>
        <v>-1</v>
      </c>
      <c r="V237">
        <f t="shared" si="688"/>
        <v>-1</v>
      </c>
      <c r="W237">
        <f t="shared" si="688"/>
        <v>-1</v>
      </c>
      <c r="X237">
        <f t="shared" si="688"/>
        <v>-1</v>
      </c>
      <c r="Y237">
        <f t="shared" si="688"/>
        <v>-1</v>
      </c>
      <c r="Z237">
        <f t="shared" si="688"/>
        <v>-1</v>
      </c>
      <c r="AA237">
        <f t="shared" si="688"/>
        <v>-1</v>
      </c>
      <c r="AB237">
        <f t="shared" si="688"/>
        <v>-1</v>
      </c>
      <c r="AC237">
        <f t="shared" si="688"/>
        <v>-1</v>
      </c>
      <c r="AD237">
        <f t="shared" si="688"/>
        <v>-1</v>
      </c>
      <c r="AE237">
        <f t="shared" si="688"/>
        <v>-1</v>
      </c>
      <c r="AF237">
        <f t="shared" si="688"/>
        <v>-1</v>
      </c>
      <c r="AG237">
        <f t="shared" si="688"/>
        <v>-1</v>
      </c>
      <c r="AH237">
        <f t="shared" si="688"/>
        <v>-1</v>
      </c>
      <c r="AI237">
        <f t="shared" si="688"/>
        <v>-1</v>
      </c>
      <c r="AJ237">
        <f t="shared" si="688"/>
        <v>-1</v>
      </c>
      <c r="AK237">
        <f t="shared" si="688"/>
        <v>-1</v>
      </c>
      <c r="AL237">
        <f t="shared" si="688"/>
        <v>-1</v>
      </c>
      <c r="AM237">
        <f t="shared" si="688"/>
        <v>-1</v>
      </c>
      <c r="AN237">
        <f t="shared" si="688"/>
        <v>-1</v>
      </c>
      <c r="AO237">
        <f t="shared" si="688"/>
        <v>-1</v>
      </c>
      <c r="AP237">
        <f t="shared" si="688"/>
        <v>-1</v>
      </c>
      <c r="AQ237">
        <f t="shared" si="688"/>
        <v>-1</v>
      </c>
      <c r="AR237">
        <f t="shared" si="688"/>
        <v>-1</v>
      </c>
      <c r="AS237">
        <f t="shared" si="688"/>
        <v>-1</v>
      </c>
      <c r="AT237">
        <f t="shared" si="688"/>
        <v>-1</v>
      </c>
      <c r="AU237">
        <f t="shared" si="688"/>
        <v>-1</v>
      </c>
      <c r="AV237">
        <f t="shared" si="688"/>
        <v>-1</v>
      </c>
      <c r="AW237">
        <f t="shared" si="688"/>
        <v>-1</v>
      </c>
      <c r="AX237">
        <f t="shared" si="688"/>
        <v>-1</v>
      </c>
      <c r="AY237">
        <f t="shared" si="688"/>
        <v>-1</v>
      </c>
      <c r="AZ237">
        <f t="shared" si="688"/>
        <v>-1</v>
      </c>
      <c r="BA237">
        <f t="shared" si="688"/>
        <v>-1</v>
      </c>
      <c r="BB237">
        <f t="shared" si="688"/>
        <v>-1</v>
      </c>
      <c r="BC237">
        <f t="shared" si="688"/>
        <v>-1</v>
      </c>
      <c r="BD237">
        <f t="shared" si="688"/>
        <v>-1</v>
      </c>
      <c r="BE237">
        <f t="shared" si="688"/>
        <v>-1</v>
      </c>
      <c r="BF237">
        <f t="shared" si="688"/>
        <v>-1</v>
      </c>
      <c r="BG237">
        <f t="shared" si="688"/>
        <v>-1</v>
      </c>
      <c r="BH237">
        <f t="shared" si="688"/>
        <v>-1</v>
      </c>
      <c r="BI237">
        <f t="shared" si="688"/>
        <v>-1</v>
      </c>
      <c r="BJ237">
        <f t="shared" si="688"/>
        <v>-1</v>
      </c>
      <c r="BK237">
        <f t="shared" si="688"/>
        <v>-1</v>
      </c>
      <c r="BL237">
        <f t="shared" si="688"/>
        <v>-1</v>
      </c>
      <c r="BM237">
        <f t="shared" si="688"/>
        <v>-1</v>
      </c>
      <c r="BN237">
        <f t="shared" si="688"/>
        <v>-1</v>
      </c>
      <c r="BO237">
        <f t="shared" si="688"/>
        <v>-1</v>
      </c>
      <c r="BP237">
        <f t="shared" ref="BP237:EA237" si="689">IF(OR(BP236=-1,AND(IF(BP$3&lt;$B237,BP236+BP$6,IF(BP$3=$B237,1,""))&gt;$B$1,BP$3&lt;$B237)),-1,IF(BP$3&lt;$B237,BP236+BP$6,IF(BP$3=$B237,1,"")))</f>
        <v>-1</v>
      </c>
      <c r="BQ237">
        <f t="shared" si="689"/>
        <v>-1</v>
      </c>
      <c r="BR237">
        <f t="shared" si="689"/>
        <v>-1</v>
      </c>
      <c r="BS237">
        <f t="shared" si="689"/>
        <v>-1</v>
      </c>
      <c r="BT237">
        <f t="shared" si="689"/>
        <v>-1</v>
      </c>
      <c r="BU237">
        <f t="shared" si="689"/>
        <v>-1</v>
      </c>
      <c r="BV237">
        <f t="shared" si="689"/>
        <v>-1</v>
      </c>
      <c r="BW237">
        <f t="shared" si="689"/>
        <v>-1</v>
      </c>
      <c r="BX237">
        <f t="shared" si="689"/>
        <v>-1</v>
      </c>
      <c r="BY237">
        <f t="shared" si="689"/>
        <v>-1</v>
      </c>
      <c r="BZ237">
        <f t="shared" si="689"/>
        <v>-1</v>
      </c>
      <c r="CA237">
        <f t="shared" si="689"/>
        <v>-1</v>
      </c>
      <c r="CB237">
        <f t="shared" si="689"/>
        <v>-1</v>
      </c>
      <c r="CC237">
        <f t="shared" si="689"/>
        <v>-1</v>
      </c>
      <c r="CD237">
        <f t="shared" si="689"/>
        <v>-1</v>
      </c>
      <c r="CE237">
        <f t="shared" si="689"/>
        <v>-1</v>
      </c>
      <c r="CF237">
        <f t="shared" si="689"/>
        <v>-1</v>
      </c>
      <c r="CG237">
        <f t="shared" si="689"/>
        <v>-1</v>
      </c>
      <c r="CH237">
        <f t="shared" si="689"/>
        <v>-1</v>
      </c>
      <c r="CI237">
        <f t="shared" si="689"/>
        <v>-1</v>
      </c>
      <c r="CJ237">
        <f t="shared" si="689"/>
        <v>-1</v>
      </c>
      <c r="CK237">
        <f t="shared" si="689"/>
        <v>-1</v>
      </c>
      <c r="CL237">
        <f t="shared" si="689"/>
        <v>73.600000000000009</v>
      </c>
      <c r="CM237">
        <f t="shared" si="689"/>
        <v>70.000000000000043</v>
      </c>
      <c r="CN237">
        <f t="shared" si="689"/>
        <v>66.400000000000077</v>
      </c>
      <c r="CO237">
        <f t="shared" si="689"/>
        <v>-1</v>
      </c>
      <c r="CP237">
        <f t="shared" si="689"/>
        <v>-1</v>
      </c>
      <c r="CQ237">
        <f t="shared" si="689"/>
        <v>-1</v>
      </c>
      <c r="CR237">
        <f t="shared" si="689"/>
        <v>-1</v>
      </c>
      <c r="CS237">
        <f t="shared" si="689"/>
        <v>-1</v>
      </c>
      <c r="CT237">
        <f t="shared" si="689"/>
        <v>-1</v>
      </c>
      <c r="CU237">
        <f t="shared" si="689"/>
        <v>-1</v>
      </c>
      <c r="CV237">
        <f t="shared" si="689"/>
        <v>-1</v>
      </c>
      <c r="CW237">
        <f t="shared" si="689"/>
        <v>-1</v>
      </c>
      <c r="CX237">
        <f t="shared" si="689"/>
        <v>-1</v>
      </c>
      <c r="CY237">
        <f t="shared" si="689"/>
        <v>-1</v>
      </c>
      <c r="CZ237">
        <f t="shared" si="689"/>
        <v>-1</v>
      </c>
      <c r="DA237">
        <f t="shared" si="689"/>
        <v>-1</v>
      </c>
      <c r="DB237">
        <f t="shared" si="689"/>
        <v>-1</v>
      </c>
      <c r="DC237">
        <f t="shared" si="689"/>
        <v>-1</v>
      </c>
      <c r="DD237">
        <f t="shared" si="689"/>
        <v>-1</v>
      </c>
      <c r="DE237">
        <f t="shared" si="689"/>
        <v>-1</v>
      </c>
      <c r="DF237">
        <f t="shared" si="689"/>
        <v>-1</v>
      </c>
      <c r="DG237">
        <f t="shared" si="689"/>
        <v>-1</v>
      </c>
      <c r="DH237">
        <f t="shared" si="689"/>
        <v>-1</v>
      </c>
      <c r="DI237">
        <f t="shared" si="689"/>
        <v>-1</v>
      </c>
      <c r="DJ237">
        <f t="shared" si="689"/>
        <v>-1</v>
      </c>
      <c r="DK237">
        <f t="shared" si="689"/>
        <v>-1</v>
      </c>
      <c r="DL237">
        <f t="shared" si="689"/>
        <v>-1</v>
      </c>
      <c r="DM237">
        <f t="shared" si="689"/>
        <v>-1</v>
      </c>
      <c r="DN237">
        <f t="shared" si="689"/>
        <v>-1</v>
      </c>
      <c r="DO237">
        <f t="shared" si="689"/>
        <v>-1</v>
      </c>
      <c r="DP237">
        <f t="shared" si="689"/>
        <v>-1</v>
      </c>
      <c r="DQ237">
        <f t="shared" si="689"/>
        <v>-1</v>
      </c>
      <c r="DR237">
        <f t="shared" si="689"/>
        <v>-1</v>
      </c>
      <c r="DS237">
        <f t="shared" si="689"/>
        <v>-1</v>
      </c>
      <c r="DT237">
        <f t="shared" si="689"/>
        <v>-1</v>
      </c>
      <c r="DU237">
        <f t="shared" si="689"/>
        <v>-1</v>
      </c>
      <c r="DV237">
        <f t="shared" si="689"/>
        <v>-1</v>
      </c>
      <c r="DW237">
        <f t="shared" si="689"/>
        <v>-1</v>
      </c>
      <c r="DX237">
        <f t="shared" si="689"/>
        <v>-1</v>
      </c>
      <c r="DY237">
        <f t="shared" si="689"/>
        <v>-1</v>
      </c>
      <c r="DZ237">
        <f t="shared" si="689"/>
        <v>-1</v>
      </c>
      <c r="EA237">
        <f t="shared" si="689"/>
        <v>-1</v>
      </c>
      <c r="EB237">
        <f t="shared" ref="EB237:EO237" si="690">IF(OR(EB236=-1,AND(IF(EB$3&lt;$B237,EB236+EB$6,IF(EB$3=$B237,1,""))&gt;$B$1,EB$3&lt;$B237)),-1,IF(EB$3&lt;$B237,EB236+EB$6,IF(EB$3=$B237,1,"")))</f>
        <v>-1</v>
      </c>
      <c r="EC237">
        <f t="shared" si="690"/>
        <v>-1</v>
      </c>
      <c r="ED237">
        <f t="shared" si="690"/>
        <v>-1</v>
      </c>
      <c r="EE237">
        <f t="shared" si="690"/>
        <v>-1</v>
      </c>
      <c r="EF237">
        <f t="shared" si="690"/>
        <v>-1</v>
      </c>
      <c r="EG237">
        <f t="shared" si="690"/>
        <v>-1</v>
      </c>
      <c r="EH237">
        <f t="shared" si="690"/>
        <v>-1</v>
      </c>
      <c r="EI237">
        <f t="shared" si="690"/>
        <v>-1</v>
      </c>
      <c r="EJ237">
        <f t="shared" si="690"/>
        <v>-1</v>
      </c>
      <c r="EK237">
        <f t="shared" si="690"/>
        <v>-1</v>
      </c>
      <c r="EL237">
        <f t="shared" si="690"/>
        <v>-1</v>
      </c>
      <c r="EM237">
        <f t="shared" si="690"/>
        <v>-1</v>
      </c>
      <c r="EN237">
        <f t="shared" si="690"/>
        <v>-1</v>
      </c>
      <c r="EO237">
        <f t="shared" si="690"/>
        <v>-1</v>
      </c>
    </row>
    <row r="238" spans="1:145" x14ac:dyDescent="0.15">
      <c r="A238" t="e">
        <f t="shared" si="579"/>
        <v>#N/A</v>
      </c>
      <c r="B238" s="218">
        <v>230</v>
      </c>
      <c r="C238">
        <f t="shared" si="579"/>
        <v>-1</v>
      </c>
      <c r="D238">
        <f t="shared" ref="D238:BO238" si="691">IF(OR(D237=-1,AND(IF(D$3&lt;$B238,D237+D$6,IF(D$3=$B238,1,""))&gt;$B$1,D$3&lt;$B238)),-1,IF(D$3&lt;$B238,D237+D$6,IF(D$3=$B238,1,"")))</f>
        <v>-1</v>
      </c>
      <c r="E238">
        <f t="shared" si="691"/>
        <v>-1</v>
      </c>
      <c r="F238">
        <f t="shared" si="691"/>
        <v>-1</v>
      </c>
      <c r="G238">
        <f t="shared" si="691"/>
        <v>-1</v>
      </c>
      <c r="H238">
        <f t="shared" si="691"/>
        <v>-1</v>
      </c>
      <c r="I238">
        <f t="shared" si="691"/>
        <v>-1</v>
      </c>
      <c r="J238">
        <f t="shared" si="691"/>
        <v>-1</v>
      </c>
      <c r="K238">
        <f t="shared" si="691"/>
        <v>-1</v>
      </c>
      <c r="L238">
        <f t="shared" si="691"/>
        <v>-1</v>
      </c>
      <c r="M238">
        <f t="shared" si="691"/>
        <v>-1</v>
      </c>
      <c r="N238">
        <f t="shared" si="691"/>
        <v>-1</v>
      </c>
      <c r="O238">
        <f t="shared" si="691"/>
        <v>-1</v>
      </c>
      <c r="P238">
        <f t="shared" si="691"/>
        <v>-1</v>
      </c>
      <c r="Q238">
        <f t="shared" si="691"/>
        <v>-1</v>
      </c>
      <c r="R238">
        <f t="shared" si="691"/>
        <v>-1</v>
      </c>
      <c r="S238">
        <f t="shared" si="691"/>
        <v>-1</v>
      </c>
      <c r="T238">
        <f t="shared" si="691"/>
        <v>-1</v>
      </c>
      <c r="U238">
        <f t="shared" si="691"/>
        <v>-1</v>
      </c>
      <c r="V238">
        <f t="shared" si="691"/>
        <v>-1</v>
      </c>
      <c r="W238">
        <f t="shared" si="691"/>
        <v>-1</v>
      </c>
      <c r="X238">
        <f t="shared" si="691"/>
        <v>-1</v>
      </c>
      <c r="Y238">
        <f t="shared" si="691"/>
        <v>-1</v>
      </c>
      <c r="Z238">
        <f t="shared" si="691"/>
        <v>-1</v>
      </c>
      <c r="AA238">
        <f t="shared" si="691"/>
        <v>-1</v>
      </c>
      <c r="AB238">
        <f t="shared" si="691"/>
        <v>-1</v>
      </c>
      <c r="AC238">
        <f t="shared" si="691"/>
        <v>-1</v>
      </c>
      <c r="AD238">
        <f t="shared" si="691"/>
        <v>-1</v>
      </c>
      <c r="AE238">
        <f t="shared" si="691"/>
        <v>-1</v>
      </c>
      <c r="AF238">
        <f t="shared" si="691"/>
        <v>-1</v>
      </c>
      <c r="AG238">
        <f t="shared" si="691"/>
        <v>-1</v>
      </c>
      <c r="AH238">
        <f t="shared" si="691"/>
        <v>-1</v>
      </c>
      <c r="AI238">
        <f t="shared" si="691"/>
        <v>-1</v>
      </c>
      <c r="AJ238">
        <f t="shared" si="691"/>
        <v>-1</v>
      </c>
      <c r="AK238">
        <f t="shared" si="691"/>
        <v>-1</v>
      </c>
      <c r="AL238">
        <f t="shared" si="691"/>
        <v>-1</v>
      </c>
      <c r="AM238">
        <f t="shared" si="691"/>
        <v>-1</v>
      </c>
      <c r="AN238">
        <f t="shared" si="691"/>
        <v>-1</v>
      </c>
      <c r="AO238">
        <f t="shared" si="691"/>
        <v>-1</v>
      </c>
      <c r="AP238">
        <f t="shared" si="691"/>
        <v>-1</v>
      </c>
      <c r="AQ238">
        <f t="shared" si="691"/>
        <v>-1</v>
      </c>
      <c r="AR238">
        <f t="shared" si="691"/>
        <v>-1</v>
      </c>
      <c r="AS238">
        <f t="shared" si="691"/>
        <v>-1</v>
      </c>
      <c r="AT238">
        <f t="shared" si="691"/>
        <v>-1</v>
      </c>
      <c r="AU238">
        <f t="shared" si="691"/>
        <v>-1</v>
      </c>
      <c r="AV238">
        <f t="shared" si="691"/>
        <v>-1</v>
      </c>
      <c r="AW238">
        <f t="shared" si="691"/>
        <v>-1</v>
      </c>
      <c r="AX238">
        <f t="shared" si="691"/>
        <v>-1</v>
      </c>
      <c r="AY238">
        <f t="shared" si="691"/>
        <v>-1</v>
      </c>
      <c r="AZ238">
        <f t="shared" si="691"/>
        <v>-1</v>
      </c>
      <c r="BA238">
        <f t="shared" si="691"/>
        <v>-1</v>
      </c>
      <c r="BB238">
        <f t="shared" si="691"/>
        <v>-1</v>
      </c>
      <c r="BC238">
        <f t="shared" si="691"/>
        <v>-1</v>
      </c>
      <c r="BD238">
        <f t="shared" si="691"/>
        <v>-1</v>
      </c>
      <c r="BE238">
        <f t="shared" si="691"/>
        <v>-1</v>
      </c>
      <c r="BF238">
        <f t="shared" si="691"/>
        <v>-1</v>
      </c>
      <c r="BG238">
        <f t="shared" si="691"/>
        <v>-1</v>
      </c>
      <c r="BH238">
        <f t="shared" si="691"/>
        <v>-1</v>
      </c>
      <c r="BI238">
        <f t="shared" si="691"/>
        <v>-1</v>
      </c>
      <c r="BJ238">
        <f t="shared" si="691"/>
        <v>-1</v>
      </c>
      <c r="BK238">
        <f t="shared" si="691"/>
        <v>-1</v>
      </c>
      <c r="BL238">
        <f t="shared" si="691"/>
        <v>-1</v>
      </c>
      <c r="BM238">
        <f t="shared" si="691"/>
        <v>-1</v>
      </c>
      <c r="BN238">
        <f t="shared" si="691"/>
        <v>-1</v>
      </c>
      <c r="BO238">
        <f t="shared" si="691"/>
        <v>-1</v>
      </c>
      <c r="BP238">
        <f t="shared" ref="BP238:EA238" si="692">IF(OR(BP237=-1,AND(IF(BP$3&lt;$B238,BP237+BP$6,IF(BP$3=$B238,1,""))&gt;$B$1,BP$3&lt;$B238)),-1,IF(BP$3&lt;$B238,BP237+BP$6,IF(BP$3=$B238,1,"")))</f>
        <v>-1</v>
      </c>
      <c r="BQ238">
        <f t="shared" si="692"/>
        <v>-1</v>
      </c>
      <c r="BR238">
        <f t="shared" si="692"/>
        <v>-1</v>
      </c>
      <c r="BS238">
        <f t="shared" si="692"/>
        <v>-1</v>
      </c>
      <c r="BT238">
        <f t="shared" si="692"/>
        <v>-1</v>
      </c>
      <c r="BU238">
        <f t="shared" si="692"/>
        <v>-1</v>
      </c>
      <c r="BV238">
        <f t="shared" si="692"/>
        <v>-1</v>
      </c>
      <c r="BW238">
        <f t="shared" si="692"/>
        <v>-1</v>
      </c>
      <c r="BX238">
        <f t="shared" si="692"/>
        <v>-1</v>
      </c>
      <c r="BY238">
        <f t="shared" si="692"/>
        <v>-1</v>
      </c>
      <c r="BZ238">
        <f t="shared" si="692"/>
        <v>-1</v>
      </c>
      <c r="CA238">
        <f t="shared" si="692"/>
        <v>-1</v>
      </c>
      <c r="CB238">
        <f t="shared" si="692"/>
        <v>-1</v>
      </c>
      <c r="CC238">
        <f t="shared" si="692"/>
        <v>-1</v>
      </c>
      <c r="CD238">
        <f t="shared" si="692"/>
        <v>-1</v>
      </c>
      <c r="CE238">
        <f t="shared" si="692"/>
        <v>-1</v>
      </c>
      <c r="CF238">
        <f t="shared" si="692"/>
        <v>-1</v>
      </c>
      <c r="CG238">
        <f t="shared" si="692"/>
        <v>-1</v>
      </c>
      <c r="CH238">
        <f t="shared" si="692"/>
        <v>-1</v>
      </c>
      <c r="CI238">
        <f t="shared" si="692"/>
        <v>-1</v>
      </c>
      <c r="CJ238">
        <f t="shared" si="692"/>
        <v>-1</v>
      </c>
      <c r="CK238">
        <f t="shared" si="692"/>
        <v>-1</v>
      </c>
      <c r="CL238">
        <f t="shared" si="692"/>
        <v>74.2</v>
      </c>
      <c r="CM238">
        <f t="shared" si="692"/>
        <v>70.600000000000037</v>
      </c>
      <c r="CN238">
        <f t="shared" si="692"/>
        <v>67.000000000000071</v>
      </c>
      <c r="CO238">
        <f t="shared" si="692"/>
        <v>-1</v>
      </c>
      <c r="CP238">
        <f t="shared" si="692"/>
        <v>-1</v>
      </c>
      <c r="CQ238">
        <f t="shared" si="692"/>
        <v>-1</v>
      </c>
      <c r="CR238">
        <f t="shared" si="692"/>
        <v>-1</v>
      </c>
      <c r="CS238">
        <f t="shared" si="692"/>
        <v>-1</v>
      </c>
      <c r="CT238">
        <f t="shared" si="692"/>
        <v>-1</v>
      </c>
      <c r="CU238">
        <f t="shared" si="692"/>
        <v>-1</v>
      </c>
      <c r="CV238">
        <f t="shared" si="692"/>
        <v>-1</v>
      </c>
      <c r="CW238">
        <f t="shared" si="692"/>
        <v>-1</v>
      </c>
      <c r="CX238">
        <f t="shared" si="692"/>
        <v>-1</v>
      </c>
      <c r="CY238">
        <f t="shared" si="692"/>
        <v>-1</v>
      </c>
      <c r="CZ238">
        <f t="shared" si="692"/>
        <v>-1</v>
      </c>
      <c r="DA238">
        <f t="shared" si="692"/>
        <v>-1</v>
      </c>
      <c r="DB238">
        <f t="shared" si="692"/>
        <v>-1</v>
      </c>
      <c r="DC238">
        <f t="shared" si="692"/>
        <v>-1</v>
      </c>
      <c r="DD238">
        <f t="shared" si="692"/>
        <v>-1</v>
      </c>
      <c r="DE238">
        <f t="shared" si="692"/>
        <v>-1</v>
      </c>
      <c r="DF238">
        <f t="shared" si="692"/>
        <v>-1</v>
      </c>
      <c r="DG238">
        <f t="shared" si="692"/>
        <v>-1</v>
      </c>
      <c r="DH238">
        <f t="shared" si="692"/>
        <v>-1</v>
      </c>
      <c r="DI238">
        <f t="shared" si="692"/>
        <v>-1</v>
      </c>
      <c r="DJ238">
        <f t="shared" si="692"/>
        <v>-1</v>
      </c>
      <c r="DK238">
        <f t="shared" si="692"/>
        <v>-1</v>
      </c>
      <c r="DL238">
        <f t="shared" si="692"/>
        <v>-1</v>
      </c>
      <c r="DM238">
        <f t="shared" si="692"/>
        <v>-1</v>
      </c>
      <c r="DN238">
        <f t="shared" si="692"/>
        <v>-1</v>
      </c>
      <c r="DO238">
        <f t="shared" si="692"/>
        <v>-1</v>
      </c>
      <c r="DP238">
        <f t="shared" si="692"/>
        <v>-1</v>
      </c>
      <c r="DQ238">
        <f t="shared" si="692"/>
        <v>-1</v>
      </c>
      <c r="DR238">
        <f t="shared" si="692"/>
        <v>-1</v>
      </c>
      <c r="DS238">
        <f t="shared" si="692"/>
        <v>-1</v>
      </c>
      <c r="DT238">
        <f t="shared" si="692"/>
        <v>-1</v>
      </c>
      <c r="DU238">
        <f t="shared" si="692"/>
        <v>-1</v>
      </c>
      <c r="DV238">
        <f t="shared" si="692"/>
        <v>-1</v>
      </c>
      <c r="DW238">
        <f t="shared" si="692"/>
        <v>-1</v>
      </c>
      <c r="DX238">
        <f t="shared" si="692"/>
        <v>-1</v>
      </c>
      <c r="DY238">
        <f t="shared" si="692"/>
        <v>-1</v>
      </c>
      <c r="DZ238">
        <f t="shared" si="692"/>
        <v>-1</v>
      </c>
      <c r="EA238">
        <f t="shared" si="692"/>
        <v>-1</v>
      </c>
      <c r="EB238">
        <f t="shared" ref="EB238:EO238" si="693">IF(OR(EB237=-1,AND(IF(EB$3&lt;$B238,EB237+EB$6,IF(EB$3=$B238,1,""))&gt;$B$1,EB$3&lt;$B238)),-1,IF(EB$3&lt;$B238,EB237+EB$6,IF(EB$3=$B238,1,"")))</f>
        <v>-1</v>
      </c>
      <c r="EC238">
        <f t="shared" si="693"/>
        <v>-1</v>
      </c>
      <c r="ED238">
        <f t="shared" si="693"/>
        <v>-1</v>
      </c>
      <c r="EE238">
        <f t="shared" si="693"/>
        <v>-1</v>
      </c>
      <c r="EF238">
        <f t="shared" si="693"/>
        <v>-1</v>
      </c>
      <c r="EG238">
        <f t="shared" si="693"/>
        <v>-1</v>
      </c>
      <c r="EH238">
        <f t="shared" si="693"/>
        <v>-1</v>
      </c>
      <c r="EI238">
        <f t="shared" si="693"/>
        <v>-1</v>
      </c>
      <c r="EJ238">
        <f t="shared" si="693"/>
        <v>-1</v>
      </c>
      <c r="EK238">
        <f t="shared" si="693"/>
        <v>-1</v>
      </c>
      <c r="EL238">
        <f t="shared" si="693"/>
        <v>-1</v>
      </c>
      <c r="EM238">
        <f t="shared" si="693"/>
        <v>-1</v>
      </c>
      <c r="EN238">
        <f t="shared" si="693"/>
        <v>-1</v>
      </c>
      <c r="EO238">
        <f t="shared" si="693"/>
        <v>-1</v>
      </c>
    </row>
    <row r="239" spans="1:145" x14ac:dyDescent="0.15">
      <c r="A239" t="e">
        <f t="shared" si="579"/>
        <v>#N/A</v>
      </c>
      <c r="B239" s="218">
        <v>231</v>
      </c>
      <c r="C239">
        <f t="shared" si="579"/>
        <v>-1</v>
      </c>
      <c r="D239">
        <f t="shared" ref="D239:BO239" si="694">IF(OR(D238=-1,AND(IF(D$3&lt;$B239,D238+D$6,IF(D$3=$B239,1,""))&gt;$B$1,D$3&lt;$B239)),-1,IF(D$3&lt;$B239,D238+D$6,IF(D$3=$B239,1,"")))</f>
        <v>-1</v>
      </c>
      <c r="E239">
        <f t="shared" si="694"/>
        <v>-1</v>
      </c>
      <c r="F239">
        <f t="shared" si="694"/>
        <v>-1</v>
      </c>
      <c r="G239">
        <f t="shared" si="694"/>
        <v>-1</v>
      </c>
      <c r="H239">
        <f t="shared" si="694"/>
        <v>-1</v>
      </c>
      <c r="I239">
        <f t="shared" si="694"/>
        <v>-1</v>
      </c>
      <c r="J239">
        <f t="shared" si="694"/>
        <v>-1</v>
      </c>
      <c r="K239">
        <f t="shared" si="694"/>
        <v>-1</v>
      </c>
      <c r="L239">
        <f t="shared" si="694"/>
        <v>-1</v>
      </c>
      <c r="M239">
        <f t="shared" si="694"/>
        <v>-1</v>
      </c>
      <c r="N239">
        <f t="shared" si="694"/>
        <v>-1</v>
      </c>
      <c r="O239">
        <f t="shared" si="694"/>
        <v>-1</v>
      </c>
      <c r="P239">
        <f t="shared" si="694"/>
        <v>-1</v>
      </c>
      <c r="Q239">
        <f t="shared" si="694"/>
        <v>-1</v>
      </c>
      <c r="R239">
        <f t="shared" si="694"/>
        <v>-1</v>
      </c>
      <c r="S239">
        <f t="shared" si="694"/>
        <v>-1</v>
      </c>
      <c r="T239">
        <f t="shared" si="694"/>
        <v>-1</v>
      </c>
      <c r="U239">
        <f t="shared" si="694"/>
        <v>-1</v>
      </c>
      <c r="V239">
        <f t="shared" si="694"/>
        <v>-1</v>
      </c>
      <c r="W239">
        <f t="shared" si="694"/>
        <v>-1</v>
      </c>
      <c r="X239">
        <f t="shared" si="694"/>
        <v>-1</v>
      </c>
      <c r="Y239">
        <f t="shared" si="694"/>
        <v>-1</v>
      </c>
      <c r="Z239">
        <f t="shared" si="694"/>
        <v>-1</v>
      </c>
      <c r="AA239">
        <f t="shared" si="694"/>
        <v>-1</v>
      </c>
      <c r="AB239">
        <f t="shared" si="694"/>
        <v>-1</v>
      </c>
      <c r="AC239">
        <f t="shared" si="694"/>
        <v>-1</v>
      </c>
      <c r="AD239">
        <f t="shared" si="694"/>
        <v>-1</v>
      </c>
      <c r="AE239">
        <f t="shared" si="694"/>
        <v>-1</v>
      </c>
      <c r="AF239">
        <f t="shared" si="694"/>
        <v>-1</v>
      </c>
      <c r="AG239">
        <f t="shared" si="694"/>
        <v>-1</v>
      </c>
      <c r="AH239">
        <f t="shared" si="694"/>
        <v>-1</v>
      </c>
      <c r="AI239">
        <f t="shared" si="694"/>
        <v>-1</v>
      </c>
      <c r="AJ239">
        <f t="shared" si="694"/>
        <v>-1</v>
      </c>
      <c r="AK239">
        <f t="shared" si="694"/>
        <v>-1</v>
      </c>
      <c r="AL239">
        <f t="shared" si="694"/>
        <v>-1</v>
      </c>
      <c r="AM239">
        <f t="shared" si="694"/>
        <v>-1</v>
      </c>
      <c r="AN239">
        <f t="shared" si="694"/>
        <v>-1</v>
      </c>
      <c r="AO239">
        <f t="shared" si="694"/>
        <v>-1</v>
      </c>
      <c r="AP239">
        <f t="shared" si="694"/>
        <v>-1</v>
      </c>
      <c r="AQ239">
        <f t="shared" si="694"/>
        <v>-1</v>
      </c>
      <c r="AR239">
        <f t="shared" si="694"/>
        <v>-1</v>
      </c>
      <c r="AS239">
        <f t="shared" si="694"/>
        <v>-1</v>
      </c>
      <c r="AT239">
        <f t="shared" si="694"/>
        <v>-1</v>
      </c>
      <c r="AU239">
        <f t="shared" si="694"/>
        <v>-1</v>
      </c>
      <c r="AV239">
        <f t="shared" si="694"/>
        <v>-1</v>
      </c>
      <c r="AW239">
        <f t="shared" si="694"/>
        <v>-1</v>
      </c>
      <c r="AX239">
        <f t="shared" si="694"/>
        <v>-1</v>
      </c>
      <c r="AY239">
        <f t="shared" si="694"/>
        <v>-1</v>
      </c>
      <c r="AZ239">
        <f t="shared" si="694"/>
        <v>-1</v>
      </c>
      <c r="BA239">
        <f t="shared" si="694"/>
        <v>-1</v>
      </c>
      <c r="BB239">
        <f t="shared" si="694"/>
        <v>-1</v>
      </c>
      <c r="BC239">
        <f t="shared" si="694"/>
        <v>-1</v>
      </c>
      <c r="BD239">
        <f t="shared" si="694"/>
        <v>-1</v>
      </c>
      <c r="BE239">
        <f t="shared" si="694"/>
        <v>-1</v>
      </c>
      <c r="BF239">
        <f t="shared" si="694"/>
        <v>-1</v>
      </c>
      <c r="BG239">
        <f t="shared" si="694"/>
        <v>-1</v>
      </c>
      <c r="BH239">
        <f t="shared" si="694"/>
        <v>-1</v>
      </c>
      <c r="BI239">
        <f t="shared" si="694"/>
        <v>-1</v>
      </c>
      <c r="BJ239">
        <f t="shared" si="694"/>
        <v>-1</v>
      </c>
      <c r="BK239">
        <f t="shared" si="694"/>
        <v>-1</v>
      </c>
      <c r="BL239">
        <f t="shared" si="694"/>
        <v>-1</v>
      </c>
      <c r="BM239">
        <f t="shared" si="694"/>
        <v>-1</v>
      </c>
      <c r="BN239">
        <f t="shared" si="694"/>
        <v>-1</v>
      </c>
      <c r="BO239">
        <f t="shared" si="694"/>
        <v>-1</v>
      </c>
      <c r="BP239">
        <f t="shared" ref="BP239:EA239" si="695">IF(OR(BP238=-1,AND(IF(BP$3&lt;$B239,BP238+BP$6,IF(BP$3=$B239,1,""))&gt;$B$1,BP$3&lt;$B239)),-1,IF(BP$3&lt;$B239,BP238+BP$6,IF(BP$3=$B239,1,"")))</f>
        <v>-1</v>
      </c>
      <c r="BQ239">
        <f t="shared" si="695"/>
        <v>-1</v>
      </c>
      <c r="BR239">
        <f t="shared" si="695"/>
        <v>-1</v>
      </c>
      <c r="BS239">
        <f t="shared" si="695"/>
        <v>-1</v>
      </c>
      <c r="BT239">
        <f t="shared" si="695"/>
        <v>-1</v>
      </c>
      <c r="BU239">
        <f t="shared" si="695"/>
        <v>-1</v>
      </c>
      <c r="BV239">
        <f t="shared" si="695"/>
        <v>-1</v>
      </c>
      <c r="BW239">
        <f t="shared" si="695"/>
        <v>-1</v>
      </c>
      <c r="BX239">
        <f t="shared" si="695"/>
        <v>-1</v>
      </c>
      <c r="BY239">
        <f t="shared" si="695"/>
        <v>-1</v>
      </c>
      <c r="BZ239">
        <f t="shared" si="695"/>
        <v>-1</v>
      </c>
      <c r="CA239">
        <f t="shared" si="695"/>
        <v>-1</v>
      </c>
      <c r="CB239">
        <f t="shared" si="695"/>
        <v>-1</v>
      </c>
      <c r="CC239">
        <f t="shared" si="695"/>
        <v>-1</v>
      </c>
      <c r="CD239">
        <f t="shared" si="695"/>
        <v>-1</v>
      </c>
      <c r="CE239">
        <f t="shared" si="695"/>
        <v>-1</v>
      </c>
      <c r="CF239">
        <f t="shared" si="695"/>
        <v>-1</v>
      </c>
      <c r="CG239">
        <f t="shared" si="695"/>
        <v>-1</v>
      </c>
      <c r="CH239">
        <f t="shared" si="695"/>
        <v>-1</v>
      </c>
      <c r="CI239">
        <f t="shared" si="695"/>
        <v>-1</v>
      </c>
      <c r="CJ239">
        <f t="shared" si="695"/>
        <v>-1</v>
      </c>
      <c r="CK239">
        <f t="shared" si="695"/>
        <v>-1</v>
      </c>
      <c r="CL239">
        <f t="shared" si="695"/>
        <v>74.8</v>
      </c>
      <c r="CM239">
        <f t="shared" si="695"/>
        <v>71.200000000000031</v>
      </c>
      <c r="CN239">
        <f t="shared" si="695"/>
        <v>67.600000000000065</v>
      </c>
      <c r="CO239">
        <f t="shared" si="695"/>
        <v>-1</v>
      </c>
      <c r="CP239">
        <f t="shared" si="695"/>
        <v>-1</v>
      </c>
      <c r="CQ239">
        <f t="shared" si="695"/>
        <v>-1</v>
      </c>
      <c r="CR239">
        <f t="shared" si="695"/>
        <v>-1</v>
      </c>
      <c r="CS239">
        <f t="shared" si="695"/>
        <v>-1</v>
      </c>
      <c r="CT239">
        <f t="shared" si="695"/>
        <v>-1</v>
      </c>
      <c r="CU239">
        <f t="shared" si="695"/>
        <v>-1</v>
      </c>
      <c r="CV239">
        <f t="shared" si="695"/>
        <v>-1</v>
      </c>
      <c r="CW239">
        <f t="shared" si="695"/>
        <v>-1</v>
      </c>
      <c r="CX239">
        <f t="shared" si="695"/>
        <v>-1</v>
      </c>
      <c r="CY239">
        <f t="shared" si="695"/>
        <v>-1</v>
      </c>
      <c r="CZ239">
        <f t="shared" si="695"/>
        <v>-1</v>
      </c>
      <c r="DA239">
        <f t="shared" si="695"/>
        <v>-1</v>
      </c>
      <c r="DB239">
        <f t="shared" si="695"/>
        <v>-1</v>
      </c>
      <c r="DC239">
        <f t="shared" si="695"/>
        <v>-1</v>
      </c>
      <c r="DD239">
        <f t="shared" si="695"/>
        <v>-1</v>
      </c>
      <c r="DE239">
        <f t="shared" si="695"/>
        <v>-1</v>
      </c>
      <c r="DF239">
        <f t="shared" si="695"/>
        <v>-1</v>
      </c>
      <c r="DG239">
        <f t="shared" si="695"/>
        <v>-1</v>
      </c>
      <c r="DH239">
        <f t="shared" si="695"/>
        <v>-1</v>
      </c>
      <c r="DI239">
        <f t="shared" si="695"/>
        <v>-1</v>
      </c>
      <c r="DJ239">
        <f t="shared" si="695"/>
        <v>-1</v>
      </c>
      <c r="DK239">
        <f t="shared" si="695"/>
        <v>-1</v>
      </c>
      <c r="DL239">
        <f t="shared" si="695"/>
        <v>-1</v>
      </c>
      <c r="DM239">
        <f t="shared" si="695"/>
        <v>-1</v>
      </c>
      <c r="DN239">
        <f t="shared" si="695"/>
        <v>-1</v>
      </c>
      <c r="DO239">
        <f t="shared" si="695"/>
        <v>-1</v>
      </c>
      <c r="DP239">
        <f t="shared" si="695"/>
        <v>-1</v>
      </c>
      <c r="DQ239">
        <f t="shared" si="695"/>
        <v>-1</v>
      </c>
      <c r="DR239">
        <f t="shared" si="695"/>
        <v>-1</v>
      </c>
      <c r="DS239">
        <f t="shared" si="695"/>
        <v>-1</v>
      </c>
      <c r="DT239">
        <f t="shared" si="695"/>
        <v>-1</v>
      </c>
      <c r="DU239">
        <f t="shared" si="695"/>
        <v>-1</v>
      </c>
      <c r="DV239">
        <f t="shared" si="695"/>
        <v>-1</v>
      </c>
      <c r="DW239">
        <f t="shared" si="695"/>
        <v>-1</v>
      </c>
      <c r="DX239">
        <f t="shared" si="695"/>
        <v>-1</v>
      </c>
      <c r="DY239">
        <f t="shared" si="695"/>
        <v>-1</v>
      </c>
      <c r="DZ239">
        <f t="shared" si="695"/>
        <v>-1</v>
      </c>
      <c r="EA239">
        <f t="shared" si="695"/>
        <v>-1</v>
      </c>
      <c r="EB239">
        <f t="shared" ref="EB239:EO239" si="696">IF(OR(EB238=-1,AND(IF(EB$3&lt;$B239,EB238+EB$6,IF(EB$3=$B239,1,""))&gt;$B$1,EB$3&lt;$B239)),-1,IF(EB$3&lt;$B239,EB238+EB$6,IF(EB$3=$B239,1,"")))</f>
        <v>-1</v>
      </c>
      <c r="EC239">
        <f t="shared" si="696"/>
        <v>-1</v>
      </c>
      <c r="ED239">
        <f t="shared" si="696"/>
        <v>-1</v>
      </c>
      <c r="EE239">
        <f t="shared" si="696"/>
        <v>-1</v>
      </c>
      <c r="EF239">
        <f t="shared" si="696"/>
        <v>-1</v>
      </c>
      <c r="EG239">
        <f t="shared" si="696"/>
        <v>-1</v>
      </c>
      <c r="EH239">
        <f t="shared" si="696"/>
        <v>-1</v>
      </c>
      <c r="EI239">
        <f t="shared" si="696"/>
        <v>-1</v>
      </c>
      <c r="EJ239">
        <f t="shared" si="696"/>
        <v>-1</v>
      </c>
      <c r="EK239">
        <f t="shared" si="696"/>
        <v>-1</v>
      </c>
      <c r="EL239">
        <f t="shared" si="696"/>
        <v>-1</v>
      </c>
      <c r="EM239">
        <f t="shared" si="696"/>
        <v>-1</v>
      </c>
      <c r="EN239">
        <f t="shared" si="696"/>
        <v>-1</v>
      </c>
      <c r="EO239">
        <f t="shared" si="696"/>
        <v>-1</v>
      </c>
    </row>
    <row r="240" spans="1:145" x14ac:dyDescent="0.15">
      <c r="A240" t="e">
        <f t="shared" si="579"/>
        <v>#N/A</v>
      </c>
      <c r="B240" s="218">
        <v>232</v>
      </c>
      <c r="C240">
        <f t="shared" si="579"/>
        <v>-1</v>
      </c>
      <c r="D240">
        <f t="shared" ref="D240:BO240" si="697">IF(OR(D239=-1,AND(IF(D$3&lt;$B240,D239+D$6,IF(D$3=$B240,1,""))&gt;$B$1,D$3&lt;$B240)),-1,IF(D$3&lt;$B240,D239+D$6,IF(D$3=$B240,1,"")))</f>
        <v>-1</v>
      </c>
      <c r="E240">
        <f t="shared" si="697"/>
        <v>-1</v>
      </c>
      <c r="F240">
        <f t="shared" si="697"/>
        <v>-1</v>
      </c>
      <c r="G240">
        <f t="shared" si="697"/>
        <v>-1</v>
      </c>
      <c r="H240">
        <f t="shared" si="697"/>
        <v>-1</v>
      </c>
      <c r="I240">
        <f t="shared" si="697"/>
        <v>-1</v>
      </c>
      <c r="J240">
        <f t="shared" si="697"/>
        <v>-1</v>
      </c>
      <c r="K240">
        <f t="shared" si="697"/>
        <v>-1</v>
      </c>
      <c r="L240">
        <f t="shared" si="697"/>
        <v>-1</v>
      </c>
      <c r="M240">
        <f t="shared" si="697"/>
        <v>-1</v>
      </c>
      <c r="N240">
        <f t="shared" si="697"/>
        <v>-1</v>
      </c>
      <c r="O240">
        <f t="shared" si="697"/>
        <v>-1</v>
      </c>
      <c r="P240">
        <f t="shared" si="697"/>
        <v>-1</v>
      </c>
      <c r="Q240">
        <f t="shared" si="697"/>
        <v>-1</v>
      </c>
      <c r="R240">
        <f t="shared" si="697"/>
        <v>-1</v>
      </c>
      <c r="S240">
        <f t="shared" si="697"/>
        <v>-1</v>
      </c>
      <c r="T240">
        <f t="shared" si="697"/>
        <v>-1</v>
      </c>
      <c r="U240">
        <f t="shared" si="697"/>
        <v>-1</v>
      </c>
      <c r="V240">
        <f t="shared" si="697"/>
        <v>-1</v>
      </c>
      <c r="W240">
        <f t="shared" si="697"/>
        <v>-1</v>
      </c>
      <c r="X240">
        <f t="shared" si="697"/>
        <v>-1</v>
      </c>
      <c r="Y240">
        <f t="shared" si="697"/>
        <v>-1</v>
      </c>
      <c r="Z240">
        <f t="shared" si="697"/>
        <v>-1</v>
      </c>
      <c r="AA240">
        <f t="shared" si="697"/>
        <v>-1</v>
      </c>
      <c r="AB240">
        <f t="shared" si="697"/>
        <v>-1</v>
      </c>
      <c r="AC240">
        <f t="shared" si="697"/>
        <v>-1</v>
      </c>
      <c r="AD240">
        <f t="shared" si="697"/>
        <v>-1</v>
      </c>
      <c r="AE240">
        <f t="shared" si="697"/>
        <v>-1</v>
      </c>
      <c r="AF240">
        <f t="shared" si="697"/>
        <v>-1</v>
      </c>
      <c r="AG240">
        <f t="shared" si="697"/>
        <v>-1</v>
      </c>
      <c r="AH240">
        <f t="shared" si="697"/>
        <v>-1</v>
      </c>
      <c r="AI240">
        <f t="shared" si="697"/>
        <v>-1</v>
      </c>
      <c r="AJ240">
        <f t="shared" si="697"/>
        <v>-1</v>
      </c>
      <c r="AK240">
        <f t="shared" si="697"/>
        <v>-1</v>
      </c>
      <c r="AL240">
        <f t="shared" si="697"/>
        <v>-1</v>
      </c>
      <c r="AM240">
        <f t="shared" si="697"/>
        <v>-1</v>
      </c>
      <c r="AN240">
        <f t="shared" si="697"/>
        <v>-1</v>
      </c>
      <c r="AO240">
        <f t="shared" si="697"/>
        <v>-1</v>
      </c>
      <c r="AP240">
        <f t="shared" si="697"/>
        <v>-1</v>
      </c>
      <c r="AQ240">
        <f t="shared" si="697"/>
        <v>-1</v>
      </c>
      <c r="AR240">
        <f t="shared" si="697"/>
        <v>-1</v>
      </c>
      <c r="AS240">
        <f t="shared" si="697"/>
        <v>-1</v>
      </c>
      <c r="AT240">
        <f t="shared" si="697"/>
        <v>-1</v>
      </c>
      <c r="AU240">
        <f t="shared" si="697"/>
        <v>-1</v>
      </c>
      <c r="AV240">
        <f t="shared" si="697"/>
        <v>-1</v>
      </c>
      <c r="AW240">
        <f t="shared" si="697"/>
        <v>-1</v>
      </c>
      <c r="AX240">
        <f t="shared" si="697"/>
        <v>-1</v>
      </c>
      <c r="AY240">
        <f t="shared" si="697"/>
        <v>-1</v>
      </c>
      <c r="AZ240">
        <f t="shared" si="697"/>
        <v>-1</v>
      </c>
      <c r="BA240">
        <f t="shared" si="697"/>
        <v>-1</v>
      </c>
      <c r="BB240">
        <f t="shared" si="697"/>
        <v>-1</v>
      </c>
      <c r="BC240">
        <f t="shared" si="697"/>
        <v>-1</v>
      </c>
      <c r="BD240">
        <f t="shared" si="697"/>
        <v>-1</v>
      </c>
      <c r="BE240">
        <f t="shared" si="697"/>
        <v>-1</v>
      </c>
      <c r="BF240">
        <f t="shared" si="697"/>
        <v>-1</v>
      </c>
      <c r="BG240">
        <f t="shared" si="697"/>
        <v>-1</v>
      </c>
      <c r="BH240">
        <f t="shared" si="697"/>
        <v>-1</v>
      </c>
      <c r="BI240">
        <f t="shared" si="697"/>
        <v>-1</v>
      </c>
      <c r="BJ240">
        <f t="shared" si="697"/>
        <v>-1</v>
      </c>
      <c r="BK240">
        <f t="shared" si="697"/>
        <v>-1</v>
      </c>
      <c r="BL240">
        <f t="shared" si="697"/>
        <v>-1</v>
      </c>
      <c r="BM240">
        <f t="shared" si="697"/>
        <v>-1</v>
      </c>
      <c r="BN240">
        <f t="shared" si="697"/>
        <v>-1</v>
      </c>
      <c r="BO240">
        <f t="shared" si="697"/>
        <v>-1</v>
      </c>
      <c r="BP240">
        <f t="shared" ref="BP240:EA240" si="698">IF(OR(BP239=-1,AND(IF(BP$3&lt;$B240,BP239+BP$6,IF(BP$3=$B240,1,""))&gt;$B$1,BP$3&lt;$B240)),-1,IF(BP$3&lt;$B240,BP239+BP$6,IF(BP$3=$B240,1,"")))</f>
        <v>-1</v>
      </c>
      <c r="BQ240">
        <f t="shared" si="698"/>
        <v>-1</v>
      </c>
      <c r="BR240">
        <f t="shared" si="698"/>
        <v>-1</v>
      </c>
      <c r="BS240">
        <f t="shared" si="698"/>
        <v>-1</v>
      </c>
      <c r="BT240">
        <f t="shared" si="698"/>
        <v>-1</v>
      </c>
      <c r="BU240">
        <f t="shared" si="698"/>
        <v>-1</v>
      </c>
      <c r="BV240">
        <f t="shared" si="698"/>
        <v>-1</v>
      </c>
      <c r="BW240">
        <f t="shared" si="698"/>
        <v>-1</v>
      </c>
      <c r="BX240">
        <f t="shared" si="698"/>
        <v>-1</v>
      </c>
      <c r="BY240">
        <f t="shared" si="698"/>
        <v>-1</v>
      </c>
      <c r="BZ240">
        <f t="shared" si="698"/>
        <v>-1</v>
      </c>
      <c r="CA240">
        <f t="shared" si="698"/>
        <v>-1</v>
      </c>
      <c r="CB240">
        <f t="shared" si="698"/>
        <v>-1</v>
      </c>
      <c r="CC240">
        <f t="shared" si="698"/>
        <v>-1</v>
      </c>
      <c r="CD240">
        <f t="shared" si="698"/>
        <v>-1</v>
      </c>
      <c r="CE240">
        <f t="shared" si="698"/>
        <v>-1</v>
      </c>
      <c r="CF240">
        <f t="shared" si="698"/>
        <v>-1</v>
      </c>
      <c r="CG240">
        <f t="shared" si="698"/>
        <v>-1</v>
      </c>
      <c r="CH240">
        <f t="shared" si="698"/>
        <v>-1</v>
      </c>
      <c r="CI240">
        <f t="shared" si="698"/>
        <v>-1</v>
      </c>
      <c r="CJ240">
        <f t="shared" si="698"/>
        <v>-1</v>
      </c>
      <c r="CK240">
        <f t="shared" si="698"/>
        <v>-1</v>
      </c>
      <c r="CL240">
        <f t="shared" si="698"/>
        <v>-1</v>
      </c>
      <c r="CM240">
        <f t="shared" si="698"/>
        <v>71.800000000000026</v>
      </c>
      <c r="CN240">
        <f t="shared" si="698"/>
        <v>68.20000000000006</v>
      </c>
      <c r="CO240">
        <f t="shared" si="698"/>
        <v>-1</v>
      </c>
      <c r="CP240">
        <f t="shared" si="698"/>
        <v>-1</v>
      </c>
      <c r="CQ240">
        <f t="shared" si="698"/>
        <v>-1</v>
      </c>
      <c r="CR240">
        <f t="shared" si="698"/>
        <v>-1</v>
      </c>
      <c r="CS240">
        <f t="shared" si="698"/>
        <v>-1</v>
      </c>
      <c r="CT240">
        <f t="shared" si="698"/>
        <v>-1</v>
      </c>
      <c r="CU240">
        <f t="shared" si="698"/>
        <v>-1</v>
      </c>
      <c r="CV240">
        <f t="shared" si="698"/>
        <v>-1</v>
      </c>
      <c r="CW240">
        <f t="shared" si="698"/>
        <v>-1</v>
      </c>
      <c r="CX240">
        <f t="shared" si="698"/>
        <v>-1</v>
      </c>
      <c r="CY240">
        <f t="shared" si="698"/>
        <v>-1</v>
      </c>
      <c r="CZ240">
        <f t="shared" si="698"/>
        <v>-1</v>
      </c>
      <c r="DA240">
        <f t="shared" si="698"/>
        <v>-1</v>
      </c>
      <c r="DB240">
        <f t="shared" si="698"/>
        <v>-1</v>
      </c>
      <c r="DC240">
        <f t="shared" si="698"/>
        <v>-1</v>
      </c>
      <c r="DD240">
        <f t="shared" si="698"/>
        <v>-1</v>
      </c>
      <c r="DE240">
        <f t="shared" si="698"/>
        <v>-1</v>
      </c>
      <c r="DF240">
        <f t="shared" si="698"/>
        <v>-1</v>
      </c>
      <c r="DG240">
        <f t="shared" si="698"/>
        <v>-1</v>
      </c>
      <c r="DH240">
        <f t="shared" si="698"/>
        <v>-1</v>
      </c>
      <c r="DI240">
        <f t="shared" si="698"/>
        <v>-1</v>
      </c>
      <c r="DJ240">
        <f t="shared" si="698"/>
        <v>-1</v>
      </c>
      <c r="DK240">
        <f t="shared" si="698"/>
        <v>-1</v>
      </c>
      <c r="DL240">
        <f t="shared" si="698"/>
        <v>-1</v>
      </c>
      <c r="DM240">
        <f t="shared" si="698"/>
        <v>-1</v>
      </c>
      <c r="DN240">
        <f t="shared" si="698"/>
        <v>-1</v>
      </c>
      <c r="DO240">
        <f t="shared" si="698"/>
        <v>-1</v>
      </c>
      <c r="DP240">
        <f t="shared" si="698"/>
        <v>-1</v>
      </c>
      <c r="DQ240">
        <f t="shared" si="698"/>
        <v>-1</v>
      </c>
      <c r="DR240">
        <f t="shared" si="698"/>
        <v>-1</v>
      </c>
      <c r="DS240">
        <f t="shared" si="698"/>
        <v>-1</v>
      </c>
      <c r="DT240">
        <f t="shared" si="698"/>
        <v>-1</v>
      </c>
      <c r="DU240">
        <f t="shared" si="698"/>
        <v>-1</v>
      </c>
      <c r="DV240">
        <f t="shared" si="698"/>
        <v>-1</v>
      </c>
      <c r="DW240">
        <f t="shared" si="698"/>
        <v>-1</v>
      </c>
      <c r="DX240">
        <f t="shared" si="698"/>
        <v>-1</v>
      </c>
      <c r="DY240">
        <f t="shared" si="698"/>
        <v>-1</v>
      </c>
      <c r="DZ240">
        <f t="shared" si="698"/>
        <v>-1</v>
      </c>
      <c r="EA240">
        <f t="shared" si="698"/>
        <v>-1</v>
      </c>
      <c r="EB240">
        <f t="shared" ref="EB240:EO240" si="699">IF(OR(EB239=-1,AND(IF(EB$3&lt;$B240,EB239+EB$6,IF(EB$3=$B240,1,""))&gt;$B$1,EB$3&lt;$B240)),-1,IF(EB$3&lt;$B240,EB239+EB$6,IF(EB$3=$B240,1,"")))</f>
        <v>-1</v>
      </c>
      <c r="EC240">
        <f t="shared" si="699"/>
        <v>-1</v>
      </c>
      <c r="ED240">
        <f t="shared" si="699"/>
        <v>-1</v>
      </c>
      <c r="EE240">
        <f t="shared" si="699"/>
        <v>-1</v>
      </c>
      <c r="EF240">
        <f t="shared" si="699"/>
        <v>-1</v>
      </c>
      <c r="EG240">
        <f t="shared" si="699"/>
        <v>-1</v>
      </c>
      <c r="EH240">
        <f t="shared" si="699"/>
        <v>-1</v>
      </c>
      <c r="EI240">
        <f t="shared" si="699"/>
        <v>-1</v>
      </c>
      <c r="EJ240">
        <f t="shared" si="699"/>
        <v>-1</v>
      </c>
      <c r="EK240">
        <f t="shared" si="699"/>
        <v>-1</v>
      </c>
      <c r="EL240">
        <f t="shared" si="699"/>
        <v>-1</v>
      </c>
      <c r="EM240">
        <f t="shared" si="699"/>
        <v>-1</v>
      </c>
      <c r="EN240">
        <f t="shared" si="699"/>
        <v>-1</v>
      </c>
      <c r="EO240">
        <f t="shared" si="699"/>
        <v>-1</v>
      </c>
    </row>
    <row r="241" spans="1:145" x14ac:dyDescent="0.15">
      <c r="A241" t="e">
        <f t="shared" si="579"/>
        <v>#N/A</v>
      </c>
      <c r="B241" s="218">
        <v>233</v>
      </c>
      <c r="C241">
        <f t="shared" si="579"/>
        <v>-1</v>
      </c>
      <c r="D241">
        <f t="shared" ref="D241:BO241" si="700">IF(OR(D240=-1,AND(IF(D$3&lt;$B241,D240+D$6,IF(D$3=$B241,1,""))&gt;$B$1,D$3&lt;$B241)),-1,IF(D$3&lt;$B241,D240+D$6,IF(D$3=$B241,1,"")))</f>
        <v>-1</v>
      </c>
      <c r="E241">
        <f t="shared" si="700"/>
        <v>-1</v>
      </c>
      <c r="F241">
        <f t="shared" si="700"/>
        <v>-1</v>
      </c>
      <c r="G241">
        <f t="shared" si="700"/>
        <v>-1</v>
      </c>
      <c r="H241">
        <f t="shared" si="700"/>
        <v>-1</v>
      </c>
      <c r="I241">
        <f t="shared" si="700"/>
        <v>-1</v>
      </c>
      <c r="J241">
        <f t="shared" si="700"/>
        <v>-1</v>
      </c>
      <c r="K241">
        <f t="shared" si="700"/>
        <v>-1</v>
      </c>
      <c r="L241">
        <f t="shared" si="700"/>
        <v>-1</v>
      </c>
      <c r="M241">
        <f t="shared" si="700"/>
        <v>-1</v>
      </c>
      <c r="N241">
        <f t="shared" si="700"/>
        <v>-1</v>
      </c>
      <c r="O241">
        <f t="shared" si="700"/>
        <v>-1</v>
      </c>
      <c r="P241">
        <f t="shared" si="700"/>
        <v>-1</v>
      </c>
      <c r="Q241">
        <f t="shared" si="700"/>
        <v>-1</v>
      </c>
      <c r="R241">
        <f t="shared" si="700"/>
        <v>-1</v>
      </c>
      <c r="S241">
        <f t="shared" si="700"/>
        <v>-1</v>
      </c>
      <c r="T241">
        <f t="shared" si="700"/>
        <v>-1</v>
      </c>
      <c r="U241">
        <f t="shared" si="700"/>
        <v>-1</v>
      </c>
      <c r="V241">
        <f t="shared" si="700"/>
        <v>-1</v>
      </c>
      <c r="W241">
        <f t="shared" si="700"/>
        <v>-1</v>
      </c>
      <c r="X241">
        <f t="shared" si="700"/>
        <v>-1</v>
      </c>
      <c r="Y241">
        <f t="shared" si="700"/>
        <v>-1</v>
      </c>
      <c r="Z241">
        <f t="shared" si="700"/>
        <v>-1</v>
      </c>
      <c r="AA241">
        <f t="shared" si="700"/>
        <v>-1</v>
      </c>
      <c r="AB241">
        <f t="shared" si="700"/>
        <v>-1</v>
      </c>
      <c r="AC241">
        <f t="shared" si="700"/>
        <v>-1</v>
      </c>
      <c r="AD241">
        <f t="shared" si="700"/>
        <v>-1</v>
      </c>
      <c r="AE241">
        <f t="shared" si="700"/>
        <v>-1</v>
      </c>
      <c r="AF241">
        <f t="shared" si="700"/>
        <v>-1</v>
      </c>
      <c r="AG241">
        <f t="shared" si="700"/>
        <v>-1</v>
      </c>
      <c r="AH241">
        <f t="shared" si="700"/>
        <v>-1</v>
      </c>
      <c r="AI241">
        <f t="shared" si="700"/>
        <v>-1</v>
      </c>
      <c r="AJ241">
        <f t="shared" si="700"/>
        <v>-1</v>
      </c>
      <c r="AK241">
        <f t="shared" si="700"/>
        <v>-1</v>
      </c>
      <c r="AL241">
        <f t="shared" si="700"/>
        <v>-1</v>
      </c>
      <c r="AM241">
        <f t="shared" si="700"/>
        <v>-1</v>
      </c>
      <c r="AN241">
        <f t="shared" si="700"/>
        <v>-1</v>
      </c>
      <c r="AO241">
        <f t="shared" si="700"/>
        <v>-1</v>
      </c>
      <c r="AP241">
        <f t="shared" si="700"/>
        <v>-1</v>
      </c>
      <c r="AQ241">
        <f t="shared" si="700"/>
        <v>-1</v>
      </c>
      <c r="AR241">
        <f t="shared" si="700"/>
        <v>-1</v>
      </c>
      <c r="AS241">
        <f t="shared" si="700"/>
        <v>-1</v>
      </c>
      <c r="AT241">
        <f t="shared" si="700"/>
        <v>-1</v>
      </c>
      <c r="AU241">
        <f t="shared" si="700"/>
        <v>-1</v>
      </c>
      <c r="AV241">
        <f t="shared" si="700"/>
        <v>-1</v>
      </c>
      <c r="AW241">
        <f t="shared" si="700"/>
        <v>-1</v>
      </c>
      <c r="AX241">
        <f t="shared" si="700"/>
        <v>-1</v>
      </c>
      <c r="AY241">
        <f t="shared" si="700"/>
        <v>-1</v>
      </c>
      <c r="AZ241">
        <f t="shared" si="700"/>
        <v>-1</v>
      </c>
      <c r="BA241">
        <f t="shared" si="700"/>
        <v>-1</v>
      </c>
      <c r="BB241">
        <f t="shared" si="700"/>
        <v>-1</v>
      </c>
      <c r="BC241">
        <f t="shared" si="700"/>
        <v>-1</v>
      </c>
      <c r="BD241">
        <f t="shared" si="700"/>
        <v>-1</v>
      </c>
      <c r="BE241">
        <f t="shared" si="700"/>
        <v>-1</v>
      </c>
      <c r="BF241">
        <f t="shared" si="700"/>
        <v>-1</v>
      </c>
      <c r="BG241">
        <f t="shared" si="700"/>
        <v>-1</v>
      </c>
      <c r="BH241">
        <f t="shared" si="700"/>
        <v>-1</v>
      </c>
      <c r="BI241">
        <f t="shared" si="700"/>
        <v>-1</v>
      </c>
      <c r="BJ241">
        <f t="shared" si="700"/>
        <v>-1</v>
      </c>
      <c r="BK241">
        <f t="shared" si="700"/>
        <v>-1</v>
      </c>
      <c r="BL241">
        <f t="shared" si="700"/>
        <v>-1</v>
      </c>
      <c r="BM241">
        <f t="shared" si="700"/>
        <v>-1</v>
      </c>
      <c r="BN241">
        <f t="shared" si="700"/>
        <v>-1</v>
      </c>
      <c r="BO241">
        <f t="shared" si="700"/>
        <v>-1</v>
      </c>
      <c r="BP241">
        <f t="shared" ref="BP241:EA241" si="701">IF(OR(BP240=-1,AND(IF(BP$3&lt;$B241,BP240+BP$6,IF(BP$3=$B241,1,""))&gt;$B$1,BP$3&lt;$B241)),-1,IF(BP$3&lt;$B241,BP240+BP$6,IF(BP$3=$B241,1,"")))</f>
        <v>-1</v>
      </c>
      <c r="BQ241">
        <f t="shared" si="701"/>
        <v>-1</v>
      </c>
      <c r="BR241">
        <f t="shared" si="701"/>
        <v>-1</v>
      </c>
      <c r="BS241">
        <f t="shared" si="701"/>
        <v>-1</v>
      </c>
      <c r="BT241">
        <f t="shared" si="701"/>
        <v>-1</v>
      </c>
      <c r="BU241">
        <f t="shared" si="701"/>
        <v>-1</v>
      </c>
      <c r="BV241">
        <f t="shared" si="701"/>
        <v>-1</v>
      </c>
      <c r="BW241">
        <f t="shared" si="701"/>
        <v>-1</v>
      </c>
      <c r="BX241">
        <f t="shared" si="701"/>
        <v>-1</v>
      </c>
      <c r="BY241">
        <f t="shared" si="701"/>
        <v>-1</v>
      </c>
      <c r="BZ241">
        <f t="shared" si="701"/>
        <v>-1</v>
      </c>
      <c r="CA241">
        <f t="shared" si="701"/>
        <v>-1</v>
      </c>
      <c r="CB241">
        <f t="shared" si="701"/>
        <v>-1</v>
      </c>
      <c r="CC241">
        <f t="shared" si="701"/>
        <v>-1</v>
      </c>
      <c r="CD241">
        <f t="shared" si="701"/>
        <v>-1</v>
      </c>
      <c r="CE241">
        <f t="shared" si="701"/>
        <v>-1</v>
      </c>
      <c r="CF241">
        <f t="shared" si="701"/>
        <v>-1</v>
      </c>
      <c r="CG241">
        <f t="shared" si="701"/>
        <v>-1</v>
      </c>
      <c r="CH241">
        <f t="shared" si="701"/>
        <v>-1</v>
      </c>
      <c r="CI241">
        <f t="shared" si="701"/>
        <v>-1</v>
      </c>
      <c r="CJ241">
        <f t="shared" si="701"/>
        <v>-1</v>
      </c>
      <c r="CK241">
        <f t="shared" si="701"/>
        <v>-1</v>
      </c>
      <c r="CL241">
        <f t="shared" si="701"/>
        <v>-1</v>
      </c>
      <c r="CM241">
        <f t="shared" si="701"/>
        <v>72.40000000000002</v>
      </c>
      <c r="CN241">
        <f t="shared" si="701"/>
        <v>68.800000000000054</v>
      </c>
      <c r="CO241">
        <f t="shared" si="701"/>
        <v>-1</v>
      </c>
      <c r="CP241">
        <f t="shared" si="701"/>
        <v>-1</v>
      </c>
      <c r="CQ241">
        <f t="shared" si="701"/>
        <v>-1</v>
      </c>
      <c r="CR241">
        <f t="shared" si="701"/>
        <v>-1</v>
      </c>
      <c r="CS241">
        <f t="shared" si="701"/>
        <v>-1</v>
      </c>
      <c r="CT241">
        <f t="shared" si="701"/>
        <v>-1</v>
      </c>
      <c r="CU241">
        <f t="shared" si="701"/>
        <v>-1</v>
      </c>
      <c r="CV241">
        <f t="shared" si="701"/>
        <v>-1</v>
      </c>
      <c r="CW241">
        <f t="shared" si="701"/>
        <v>-1</v>
      </c>
      <c r="CX241">
        <f t="shared" si="701"/>
        <v>-1</v>
      </c>
      <c r="CY241">
        <f t="shared" si="701"/>
        <v>-1</v>
      </c>
      <c r="CZ241">
        <f t="shared" si="701"/>
        <v>-1</v>
      </c>
      <c r="DA241">
        <f t="shared" si="701"/>
        <v>-1</v>
      </c>
      <c r="DB241">
        <f t="shared" si="701"/>
        <v>-1</v>
      </c>
      <c r="DC241">
        <f t="shared" si="701"/>
        <v>-1</v>
      </c>
      <c r="DD241">
        <f t="shared" si="701"/>
        <v>-1</v>
      </c>
      <c r="DE241">
        <f t="shared" si="701"/>
        <v>-1</v>
      </c>
      <c r="DF241">
        <f t="shared" si="701"/>
        <v>-1</v>
      </c>
      <c r="DG241">
        <f t="shared" si="701"/>
        <v>-1</v>
      </c>
      <c r="DH241">
        <f t="shared" si="701"/>
        <v>-1</v>
      </c>
      <c r="DI241">
        <f t="shared" si="701"/>
        <v>-1</v>
      </c>
      <c r="DJ241">
        <f t="shared" si="701"/>
        <v>-1</v>
      </c>
      <c r="DK241">
        <f t="shared" si="701"/>
        <v>-1</v>
      </c>
      <c r="DL241">
        <f t="shared" si="701"/>
        <v>-1</v>
      </c>
      <c r="DM241">
        <f t="shared" si="701"/>
        <v>-1</v>
      </c>
      <c r="DN241">
        <f t="shared" si="701"/>
        <v>-1</v>
      </c>
      <c r="DO241">
        <f t="shared" si="701"/>
        <v>-1</v>
      </c>
      <c r="DP241">
        <f t="shared" si="701"/>
        <v>-1</v>
      </c>
      <c r="DQ241">
        <f t="shared" si="701"/>
        <v>-1</v>
      </c>
      <c r="DR241">
        <f t="shared" si="701"/>
        <v>-1</v>
      </c>
      <c r="DS241">
        <f t="shared" si="701"/>
        <v>-1</v>
      </c>
      <c r="DT241">
        <f t="shared" si="701"/>
        <v>-1</v>
      </c>
      <c r="DU241">
        <f t="shared" si="701"/>
        <v>-1</v>
      </c>
      <c r="DV241">
        <f t="shared" si="701"/>
        <v>-1</v>
      </c>
      <c r="DW241">
        <f t="shared" si="701"/>
        <v>-1</v>
      </c>
      <c r="DX241">
        <f t="shared" si="701"/>
        <v>-1</v>
      </c>
      <c r="DY241">
        <f t="shared" si="701"/>
        <v>-1</v>
      </c>
      <c r="DZ241">
        <f t="shared" si="701"/>
        <v>-1</v>
      </c>
      <c r="EA241">
        <f t="shared" si="701"/>
        <v>-1</v>
      </c>
      <c r="EB241">
        <f t="shared" ref="EB241:EO241" si="702">IF(OR(EB240=-1,AND(IF(EB$3&lt;$B241,EB240+EB$6,IF(EB$3=$B241,1,""))&gt;$B$1,EB$3&lt;$B241)),-1,IF(EB$3&lt;$B241,EB240+EB$6,IF(EB$3=$B241,1,"")))</f>
        <v>-1</v>
      </c>
      <c r="EC241">
        <f t="shared" si="702"/>
        <v>-1</v>
      </c>
      <c r="ED241">
        <f t="shared" si="702"/>
        <v>-1</v>
      </c>
      <c r="EE241">
        <f t="shared" si="702"/>
        <v>-1</v>
      </c>
      <c r="EF241">
        <f t="shared" si="702"/>
        <v>-1</v>
      </c>
      <c r="EG241">
        <f t="shared" si="702"/>
        <v>-1</v>
      </c>
      <c r="EH241">
        <f t="shared" si="702"/>
        <v>-1</v>
      </c>
      <c r="EI241">
        <f t="shared" si="702"/>
        <v>-1</v>
      </c>
      <c r="EJ241">
        <f t="shared" si="702"/>
        <v>-1</v>
      </c>
      <c r="EK241">
        <f t="shared" si="702"/>
        <v>-1</v>
      </c>
      <c r="EL241">
        <f t="shared" si="702"/>
        <v>-1</v>
      </c>
      <c r="EM241">
        <f t="shared" si="702"/>
        <v>-1</v>
      </c>
      <c r="EN241">
        <f t="shared" si="702"/>
        <v>-1</v>
      </c>
      <c r="EO241">
        <f t="shared" si="702"/>
        <v>-1</v>
      </c>
    </row>
    <row r="242" spans="1:145" x14ac:dyDescent="0.15">
      <c r="A242" t="e">
        <f t="shared" si="579"/>
        <v>#N/A</v>
      </c>
      <c r="B242" s="218">
        <v>234</v>
      </c>
      <c r="C242">
        <f t="shared" si="579"/>
        <v>-1</v>
      </c>
      <c r="D242">
        <f t="shared" ref="D242:BO242" si="703">IF(OR(D241=-1,AND(IF(D$3&lt;$B242,D241+D$6,IF(D$3=$B242,1,""))&gt;$B$1,D$3&lt;$B242)),-1,IF(D$3&lt;$B242,D241+D$6,IF(D$3=$B242,1,"")))</f>
        <v>-1</v>
      </c>
      <c r="E242">
        <f t="shared" si="703"/>
        <v>-1</v>
      </c>
      <c r="F242">
        <f t="shared" si="703"/>
        <v>-1</v>
      </c>
      <c r="G242">
        <f t="shared" si="703"/>
        <v>-1</v>
      </c>
      <c r="H242">
        <f t="shared" si="703"/>
        <v>-1</v>
      </c>
      <c r="I242">
        <f t="shared" si="703"/>
        <v>-1</v>
      </c>
      <c r="J242">
        <f t="shared" si="703"/>
        <v>-1</v>
      </c>
      <c r="K242">
        <f t="shared" si="703"/>
        <v>-1</v>
      </c>
      <c r="L242">
        <f t="shared" si="703"/>
        <v>-1</v>
      </c>
      <c r="M242">
        <f t="shared" si="703"/>
        <v>-1</v>
      </c>
      <c r="N242">
        <f t="shared" si="703"/>
        <v>-1</v>
      </c>
      <c r="O242">
        <f t="shared" si="703"/>
        <v>-1</v>
      </c>
      <c r="P242">
        <f t="shared" si="703"/>
        <v>-1</v>
      </c>
      <c r="Q242">
        <f t="shared" si="703"/>
        <v>-1</v>
      </c>
      <c r="R242">
        <f t="shared" si="703"/>
        <v>-1</v>
      </c>
      <c r="S242">
        <f t="shared" si="703"/>
        <v>-1</v>
      </c>
      <c r="T242">
        <f t="shared" si="703"/>
        <v>-1</v>
      </c>
      <c r="U242">
        <f t="shared" si="703"/>
        <v>-1</v>
      </c>
      <c r="V242">
        <f t="shared" si="703"/>
        <v>-1</v>
      </c>
      <c r="W242">
        <f t="shared" si="703"/>
        <v>-1</v>
      </c>
      <c r="X242">
        <f t="shared" si="703"/>
        <v>-1</v>
      </c>
      <c r="Y242">
        <f t="shared" si="703"/>
        <v>-1</v>
      </c>
      <c r="Z242">
        <f t="shared" si="703"/>
        <v>-1</v>
      </c>
      <c r="AA242">
        <f t="shared" si="703"/>
        <v>-1</v>
      </c>
      <c r="AB242">
        <f t="shared" si="703"/>
        <v>-1</v>
      </c>
      <c r="AC242">
        <f t="shared" si="703"/>
        <v>-1</v>
      </c>
      <c r="AD242">
        <f t="shared" si="703"/>
        <v>-1</v>
      </c>
      <c r="AE242">
        <f t="shared" si="703"/>
        <v>-1</v>
      </c>
      <c r="AF242">
        <f t="shared" si="703"/>
        <v>-1</v>
      </c>
      <c r="AG242">
        <f t="shared" si="703"/>
        <v>-1</v>
      </c>
      <c r="AH242">
        <f t="shared" si="703"/>
        <v>-1</v>
      </c>
      <c r="AI242">
        <f t="shared" si="703"/>
        <v>-1</v>
      </c>
      <c r="AJ242">
        <f t="shared" si="703"/>
        <v>-1</v>
      </c>
      <c r="AK242">
        <f t="shared" si="703"/>
        <v>-1</v>
      </c>
      <c r="AL242">
        <f t="shared" si="703"/>
        <v>-1</v>
      </c>
      <c r="AM242">
        <f t="shared" si="703"/>
        <v>-1</v>
      </c>
      <c r="AN242">
        <f t="shared" si="703"/>
        <v>-1</v>
      </c>
      <c r="AO242">
        <f t="shared" si="703"/>
        <v>-1</v>
      </c>
      <c r="AP242">
        <f t="shared" si="703"/>
        <v>-1</v>
      </c>
      <c r="AQ242">
        <f t="shared" si="703"/>
        <v>-1</v>
      </c>
      <c r="AR242">
        <f t="shared" si="703"/>
        <v>-1</v>
      </c>
      <c r="AS242">
        <f t="shared" si="703"/>
        <v>-1</v>
      </c>
      <c r="AT242">
        <f t="shared" si="703"/>
        <v>-1</v>
      </c>
      <c r="AU242">
        <f t="shared" si="703"/>
        <v>-1</v>
      </c>
      <c r="AV242">
        <f t="shared" si="703"/>
        <v>-1</v>
      </c>
      <c r="AW242">
        <f t="shared" si="703"/>
        <v>-1</v>
      </c>
      <c r="AX242">
        <f t="shared" si="703"/>
        <v>-1</v>
      </c>
      <c r="AY242">
        <f t="shared" si="703"/>
        <v>-1</v>
      </c>
      <c r="AZ242">
        <f t="shared" si="703"/>
        <v>-1</v>
      </c>
      <c r="BA242">
        <f t="shared" si="703"/>
        <v>-1</v>
      </c>
      <c r="BB242">
        <f t="shared" si="703"/>
        <v>-1</v>
      </c>
      <c r="BC242">
        <f t="shared" si="703"/>
        <v>-1</v>
      </c>
      <c r="BD242">
        <f t="shared" si="703"/>
        <v>-1</v>
      </c>
      <c r="BE242">
        <f t="shared" si="703"/>
        <v>-1</v>
      </c>
      <c r="BF242">
        <f t="shared" si="703"/>
        <v>-1</v>
      </c>
      <c r="BG242">
        <f t="shared" si="703"/>
        <v>-1</v>
      </c>
      <c r="BH242">
        <f t="shared" si="703"/>
        <v>-1</v>
      </c>
      <c r="BI242">
        <f t="shared" si="703"/>
        <v>-1</v>
      </c>
      <c r="BJ242">
        <f t="shared" si="703"/>
        <v>-1</v>
      </c>
      <c r="BK242">
        <f t="shared" si="703"/>
        <v>-1</v>
      </c>
      <c r="BL242">
        <f t="shared" si="703"/>
        <v>-1</v>
      </c>
      <c r="BM242">
        <f t="shared" si="703"/>
        <v>-1</v>
      </c>
      <c r="BN242">
        <f t="shared" si="703"/>
        <v>-1</v>
      </c>
      <c r="BO242">
        <f t="shared" si="703"/>
        <v>-1</v>
      </c>
      <c r="BP242">
        <f t="shared" ref="BP242:EA242" si="704">IF(OR(BP241=-1,AND(IF(BP$3&lt;$B242,BP241+BP$6,IF(BP$3=$B242,1,""))&gt;$B$1,BP$3&lt;$B242)),-1,IF(BP$3&lt;$B242,BP241+BP$6,IF(BP$3=$B242,1,"")))</f>
        <v>-1</v>
      </c>
      <c r="BQ242">
        <f t="shared" si="704"/>
        <v>-1</v>
      </c>
      <c r="BR242">
        <f t="shared" si="704"/>
        <v>-1</v>
      </c>
      <c r="BS242">
        <f t="shared" si="704"/>
        <v>-1</v>
      </c>
      <c r="BT242">
        <f t="shared" si="704"/>
        <v>-1</v>
      </c>
      <c r="BU242">
        <f t="shared" si="704"/>
        <v>-1</v>
      </c>
      <c r="BV242">
        <f t="shared" si="704"/>
        <v>-1</v>
      </c>
      <c r="BW242">
        <f t="shared" si="704"/>
        <v>-1</v>
      </c>
      <c r="BX242">
        <f t="shared" si="704"/>
        <v>-1</v>
      </c>
      <c r="BY242">
        <f t="shared" si="704"/>
        <v>-1</v>
      </c>
      <c r="BZ242">
        <f t="shared" si="704"/>
        <v>-1</v>
      </c>
      <c r="CA242">
        <f t="shared" si="704"/>
        <v>-1</v>
      </c>
      <c r="CB242">
        <f t="shared" si="704"/>
        <v>-1</v>
      </c>
      <c r="CC242">
        <f t="shared" si="704"/>
        <v>-1</v>
      </c>
      <c r="CD242">
        <f t="shared" si="704"/>
        <v>-1</v>
      </c>
      <c r="CE242">
        <f t="shared" si="704"/>
        <v>-1</v>
      </c>
      <c r="CF242">
        <f t="shared" si="704"/>
        <v>-1</v>
      </c>
      <c r="CG242">
        <f t="shared" si="704"/>
        <v>-1</v>
      </c>
      <c r="CH242">
        <f t="shared" si="704"/>
        <v>-1</v>
      </c>
      <c r="CI242">
        <f t="shared" si="704"/>
        <v>-1</v>
      </c>
      <c r="CJ242">
        <f t="shared" si="704"/>
        <v>-1</v>
      </c>
      <c r="CK242">
        <f t="shared" si="704"/>
        <v>-1</v>
      </c>
      <c r="CL242">
        <f t="shared" si="704"/>
        <v>-1</v>
      </c>
      <c r="CM242">
        <f t="shared" si="704"/>
        <v>73.000000000000014</v>
      </c>
      <c r="CN242">
        <f t="shared" si="704"/>
        <v>69.400000000000048</v>
      </c>
      <c r="CO242">
        <f t="shared" si="704"/>
        <v>-1</v>
      </c>
      <c r="CP242">
        <f t="shared" si="704"/>
        <v>-1</v>
      </c>
      <c r="CQ242">
        <f t="shared" si="704"/>
        <v>-1</v>
      </c>
      <c r="CR242">
        <f t="shared" si="704"/>
        <v>-1</v>
      </c>
      <c r="CS242">
        <f t="shared" si="704"/>
        <v>-1</v>
      </c>
      <c r="CT242">
        <f t="shared" si="704"/>
        <v>-1</v>
      </c>
      <c r="CU242">
        <f t="shared" si="704"/>
        <v>-1</v>
      </c>
      <c r="CV242">
        <f t="shared" si="704"/>
        <v>-1</v>
      </c>
      <c r="CW242">
        <f t="shared" si="704"/>
        <v>-1</v>
      </c>
      <c r="CX242">
        <f t="shared" si="704"/>
        <v>-1</v>
      </c>
      <c r="CY242">
        <f t="shared" si="704"/>
        <v>-1</v>
      </c>
      <c r="CZ242">
        <f t="shared" si="704"/>
        <v>-1</v>
      </c>
      <c r="DA242">
        <f t="shared" si="704"/>
        <v>-1</v>
      </c>
      <c r="DB242">
        <f t="shared" si="704"/>
        <v>-1</v>
      </c>
      <c r="DC242">
        <f t="shared" si="704"/>
        <v>-1</v>
      </c>
      <c r="DD242">
        <f t="shared" si="704"/>
        <v>-1</v>
      </c>
      <c r="DE242">
        <f t="shared" si="704"/>
        <v>-1</v>
      </c>
      <c r="DF242">
        <f t="shared" si="704"/>
        <v>-1</v>
      </c>
      <c r="DG242">
        <f t="shared" si="704"/>
        <v>-1</v>
      </c>
      <c r="DH242">
        <f t="shared" si="704"/>
        <v>-1</v>
      </c>
      <c r="DI242">
        <f t="shared" si="704"/>
        <v>-1</v>
      </c>
      <c r="DJ242">
        <f t="shared" si="704"/>
        <v>-1</v>
      </c>
      <c r="DK242">
        <f t="shared" si="704"/>
        <v>-1</v>
      </c>
      <c r="DL242">
        <f t="shared" si="704"/>
        <v>-1</v>
      </c>
      <c r="DM242">
        <f t="shared" si="704"/>
        <v>-1</v>
      </c>
      <c r="DN242">
        <f t="shared" si="704"/>
        <v>-1</v>
      </c>
      <c r="DO242">
        <f t="shared" si="704"/>
        <v>-1</v>
      </c>
      <c r="DP242">
        <f t="shared" si="704"/>
        <v>-1</v>
      </c>
      <c r="DQ242">
        <f t="shared" si="704"/>
        <v>-1</v>
      </c>
      <c r="DR242">
        <f t="shared" si="704"/>
        <v>-1</v>
      </c>
      <c r="DS242">
        <f t="shared" si="704"/>
        <v>-1</v>
      </c>
      <c r="DT242">
        <f t="shared" si="704"/>
        <v>-1</v>
      </c>
      <c r="DU242">
        <f t="shared" si="704"/>
        <v>-1</v>
      </c>
      <c r="DV242">
        <f t="shared" si="704"/>
        <v>-1</v>
      </c>
      <c r="DW242">
        <f t="shared" si="704"/>
        <v>-1</v>
      </c>
      <c r="DX242">
        <f t="shared" si="704"/>
        <v>-1</v>
      </c>
      <c r="DY242">
        <f t="shared" si="704"/>
        <v>-1</v>
      </c>
      <c r="DZ242">
        <f t="shared" si="704"/>
        <v>-1</v>
      </c>
      <c r="EA242">
        <f t="shared" si="704"/>
        <v>-1</v>
      </c>
      <c r="EB242">
        <f t="shared" ref="EB242:EO242" si="705">IF(OR(EB241=-1,AND(IF(EB$3&lt;$B242,EB241+EB$6,IF(EB$3=$B242,1,""))&gt;$B$1,EB$3&lt;$B242)),-1,IF(EB$3&lt;$B242,EB241+EB$6,IF(EB$3=$B242,1,"")))</f>
        <v>-1</v>
      </c>
      <c r="EC242">
        <f t="shared" si="705"/>
        <v>-1</v>
      </c>
      <c r="ED242">
        <f t="shared" si="705"/>
        <v>-1</v>
      </c>
      <c r="EE242">
        <f t="shared" si="705"/>
        <v>-1</v>
      </c>
      <c r="EF242">
        <f t="shared" si="705"/>
        <v>-1</v>
      </c>
      <c r="EG242">
        <f t="shared" si="705"/>
        <v>-1</v>
      </c>
      <c r="EH242">
        <f t="shared" si="705"/>
        <v>-1</v>
      </c>
      <c r="EI242">
        <f t="shared" si="705"/>
        <v>-1</v>
      </c>
      <c r="EJ242">
        <f t="shared" si="705"/>
        <v>-1</v>
      </c>
      <c r="EK242">
        <f t="shared" si="705"/>
        <v>-1</v>
      </c>
      <c r="EL242">
        <f t="shared" si="705"/>
        <v>-1</v>
      </c>
      <c r="EM242">
        <f t="shared" si="705"/>
        <v>-1</v>
      </c>
      <c r="EN242">
        <f t="shared" si="705"/>
        <v>-1</v>
      </c>
      <c r="EO242">
        <f t="shared" si="705"/>
        <v>-1</v>
      </c>
    </row>
    <row r="243" spans="1:145" x14ac:dyDescent="0.15">
      <c r="A243" t="e">
        <f t="shared" si="579"/>
        <v>#N/A</v>
      </c>
      <c r="B243" s="218">
        <v>235</v>
      </c>
      <c r="C243">
        <f t="shared" si="579"/>
        <v>-1</v>
      </c>
      <c r="D243">
        <f t="shared" ref="D243:BO243" si="706">IF(OR(D242=-1,AND(IF(D$3&lt;$B243,D242+D$6,IF(D$3=$B243,1,""))&gt;$B$1,D$3&lt;$B243)),-1,IF(D$3&lt;$B243,D242+D$6,IF(D$3=$B243,1,"")))</f>
        <v>-1</v>
      </c>
      <c r="E243">
        <f t="shared" si="706"/>
        <v>-1</v>
      </c>
      <c r="F243">
        <f t="shared" si="706"/>
        <v>-1</v>
      </c>
      <c r="G243">
        <f t="shared" si="706"/>
        <v>-1</v>
      </c>
      <c r="H243">
        <f t="shared" si="706"/>
        <v>-1</v>
      </c>
      <c r="I243">
        <f t="shared" si="706"/>
        <v>-1</v>
      </c>
      <c r="J243">
        <f t="shared" si="706"/>
        <v>-1</v>
      </c>
      <c r="K243">
        <f t="shared" si="706"/>
        <v>-1</v>
      </c>
      <c r="L243">
        <f t="shared" si="706"/>
        <v>-1</v>
      </c>
      <c r="M243">
        <f t="shared" si="706"/>
        <v>-1</v>
      </c>
      <c r="N243">
        <f t="shared" si="706"/>
        <v>-1</v>
      </c>
      <c r="O243">
        <f t="shared" si="706"/>
        <v>-1</v>
      </c>
      <c r="P243">
        <f t="shared" si="706"/>
        <v>-1</v>
      </c>
      <c r="Q243">
        <f t="shared" si="706"/>
        <v>-1</v>
      </c>
      <c r="R243">
        <f t="shared" si="706"/>
        <v>-1</v>
      </c>
      <c r="S243">
        <f t="shared" si="706"/>
        <v>-1</v>
      </c>
      <c r="T243">
        <f t="shared" si="706"/>
        <v>-1</v>
      </c>
      <c r="U243">
        <f t="shared" si="706"/>
        <v>-1</v>
      </c>
      <c r="V243">
        <f t="shared" si="706"/>
        <v>-1</v>
      </c>
      <c r="W243">
        <f t="shared" si="706"/>
        <v>-1</v>
      </c>
      <c r="X243">
        <f t="shared" si="706"/>
        <v>-1</v>
      </c>
      <c r="Y243">
        <f t="shared" si="706"/>
        <v>-1</v>
      </c>
      <c r="Z243">
        <f t="shared" si="706"/>
        <v>-1</v>
      </c>
      <c r="AA243">
        <f t="shared" si="706"/>
        <v>-1</v>
      </c>
      <c r="AB243">
        <f t="shared" si="706"/>
        <v>-1</v>
      </c>
      <c r="AC243">
        <f t="shared" si="706"/>
        <v>-1</v>
      </c>
      <c r="AD243">
        <f t="shared" si="706"/>
        <v>-1</v>
      </c>
      <c r="AE243">
        <f t="shared" si="706"/>
        <v>-1</v>
      </c>
      <c r="AF243">
        <f t="shared" si="706"/>
        <v>-1</v>
      </c>
      <c r="AG243">
        <f t="shared" si="706"/>
        <v>-1</v>
      </c>
      <c r="AH243">
        <f t="shared" si="706"/>
        <v>-1</v>
      </c>
      <c r="AI243">
        <f t="shared" si="706"/>
        <v>-1</v>
      </c>
      <c r="AJ243">
        <f t="shared" si="706"/>
        <v>-1</v>
      </c>
      <c r="AK243">
        <f t="shared" si="706"/>
        <v>-1</v>
      </c>
      <c r="AL243">
        <f t="shared" si="706"/>
        <v>-1</v>
      </c>
      <c r="AM243">
        <f t="shared" si="706"/>
        <v>-1</v>
      </c>
      <c r="AN243">
        <f t="shared" si="706"/>
        <v>-1</v>
      </c>
      <c r="AO243">
        <f t="shared" si="706"/>
        <v>-1</v>
      </c>
      <c r="AP243">
        <f t="shared" si="706"/>
        <v>-1</v>
      </c>
      <c r="AQ243">
        <f t="shared" si="706"/>
        <v>-1</v>
      </c>
      <c r="AR243">
        <f t="shared" si="706"/>
        <v>-1</v>
      </c>
      <c r="AS243">
        <f t="shared" si="706"/>
        <v>-1</v>
      </c>
      <c r="AT243">
        <f t="shared" si="706"/>
        <v>-1</v>
      </c>
      <c r="AU243">
        <f t="shared" si="706"/>
        <v>-1</v>
      </c>
      <c r="AV243">
        <f t="shared" si="706"/>
        <v>-1</v>
      </c>
      <c r="AW243">
        <f t="shared" si="706"/>
        <v>-1</v>
      </c>
      <c r="AX243">
        <f t="shared" si="706"/>
        <v>-1</v>
      </c>
      <c r="AY243">
        <f t="shared" si="706"/>
        <v>-1</v>
      </c>
      <c r="AZ243">
        <f t="shared" si="706"/>
        <v>-1</v>
      </c>
      <c r="BA243">
        <f t="shared" si="706"/>
        <v>-1</v>
      </c>
      <c r="BB243">
        <f t="shared" si="706"/>
        <v>-1</v>
      </c>
      <c r="BC243">
        <f t="shared" si="706"/>
        <v>-1</v>
      </c>
      <c r="BD243">
        <f t="shared" si="706"/>
        <v>-1</v>
      </c>
      <c r="BE243">
        <f t="shared" si="706"/>
        <v>-1</v>
      </c>
      <c r="BF243">
        <f t="shared" si="706"/>
        <v>-1</v>
      </c>
      <c r="BG243">
        <f t="shared" si="706"/>
        <v>-1</v>
      </c>
      <c r="BH243">
        <f t="shared" si="706"/>
        <v>-1</v>
      </c>
      <c r="BI243">
        <f t="shared" si="706"/>
        <v>-1</v>
      </c>
      <c r="BJ243">
        <f t="shared" si="706"/>
        <v>-1</v>
      </c>
      <c r="BK243">
        <f t="shared" si="706"/>
        <v>-1</v>
      </c>
      <c r="BL243">
        <f t="shared" si="706"/>
        <v>-1</v>
      </c>
      <c r="BM243">
        <f t="shared" si="706"/>
        <v>-1</v>
      </c>
      <c r="BN243">
        <f t="shared" si="706"/>
        <v>-1</v>
      </c>
      <c r="BO243">
        <f t="shared" si="706"/>
        <v>-1</v>
      </c>
      <c r="BP243">
        <f t="shared" ref="BP243:EA243" si="707">IF(OR(BP242=-1,AND(IF(BP$3&lt;$B243,BP242+BP$6,IF(BP$3=$B243,1,""))&gt;$B$1,BP$3&lt;$B243)),-1,IF(BP$3&lt;$B243,BP242+BP$6,IF(BP$3=$B243,1,"")))</f>
        <v>-1</v>
      </c>
      <c r="BQ243">
        <f t="shared" si="707"/>
        <v>-1</v>
      </c>
      <c r="BR243">
        <f t="shared" si="707"/>
        <v>-1</v>
      </c>
      <c r="BS243">
        <f t="shared" si="707"/>
        <v>-1</v>
      </c>
      <c r="BT243">
        <f t="shared" si="707"/>
        <v>-1</v>
      </c>
      <c r="BU243">
        <f t="shared" si="707"/>
        <v>-1</v>
      </c>
      <c r="BV243">
        <f t="shared" si="707"/>
        <v>-1</v>
      </c>
      <c r="BW243">
        <f t="shared" si="707"/>
        <v>-1</v>
      </c>
      <c r="BX243">
        <f t="shared" si="707"/>
        <v>-1</v>
      </c>
      <c r="BY243">
        <f t="shared" si="707"/>
        <v>-1</v>
      </c>
      <c r="BZ243">
        <f t="shared" si="707"/>
        <v>-1</v>
      </c>
      <c r="CA243">
        <f t="shared" si="707"/>
        <v>-1</v>
      </c>
      <c r="CB243">
        <f t="shared" si="707"/>
        <v>-1</v>
      </c>
      <c r="CC243">
        <f t="shared" si="707"/>
        <v>-1</v>
      </c>
      <c r="CD243">
        <f t="shared" si="707"/>
        <v>-1</v>
      </c>
      <c r="CE243">
        <f t="shared" si="707"/>
        <v>-1</v>
      </c>
      <c r="CF243">
        <f t="shared" si="707"/>
        <v>-1</v>
      </c>
      <c r="CG243">
        <f t="shared" si="707"/>
        <v>-1</v>
      </c>
      <c r="CH243">
        <f t="shared" si="707"/>
        <v>-1</v>
      </c>
      <c r="CI243">
        <f t="shared" si="707"/>
        <v>-1</v>
      </c>
      <c r="CJ243">
        <f t="shared" si="707"/>
        <v>-1</v>
      </c>
      <c r="CK243">
        <f t="shared" si="707"/>
        <v>-1</v>
      </c>
      <c r="CL243">
        <f t="shared" si="707"/>
        <v>-1</v>
      </c>
      <c r="CM243">
        <f t="shared" si="707"/>
        <v>73.600000000000009</v>
      </c>
      <c r="CN243">
        <f t="shared" si="707"/>
        <v>70.000000000000043</v>
      </c>
      <c r="CO243">
        <f t="shared" si="707"/>
        <v>-1</v>
      </c>
      <c r="CP243">
        <f t="shared" si="707"/>
        <v>-1</v>
      </c>
      <c r="CQ243">
        <f t="shared" si="707"/>
        <v>-1</v>
      </c>
      <c r="CR243">
        <f t="shared" si="707"/>
        <v>-1</v>
      </c>
      <c r="CS243">
        <f t="shared" si="707"/>
        <v>-1</v>
      </c>
      <c r="CT243">
        <f t="shared" si="707"/>
        <v>-1</v>
      </c>
      <c r="CU243">
        <f t="shared" si="707"/>
        <v>-1</v>
      </c>
      <c r="CV243">
        <f t="shared" si="707"/>
        <v>-1</v>
      </c>
      <c r="CW243">
        <f t="shared" si="707"/>
        <v>-1</v>
      </c>
      <c r="CX243">
        <f t="shared" si="707"/>
        <v>-1</v>
      </c>
      <c r="CY243">
        <f t="shared" si="707"/>
        <v>-1</v>
      </c>
      <c r="CZ243">
        <f t="shared" si="707"/>
        <v>-1</v>
      </c>
      <c r="DA243">
        <f t="shared" si="707"/>
        <v>-1</v>
      </c>
      <c r="DB243">
        <f t="shared" si="707"/>
        <v>-1</v>
      </c>
      <c r="DC243">
        <f t="shared" si="707"/>
        <v>-1</v>
      </c>
      <c r="DD243">
        <f t="shared" si="707"/>
        <v>-1</v>
      </c>
      <c r="DE243">
        <f t="shared" si="707"/>
        <v>-1</v>
      </c>
      <c r="DF243">
        <f t="shared" si="707"/>
        <v>-1</v>
      </c>
      <c r="DG243">
        <f t="shared" si="707"/>
        <v>-1</v>
      </c>
      <c r="DH243">
        <f t="shared" si="707"/>
        <v>-1</v>
      </c>
      <c r="DI243">
        <f t="shared" si="707"/>
        <v>-1</v>
      </c>
      <c r="DJ243">
        <f t="shared" si="707"/>
        <v>-1</v>
      </c>
      <c r="DK243">
        <f t="shared" si="707"/>
        <v>-1</v>
      </c>
      <c r="DL243">
        <f t="shared" si="707"/>
        <v>-1</v>
      </c>
      <c r="DM243">
        <f t="shared" si="707"/>
        <v>-1</v>
      </c>
      <c r="DN243">
        <f t="shared" si="707"/>
        <v>-1</v>
      </c>
      <c r="DO243">
        <f t="shared" si="707"/>
        <v>-1</v>
      </c>
      <c r="DP243">
        <f t="shared" si="707"/>
        <v>-1</v>
      </c>
      <c r="DQ243">
        <f t="shared" si="707"/>
        <v>-1</v>
      </c>
      <c r="DR243">
        <f t="shared" si="707"/>
        <v>-1</v>
      </c>
      <c r="DS243">
        <f t="shared" si="707"/>
        <v>-1</v>
      </c>
      <c r="DT243">
        <f t="shared" si="707"/>
        <v>-1</v>
      </c>
      <c r="DU243">
        <f t="shared" si="707"/>
        <v>-1</v>
      </c>
      <c r="DV243">
        <f t="shared" si="707"/>
        <v>-1</v>
      </c>
      <c r="DW243">
        <f t="shared" si="707"/>
        <v>-1</v>
      </c>
      <c r="DX243">
        <f t="shared" si="707"/>
        <v>-1</v>
      </c>
      <c r="DY243">
        <f t="shared" si="707"/>
        <v>-1</v>
      </c>
      <c r="DZ243">
        <f t="shared" si="707"/>
        <v>-1</v>
      </c>
      <c r="EA243">
        <f t="shared" si="707"/>
        <v>-1</v>
      </c>
      <c r="EB243">
        <f t="shared" ref="EB243:EO243" si="708">IF(OR(EB242=-1,AND(IF(EB$3&lt;$B243,EB242+EB$6,IF(EB$3=$B243,1,""))&gt;$B$1,EB$3&lt;$B243)),-1,IF(EB$3&lt;$B243,EB242+EB$6,IF(EB$3=$B243,1,"")))</f>
        <v>-1</v>
      </c>
      <c r="EC243">
        <f t="shared" si="708"/>
        <v>-1</v>
      </c>
      <c r="ED243">
        <f t="shared" si="708"/>
        <v>-1</v>
      </c>
      <c r="EE243">
        <f t="shared" si="708"/>
        <v>-1</v>
      </c>
      <c r="EF243">
        <f t="shared" si="708"/>
        <v>-1</v>
      </c>
      <c r="EG243">
        <f t="shared" si="708"/>
        <v>-1</v>
      </c>
      <c r="EH243">
        <f t="shared" si="708"/>
        <v>-1</v>
      </c>
      <c r="EI243">
        <f t="shared" si="708"/>
        <v>-1</v>
      </c>
      <c r="EJ243">
        <f t="shared" si="708"/>
        <v>-1</v>
      </c>
      <c r="EK243">
        <f t="shared" si="708"/>
        <v>-1</v>
      </c>
      <c r="EL243">
        <f t="shared" si="708"/>
        <v>-1</v>
      </c>
      <c r="EM243">
        <f t="shared" si="708"/>
        <v>-1</v>
      </c>
      <c r="EN243">
        <f t="shared" si="708"/>
        <v>-1</v>
      </c>
      <c r="EO243">
        <f t="shared" si="708"/>
        <v>-1</v>
      </c>
    </row>
    <row r="244" spans="1:145" x14ac:dyDescent="0.15">
      <c r="A244" t="e">
        <f t="shared" si="579"/>
        <v>#N/A</v>
      </c>
      <c r="B244" s="218">
        <v>236</v>
      </c>
      <c r="C244">
        <f t="shared" si="579"/>
        <v>-1</v>
      </c>
      <c r="D244">
        <f t="shared" ref="D244:BO244" si="709">IF(OR(D243=-1,AND(IF(D$3&lt;$B244,D243+D$6,IF(D$3=$B244,1,""))&gt;$B$1,D$3&lt;$B244)),-1,IF(D$3&lt;$B244,D243+D$6,IF(D$3=$B244,1,"")))</f>
        <v>-1</v>
      </c>
      <c r="E244">
        <f t="shared" si="709"/>
        <v>-1</v>
      </c>
      <c r="F244">
        <f t="shared" si="709"/>
        <v>-1</v>
      </c>
      <c r="G244">
        <f t="shared" si="709"/>
        <v>-1</v>
      </c>
      <c r="H244">
        <f t="shared" si="709"/>
        <v>-1</v>
      </c>
      <c r="I244">
        <f t="shared" si="709"/>
        <v>-1</v>
      </c>
      <c r="J244">
        <f t="shared" si="709"/>
        <v>-1</v>
      </c>
      <c r="K244">
        <f t="shared" si="709"/>
        <v>-1</v>
      </c>
      <c r="L244">
        <f t="shared" si="709"/>
        <v>-1</v>
      </c>
      <c r="M244">
        <f t="shared" si="709"/>
        <v>-1</v>
      </c>
      <c r="N244">
        <f t="shared" si="709"/>
        <v>-1</v>
      </c>
      <c r="O244">
        <f t="shared" si="709"/>
        <v>-1</v>
      </c>
      <c r="P244">
        <f t="shared" si="709"/>
        <v>-1</v>
      </c>
      <c r="Q244">
        <f t="shared" si="709"/>
        <v>-1</v>
      </c>
      <c r="R244">
        <f t="shared" si="709"/>
        <v>-1</v>
      </c>
      <c r="S244">
        <f t="shared" si="709"/>
        <v>-1</v>
      </c>
      <c r="T244">
        <f t="shared" si="709"/>
        <v>-1</v>
      </c>
      <c r="U244">
        <f t="shared" si="709"/>
        <v>-1</v>
      </c>
      <c r="V244">
        <f t="shared" si="709"/>
        <v>-1</v>
      </c>
      <c r="W244">
        <f t="shared" si="709"/>
        <v>-1</v>
      </c>
      <c r="X244">
        <f t="shared" si="709"/>
        <v>-1</v>
      </c>
      <c r="Y244">
        <f t="shared" si="709"/>
        <v>-1</v>
      </c>
      <c r="Z244">
        <f t="shared" si="709"/>
        <v>-1</v>
      </c>
      <c r="AA244">
        <f t="shared" si="709"/>
        <v>-1</v>
      </c>
      <c r="AB244">
        <f t="shared" si="709"/>
        <v>-1</v>
      </c>
      <c r="AC244">
        <f t="shared" si="709"/>
        <v>-1</v>
      </c>
      <c r="AD244">
        <f t="shared" si="709"/>
        <v>-1</v>
      </c>
      <c r="AE244">
        <f t="shared" si="709"/>
        <v>-1</v>
      </c>
      <c r="AF244">
        <f t="shared" si="709"/>
        <v>-1</v>
      </c>
      <c r="AG244">
        <f t="shared" si="709"/>
        <v>-1</v>
      </c>
      <c r="AH244">
        <f t="shared" si="709"/>
        <v>-1</v>
      </c>
      <c r="AI244">
        <f t="shared" si="709"/>
        <v>-1</v>
      </c>
      <c r="AJ244">
        <f t="shared" si="709"/>
        <v>-1</v>
      </c>
      <c r="AK244">
        <f t="shared" si="709"/>
        <v>-1</v>
      </c>
      <c r="AL244">
        <f t="shared" si="709"/>
        <v>-1</v>
      </c>
      <c r="AM244">
        <f t="shared" si="709"/>
        <v>-1</v>
      </c>
      <c r="AN244">
        <f t="shared" si="709"/>
        <v>-1</v>
      </c>
      <c r="AO244">
        <f t="shared" si="709"/>
        <v>-1</v>
      </c>
      <c r="AP244">
        <f t="shared" si="709"/>
        <v>-1</v>
      </c>
      <c r="AQ244">
        <f t="shared" si="709"/>
        <v>-1</v>
      </c>
      <c r="AR244">
        <f t="shared" si="709"/>
        <v>-1</v>
      </c>
      <c r="AS244">
        <f t="shared" si="709"/>
        <v>-1</v>
      </c>
      <c r="AT244">
        <f t="shared" si="709"/>
        <v>-1</v>
      </c>
      <c r="AU244">
        <f t="shared" si="709"/>
        <v>-1</v>
      </c>
      <c r="AV244">
        <f t="shared" si="709"/>
        <v>-1</v>
      </c>
      <c r="AW244">
        <f t="shared" si="709"/>
        <v>-1</v>
      </c>
      <c r="AX244">
        <f t="shared" si="709"/>
        <v>-1</v>
      </c>
      <c r="AY244">
        <f t="shared" si="709"/>
        <v>-1</v>
      </c>
      <c r="AZ244">
        <f t="shared" si="709"/>
        <v>-1</v>
      </c>
      <c r="BA244">
        <f t="shared" si="709"/>
        <v>-1</v>
      </c>
      <c r="BB244">
        <f t="shared" si="709"/>
        <v>-1</v>
      </c>
      <c r="BC244">
        <f t="shared" si="709"/>
        <v>-1</v>
      </c>
      <c r="BD244">
        <f t="shared" si="709"/>
        <v>-1</v>
      </c>
      <c r="BE244">
        <f t="shared" si="709"/>
        <v>-1</v>
      </c>
      <c r="BF244">
        <f t="shared" si="709"/>
        <v>-1</v>
      </c>
      <c r="BG244">
        <f t="shared" si="709"/>
        <v>-1</v>
      </c>
      <c r="BH244">
        <f t="shared" si="709"/>
        <v>-1</v>
      </c>
      <c r="BI244">
        <f t="shared" si="709"/>
        <v>-1</v>
      </c>
      <c r="BJ244">
        <f t="shared" si="709"/>
        <v>-1</v>
      </c>
      <c r="BK244">
        <f t="shared" si="709"/>
        <v>-1</v>
      </c>
      <c r="BL244">
        <f t="shared" si="709"/>
        <v>-1</v>
      </c>
      <c r="BM244">
        <f t="shared" si="709"/>
        <v>-1</v>
      </c>
      <c r="BN244">
        <f t="shared" si="709"/>
        <v>-1</v>
      </c>
      <c r="BO244">
        <f t="shared" si="709"/>
        <v>-1</v>
      </c>
      <c r="BP244">
        <f t="shared" ref="BP244:EA244" si="710">IF(OR(BP243=-1,AND(IF(BP$3&lt;$B244,BP243+BP$6,IF(BP$3=$B244,1,""))&gt;$B$1,BP$3&lt;$B244)),-1,IF(BP$3&lt;$B244,BP243+BP$6,IF(BP$3=$B244,1,"")))</f>
        <v>-1</v>
      </c>
      <c r="BQ244">
        <f t="shared" si="710"/>
        <v>-1</v>
      </c>
      <c r="BR244">
        <f t="shared" si="710"/>
        <v>-1</v>
      </c>
      <c r="BS244">
        <f t="shared" si="710"/>
        <v>-1</v>
      </c>
      <c r="BT244">
        <f t="shared" si="710"/>
        <v>-1</v>
      </c>
      <c r="BU244">
        <f t="shared" si="710"/>
        <v>-1</v>
      </c>
      <c r="BV244">
        <f t="shared" si="710"/>
        <v>-1</v>
      </c>
      <c r="BW244">
        <f t="shared" si="710"/>
        <v>-1</v>
      </c>
      <c r="BX244">
        <f t="shared" si="710"/>
        <v>-1</v>
      </c>
      <c r="BY244">
        <f t="shared" si="710"/>
        <v>-1</v>
      </c>
      <c r="BZ244">
        <f t="shared" si="710"/>
        <v>-1</v>
      </c>
      <c r="CA244">
        <f t="shared" si="710"/>
        <v>-1</v>
      </c>
      <c r="CB244">
        <f t="shared" si="710"/>
        <v>-1</v>
      </c>
      <c r="CC244">
        <f t="shared" si="710"/>
        <v>-1</v>
      </c>
      <c r="CD244">
        <f t="shared" si="710"/>
        <v>-1</v>
      </c>
      <c r="CE244">
        <f t="shared" si="710"/>
        <v>-1</v>
      </c>
      <c r="CF244">
        <f t="shared" si="710"/>
        <v>-1</v>
      </c>
      <c r="CG244">
        <f t="shared" si="710"/>
        <v>-1</v>
      </c>
      <c r="CH244">
        <f t="shared" si="710"/>
        <v>-1</v>
      </c>
      <c r="CI244">
        <f t="shared" si="710"/>
        <v>-1</v>
      </c>
      <c r="CJ244">
        <f t="shared" si="710"/>
        <v>-1</v>
      </c>
      <c r="CK244">
        <f t="shared" si="710"/>
        <v>-1</v>
      </c>
      <c r="CL244">
        <f t="shared" si="710"/>
        <v>-1</v>
      </c>
      <c r="CM244">
        <f t="shared" si="710"/>
        <v>74.2</v>
      </c>
      <c r="CN244">
        <f t="shared" si="710"/>
        <v>70.600000000000037</v>
      </c>
      <c r="CO244">
        <f t="shared" si="710"/>
        <v>-1</v>
      </c>
      <c r="CP244">
        <f t="shared" si="710"/>
        <v>-1</v>
      </c>
      <c r="CQ244">
        <f t="shared" si="710"/>
        <v>-1</v>
      </c>
      <c r="CR244">
        <f t="shared" si="710"/>
        <v>-1</v>
      </c>
      <c r="CS244">
        <f t="shared" si="710"/>
        <v>-1</v>
      </c>
      <c r="CT244">
        <f t="shared" si="710"/>
        <v>-1</v>
      </c>
      <c r="CU244">
        <f t="shared" si="710"/>
        <v>-1</v>
      </c>
      <c r="CV244">
        <f t="shared" si="710"/>
        <v>-1</v>
      </c>
      <c r="CW244">
        <f t="shared" si="710"/>
        <v>-1</v>
      </c>
      <c r="CX244">
        <f t="shared" si="710"/>
        <v>-1</v>
      </c>
      <c r="CY244">
        <f t="shared" si="710"/>
        <v>-1</v>
      </c>
      <c r="CZ244">
        <f t="shared" si="710"/>
        <v>-1</v>
      </c>
      <c r="DA244">
        <f t="shared" si="710"/>
        <v>-1</v>
      </c>
      <c r="DB244">
        <f t="shared" si="710"/>
        <v>-1</v>
      </c>
      <c r="DC244">
        <f t="shared" si="710"/>
        <v>-1</v>
      </c>
      <c r="DD244">
        <f t="shared" si="710"/>
        <v>-1</v>
      </c>
      <c r="DE244">
        <f t="shared" si="710"/>
        <v>-1</v>
      </c>
      <c r="DF244">
        <f t="shared" si="710"/>
        <v>-1</v>
      </c>
      <c r="DG244">
        <f t="shared" si="710"/>
        <v>-1</v>
      </c>
      <c r="DH244">
        <f t="shared" si="710"/>
        <v>-1</v>
      </c>
      <c r="DI244">
        <f t="shared" si="710"/>
        <v>-1</v>
      </c>
      <c r="DJ244">
        <f t="shared" si="710"/>
        <v>-1</v>
      </c>
      <c r="DK244">
        <f t="shared" si="710"/>
        <v>-1</v>
      </c>
      <c r="DL244">
        <f t="shared" si="710"/>
        <v>-1</v>
      </c>
      <c r="DM244">
        <f t="shared" si="710"/>
        <v>-1</v>
      </c>
      <c r="DN244">
        <f t="shared" si="710"/>
        <v>-1</v>
      </c>
      <c r="DO244">
        <f t="shared" si="710"/>
        <v>-1</v>
      </c>
      <c r="DP244">
        <f t="shared" si="710"/>
        <v>-1</v>
      </c>
      <c r="DQ244">
        <f t="shared" si="710"/>
        <v>-1</v>
      </c>
      <c r="DR244">
        <f t="shared" si="710"/>
        <v>-1</v>
      </c>
      <c r="DS244">
        <f t="shared" si="710"/>
        <v>-1</v>
      </c>
      <c r="DT244">
        <f t="shared" si="710"/>
        <v>-1</v>
      </c>
      <c r="DU244">
        <f t="shared" si="710"/>
        <v>-1</v>
      </c>
      <c r="DV244">
        <f t="shared" si="710"/>
        <v>-1</v>
      </c>
      <c r="DW244">
        <f t="shared" si="710"/>
        <v>-1</v>
      </c>
      <c r="DX244">
        <f t="shared" si="710"/>
        <v>-1</v>
      </c>
      <c r="DY244">
        <f t="shared" si="710"/>
        <v>-1</v>
      </c>
      <c r="DZ244">
        <f t="shared" si="710"/>
        <v>-1</v>
      </c>
      <c r="EA244">
        <f t="shared" si="710"/>
        <v>-1</v>
      </c>
      <c r="EB244">
        <f t="shared" ref="EB244:EO244" si="711">IF(OR(EB243=-1,AND(IF(EB$3&lt;$B244,EB243+EB$6,IF(EB$3=$B244,1,""))&gt;$B$1,EB$3&lt;$B244)),-1,IF(EB$3&lt;$B244,EB243+EB$6,IF(EB$3=$B244,1,"")))</f>
        <v>-1</v>
      </c>
      <c r="EC244">
        <f t="shared" si="711"/>
        <v>-1</v>
      </c>
      <c r="ED244">
        <f t="shared" si="711"/>
        <v>-1</v>
      </c>
      <c r="EE244">
        <f t="shared" si="711"/>
        <v>-1</v>
      </c>
      <c r="EF244">
        <f t="shared" si="711"/>
        <v>-1</v>
      </c>
      <c r="EG244">
        <f t="shared" si="711"/>
        <v>-1</v>
      </c>
      <c r="EH244">
        <f t="shared" si="711"/>
        <v>-1</v>
      </c>
      <c r="EI244">
        <f t="shared" si="711"/>
        <v>-1</v>
      </c>
      <c r="EJ244">
        <f t="shared" si="711"/>
        <v>-1</v>
      </c>
      <c r="EK244">
        <f t="shared" si="711"/>
        <v>-1</v>
      </c>
      <c r="EL244">
        <f t="shared" si="711"/>
        <v>-1</v>
      </c>
      <c r="EM244">
        <f t="shared" si="711"/>
        <v>-1</v>
      </c>
      <c r="EN244">
        <f t="shared" si="711"/>
        <v>-1</v>
      </c>
      <c r="EO244">
        <f t="shared" si="711"/>
        <v>-1</v>
      </c>
    </row>
    <row r="245" spans="1:145" x14ac:dyDescent="0.15">
      <c r="A245" t="e">
        <f t="shared" si="579"/>
        <v>#N/A</v>
      </c>
      <c r="B245" s="218">
        <v>237</v>
      </c>
      <c r="C245">
        <f t="shared" si="579"/>
        <v>-1</v>
      </c>
      <c r="D245">
        <f t="shared" ref="D245:BO245" si="712">IF(OR(D244=-1,AND(IF(D$3&lt;$B245,D244+D$6,IF(D$3=$B245,1,""))&gt;$B$1,D$3&lt;$B245)),-1,IF(D$3&lt;$B245,D244+D$6,IF(D$3=$B245,1,"")))</f>
        <v>-1</v>
      </c>
      <c r="E245">
        <f t="shared" si="712"/>
        <v>-1</v>
      </c>
      <c r="F245">
        <f t="shared" si="712"/>
        <v>-1</v>
      </c>
      <c r="G245">
        <f t="shared" si="712"/>
        <v>-1</v>
      </c>
      <c r="H245">
        <f t="shared" si="712"/>
        <v>-1</v>
      </c>
      <c r="I245">
        <f t="shared" si="712"/>
        <v>-1</v>
      </c>
      <c r="J245">
        <f t="shared" si="712"/>
        <v>-1</v>
      </c>
      <c r="K245">
        <f t="shared" si="712"/>
        <v>-1</v>
      </c>
      <c r="L245">
        <f t="shared" si="712"/>
        <v>-1</v>
      </c>
      <c r="M245">
        <f t="shared" si="712"/>
        <v>-1</v>
      </c>
      <c r="N245">
        <f t="shared" si="712"/>
        <v>-1</v>
      </c>
      <c r="O245">
        <f t="shared" si="712"/>
        <v>-1</v>
      </c>
      <c r="P245">
        <f t="shared" si="712"/>
        <v>-1</v>
      </c>
      <c r="Q245">
        <f t="shared" si="712"/>
        <v>-1</v>
      </c>
      <c r="R245">
        <f t="shared" si="712"/>
        <v>-1</v>
      </c>
      <c r="S245">
        <f t="shared" si="712"/>
        <v>-1</v>
      </c>
      <c r="T245">
        <f t="shared" si="712"/>
        <v>-1</v>
      </c>
      <c r="U245">
        <f t="shared" si="712"/>
        <v>-1</v>
      </c>
      <c r="V245">
        <f t="shared" si="712"/>
        <v>-1</v>
      </c>
      <c r="W245">
        <f t="shared" si="712"/>
        <v>-1</v>
      </c>
      <c r="X245">
        <f t="shared" si="712"/>
        <v>-1</v>
      </c>
      <c r="Y245">
        <f t="shared" si="712"/>
        <v>-1</v>
      </c>
      <c r="Z245">
        <f t="shared" si="712"/>
        <v>-1</v>
      </c>
      <c r="AA245">
        <f t="shared" si="712"/>
        <v>-1</v>
      </c>
      <c r="AB245">
        <f t="shared" si="712"/>
        <v>-1</v>
      </c>
      <c r="AC245">
        <f t="shared" si="712"/>
        <v>-1</v>
      </c>
      <c r="AD245">
        <f t="shared" si="712"/>
        <v>-1</v>
      </c>
      <c r="AE245">
        <f t="shared" si="712"/>
        <v>-1</v>
      </c>
      <c r="AF245">
        <f t="shared" si="712"/>
        <v>-1</v>
      </c>
      <c r="AG245">
        <f t="shared" si="712"/>
        <v>-1</v>
      </c>
      <c r="AH245">
        <f t="shared" si="712"/>
        <v>-1</v>
      </c>
      <c r="AI245">
        <f t="shared" si="712"/>
        <v>-1</v>
      </c>
      <c r="AJ245">
        <f t="shared" si="712"/>
        <v>-1</v>
      </c>
      <c r="AK245">
        <f t="shared" si="712"/>
        <v>-1</v>
      </c>
      <c r="AL245">
        <f t="shared" si="712"/>
        <v>-1</v>
      </c>
      <c r="AM245">
        <f t="shared" si="712"/>
        <v>-1</v>
      </c>
      <c r="AN245">
        <f t="shared" si="712"/>
        <v>-1</v>
      </c>
      <c r="AO245">
        <f t="shared" si="712"/>
        <v>-1</v>
      </c>
      <c r="AP245">
        <f t="shared" si="712"/>
        <v>-1</v>
      </c>
      <c r="AQ245">
        <f t="shared" si="712"/>
        <v>-1</v>
      </c>
      <c r="AR245">
        <f t="shared" si="712"/>
        <v>-1</v>
      </c>
      <c r="AS245">
        <f t="shared" si="712"/>
        <v>-1</v>
      </c>
      <c r="AT245">
        <f t="shared" si="712"/>
        <v>-1</v>
      </c>
      <c r="AU245">
        <f t="shared" si="712"/>
        <v>-1</v>
      </c>
      <c r="AV245">
        <f t="shared" si="712"/>
        <v>-1</v>
      </c>
      <c r="AW245">
        <f t="shared" si="712"/>
        <v>-1</v>
      </c>
      <c r="AX245">
        <f t="shared" si="712"/>
        <v>-1</v>
      </c>
      <c r="AY245">
        <f t="shared" si="712"/>
        <v>-1</v>
      </c>
      <c r="AZ245">
        <f t="shared" si="712"/>
        <v>-1</v>
      </c>
      <c r="BA245">
        <f t="shared" si="712"/>
        <v>-1</v>
      </c>
      <c r="BB245">
        <f t="shared" si="712"/>
        <v>-1</v>
      </c>
      <c r="BC245">
        <f t="shared" si="712"/>
        <v>-1</v>
      </c>
      <c r="BD245">
        <f t="shared" si="712"/>
        <v>-1</v>
      </c>
      <c r="BE245">
        <f t="shared" si="712"/>
        <v>-1</v>
      </c>
      <c r="BF245">
        <f t="shared" si="712"/>
        <v>-1</v>
      </c>
      <c r="BG245">
        <f t="shared" si="712"/>
        <v>-1</v>
      </c>
      <c r="BH245">
        <f t="shared" si="712"/>
        <v>-1</v>
      </c>
      <c r="BI245">
        <f t="shared" si="712"/>
        <v>-1</v>
      </c>
      <c r="BJ245">
        <f t="shared" si="712"/>
        <v>-1</v>
      </c>
      <c r="BK245">
        <f t="shared" si="712"/>
        <v>-1</v>
      </c>
      <c r="BL245">
        <f t="shared" si="712"/>
        <v>-1</v>
      </c>
      <c r="BM245">
        <f t="shared" si="712"/>
        <v>-1</v>
      </c>
      <c r="BN245">
        <f t="shared" si="712"/>
        <v>-1</v>
      </c>
      <c r="BO245">
        <f t="shared" si="712"/>
        <v>-1</v>
      </c>
      <c r="BP245">
        <f t="shared" ref="BP245:EA245" si="713">IF(OR(BP244=-1,AND(IF(BP$3&lt;$B245,BP244+BP$6,IF(BP$3=$B245,1,""))&gt;$B$1,BP$3&lt;$B245)),-1,IF(BP$3&lt;$B245,BP244+BP$6,IF(BP$3=$B245,1,"")))</f>
        <v>-1</v>
      </c>
      <c r="BQ245">
        <f t="shared" si="713"/>
        <v>-1</v>
      </c>
      <c r="BR245">
        <f t="shared" si="713"/>
        <v>-1</v>
      </c>
      <c r="BS245">
        <f t="shared" si="713"/>
        <v>-1</v>
      </c>
      <c r="BT245">
        <f t="shared" si="713"/>
        <v>-1</v>
      </c>
      <c r="BU245">
        <f t="shared" si="713"/>
        <v>-1</v>
      </c>
      <c r="BV245">
        <f t="shared" si="713"/>
        <v>-1</v>
      </c>
      <c r="BW245">
        <f t="shared" si="713"/>
        <v>-1</v>
      </c>
      <c r="BX245">
        <f t="shared" si="713"/>
        <v>-1</v>
      </c>
      <c r="BY245">
        <f t="shared" si="713"/>
        <v>-1</v>
      </c>
      <c r="BZ245">
        <f t="shared" si="713"/>
        <v>-1</v>
      </c>
      <c r="CA245">
        <f t="shared" si="713"/>
        <v>-1</v>
      </c>
      <c r="CB245">
        <f t="shared" si="713"/>
        <v>-1</v>
      </c>
      <c r="CC245">
        <f t="shared" si="713"/>
        <v>-1</v>
      </c>
      <c r="CD245">
        <f t="shared" si="713"/>
        <v>-1</v>
      </c>
      <c r="CE245">
        <f t="shared" si="713"/>
        <v>-1</v>
      </c>
      <c r="CF245">
        <f t="shared" si="713"/>
        <v>-1</v>
      </c>
      <c r="CG245">
        <f t="shared" si="713"/>
        <v>-1</v>
      </c>
      <c r="CH245">
        <f t="shared" si="713"/>
        <v>-1</v>
      </c>
      <c r="CI245">
        <f t="shared" si="713"/>
        <v>-1</v>
      </c>
      <c r="CJ245">
        <f t="shared" si="713"/>
        <v>-1</v>
      </c>
      <c r="CK245">
        <f t="shared" si="713"/>
        <v>-1</v>
      </c>
      <c r="CL245">
        <f t="shared" si="713"/>
        <v>-1</v>
      </c>
      <c r="CM245">
        <f t="shared" si="713"/>
        <v>74.8</v>
      </c>
      <c r="CN245">
        <f t="shared" si="713"/>
        <v>71.200000000000031</v>
      </c>
      <c r="CO245">
        <f t="shared" si="713"/>
        <v>-1</v>
      </c>
      <c r="CP245">
        <f t="shared" si="713"/>
        <v>-1</v>
      </c>
      <c r="CQ245">
        <f t="shared" si="713"/>
        <v>-1</v>
      </c>
      <c r="CR245">
        <f t="shared" si="713"/>
        <v>-1</v>
      </c>
      <c r="CS245">
        <f t="shared" si="713"/>
        <v>-1</v>
      </c>
      <c r="CT245">
        <f t="shared" si="713"/>
        <v>-1</v>
      </c>
      <c r="CU245">
        <f t="shared" si="713"/>
        <v>-1</v>
      </c>
      <c r="CV245">
        <f t="shared" si="713"/>
        <v>-1</v>
      </c>
      <c r="CW245">
        <f t="shared" si="713"/>
        <v>-1</v>
      </c>
      <c r="CX245">
        <f t="shared" si="713"/>
        <v>-1</v>
      </c>
      <c r="CY245">
        <f t="shared" si="713"/>
        <v>-1</v>
      </c>
      <c r="CZ245">
        <f t="shared" si="713"/>
        <v>-1</v>
      </c>
      <c r="DA245">
        <f t="shared" si="713"/>
        <v>-1</v>
      </c>
      <c r="DB245">
        <f t="shared" si="713"/>
        <v>-1</v>
      </c>
      <c r="DC245">
        <f t="shared" si="713"/>
        <v>-1</v>
      </c>
      <c r="DD245">
        <f t="shared" si="713"/>
        <v>-1</v>
      </c>
      <c r="DE245">
        <f t="shared" si="713"/>
        <v>-1</v>
      </c>
      <c r="DF245">
        <f t="shared" si="713"/>
        <v>-1</v>
      </c>
      <c r="DG245">
        <f t="shared" si="713"/>
        <v>-1</v>
      </c>
      <c r="DH245">
        <f t="shared" si="713"/>
        <v>-1</v>
      </c>
      <c r="DI245">
        <f t="shared" si="713"/>
        <v>-1</v>
      </c>
      <c r="DJ245">
        <f t="shared" si="713"/>
        <v>-1</v>
      </c>
      <c r="DK245">
        <f t="shared" si="713"/>
        <v>-1</v>
      </c>
      <c r="DL245">
        <f t="shared" si="713"/>
        <v>-1</v>
      </c>
      <c r="DM245">
        <f t="shared" si="713"/>
        <v>-1</v>
      </c>
      <c r="DN245">
        <f t="shared" si="713"/>
        <v>-1</v>
      </c>
      <c r="DO245">
        <f t="shared" si="713"/>
        <v>-1</v>
      </c>
      <c r="DP245">
        <f t="shared" si="713"/>
        <v>-1</v>
      </c>
      <c r="DQ245">
        <f t="shared" si="713"/>
        <v>-1</v>
      </c>
      <c r="DR245">
        <f t="shared" si="713"/>
        <v>-1</v>
      </c>
      <c r="DS245">
        <f t="shared" si="713"/>
        <v>-1</v>
      </c>
      <c r="DT245">
        <f t="shared" si="713"/>
        <v>-1</v>
      </c>
      <c r="DU245">
        <f t="shared" si="713"/>
        <v>-1</v>
      </c>
      <c r="DV245">
        <f t="shared" si="713"/>
        <v>-1</v>
      </c>
      <c r="DW245">
        <f t="shared" si="713"/>
        <v>-1</v>
      </c>
      <c r="DX245">
        <f t="shared" si="713"/>
        <v>-1</v>
      </c>
      <c r="DY245">
        <f t="shared" si="713"/>
        <v>-1</v>
      </c>
      <c r="DZ245">
        <f t="shared" si="713"/>
        <v>-1</v>
      </c>
      <c r="EA245">
        <f t="shared" si="713"/>
        <v>-1</v>
      </c>
      <c r="EB245">
        <f t="shared" ref="EB245:EO245" si="714">IF(OR(EB244=-1,AND(IF(EB$3&lt;$B245,EB244+EB$6,IF(EB$3=$B245,1,""))&gt;$B$1,EB$3&lt;$B245)),-1,IF(EB$3&lt;$B245,EB244+EB$6,IF(EB$3=$B245,1,"")))</f>
        <v>-1</v>
      </c>
      <c r="EC245">
        <f t="shared" si="714"/>
        <v>-1</v>
      </c>
      <c r="ED245">
        <f t="shared" si="714"/>
        <v>-1</v>
      </c>
      <c r="EE245">
        <f t="shared" si="714"/>
        <v>-1</v>
      </c>
      <c r="EF245">
        <f t="shared" si="714"/>
        <v>-1</v>
      </c>
      <c r="EG245">
        <f t="shared" si="714"/>
        <v>-1</v>
      </c>
      <c r="EH245">
        <f t="shared" si="714"/>
        <v>-1</v>
      </c>
      <c r="EI245">
        <f t="shared" si="714"/>
        <v>-1</v>
      </c>
      <c r="EJ245">
        <f t="shared" si="714"/>
        <v>-1</v>
      </c>
      <c r="EK245">
        <f t="shared" si="714"/>
        <v>-1</v>
      </c>
      <c r="EL245">
        <f t="shared" si="714"/>
        <v>-1</v>
      </c>
      <c r="EM245">
        <f t="shared" si="714"/>
        <v>-1</v>
      </c>
      <c r="EN245">
        <f t="shared" si="714"/>
        <v>-1</v>
      </c>
      <c r="EO245">
        <f t="shared" si="714"/>
        <v>-1</v>
      </c>
    </row>
    <row r="246" spans="1:145" x14ac:dyDescent="0.15">
      <c r="A246" t="e">
        <f t="shared" si="579"/>
        <v>#N/A</v>
      </c>
      <c r="B246" s="218">
        <v>238</v>
      </c>
      <c r="C246">
        <f t="shared" si="579"/>
        <v>-1</v>
      </c>
      <c r="D246">
        <f t="shared" ref="D246:BO246" si="715">IF(OR(D245=-1,AND(IF(D$3&lt;$B246,D245+D$6,IF(D$3=$B246,1,""))&gt;$B$1,D$3&lt;$B246)),-1,IF(D$3&lt;$B246,D245+D$6,IF(D$3=$B246,1,"")))</f>
        <v>-1</v>
      </c>
      <c r="E246">
        <f t="shared" si="715"/>
        <v>-1</v>
      </c>
      <c r="F246">
        <f t="shared" si="715"/>
        <v>-1</v>
      </c>
      <c r="G246">
        <f t="shared" si="715"/>
        <v>-1</v>
      </c>
      <c r="H246">
        <f t="shared" si="715"/>
        <v>-1</v>
      </c>
      <c r="I246">
        <f t="shared" si="715"/>
        <v>-1</v>
      </c>
      <c r="J246">
        <f t="shared" si="715"/>
        <v>-1</v>
      </c>
      <c r="K246">
        <f t="shared" si="715"/>
        <v>-1</v>
      </c>
      <c r="L246">
        <f t="shared" si="715"/>
        <v>-1</v>
      </c>
      <c r="M246">
        <f t="shared" si="715"/>
        <v>-1</v>
      </c>
      <c r="N246">
        <f t="shared" si="715"/>
        <v>-1</v>
      </c>
      <c r="O246">
        <f t="shared" si="715"/>
        <v>-1</v>
      </c>
      <c r="P246">
        <f t="shared" si="715"/>
        <v>-1</v>
      </c>
      <c r="Q246">
        <f t="shared" si="715"/>
        <v>-1</v>
      </c>
      <c r="R246">
        <f t="shared" si="715"/>
        <v>-1</v>
      </c>
      <c r="S246">
        <f t="shared" si="715"/>
        <v>-1</v>
      </c>
      <c r="T246">
        <f t="shared" si="715"/>
        <v>-1</v>
      </c>
      <c r="U246">
        <f t="shared" si="715"/>
        <v>-1</v>
      </c>
      <c r="V246">
        <f t="shared" si="715"/>
        <v>-1</v>
      </c>
      <c r="W246">
        <f t="shared" si="715"/>
        <v>-1</v>
      </c>
      <c r="X246">
        <f t="shared" si="715"/>
        <v>-1</v>
      </c>
      <c r="Y246">
        <f t="shared" si="715"/>
        <v>-1</v>
      </c>
      <c r="Z246">
        <f t="shared" si="715"/>
        <v>-1</v>
      </c>
      <c r="AA246">
        <f t="shared" si="715"/>
        <v>-1</v>
      </c>
      <c r="AB246">
        <f t="shared" si="715"/>
        <v>-1</v>
      </c>
      <c r="AC246">
        <f t="shared" si="715"/>
        <v>-1</v>
      </c>
      <c r="AD246">
        <f t="shared" si="715"/>
        <v>-1</v>
      </c>
      <c r="AE246">
        <f t="shared" si="715"/>
        <v>-1</v>
      </c>
      <c r="AF246">
        <f t="shared" si="715"/>
        <v>-1</v>
      </c>
      <c r="AG246">
        <f t="shared" si="715"/>
        <v>-1</v>
      </c>
      <c r="AH246">
        <f t="shared" si="715"/>
        <v>-1</v>
      </c>
      <c r="AI246">
        <f t="shared" si="715"/>
        <v>-1</v>
      </c>
      <c r="AJ246">
        <f t="shared" si="715"/>
        <v>-1</v>
      </c>
      <c r="AK246">
        <f t="shared" si="715"/>
        <v>-1</v>
      </c>
      <c r="AL246">
        <f t="shared" si="715"/>
        <v>-1</v>
      </c>
      <c r="AM246">
        <f t="shared" si="715"/>
        <v>-1</v>
      </c>
      <c r="AN246">
        <f t="shared" si="715"/>
        <v>-1</v>
      </c>
      <c r="AO246">
        <f t="shared" si="715"/>
        <v>-1</v>
      </c>
      <c r="AP246">
        <f t="shared" si="715"/>
        <v>-1</v>
      </c>
      <c r="AQ246">
        <f t="shared" si="715"/>
        <v>-1</v>
      </c>
      <c r="AR246">
        <f t="shared" si="715"/>
        <v>-1</v>
      </c>
      <c r="AS246">
        <f t="shared" si="715"/>
        <v>-1</v>
      </c>
      <c r="AT246">
        <f t="shared" si="715"/>
        <v>-1</v>
      </c>
      <c r="AU246">
        <f t="shared" si="715"/>
        <v>-1</v>
      </c>
      <c r="AV246">
        <f t="shared" si="715"/>
        <v>-1</v>
      </c>
      <c r="AW246">
        <f t="shared" si="715"/>
        <v>-1</v>
      </c>
      <c r="AX246">
        <f t="shared" si="715"/>
        <v>-1</v>
      </c>
      <c r="AY246">
        <f t="shared" si="715"/>
        <v>-1</v>
      </c>
      <c r="AZ246">
        <f t="shared" si="715"/>
        <v>-1</v>
      </c>
      <c r="BA246">
        <f t="shared" si="715"/>
        <v>-1</v>
      </c>
      <c r="BB246">
        <f t="shared" si="715"/>
        <v>-1</v>
      </c>
      <c r="BC246">
        <f t="shared" si="715"/>
        <v>-1</v>
      </c>
      <c r="BD246">
        <f t="shared" si="715"/>
        <v>-1</v>
      </c>
      <c r="BE246">
        <f t="shared" si="715"/>
        <v>-1</v>
      </c>
      <c r="BF246">
        <f t="shared" si="715"/>
        <v>-1</v>
      </c>
      <c r="BG246">
        <f t="shared" si="715"/>
        <v>-1</v>
      </c>
      <c r="BH246">
        <f t="shared" si="715"/>
        <v>-1</v>
      </c>
      <c r="BI246">
        <f t="shared" si="715"/>
        <v>-1</v>
      </c>
      <c r="BJ246">
        <f t="shared" si="715"/>
        <v>-1</v>
      </c>
      <c r="BK246">
        <f t="shared" si="715"/>
        <v>-1</v>
      </c>
      <c r="BL246">
        <f t="shared" si="715"/>
        <v>-1</v>
      </c>
      <c r="BM246">
        <f t="shared" si="715"/>
        <v>-1</v>
      </c>
      <c r="BN246">
        <f t="shared" si="715"/>
        <v>-1</v>
      </c>
      <c r="BO246">
        <f t="shared" si="715"/>
        <v>-1</v>
      </c>
      <c r="BP246">
        <f t="shared" ref="BP246:EA246" si="716">IF(OR(BP245=-1,AND(IF(BP$3&lt;$B246,BP245+BP$6,IF(BP$3=$B246,1,""))&gt;$B$1,BP$3&lt;$B246)),-1,IF(BP$3&lt;$B246,BP245+BP$6,IF(BP$3=$B246,1,"")))</f>
        <v>-1</v>
      </c>
      <c r="BQ246">
        <f t="shared" si="716"/>
        <v>-1</v>
      </c>
      <c r="BR246">
        <f t="shared" si="716"/>
        <v>-1</v>
      </c>
      <c r="BS246">
        <f t="shared" si="716"/>
        <v>-1</v>
      </c>
      <c r="BT246">
        <f t="shared" si="716"/>
        <v>-1</v>
      </c>
      <c r="BU246">
        <f t="shared" si="716"/>
        <v>-1</v>
      </c>
      <c r="BV246">
        <f t="shared" si="716"/>
        <v>-1</v>
      </c>
      <c r="BW246">
        <f t="shared" si="716"/>
        <v>-1</v>
      </c>
      <c r="BX246">
        <f t="shared" si="716"/>
        <v>-1</v>
      </c>
      <c r="BY246">
        <f t="shared" si="716"/>
        <v>-1</v>
      </c>
      <c r="BZ246">
        <f t="shared" si="716"/>
        <v>-1</v>
      </c>
      <c r="CA246">
        <f t="shared" si="716"/>
        <v>-1</v>
      </c>
      <c r="CB246">
        <f t="shared" si="716"/>
        <v>-1</v>
      </c>
      <c r="CC246">
        <f t="shared" si="716"/>
        <v>-1</v>
      </c>
      <c r="CD246">
        <f t="shared" si="716"/>
        <v>-1</v>
      </c>
      <c r="CE246">
        <f t="shared" si="716"/>
        <v>-1</v>
      </c>
      <c r="CF246">
        <f t="shared" si="716"/>
        <v>-1</v>
      </c>
      <c r="CG246">
        <f t="shared" si="716"/>
        <v>-1</v>
      </c>
      <c r="CH246">
        <f t="shared" si="716"/>
        <v>-1</v>
      </c>
      <c r="CI246">
        <f t="shared" si="716"/>
        <v>-1</v>
      </c>
      <c r="CJ246">
        <f t="shared" si="716"/>
        <v>-1</v>
      </c>
      <c r="CK246">
        <f t="shared" si="716"/>
        <v>-1</v>
      </c>
      <c r="CL246">
        <f t="shared" si="716"/>
        <v>-1</v>
      </c>
      <c r="CM246">
        <f t="shared" si="716"/>
        <v>-1</v>
      </c>
      <c r="CN246">
        <f t="shared" si="716"/>
        <v>71.800000000000026</v>
      </c>
      <c r="CO246">
        <f t="shared" si="716"/>
        <v>-1</v>
      </c>
      <c r="CP246">
        <f t="shared" si="716"/>
        <v>-1</v>
      </c>
      <c r="CQ246">
        <f t="shared" si="716"/>
        <v>-1</v>
      </c>
      <c r="CR246">
        <f t="shared" si="716"/>
        <v>-1</v>
      </c>
      <c r="CS246">
        <f t="shared" si="716"/>
        <v>-1</v>
      </c>
      <c r="CT246">
        <f t="shared" si="716"/>
        <v>-1</v>
      </c>
      <c r="CU246">
        <f t="shared" si="716"/>
        <v>-1</v>
      </c>
      <c r="CV246">
        <f t="shared" si="716"/>
        <v>-1</v>
      </c>
      <c r="CW246">
        <f t="shared" si="716"/>
        <v>-1</v>
      </c>
      <c r="CX246">
        <f t="shared" si="716"/>
        <v>-1</v>
      </c>
      <c r="CY246">
        <f t="shared" si="716"/>
        <v>-1</v>
      </c>
      <c r="CZ246">
        <f t="shared" si="716"/>
        <v>-1</v>
      </c>
      <c r="DA246">
        <f t="shared" si="716"/>
        <v>-1</v>
      </c>
      <c r="DB246">
        <f t="shared" si="716"/>
        <v>-1</v>
      </c>
      <c r="DC246">
        <f t="shared" si="716"/>
        <v>-1</v>
      </c>
      <c r="DD246">
        <f t="shared" si="716"/>
        <v>-1</v>
      </c>
      <c r="DE246">
        <f t="shared" si="716"/>
        <v>-1</v>
      </c>
      <c r="DF246">
        <f t="shared" si="716"/>
        <v>-1</v>
      </c>
      <c r="DG246">
        <f t="shared" si="716"/>
        <v>-1</v>
      </c>
      <c r="DH246">
        <f t="shared" si="716"/>
        <v>-1</v>
      </c>
      <c r="DI246">
        <f t="shared" si="716"/>
        <v>-1</v>
      </c>
      <c r="DJ246">
        <f t="shared" si="716"/>
        <v>-1</v>
      </c>
      <c r="DK246">
        <f t="shared" si="716"/>
        <v>-1</v>
      </c>
      <c r="DL246">
        <f t="shared" si="716"/>
        <v>-1</v>
      </c>
      <c r="DM246">
        <f t="shared" si="716"/>
        <v>-1</v>
      </c>
      <c r="DN246">
        <f t="shared" si="716"/>
        <v>-1</v>
      </c>
      <c r="DO246">
        <f t="shared" si="716"/>
        <v>-1</v>
      </c>
      <c r="DP246">
        <f t="shared" si="716"/>
        <v>-1</v>
      </c>
      <c r="DQ246">
        <f t="shared" si="716"/>
        <v>-1</v>
      </c>
      <c r="DR246">
        <f t="shared" si="716"/>
        <v>-1</v>
      </c>
      <c r="DS246">
        <f t="shared" si="716"/>
        <v>-1</v>
      </c>
      <c r="DT246">
        <f t="shared" si="716"/>
        <v>-1</v>
      </c>
      <c r="DU246">
        <f t="shared" si="716"/>
        <v>-1</v>
      </c>
      <c r="DV246">
        <f t="shared" si="716"/>
        <v>-1</v>
      </c>
      <c r="DW246">
        <f t="shared" si="716"/>
        <v>-1</v>
      </c>
      <c r="DX246">
        <f t="shared" si="716"/>
        <v>-1</v>
      </c>
      <c r="DY246">
        <f t="shared" si="716"/>
        <v>-1</v>
      </c>
      <c r="DZ246">
        <f t="shared" si="716"/>
        <v>-1</v>
      </c>
      <c r="EA246">
        <f t="shared" si="716"/>
        <v>-1</v>
      </c>
      <c r="EB246">
        <f t="shared" ref="EB246:EO246" si="717">IF(OR(EB245=-1,AND(IF(EB$3&lt;$B246,EB245+EB$6,IF(EB$3=$B246,1,""))&gt;$B$1,EB$3&lt;$B246)),-1,IF(EB$3&lt;$B246,EB245+EB$6,IF(EB$3=$B246,1,"")))</f>
        <v>-1</v>
      </c>
      <c r="EC246">
        <f t="shared" si="717"/>
        <v>-1</v>
      </c>
      <c r="ED246">
        <f t="shared" si="717"/>
        <v>-1</v>
      </c>
      <c r="EE246">
        <f t="shared" si="717"/>
        <v>-1</v>
      </c>
      <c r="EF246">
        <f t="shared" si="717"/>
        <v>-1</v>
      </c>
      <c r="EG246">
        <f t="shared" si="717"/>
        <v>-1</v>
      </c>
      <c r="EH246">
        <f t="shared" si="717"/>
        <v>-1</v>
      </c>
      <c r="EI246">
        <f t="shared" si="717"/>
        <v>-1</v>
      </c>
      <c r="EJ246">
        <f t="shared" si="717"/>
        <v>-1</v>
      </c>
      <c r="EK246">
        <f t="shared" si="717"/>
        <v>-1</v>
      </c>
      <c r="EL246">
        <f t="shared" si="717"/>
        <v>-1</v>
      </c>
      <c r="EM246">
        <f t="shared" si="717"/>
        <v>-1</v>
      </c>
      <c r="EN246">
        <f t="shared" si="717"/>
        <v>-1</v>
      </c>
      <c r="EO246">
        <f t="shared" si="717"/>
        <v>-1</v>
      </c>
    </row>
    <row r="247" spans="1:145" x14ac:dyDescent="0.15">
      <c r="A247" t="e">
        <f t="shared" si="579"/>
        <v>#N/A</v>
      </c>
      <c r="B247" s="218">
        <v>239</v>
      </c>
      <c r="C247">
        <f t="shared" si="579"/>
        <v>-1</v>
      </c>
      <c r="D247">
        <f t="shared" ref="D247:BO247" si="718">IF(OR(D246=-1,AND(IF(D$3&lt;$B247,D246+D$6,IF(D$3=$B247,1,""))&gt;$B$1,D$3&lt;$B247)),-1,IF(D$3&lt;$B247,D246+D$6,IF(D$3=$B247,1,"")))</f>
        <v>-1</v>
      </c>
      <c r="E247">
        <f t="shared" si="718"/>
        <v>-1</v>
      </c>
      <c r="F247">
        <f t="shared" si="718"/>
        <v>-1</v>
      </c>
      <c r="G247">
        <f t="shared" si="718"/>
        <v>-1</v>
      </c>
      <c r="H247">
        <f t="shared" si="718"/>
        <v>-1</v>
      </c>
      <c r="I247">
        <f t="shared" si="718"/>
        <v>-1</v>
      </c>
      <c r="J247">
        <f t="shared" si="718"/>
        <v>-1</v>
      </c>
      <c r="K247">
        <f t="shared" si="718"/>
        <v>-1</v>
      </c>
      <c r="L247">
        <f t="shared" si="718"/>
        <v>-1</v>
      </c>
      <c r="M247">
        <f t="shared" si="718"/>
        <v>-1</v>
      </c>
      <c r="N247">
        <f t="shared" si="718"/>
        <v>-1</v>
      </c>
      <c r="O247">
        <f t="shared" si="718"/>
        <v>-1</v>
      </c>
      <c r="P247">
        <f t="shared" si="718"/>
        <v>-1</v>
      </c>
      <c r="Q247">
        <f t="shared" si="718"/>
        <v>-1</v>
      </c>
      <c r="R247">
        <f t="shared" si="718"/>
        <v>-1</v>
      </c>
      <c r="S247">
        <f t="shared" si="718"/>
        <v>-1</v>
      </c>
      <c r="T247">
        <f t="shared" si="718"/>
        <v>-1</v>
      </c>
      <c r="U247">
        <f t="shared" si="718"/>
        <v>-1</v>
      </c>
      <c r="V247">
        <f t="shared" si="718"/>
        <v>-1</v>
      </c>
      <c r="W247">
        <f t="shared" si="718"/>
        <v>-1</v>
      </c>
      <c r="X247">
        <f t="shared" si="718"/>
        <v>-1</v>
      </c>
      <c r="Y247">
        <f t="shared" si="718"/>
        <v>-1</v>
      </c>
      <c r="Z247">
        <f t="shared" si="718"/>
        <v>-1</v>
      </c>
      <c r="AA247">
        <f t="shared" si="718"/>
        <v>-1</v>
      </c>
      <c r="AB247">
        <f t="shared" si="718"/>
        <v>-1</v>
      </c>
      <c r="AC247">
        <f t="shared" si="718"/>
        <v>-1</v>
      </c>
      <c r="AD247">
        <f t="shared" si="718"/>
        <v>-1</v>
      </c>
      <c r="AE247">
        <f t="shared" si="718"/>
        <v>-1</v>
      </c>
      <c r="AF247">
        <f t="shared" si="718"/>
        <v>-1</v>
      </c>
      <c r="AG247">
        <f t="shared" si="718"/>
        <v>-1</v>
      </c>
      <c r="AH247">
        <f t="shared" si="718"/>
        <v>-1</v>
      </c>
      <c r="AI247">
        <f t="shared" si="718"/>
        <v>-1</v>
      </c>
      <c r="AJ247">
        <f t="shared" si="718"/>
        <v>-1</v>
      </c>
      <c r="AK247">
        <f t="shared" si="718"/>
        <v>-1</v>
      </c>
      <c r="AL247">
        <f t="shared" si="718"/>
        <v>-1</v>
      </c>
      <c r="AM247">
        <f t="shared" si="718"/>
        <v>-1</v>
      </c>
      <c r="AN247">
        <f t="shared" si="718"/>
        <v>-1</v>
      </c>
      <c r="AO247">
        <f t="shared" si="718"/>
        <v>-1</v>
      </c>
      <c r="AP247">
        <f t="shared" si="718"/>
        <v>-1</v>
      </c>
      <c r="AQ247">
        <f t="shared" si="718"/>
        <v>-1</v>
      </c>
      <c r="AR247">
        <f t="shared" si="718"/>
        <v>-1</v>
      </c>
      <c r="AS247">
        <f t="shared" si="718"/>
        <v>-1</v>
      </c>
      <c r="AT247">
        <f t="shared" si="718"/>
        <v>-1</v>
      </c>
      <c r="AU247">
        <f t="shared" si="718"/>
        <v>-1</v>
      </c>
      <c r="AV247">
        <f t="shared" si="718"/>
        <v>-1</v>
      </c>
      <c r="AW247">
        <f t="shared" si="718"/>
        <v>-1</v>
      </c>
      <c r="AX247">
        <f t="shared" si="718"/>
        <v>-1</v>
      </c>
      <c r="AY247">
        <f t="shared" si="718"/>
        <v>-1</v>
      </c>
      <c r="AZ247">
        <f t="shared" si="718"/>
        <v>-1</v>
      </c>
      <c r="BA247">
        <f t="shared" si="718"/>
        <v>-1</v>
      </c>
      <c r="BB247">
        <f t="shared" si="718"/>
        <v>-1</v>
      </c>
      <c r="BC247">
        <f t="shared" si="718"/>
        <v>-1</v>
      </c>
      <c r="BD247">
        <f t="shared" si="718"/>
        <v>-1</v>
      </c>
      <c r="BE247">
        <f t="shared" si="718"/>
        <v>-1</v>
      </c>
      <c r="BF247">
        <f t="shared" si="718"/>
        <v>-1</v>
      </c>
      <c r="BG247">
        <f t="shared" si="718"/>
        <v>-1</v>
      </c>
      <c r="BH247">
        <f t="shared" si="718"/>
        <v>-1</v>
      </c>
      <c r="BI247">
        <f t="shared" si="718"/>
        <v>-1</v>
      </c>
      <c r="BJ247">
        <f t="shared" si="718"/>
        <v>-1</v>
      </c>
      <c r="BK247">
        <f t="shared" si="718"/>
        <v>-1</v>
      </c>
      <c r="BL247">
        <f t="shared" si="718"/>
        <v>-1</v>
      </c>
      <c r="BM247">
        <f t="shared" si="718"/>
        <v>-1</v>
      </c>
      <c r="BN247">
        <f t="shared" si="718"/>
        <v>-1</v>
      </c>
      <c r="BO247">
        <f t="shared" si="718"/>
        <v>-1</v>
      </c>
      <c r="BP247">
        <f t="shared" ref="BP247:EA247" si="719">IF(OR(BP246=-1,AND(IF(BP$3&lt;$B247,BP246+BP$6,IF(BP$3=$B247,1,""))&gt;$B$1,BP$3&lt;$B247)),-1,IF(BP$3&lt;$B247,BP246+BP$6,IF(BP$3=$B247,1,"")))</f>
        <v>-1</v>
      </c>
      <c r="BQ247">
        <f t="shared" si="719"/>
        <v>-1</v>
      </c>
      <c r="BR247">
        <f t="shared" si="719"/>
        <v>-1</v>
      </c>
      <c r="BS247">
        <f t="shared" si="719"/>
        <v>-1</v>
      </c>
      <c r="BT247">
        <f t="shared" si="719"/>
        <v>-1</v>
      </c>
      <c r="BU247">
        <f t="shared" si="719"/>
        <v>-1</v>
      </c>
      <c r="BV247">
        <f t="shared" si="719"/>
        <v>-1</v>
      </c>
      <c r="BW247">
        <f t="shared" si="719"/>
        <v>-1</v>
      </c>
      <c r="BX247">
        <f t="shared" si="719"/>
        <v>-1</v>
      </c>
      <c r="BY247">
        <f t="shared" si="719"/>
        <v>-1</v>
      </c>
      <c r="BZ247">
        <f t="shared" si="719"/>
        <v>-1</v>
      </c>
      <c r="CA247">
        <f t="shared" si="719"/>
        <v>-1</v>
      </c>
      <c r="CB247">
        <f t="shared" si="719"/>
        <v>-1</v>
      </c>
      <c r="CC247">
        <f t="shared" si="719"/>
        <v>-1</v>
      </c>
      <c r="CD247">
        <f t="shared" si="719"/>
        <v>-1</v>
      </c>
      <c r="CE247">
        <f t="shared" si="719"/>
        <v>-1</v>
      </c>
      <c r="CF247">
        <f t="shared" si="719"/>
        <v>-1</v>
      </c>
      <c r="CG247">
        <f t="shared" si="719"/>
        <v>-1</v>
      </c>
      <c r="CH247">
        <f t="shared" si="719"/>
        <v>-1</v>
      </c>
      <c r="CI247">
        <f t="shared" si="719"/>
        <v>-1</v>
      </c>
      <c r="CJ247">
        <f t="shared" si="719"/>
        <v>-1</v>
      </c>
      <c r="CK247">
        <f t="shared" si="719"/>
        <v>-1</v>
      </c>
      <c r="CL247">
        <f t="shared" si="719"/>
        <v>-1</v>
      </c>
      <c r="CM247">
        <f t="shared" si="719"/>
        <v>-1</v>
      </c>
      <c r="CN247">
        <f t="shared" si="719"/>
        <v>72.40000000000002</v>
      </c>
      <c r="CO247">
        <f t="shared" si="719"/>
        <v>-1</v>
      </c>
      <c r="CP247">
        <f t="shared" si="719"/>
        <v>-1</v>
      </c>
      <c r="CQ247">
        <f t="shared" si="719"/>
        <v>-1</v>
      </c>
      <c r="CR247">
        <f t="shared" si="719"/>
        <v>-1</v>
      </c>
      <c r="CS247">
        <f t="shared" si="719"/>
        <v>-1</v>
      </c>
      <c r="CT247">
        <f t="shared" si="719"/>
        <v>-1</v>
      </c>
      <c r="CU247">
        <f t="shared" si="719"/>
        <v>-1</v>
      </c>
      <c r="CV247">
        <f t="shared" si="719"/>
        <v>-1</v>
      </c>
      <c r="CW247">
        <f t="shared" si="719"/>
        <v>-1</v>
      </c>
      <c r="CX247">
        <f t="shared" si="719"/>
        <v>-1</v>
      </c>
      <c r="CY247">
        <f t="shared" si="719"/>
        <v>-1</v>
      </c>
      <c r="CZ247">
        <f t="shared" si="719"/>
        <v>-1</v>
      </c>
      <c r="DA247">
        <f t="shared" si="719"/>
        <v>-1</v>
      </c>
      <c r="DB247">
        <f t="shared" si="719"/>
        <v>-1</v>
      </c>
      <c r="DC247">
        <f t="shared" si="719"/>
        <v>-1</v>
      </c>
      <c r="DD247">
        <f t="shared" si="719"/>
        <v>-1</v>
      </c>
      <c r="DE247">
        <f t="shared" si="719"/>
        <v>-1</v>
      </c>
      <c r="DF247">
        <f t="shared" si="719"/>
        <v>-1</v>
      </c>
      <c r="DG247">
        <f t="shared" si="719"/>
        <v>-1</v>
      </c>
      <c r="DH247">
        <f t="shared" si="719"/>
        <v>-1</v>
      </c>
      <c r="DI247">
        <f t="shared" si="719"/>
        <v>-1</v>
      </c>
      <c r="DJ247">
        <f t="shared" si="719"/>
        <v>-1</v>
      </c>
      <c r="DK247">
        <f t="shared" si="719"/>
        <v>-1</v>
      </c>
      <c r="DL247">
        <f t="shared" si="719"/>
        <v>-1</v>
      </c>
      <c r="DM247">
        <f t="shared" si="719"/>
        <v>-1</v>
      </c>
      <c r="DN247">
        <f t="shared" si="719"/>
        <v>-1</v>
      </c>
      <c r="DO247">
        <f t="shared" si="719"/>
        <v>-1</v>
      </c>
      <c r="DP247">
        <f t="shared" si="719"/>
        <v>-1</v>
      </c>
      <c r="DQ247">
        <f t="shared" si="719"/>
        <v>-1</v>
      </c>
      <c r="DR247">
        <f t="shared" si="719"/>
        <v>-1</v>
      </c>
      <c r="DS247">
        <f t="shared" si="719"/>
        <v>-1</v>
      </c>
      <c r="DT247">
        <f t="shared" si="719"/>
        <v>-1</v>
      </c>
      <c r="DU247">
        <f t="shared" si="719"/>
        <v>-1</v>
      </c>
      <c r="DV247">
        <f t="shared" si="719"/>
        <v>-1</v>
      </c>
      <c r="DW247">
        <f t="shared" si="719"/>
        <v>-1</v>
      </c>
      <c r="DX247">
        <f t="shared" si="719"/>
        <v>-1</v>
      </c>
      <c r="DY247">
        <f t="shared" si="719"/>
        <v>-1</v>
      </c>
      <c r="DZ247">
        <f t="shared" si="719"/>
        <v>-1</v>
      </c>
      <c r="EA247">
        <f t="shared" si="719"/>
        <v>-1</v>
      </c>
      <c r="EB247">
        <f t="shared" ref="EB247:EO247" si="720">IF(OR(EB246=-1,AND(IF(EB$3&lt;$B247,EB246+EB$6,IF(EB$3=$B247,1,""))&gt;$B$1,EB$3&lt;$B247)),-1,IF(EB$3&lt;$B247,EB246+EB$6,IF(EB$3=$B247,1,"")))</f>
        <v>-1</v>
      </c>
      <c r="EC247">
        <f t="shared" si="720"/>
        <v>-1</v>
      </c>
      <c r="ED247">
        <f t="shared" si="720"/>
        <v>-1</v>
      </c>
      <c r="EE247">
        <f t="shared" si="720"/>
        <v>-1</v>
      </c>
      <c r="EF247">
        <f t="shared" si="720"/>
        <v>-1</v>
      </c>
      <c r="EG247">
        <f t="shared" si="720"/>
        <v>-1</v>
      </c>
      <c r="EH247">
        <f t="shared" si="720"/>
        <v>-1</v>
      </c>
      <c r="EI247">
        <f t="shared" si="720"/>
        <v>-1</v>
      </c>
      <c r="EJ247">
        <f t="shared" si="720"/>
        <v>-1</v>
      </c>
      <c r="EK247">
        <f t="shared" si="720"/>
        <v>-1</v>
      </c>
      <c r="EL247">
        <f t="shared" si="720"/>
        <v>-1</v>
      </c>
      <c r="EM247">
        <f t="shared" si="720"/>
        <v>-1</v>
      </c>
      <c r="EN247">
        <f t="shared" si="720"/>
        <v>-1</v>
      </c>
      <c r="EO247">
        <f t="shared" si="720"/>
        <v>-1</v>
      </c>
    </row>
    <row r="248" spans="1:145" x14ac:dyDescent="0.15">
      <c r="A248" t="e">
        <f t="shared" si="579"/>
        <v>#N/A</v>
      </c>
      <c r="B248" s="218">
        <v>240</v>
      </c>
      <c r="C248">
        <f t="shared" si="579"/>
        <v>-1</v>
      </c>
      <c r="D248">
        <f t="shared" ref="D248:BO248" si="721">IF(OR(D247=-1,AND(IF(D$3&lt;$B248,D247+D$6,IF(D$3=$B248,1,""))&gt;$B$1,D$3&lt;$B248)),-1,IF(D$3&lt;$B248,D247+D$6,IF(D$3=$B248,1,"")))</f>
        <v>-1</v>
      </c>
      <c r="E248">
        <f t="shared" si="721"/>
        <v>-1</v>
      </c>
      <c r="F248">
        <f t="shared" si="721"/>
        <v>-1</v>
      </c>
      <c r="G248">
        <f t="shared" si="721"/>
        <v>-1</v>
      </c>
      <c r="H248">
        <f t="shared" si="721"/>
        <v>-1</v>
      </c>
      <c r="I248">
        <f t="shared" si="721"/>
        <v>-1</v>
      </c>
      <c r="J248">
        <f t="shared" si="721"/>
        <v>-1</v>
      </c>
      <c r="K248">
        <f t="shared" si="721"/>
        <v>-1</v>
      </c>
      <c r="L248">
        <f t="shared" si="721"/>
        <v>-1</v>
      </c>
      <c r="M248">
        <f t="shared" si="721"/>
        <v>-1</v>
      </c>
      <c r="N248">
        <f t="shared" si="721"/>
        <v>-1</v>
      </c>
      <c r="O248">
        <f t="shared" si="721"/>
        <v>-1</v>
      </c>
      <c r="P248">
        <f t="shared" si="721"/>
        <v>-1</v>
      </c>
      <c r="Q248">
        <f t="shared" si="721"/>
        <v>-1</v>
      </c>
      <c r="R248">
        <f t="shared" si="721"/>
        <v>-1</v>
      </c>
      <c r="S248">
        <f t="shared" si="721"/>
        <v>-1</v>
      </c>
      <c r="T248">
        <f t="shared" si="721"/>
        <v>-1</v>
      </c>
      <c r="U248">
        <f t="shared" si="721"/>
        <v>-1</v>
      </c>
      <c r="V248">
        <f t="shared" si="721"/>
        <v>-1</v>
      </c>
      <c r="W248">
        <f t="shared" si="721"/>
        <v>-1</v>
      </c>
      <c r="X248">
        <f t="shared" si="721"/>
        <v>-1</v>
      </c>
      <c r="Y248">
        <f t="shared" si="721"/>
        <v>-1</v>
      </c>
      <c r="Z248">
        <f t="shared" si="721"/>
        <v>-1</v>
      </c>
      <c r="AA248">
        <f t="shared" si="721"/>
        <v>-1</v>
      </c>
      <c r="AB248">
        <f t="shared" si="721"/>
        <v>-1</v>
      </c>
      <c r="AC248">
        <f t="shared" si="721"/>
        <v>-1</v>
      </c>
      <c r="AD248">
        <f t="shared" si="721"/>
        <v>-1</v>
      </c>
      <c r="AE248">
        <f t="shared" si="721"/>
        <v>-1</v>
      </c>
      <c r="AF248">
        <f t="shared" si="721"/>
        <v>-1</v>
      </c>
      <c r="AG248">
        <f t="shared" si="721"/>
        <v>-1</v>
      </c>
      <c r="AH248">
        <f t="shared" si="721"/>
        <v>-1</v>
      </c>
      <c r="AI248">
        <f t="shared" si="721"/>
        <v>-1</v>
      </c>
      <c r="AJ248">
        <f t="shared" si="721"/>
        <v>-1</v>
      </c>
      <c r="AK248">
        <f t="shared" si="721"/>
        <v>-1</v>
      </c>
      <c r="AL248">
        <f t="shared" si="721"/>
        <v>-1</v>
      </c>
      <c r="AM248">
        <f t="shared" si="721"/>
        <v>-1</v>
      </c>
      <c r="AN248">
        <f t="shared" si="721"/>
        <v>-1</v>
      </c>
      <c r="AO248">
        <f t="shared" si="721"/>
        <v>-1</v>
      </c>
      <c r="AP248">
        <f t="shared" si="721"/>
        <v>-1</v>
      </c>
      <c r="AQ248">
        <f t="shared" si="721"/>
        <v>-1</v>
      </c>
      <c r="AR248">
        <f t="shared" si="721"/>
        <v>-1</v>
      </c>
      <c r="AS248">
        <f t="shared" si="721"/>
        <v>-1</v>
      </c>
      <c r="AT248">
        <f t="shared" si="721"/>
        <v>-1</v>
      </c>
      <c r="AU248">
        <f t="shared" si="721"/>
        <v>-1</v>
      </c>
      <c r="AV248">
        <f t="shared" si="721"/>
        <v>-1</v>
      </c>
      <c r="AW248">
        <f t="shared" si="721"/>
        <v>-1</v>
      </c>
      <c r="AX248">
        <f t="shared" si="721"/>
        <v>-1</v>
      </c>
      <c r="AY248">
        <f t="shared" si="721"/>
        <v>-1</v>
      </c>
      <c r="AZ248">
        <f t="shared" si="721"/>
        <v>-1</v>
      </c>
      <c r="BA248">
        <f t="shared" si="721"/>
        <v>-1</v>
      </c>
      <c r="BB248">
        <f t="shared" si="721"/>
        <v>-1</v>
      </c>
      <c r="BC248">
        <f t="shared" si="721"/>
        <v>-1</v>
      </c>
      <c r="BD248">
        <f t="shared" si="721"/>
        <v>-1</v>
      </c>
      <c r="BE248">
        <f t="shared" si="721"/>
        <v>-1</v>
      </c>
      <c r="BF248">
        <f t="shared" si="721"/>
        <v>-1</v>
      </c>
      <c r="BG248">
        <f t="shared" si="721"/>
        <v>-1</v>
      </c>
      <c r="BH248">
        <f t="shared" si="721"/>
        <v>-1</v>
      </c>
      <c r="BI248">
        <f t="shared" si="721"/>
        <v>-1</v>
      </c>
      <c r="BJ248">
        <f t="shared" si="721"/>
        <v>-1</v>
      </c>
      <c r="BK248">
        <f t="shared" si="721"/>
        <v>-1</v>
      </c>
      <c r="BL248">
        <f t="shared" si="721"/>
        <v>-1</v>
      </c>
      <c r="BM248">
        <f t="shared" si="721"/>
        <v>-1</v>
      </c>
      <c r="BN248">
        <f t="shared" si="721"/>
        <v>-1</v>
      </c>
      <c r="BO248">
        <f t="shared" si="721"/>
        <v>-1</v>
      </c>
      <c r="BP248">
        <f t="shared" ref="BP248:EA248" si="722">IF(OR(BP247=-1,AND(IF(BP$3&lt;$B248,BP247+BP$6,IF(BP$3=$B248,1,""))&gt;$B$1,BP$3&lt;$B248)),-1,IF(BP$3&lt;$B248,BP247+BP$6,IF(BP$3=$B248,1,"")))</f>
        <v>-1</v>
      </c>
      <c r="BQ248">
        <f t="shared" si="722"/>
        <v>-1</v>
      </c>
      <c r="BR248">
        <f t="shared" si="722"/>
        <v>-1</v>
      </c>
      <c r="BS248">
        <f t="shared" si="722"/>
        <v>-1</v>
      </c>
      <c r="BT248">
        <f t="shared" si="722"/>
        <v>-1</v>
      </c>
      <c r="BU248">
        <f t="shared" si="722"/>
        <v>-1</v>
      </c>
      <c r="BV248">
        <f t="shared" si="722"/>
        <v>-1</v>
      </c>
      <c r="BW248">
        <f t="shared" si="722"/>
        <v>-1</v>
      </c>
      <c r="BX248">
        <f t="shared" si="722"/>
        <v>-1</v>
      </c>
      <c r="BY248">
        <f t="shared" si="722"/>
        <v>-1</v>
      </c>
      <c r="BZ248">
        <f t="shared" si="722"/>
        <v>-1</v>
      </c>
      <c r="CA248">
        <f t="shared" si="722"/>
        <v>-1</v>
      </c>
      <c r="CB248">
        <f t="shared" si="722"/>
        <v>-1</v>
      </c>
      <c r="CC248">
        <f t="shared" si="722"/>
        <v>-1</v>
      </c>
      <c r="CD248">
        <f t="shared" si="722"/>
        <v>-1</v>
      </c>
      <c r="CE248">
        <f t="shared" si="722"/>
        <v>-1</v>
      </c>
      <c r="CF248">
        <f t="shared" si="722"/>
        <v>-1</v>
      </c>
      <c r="CG248">
        <f t="shared" si="722"/>
        <v>-1</v>
      </c>
      <c r="CH248">
        <f t="shared" si="722"/>
        <v>-1</v>
      </c>
      <c r="CI248">
        <f t="shared" si="722"/>
        <v>-1</v>
      </c>
      <c r="CJ248">
        <f t="shared" si="722"/>
        <v>-1</v>
      </c>
      <c r="CK248">
        <f t="shared" si="722"/>
        <v>-1</v>
      </c>
      <c r="CL248">
        <f t="shared" si="722"/>
        <v>-1</v>
      </c>
      <c r="CM248">
        <f t="shared" si="722"/>
        <v>-1</v>
      </c>
      <c r="CN248">
        <f t="shared" si="722"/>
        <v>73.000000000000014</v>
      </c>
      <c r="CO248">
        <f t="shared" si="722"/>
        <v>-1</v>
      </c>
      <c r="CP248">
        <f t="shared" si="722"/>
        <v>-1</v>
      </c>
      <c r="CQ248">
        <f t="shared" si="722"/>
        <v>-1</v>
      </c>
      <c r="CR248">
        <f t="shared" si="722"/>
        <v>-1</v>
      </c>
      <c r="CS248">
        <f t="shared" si="722"/>
        <v>-1</v>
      </c>
      <c r="CT248">
        <f t="shared" si="722"/>
        <v>-1</v>
      </c>
      <c r="CU248">
        <f t="shared" si="722"/>
        <v>-1</v>
      </c>
      <c r="CV248">
        <f t="shared" si="722"/>
        <v>-1</v>
      </c>
      <c r="CW248">
        <f t="shared" si="722"/>
        <v>-1</v>
      </c>
      <c r="CX248">
        <f t="shared" si="722"/>
        <v>-1</v>
      </c>
      <c r="CY248">
        <f t="shared" si="722"/>
        <v>-1</v>
      </c>
      <c r="CZ248">
        <f t="shared" si="722"/>
        <v>-1</v>
      </c>
      <c r="DA248">
        <f t="shared" si="722"/>
        <v>-1</v>
      </c>
      <c r="DB248">
        <f t="shared" si="722"/>
        <v>-1</v>
      </c>
      <c r="DC248">
        <f t="shared" si="722"/>
        <v>-1</v>
      </c>
      <c r="DD248">
        <f t="shared" si="722"/>
        <v>-1</v>
      </c>
      <c r="DE248">
        <f t="shared" si="722"/>
        <v>-1</v>
      </c>
      <c r="DF248">
        <f t="shared" si="722"/>
        <v>-1</v>
      </c>
      <c r="DG248">
        <f t="shared" si="722"/>
        <v>-1</v>
      </c>
      <c r="DH248">
        <f t="shared" si="722"/>
        <v>-1</v>
      </c>
      <c r="DI248">
        <f t="shared" si="722"/>
        <v>-1</v>
      </c>
      <c r="DJ248">
        <f t="shared" si="722"/>
        <v>-1</v>
      </c>
      <c r="DK248">
        <f t="shared" si="722"/>
        <v>-1</v>
      </c>
      <c r="DL248">
        <f t="shared" si="722"/>
        <v>-1</v>
      </c>
      <c r="DM248">
        <f t="shared" si="722"/>
        <v>-1</v>
      </c>
      <c r="DN248">
        <f t="shared" si="722"/>
        <v>-1</v>
      </c>
      <c r="DO248">
        <f t="shared" si="722"/>
        <v>-1</v>
      </c>
      <c r="DP248">
        <f t="shared" si="722"/>
        <v>-1</v>
      </c>
      <c r="DQ248">
        <f t="shared" si="722"/>
        <v>-1</v>
      </c>
      <c r="DR248">
        <f t="shared" si="722"/>
        <v>-1</v>
      </c>
      <c r="DS248">
        <f t="shared" si="722"/>
        <v>-1</v>
      </c>
      <c r="DT248">
        <f t="shared" si="722"/>
        <v>-1</v>
      </c>
      <c r="DU248">
        <f t="shared" si="722"/>
        <v>-1</v>
      </c>
      <c r="DV248">
        <f t="shared" si="722"/>
        <v>-1</v>
      </c>
      <c r="DW248">
        <f t="shared" si="722"/>
        <v>-1</v>
      </c>
      <c r="DX248">
        <f t="shared" si="722"/>
        <v>-1</v>
      </c>
      <c r="DY248">
        <f t="shared" si="722"/>
        <v>-1</v>
      </c>
      <c r="DZ248">
        <f t="shared" si="722"/>
        <v>-1</v>
      </c>
      <c r="EA248">
        <f t="shared" si="722"/>
        <v>-1</v>
      </c>
      <c r="EB248">
        <f t="shared" ref="EB248:EO248" si="723">IF(OR(EB247=-1,AND(IF(EB$3&lt;$B248,EB247+EB$6,IF(EB$3=$B248,1,""))&gt;$B$1,EB$3&lt;$B248)),-1,IF(EB$3&lt;$B248,EB247+EB$6,IF(EB$3=$B248,1,"")))</f>
        <v>-1</v>
      </c>
      <c r="EC248">
        <f t="shared" si="723"/>
        <v>-1</v>
      </c>
      <c r="ED248">
        <f t="shared" si="723"/>
        <v>-1</v>
      </c>
      <c r="EE248">
        <f t="shared" si="723"/>
        <v>-1</v>
      </c>
      <c r="EF248">
        <f t="shared" si="723"/>
        <v>-1</v>
      </c>
      <c r="EG248">
        <f t="shared" si="723"/>
        <v>-1</v>
      </c>
      <c r="EH248">
        <f t="shared" si="723"/>
        <v>-1</v>
      </c>
      <c r="EI248">
        <f t="shared" si="723"/>
        <v>-1</v>
      </c>
      <c r="EJ248">
        <f t="shared" si="723"/>
        <v>-1</v>
      </c>
      <c r="EK248">
        <f t="shared" si="723"/>
        <v>-1</v>
      </c>
      <c r="EL248">
        <f t="shared" si="723"/>
        <v>-1</v>
      </c>
      <c r="EM248">
        <f t="shared" si="723"/>
        <v>-1</v>
      </c>
      <c r="EN248">
        <f t="shared" si="723"/>
        <v>-1</v>
      </c>
      <c r="EO248">
        <f t="shared" si="723"/>
        <v>-1</v>
      </c>
    </row>
    <row r="249" spans="1:145" x14ac:dyDescent="0.15">
      <c r="A249" t="e">
        <f t="shared" si="579"/>
        <v>#N/A</v>
      </c>
      <c r="B249" s="218">
        <v>241</v>
      </c>
      <c r="C249">
        <f t="shared" si="579"/>
        <v>-1</v>
      </c>
      <c r="D249">
        <f t="shared" ref="D249:BO249" si="724">IF(OR(D248=-1,AND(IF(D$3&lt;$B249,D248+D$6,IF(D$3=$B249,1,""))&gt;$B$1,D$3&lt;$B249)),-1,IF(D$3&lt;$B249,D248+D$6,IF(D$3=$B249,1,"")))</f>
        <v>-1</v>
      </c>
      <c r="E249">
        <f t="shared" si="724"/>
        <v>-1</v>
      </c>
      <c r="F249">
        <f t="shared" si="724"/>
        <v>-1</v>
      </c>
      <c r="G249">
        <f t="shared" si="724"/>
        <v>-1</v>
      </c>
      <c r="H249">
        <f t="shared" si="724"/>
        <v>-1</v>
      </c>
      <c r="I249">
        <f t="shared" si="724"/>
        <v>-1</v>
      </c>
      <c r="J249">
        <f t="shared" si="724"/>
        <v>-1</v>
      </c>
      <c r="K249">
        <f t="shared" si="724"/>
        <v>-1</v>
      </c>
      <c r="L249">
        <f t="shared" si="724"/>
        <v>-1</v>
      </c>
      <c r="M249">
        <f t="shared" si="724"/>
        <v>-1</v>
      </c>
      <c r="N249">
        <f t="shared" si="724"/>
        <v>-1</v>
      </c>
      <c r="O249">
        <f t="shared" si="724"/>
        <v>-1</v>
      </c>
      <c r="P249">
        <f t="shared" si="724"/>
        <v>-1</v>
      </c>
      <c r="Q249">
        <f t="shared" si="724"/>
        <v>-1</v>
      </c>
      <c r="R249">
        <f t="shared" si="724"/>
        <v>-1</v>
      </c>
      <c r="S249">
        <f t="shared" si="724"/>
        <v>-1</v>
      </c>
      <c r="T249">
        <f t="shared" si="724"/>
        <v>-1</v>
      </c>
      <c r="U249">
        <f t="shared" si="724"/>
        <v>-1</v>
      </c>
      <c r="V249">
        <f t="shared" si="724"/>
        <v>-1</v>
      </c>
      <c r="W249">
        <f t="shared" si="724"/>
        <v>-1</v>
      </c>
      <c r="X249">
        <f t="shared" si="724"/>
        <v>-1</v>
      </c>
      <c r="Y249">
        <f t="shared" si="724"/>
        <v>-1</v>
      </c>
      <c r="Z249">
        <f t="shared" si="724"/>
        <v>-1</v>
      </c>
      <c r="AA249">
        <f t="shared" si="724"/>
        <v>-1</v>
      </c>
      <c r="AB249">
        <f t="shared" si="724"/>
        <v>-1</v>
      </c>
      <c r="AC249">
        <f t="shared" si="724"/>
        <v>-1</v>
      </c>
      <c r="AD249">
        <f t="shared" si="724"/>
        <v>-1</v>
      </c>
      <c r="AE249">
        <f t="shared" si="724"/>
        <v>-1</v>
      </c>
      <c r="AF249">
        <f t="shared" si="724"/>
        <v>-1</v>
      </c>
      <c r="AG249">
        <f t="shared" si="724"/>
        <v>-1</v>
      </c>
      <c r="AH249">
        <f t="shared" si="724"/>
        <v>-1</v>
      </c>
      <c r="AI249">
        <f t="shared" si="724"/>
        <v>-1</v>
      </c>
      <c r="AJ249">
        <f t="shared" si="724"/>
        <v>-1</v>
      </c>
      <c r="AK249">
        <f t="shared" si="724"/>
        <v>-1</v>
      </c>
      <c r="AL249">
        <f t="shared" si="724"/>
        <v>-1</v>
      </c>
      <c r="AM249">
        <f t="shared" si="724"/>
        <v>-1</v>
      </c>
      <c r="AN249">
        <f t="shared" si="724"/>
        <v>-1</v>
      </c>
      <c r="AO249">
        <f t="shared" si="724"/>
        <v>-1</v>
      </c>
      <c r="AP249">
        <f t="shared" si="724"/>
        <v>-1</v>
      </c>
      <c r="AQ249">
        <f t="shared" si="724"/>
        <v>-1</v>
      </c>
      <c r="AR249">
        <f t="shared" si="724"/>
        <v>-1</v>
      </c>
      <c r="AS249">
        <f t="shared" si="724"/>
        <v>-1</v>
      </c>
      <c r="AT249">
        <f t="shared" si="724"/>
        <v>-1</v>
      </c>
      <c r="AU249">
        <f t="shared" si="724"/>
        <v>-1</v>
      </c>
      <c r="AV249">
        <f t="shared" si="724"/>
        <v>-1</v>
      </c>
      <c r="AW249">
        <f t="shared" si="724"/>
        <v>-1</v>
      </c>
      <c r="AX249">
        <f t="shared" si="724"/>
        <v>-1</v>
      </c>
      <c r="AY249">
        <f t="shared" si="724"/>
        <v>-1</v>
      </c>
      <c r="AZ249">
        <f t="shared" si="724"/>
        <v>-1</v>
      </c>
      <c r="BA249">
        <f t="shared" si="724"/>
        <v>-1</v>
      </c>
      <c r="BB249">
        <f t="shared" si="724"/>
        <v>-1</v>
      </c>
      <c r="BC249">
        <f t="shared" si="724"/>
        <v>-1</v>
      </c>
      <c r="BD249">
        <f t="shared" si="724"/>
        <v>-1</v>
      </c>
      <c r="BE249">
        <f t="shared" si="724"/>
        <v>-1</v>
      </c>
      <c r="BF249">
        <f t="shared" si="724"/>
        <v>-1</v>
      </c>
      <c r="BG249">
        <f t="shared" si="724"/>
        <v>-1</v>
      </c>
      <c r="BH249">
        <f t="shared" si="724"/>
        <v>-1</v>
      </c>
      <c r="BI249">
        <f t="shared" si="724"/>
        <v>-1</v>
      </c>
      <c r="BJ249">
        <f t="shared" si="724"/>
        <v>-1</v>
      </c>
      <c r="BK249">
        <f t="shared" si="724"/>
        <v>-1</v>
      </c>
      <c r="BL249">
        <f t="shared" si="724"/>
        <v>-1</v>
      </c>
      <c r="BM249">
        <f t="shared" si="724"/>
        <v>-1</v>
      </c>
      <c r="BN249">
        <f t="shared" si="724"/>
        <v>-1</v>
      </c>
      <c r="BO249">
        <f t="shared" si="724"/>
        <v>-1</v>
      </c>
      <c r="BP249">
        <f t="shared" ref="BP249:EA249" si="725">IF(OR(BP248=-1,AND(IF(BP$3&lt;$B249,BP248+BP$6,IF(BP$3=$B249,1,""))&gt;$B$1,BP$3&lt;$B249)),-1,IF(BP$3&lt;$B249,BP248+BP$6,IF(BP$3=$B249,1,"")))</f>
        <v>-1</v>
      </c>
      <c r="BQ249">
        <f t="shared" si="725"/>
        <v>-1</v>
      </c>
      <c r="BR249">
        <f t="shared" si="725"/>
        <v>-1</v>
      </c>
      <c r="BS249">
        <f t="shared" si="725"/>
        <v>-1</v>
      </c>
      <c r="BT249">
        <f t="shared" si="725"/>
        <v>-1</v>
      </c>
      <c r="BU249">
        <f t="shared" si="725"/>
        <v>-1</v>
      </c>
      <c r="BV249">
        <f t="shared" si="725"/>
        <v>-1</v>
      </c>
      <c r="BW249">
        <f t="shared" si="725"/>
        <v>-1</v>
      </c>
      <c r="BX249">
        <f t="shared" si="725"/>
        <v>-1</v>
      </c>
      <c r="BY249">
        <f t="shared" si="725"/>
        <v>-1</v>
      </c>
      <c r="BZ249">
        <f t="shared" si="725"/>
        <v>-1</v>
      </c>
      <c r="CA249">
        <f t="shared" si="725"/>
        <v>-1</v>
      </c>
      <c r="CB249">
        <f t="shared" si="725"/>
        <v>-1</v>
      </c>
      <c r="CC249">
        <f t="shared" si="725"/>
        <v>-1</v>
      </c>
      <c r="CD249">
        <f t="shared" si="725"/>
        <v>-1</v>
      </c>
      <c r="CE249">
        <f t="shared" si="725"/>
        <v>-1</v>
      </c>
      <c r="CF249">
        <f t="shared" si="725"/>
        <v>-1</v>
      </c>
      <c r="CG249">
        <f t="shared" si="725"/>
        <v>-1</v>
      </c>
      <c r="CH249">
        <f t="shared" si="725"/>
        <v>-1</v>
      </c>
      <c r="CI249">
        <f t="shared" si="725"/>
        <v>-1</v>
      </c>
      <c r="CJ249">
        <f t="shared" si="725"/>
        <v>-1</v>
      </c>
      <c r="CK249">
        <f t="shared" si="725"/>
        <v>-1</v>
      </c>
      <c r="CL249">
        <f t="shared" si="725"/>
        <v>-1</v>
      </c>
      <c r="CM249">
        <f t="shared" si="725"/>
        <v>-1</v>
      </c>
      <c r="CN249">
        <f t="shared" si="725"/>
        <v>73.600000000000009</v>
      </c>
      <c r="CO249">
        <f t="shared" si="725"/>
        <v>-1</v>
      </c>
      <c r="CP249">
        <f t="shared" si="725"/>
        <v>-1</v>
      </c>
      <c r="CQ249">
        <f t="shared" si="725"/>
        <v>-1</v>
      </c>
      <c r="CR249">
        <f t="shared" si="725"/>
        <v>-1</v>
      </c>
      <c r="CS249">
        <f t="shared" si="725"/>
        <v>-1</v>
      </c>
      <c r="CT249">
        <f t="shared" si="725"/>
        <v>-1</v>
      </c>
      <c r="CU249">
        <f t="shared" si="725"/>
        <v>-1</v>
      </c>
      <c r="CV249">
        <f t="shared" si="725"/>
        <v>-1</v>
      </c>
      <c r="CW249">
        <f t="shared" si="725"/>
        <v>-1</v>
      </c>
      <c r="CX249">
        <f t="shared" si="725"/>
        <v>-1</v>
      </c>
      <c r="CY249">
        <f t="shared" si="725"/>
        <v>-1</v>
      </c>
      <c r="CZ249">
        <f t="shared" si="725"/>
        <v>-1</v>
      </c>
      <c r="DA249">
        <f t="shared" si="725"/>
        <v>-1</v>
      </c>
      <c r="DB249">
        <f t="shared" si="725"/>
        <v>-1</v>
      </c>
      <c r="DC249">
        <f t="shared" si="725"/>
        <v>-1</v>
      </c>
      <c r="DD249">
        <f t="shared" si="725"/>
        <v>-1</v>
      </c>
      <c r="DE249">
        <f t="shared" si="725"/>
        <v>-1</v>
      </c>
      <c r="DF249">
        <f t="shared" si="725"/>
        <v>-1</v>
      </c>
      <c r="DG249">
        <f t="shared" si="725"/>
        <v>-1</v>
      </c>
      <c r="DH249">
        <f t="shared" si="725"/>
        <v>-1</v>
      </c>
      <c r="DI249">
        <f t="shared" si="725"/>
        <v>-1</v>
      </c>
      <c r="DJ249">
        <f t="shared" si="725"/>
        <v>-1</v>
      </c>
      <c r="DK249">
        <f t="shared" si="725"/>
        <v>-1</v>
      </c>
      <c r="DL249">
        <f t="shared" si="725"/>
        <v>-1</v>
      </c>
      <c r="DM249">
        <f t="shared" si="725"/>
        <v>-1</v>
      </c>
      <c r="DN249">
        <f t="shared" si="725"/>
        <v>-1</v>
      </c>
      <c r="DO249">
        <f t="shared" si="725"/>
        <v>-1</v>
      </c>
      <c r="DP249">
        <f t="shared" si="725"/>
        <v>-1</v>
      </c>
      <c r="DQ249">
        <f t="shared" si="725"/>
        <v>-1</v>
      </c>
      <c r="DR249">
        <f t="shared" si="725"/>
        <v>-1</v>
      </c>
      <c r="DS249">
        <f t="shared" si="725"/>
        <v>-1</v>
      </c>
      <c r="DT249">
        <f t="shared" si="725"/>
        <v>-1</v>
      </c>
      <c r="DU249">
        <f t="shared" si="725"/>
        <v>-1</v>
      </c>
      <c r="DV249">
        <f t="shared" si="725"/>
        <v>-1</v>
      </c>
      <c r="DW249">
        <f t="shared" si="725"/>
        <v>-1</v>
      </c>
      <c r="DX249">
        <f t="shared" si="725"/>
        <v>-1</v>
      </c>
      <c r="DY249">
        <f t="shared" si="725"/>
        <v>-1</v>
      </c>
      <c r="DZ249">
        <f t="shared" si="725"/>
        <v>-1</v>
      </c>
      <c r="EA249">
        <f t="shared" si="725"/>
        <v>-1</v>
      </c>
      <c r="EB249">
        <f t="shared" ref="EB249:EO249" si="726">IF(OR(EB248=-1,AND(IF(EB$3&lt;$B249,EB248+EB$6,IF(EB$3=$B249,1,""))&gt;$B$1,EB$3&lt;$B249)),-1,IF(EB$3&lt;$B249,EB248+EB$6,IF(EB$3=$B249,1,"")))</f>
        <v>-1</v>
      </c>
      <c r="EC249">
        <f t="shared" si="726"/>
        <v>-1</v>
      </c>
      <c r="ED249">
        <f t="shared" si="726"/>
        <v>-1</v>
      </c>
      <c r="EE249">
        <f t="shared" si="726"/>
        <v>-1</v>
      </c>
      <c r="EF249">
        <f t="shared" si="726"/>
        <v>-1</v>
      </c>
      <c r="EG249">
        <f t="shared" si="726"/>
        <v>-1</v>
      </c>
      <c r="EH249">
        <f t="shared" si="726"/>
        <v>-1</v>
      </c>
      <c r="EI249">
        <f t="shared" si="726"/>
        <v>-1</v>
      </c>
      <c r="EJ249">
        <f t="shared" si="726"/>
        <v>-1</v>
      </c>
      <c r="EK249">
        <f t="shared" si="726"/>
        <v>-1</v>
      </c>
      <c r="EL249">
        <f t="shared" si="726"/>
        <v>-1</v>
      </c>
      <c r="EM249">
        <f t="shared" si="726"/>
        <v>-1</v>
      </c>
      <c r="EN249">
        <f t="shared" si="726"/>
        <v>-1</v>
      </c>
      <c r="EO249">
        <f t="shared" si="726"/>
        <v>-1</v>
      </c>
    </row>
    <row r="250" spans="1:145" x14ac:dyDescent="0.15">
      <c r="A250" t="e">
        <f t="shared" si="579"/>
        <v>#N/A</v>
      </c>
      <c r="B250" s="218">
        <v>242</v>
      </c>
      <c r="C250">
        <f t="shared" si="579"/>
        <v>-1</v>
      </c>
      <c r="D250">
        <f t="shared" ref="D250:BO250" si="727">IF(OR(D249=-1,AND(IF(D$3&lt;$B250,D249+D$6,IF(D$3=$B250,1,""))&gt;$B$1,D$3&lt;$B250)),-1,IF(D$3&lt;$B250,D249+D$6,IF(D$3=$B250,1,"")))</f>
        <v>-1</v>
      </c>
      <c r="E250">
        <f t="shared" si="727"/>
        <v>-1</v>
      </c>
      <c r="F250">
        <f t="shared" si="727"/>
        <v>-1</v>
      </c>
      <c r="G250">
        <f t="shared" si="727"/>
        <v>-1</v>
      </c>
      <c r="H250">
        <f t="shared" si="727"/>
        <v>-1</v>
      </c>
      <c r="I250">
        <f t="shared" si="727"/>
        <v>-1</v>
      </c>
      <c r="J250">
        <f t="shared" si="727"/>
        <v>-1</v>
      </c>
      <c r="K250">
        <f t="shared" si="727"/>
        <v>-1</v>
      </c>
      <c r="L250">
        <f t="shared" si="727"/>
        <v>-1</v>
      </c>
      <c r="M250">
        <f t="shared" si="727"/>
        <v>-1</v>
      </c>
      <c r="N250">
        <f t="shared" si="727"/>
        <v>-1</v>
      </c>
      <c r="O250">
        <f t="shared" si="727"/>
        <v>-1</v>
      </c>
      <c r="P250">
        <f t="shared" si="727"/>
        <v>-1</v>
      </c>
      <c r="Q250">
        <f t="shared" si="727"/>
        <v>-1</v>
      </c>
      <c r="R250">
        <f t="shared" si="727"/>
        <v>-1</v>
      </c>
      <c r="S250">
        <f t="shared" si="727"/>
        <v>-1</v>
      </c>
      <c r="T250">
        <f t="shared" si="727"/>
        <v>-1</v>
      </c>
      <c r="U250">
        <f t="shared" si="727"/>
        <v>-1</v>
      </c>
      <c r="V250">
        <f t="shared" si="727"/>
        <v>-1</v>
      </c>
      <c r="W250">
        <f t="shared" si="727"/>
        <v>-1</v>
      </c>
      <c r="X250">
        <f t="shared" si="727"/>
        <v>-1</v>
      </c>
      <c r="Y250">
        <f t="shared" si="727"/>
        <v>-1</v>
      </c>
      <c r="Z250">
        <f t="shared" si="727"/>
        <v>-1</v>
      </c>
      <c r="AA250">
        <f t="shared" si="727"/>
        <v>-1</v>
      </c>
      <c r="AB250">
        <f t="shared" si="727"/>
        <v>-1</v>
      </c>
      <c r="AC250">
        <f t="shared" si="727"/>
        <v>-1</v>
      </c>
      <c r="AD250">
        <f t="shared" si="727"/>
        <v>-1</v>
      </c>
      <c r="AE250">
        <f t="shared" si="727"/>
        <v>-1</v>
      </c>
      <c r="AF250">
        <f t="shared" si="727"/>
        <v>-1</v>
      </c>
      <c r="AG250">
        <f t="shared" si="727"/>
        <v>-1</v>
      </c>
      <c r="AH250">
        <f t="shared" si="727"/>
        <v>-1</v>
      </c>
      <c r="AI250">
        <f t="shared" si="727"/>
        <v>-1</v>
      </c>
      <c r="AJ250">
        <f t="shared" si="727"/>
        <v>-1</v>
      </c>
      <c r="AK250">
        <f t="shared" si="727"/>
        <v>-1</v>
      </c>
      <c r="AL250">
        <f t="shared" si="727"/>
        <v>-1</v>
      </c>
      <c r="AM250">
        <f t="shared" si="727"/>
        <v>-1</v>
      </c>
      <c r="AN250">
        <f t="shared" si="727"/>
        <v>-1</v>
      </c>
      <c r="AO250">
        <f t="shared" si="727"/>
        <v>-1</v>
      </c>
      <c r="AP250">
        <f t="shared" si="727"/>
        <v>-1</v>
      </c>
      <c r="AQ250">
        <f t="shared" si="727"/>
        <v>-1</v>
      </c>
      <c r="AR250">
        <f t="shared" si="727"/>
        <v>-1</v>
      </c>
      <c r="AS250">
        <f t="shared" si="727"/>
        <v>-1</v>
      </c>
      <c r="AT250">
        <f t="shared" si="727"/>
        <v>-1</v>
      </c>
      <c r="AU250">
        <f t="shared" si="727"/>
        <v>-1</v>
      </c>
      <c r="AV250">
        <f t="shared" si="727"/>
        <v>-1</v>
      </c>
      <c r="AW250">
        <f t="shared" si="727"/>
        <v>-1</v>
      </c>
      <c r="AX250">
        <f t="shared" si="727"/>
        <v>-1</v>
      </c>
      <c r="AY250">
        <f t="shared" si="727"/>
        <v>-1</v>
      </c>
      <c r="AZ250">
        <f t="shared" si="727"/>
        <v>-1</v>
      </c>
      <c r="BA250">
        <f t="shared" si="727"/>
        <v>-1</v>
      </c>
      <c r="BB250">
        <f t="shared" si="727"/>
        <v>-1</v>
      </c>
      <c r="BC250">
        <f t="shared" si="727"/>
        <v>-1</v>
      </c>
      <c r="BD250">
        <f t="shared" si="727"/>
        <v>-1</v>
      </c>
      <c r="BE250">
        <f t="shared" si="727"/>
        <v>-1</v>
      </c>
      <c r="BF250">
        <f t="shared" si="727"/>
        <v>-1</v>
      </c>
      <c r="BG250">
        <f t="shared" si="727"/>
        <v>-1</v>
      </c>
      <c r="BH250">
        <f t="shared" si="727"/>
        <v>-1</v>
      </c>
      <c r="BI250">
        <f t="shared" si="727"/>
        <v>-1</v>
      </c>
      <c r="BJ250">
        <f t="shared" si="727"/>
        <v>-1</v>
      </c>
      <c r="BK250">
        <f t="shared" si="727"/>
        <v>-1</v>
      </c>
      <c r="BL250">
        <f t="shared" si="727"/>
        <v>-1</v>
      </c>
      <c r="BM250">
        <f t="shared" si="727"/>
        <v>-1</v>
      </c>
      <c r="BN250">
        <f t="shared" si="727"/>
        <v>-1</v>
      </c>
      <c r="BO250">
        <f t="shared" si="727"/>
        <v>-1</v>
      </c>
      <c r="BP250">
        <f t="shared" ref="BP250:EA250" si="728">IF(OR(BP249=-1,AND(IF(BP$3&lt;$B250,BP249+BP$6,IF(BP$3=$B250,1,""))&gt;$B$1,BP$3&lt;$B250)),-1,IF(BP$3&lt;$B250,BP249+BP$6,IF(BP$3=$B250,1,"")))</f>
        <v>-1</v>
      </c>
      <c r="BQ250">
        <f t="shared" si="728"/>
        <v>-1</v>
      </c>
      <c r="BR250">
        <f t="shared" si="728"/>
        <v>-1</v>
      </c>
      <c r="BS250">
        <f t="shared" si="728"/>
        <v>-1</v>
      </c>
      <c r="BT250">
        <f t="shared" si="728"/>
        <v>-1</v>
      </c>
      <c r="BU250">
        <f t="shared" si="728"/>
        <v>-1</v>
      </c>
      <c r="BV250">
        <f t="shared" si="728"/>
        <v>-1</v>
      </c>
      <c r="BW250">
        <f t="shared" si="728"/>
        <v>-1</v>
      </c>
      <c r="BX250">
        <f t="shared" si="728"/>
        <v>-1</v>
      </c>
      <c r="BY250">
        <f t="shared" si="728"/>
        <v>-1</v>
      </c>
      <c r="BZ250">
        <f t="shared" si="728"/>
        <v>-1</v>
      </c>
      <c r="CA250">
        <f t="shared" si="728"/>
        <v>-1</v>
      </c>
      <c r="CB250">
        <f t="shared" si="728"/>
        <v>-1</v>
      </c>
      <c r="CC250">
        <f t="shared" si="728"/>
        <v>-1</v>
      </c>
      <c r="CD250">
        <f t="shared" si="728"/>
        <v>-1</v>
      </c>
      <c r="CE250">
        <f t="shared" si="728"/>
        <v>-1</v>
      </c>
      <c r="CF250">
        <f t="shared" si="728"/>
        <v>-1</v>
      </c>
      <c r="CG250">
        <f t="shared" si="728"/>
        <v>-1</v>
      </c>
      <c r="CH250">
        <f t="shared" si="728"/>
        <v>-1</v>
      </c>
      <c r="CI250">
        <f t="shared" si="728"/>
        <v>-1</v>
      </c>
      <c r="CJ250">
        <f t="shared" si="728"/>
        <v>-1</v>
      </c>
      <c r="CK250">
        <f t="shared" si="728"/>
        <v>-1</v>
      </c>
      <c r="CL250">
        <f t="shared" si="728"/>
        <v>-1</v>
      </c>
      <c r="CM250">
        <f t="shared" si="728"/>
        <v>-1</v>
      </c>
      <c r="CN250">
        <f t="shared" si="728"/>
        <v>74.2</v>
      </c>
      <c r="CO250">
        <f t="shared" si="728"/>
        <v>-1</v>
      </c>
      <c r="CP250">
        <f t="shared" si="728"/>
        <v>-1</v>
      </c>
      <c r="CQ250">
        <f t="shared" si="728"/>
        <v>-1</v>
      </c>
      <c r="CR250">
        <f t="shared" si="728"/>
        <v>-1</v>
      </c>
      <c r="CS250">
        <f t="shared" si="728"/>
        <v>-1</v>
      </c>
      <c r="CT250">
        <f t="shared" si="728"/>
        <v>-1</v>
      </c>
      <c r="CU250">
        <f t="shared" si="728"/>
        <v>-1</v>
      </c>
      <c r="CV250">
        <f t="shared" si="728"/>
        <v>-1</v>
      </c>
      <c r="CW250">
        <f t="shared" si="728"/>
        <v>-1</v>
      </c>
      <c r="CX250">
        <f t="shared" si="728"/>
        <v>-1</v>
      </c>
      <c r="CY250">
        <f t="shared" si="728"/>
        <v>-1</v>
      </c>
      <c r="CZ250">
        <f t="shared" si="728"/>
        <v>-1</v>
      </c>
      <c r="DA250">
        <f t="shared" si="728"/>
        <v>-1</v>
      </c>
      <c r="DB250">
        <f t="shared" si="728"/>
        <v>-1</v>
      </c>
      <c r="DC250">
        <f t="shared" si="728"/>
        <v>-1</v>
      </c>
      <c r="DD250">
        <f t="shared" si="728"/>
        <v>-1</v>
      </c>
      <c r="DE250">
        <f t="shared" si="728"/>
        <v>-1</v>
      </c>
      <c r="DF250">
        <f t="shared" si="728"/>
        <v>-1</v>
      </c>
      <c r="DG250">
        <f t="shared" si="728"/>
        <v>-1</v>
      </c>
      <c r="DH250">
        <f t="shared" si="728"/>
        <v>-1</v>
      </c>
      <c r="DI250">
        <f t="shared" si="728"/>
        <v>-1</v>
      </c>
      <c r="DJ250">
        <f t="shared" si="728"/>
        <v>-1</v>
      </c>
      <c r="DK250">
        <f t="shared" si="728"/>
        <v>-1</v>
      </c>
      <c r="DL250">
        <f t="shared" si="728"/>
        <v>-1</v>
      </c>
      <c r="DM250">
        <f t="shared" si="728"/>
        <v>-1</v>
      </c>
      <c r="DN250">
        <f t="shared" si="728"/>
        <v>-1</v>
      </c>
      <c r="DO250">
        <f t="shared" si="728"/>
        <v>-1</v>
      </c>
      <c r="DP250">
        <f t="shared" si="728"/>
        <v>-1</v>
      </c>
      <c r="DQ250">
        <f t="shared" si="728"/>
        <v>-1</v>
      </c>
      <c r="DR250">
        <f t="shared" si="728"/>
        <v>-1</v>
      </c>
      <c r="DS250">
        <f t="shared" si="728"/>
        <v>-1</v>
      </c>
      <c r="DT250">
        <f t="shared" si="728"/>
        <v>-1</v>
      </c>
      <c r="DU250">
        <f t="shared" si="728"/>
        <v>-1</v>
      </c>
      <c r="DV250">
        <f t="shared" si="728"/>
        <v>-1</v>
      </c>
      <c r="DW250">
        <f t="shared" si="728"/>
        <v>-1</v>
      </c>
      <c r="DX250">
        <f t="shared" si="728"/>
        <v>-1</v>
      </c>
      <c r="DY250">
        <f t="shared" si="728"/>
        <v>-1</v>
      </c>
      <c r="DZ250">
        <f t="shared" si="728"/>
        <v>-1</v>
      </c>
      <c r="EA250">
        <f t="shared" si="728"/>
        <v>-1</v>
      </c>
      <c r="EB250">
        <f t="shared" ref="EB250:EO250" si="729">IF(OR(EB249=-1,AND(IF(EB$3&lt;$B250,EB249+EB$6,IF(EB$3=$B250,1,""))&gt;$B$1,EB$3&lt;$B250)),-1,IF(EB$3&lt;$B250,EB249+EB$6,IF(EB$3=$B250,1,"")))</f>
        <v>-1</v>
      </c>
      <c r="EC250">
        <f t="shared" si="729"/>
        <v>-1</v>
      </c>
      <c r="ED250">
        <f t="shared" si="729"/>
        <v>-1</v>
      </c>
      <c r="EE250">
        <f t="shared" si="729"/>
        <v>-1</v>
      </c>
      <c r="EF250">
        <f t="shared" si="729"/>
        <v>-1</v>
      </c>
      <c r="EG250">
        <f t="shared" si="729"/>
        <v>-1</v>
      </c>
      <c r="EH250">
        <f t="shared" si="729"/>
        <v>-1</v>
      </c>
      <c r="EI250">
        <f t="shared" si="729"/>
        <v>-1</v>
      </c>
      <c r="EJ250">
        <f t="shared" si="729"/>
        <v>-1</v>
      </c>
      <c r="EK250">
        <f t="shared" si="729"/>
        <v>-1</v>
      </c>
      <c r="EL250">
        <f t="shared" si="729"/>
        <v>-1</v>
      </c>
      <c r="EM250">
        <f t="shared" si="729"/>
        <v>-1</v>
      </c>
      <c r="EN250">
        <f t="shared" si="729"/>
        <v>-1</v>
      </c>
      <c r="EO250">
        <f t="shared" si="729"/>
        <v>-1</v>
      </c>
    </row>
    <row r="251" spans="1:145" x14ac:dyDescent="0.15">
      <c r="A251" t="e">
        <f t="shared" si="579"/>
        <v>#N/A</v>
      </c>
      <c r="B251" s="218">
        <v>243</v>
      </c>
      <c r="C251">
        <f t="shared" si="579"/>
        <v>-1</v>
      </c>
      <c r="D251">
        <f t="shared" ref="D251:BO251" si="730">IF(OR(D250=-1,AND(IF(D$3&lt;$B251,D250+D$6,IF(D$3=$B251,1,""))&gt;$B$1,D$3&lt;$B251)),-1,IF(D$3&lt;$B251,D250+D$6,IF(D$3=$B251,1,"")))</f>
        <v>-1</v>
      </c>
      <c r="E251">
        <f t="shared" si="730"/>
        <v>-1</v>
      </c>
      <c r="F251">
        <f t="shared" si="730"/>
        <v>-1</v>
      </c>
      <c r="G251">
        <f t="shared" si="730"/>
        <v>-1</v>
      </c>
      <c r="H251">
        <f t="shared" si="730"/>
        <v>-1</v>
      </c>
      <c r="I251">
        <f t="shared" si="730"/>
        <v>-1</v>
      </c>
      <c r="J251">
        <f t="shared" si="730"/>
        <v>-1</v>
      </c>
      <c r="K251">
        <f t="shared" si="730"/>
        <v>-1</v>
      </c>
      <c r="L251">
        <f t="shared" si="730"/>
        <v>-1</v>
      </c>
      <c r="M251">
        <f t="shared" si="730"/>
        <v>-1</v>
      </c>
      <c r="N251">
        <f t="shared" si="730"/>
        <v>-1</v>
      </c>
      <c r="O251">
        <f t="shared" si="730"/>
        <v>-1</v>
      </c>
      <c r="P251">
        <f t="shared" si="730"/>
        <v>-1</v>
      </c>
      <c r="Q251">
        <f t="shared" si="730"/>
        <v>-1</v>
      </c>
      <c r="R251">
        <f t="shared" si="730"/>
        <v>-1</v>
      </c>
      <c r="S251">
        <f t="shared" si="730"/>
        <v>-1</v>
      </c>
      <c r="T251">
        <f t="shared" si="730"/>
        <v>-1</v>
      </c>
      <c r="U251">
        <f t="shared" si="730"/>
        <v>-1</v>
      </c>
      <c r="V251">
        <f t="shared" si="730"/>
        <v>-1</v>
      </c>
      <c r="W251">
        <f t="shared" si="730"/>
        <v>-1</v>
      </c>
      <c r="X251">
        <f t="shared" si="730"/>
        <v>-1</v>
      </c>
      <c r="Y251">
        <f t="shared" si="730"/>
        <v>-1</v>
      </c>
      <c r="Z251">
        <f t="shared" si="730"/>
        <v>-1</v>
      </c>
      <c r="AA251">
        <f t="shared" si="730"/>
        <v>-1</v>
      </c>
      <c r="AB251">
        <f t="shared" si="730"/>
        <v>-1</v>
      </c>
      <c r="AC251">
        <f t="shared" si="730"/>
        <v>-1</v>
      </c>
      <c r="AD251">
        <f t="shared" si="730"/>
        <v>-1</v>
      </c>
      <c r="AE251">
        <f t="shared" si="730"/>
        <v>-1</v>
      </c>
      <c r="AF251">
        <f t="shared" si="730"/>
        <v>-1</v>
      </c>
      <c r="AG251">
        <f t="shared" si="730"/>
        <v>-1</v>
      </c>
      <c r="AH251">
        <f t="shared" si="730"/>
        <v>-1</v>
      </c>
      <c r="AI251">
        <f t="shared" si="730"/>
        <v>-1</v>
      </c>
      <c r="AJ251">
        <f t="shared" si="730"/>
        <v>-1</v>
      </c>
      <c r="AK251">
        <f t="shared" si="730"/>
        <v>-1</v>
      </c>
      <c r="AL251">
        <f t="shared" si="730"/>
        <v>-1</v>
      </c>
      <c r="AM251">
        <f t="shared" si="730"/>
        <v>-1</v>
      </c>
      <c r="AN251">
        <f t="shared" si="730"/>
        <v>-1</v>
      </c>
      <c r="AO251">
        <f t="shared" si="730"/>
        <v>-1</v>
      </c>
      <c r="AP251">
        <f t="shared" si="730"/>
        <v>-1</v>
      </c>
      <c r="AQ251">
        <f t="shared" si="730"/>
        <v>-1</v>
      </c>
      <c r="AR251">
        <f t="shared" si="730"/>
        <v>-1</v>
      </c>
      <c r="AS251">
        <f t="shared" si="730"/>
        <v>-1</v>
      </c>
      <c r="AT251">
        <f t="shared" si="730"/>
        <v>-1</v>
      </c>
      <c r="AU251">
        <f t="shared" si="730"/>
        <v>-1</v>
      </c>
      <c r="AV251">
        <f t="shared" si="730"/>
        <v>-1</v>
      </c>
      <c r="AW251">
        <f t="shared" si="730"/>
        <v>-1</v>
      </c>
      <c r="AX251">
        <f t="shared" si="730"/>
        <v>-1</v>
      </c>
      <c r="AY251">
        <f t="shared" si="730"/>
        <v>-1</v>
      </c>
      <c r="AZ251">
        <f t="shared" si="730"/>
        <v>-1</v>
      </c>
      <c r="BA251">
        <f t="shared" si="730"/>
        <v>-1</v>
      </c>
      <c r="BB251">
        <f t="shared" si="730"/>
        <v>-1</v>
      </c>
      <c r="BC251">
        <f t="shared" si="730"/>
        <v>-1</v>
      </c>
      <c r="BD251">
        <f t="shared" si="730"/>
        <v>-1</v>
      </c>
      <c r="BE251">
        <f t="shared" si="730"/>
        <v>-1</v>
      </c>
      <c r="BF251">
        <f t="shared" si="730"/>
        <v>-1</v>
      </c>
      <c r="BG251">
        <f t="shared" si="730"/>
        <v>-1</v>
      </c>
      <c r="BH251">
        <f t="shared" si="730"/>
        <v>-1</v>
      </c>
      <c r="BI251">
        <f t="shared" si="730"/>
        <v>-1</v>
      </c>
      <c r="BJ251">
        <f t="shared" si="730"/>
        <v>-1</v>
      </c>
      <c r="BK251">
        <f t="shared" si="730"/>
        <v>-1</v>
      </c>
      <c r="BL251">
        <f t="shared" si="730"/>
        <v>-1</v>
      </c>
      <c r="BM251">
        <f t="shared" si="730"/>
        <v>-1</v>
      </c>
      <c r="BN251">
        <f t="shared" si="730"/>
        <v>-1</v>
      </c>
      <c r="BO251">
        <f t="shared" si="730"/>
        <v>-1</v>
      </c>
      <c r="BP251">
        <f t="shared" ref="BP251:EA251" si="731">IF(OR(BP250=-1,AND(IF(BP$3&lt;$B251,BP250+BP$6,IF(BP$3=$B251,1,""))&gt;$B$1,BP$3&lt;$B251)),-1,IF(BP$3&lt;$B251,BP250+BP$6,IF(BP$3=$B251,1,"")))</f>
        <v>-1</v>
      </c>
      <c r="BQ251">
        <f t="shared" si="731"/>
        <v>-1</v>
      </c>
      <c r="BR251">
        <f t="shared" si="731"/>
        <v>-1</v>
      </c>
      <c r="BS251">
        <f t="shared" si="731"/>
        <v>-1</v>
      </c>
      <c r="BT251">
        <f t="shared" si="731"/>
        <v>-1</v>
      </c>
      <c r="BU251">
        <f t="shared" si="731"/>
        <v>-1</v>
      </c>
      <c r="BV251">
        <f t="shared" si="731"/>
        <v>-1</v>
      </c>
      <c r="BW251">
        <f t="shared" si="731"/>
        <v>-1</v>
      </c>
      <c r="BX251">
        <f t="shared" si="731"/>
        <v>-1</v>
      </c>
      <c r="BY251">
        <f t="shared" si="731"/>
        <v>-1</v>
      </c>
      <c r="BZ251">
        <f t="shared" si="731"/>
        <v>-1</v>
      </c>
      <c r="CA251">
        <f t="shared" si="731"/>
        <v>-1</v>
      </c>
      <c r="CB251">
        <f t="shared" si="731"/>
        <v>-1</v>
      </c>
      <c r="CC251">
        <f t="shared" si="731"/>
        <v>-1</v>
      </c>
      <c r="CD251">
        <f t="shared" si="731"/>
        <v>-1</v>
      </c>
      <c r="CE251">
        <f t="shared" si="731"/>
        <v>-1</v>
      </c>
      <c r="CF251">
        <f t="shared" si="731"/>
        <v>-1</v>
      </c>
      <c r="CG251">
        <f t="shared" si="731"/>
        <v>-1</v>
      </c>
      <c r="CH251">
        <f t="shared" si="731"/>
        <v>-1</v>
      </c>
      <c r="CI251">
        <f t="shared" si="731"/>
        <v>-1</v>
      </c>
      <c r="CJ251">
        <f t="shared" si="731"/>
        <v>-1</v>
      </c>
      <c r="CK251">
        <f t="shared" si="731"/>
        <v>-1</v>
      </c>
      <c r="CL251">
        <f t="shared" si="731"/>
        <v>-1</v>
      </c>
      <c r="CM251">
        <f t="shared" si="731"/>
        <v>-1</v>
      </c>
      <c r="CN251">
        <f t="shared" si="731"/>
        <v>74.8</v>
      </c>
      <c r="CO251">
        <f t="shared" si="731"/>
        <v>-1</v>
      </c>
      <c r="CP251">
        <f t="shared" si="731"/>
        <v>-1</v>
      </c>
      <c r="CQ251">
        <f t="shared" si="731"/>
        <v>-1</v>
      </c>
      <c r="CR251">
        <f t="shared" si="731"/>
        <v>-1</v>
      </c>
      <c r="CS251">
        <f t="shared" si="731"/>
        <v>-1</v>
      </c>
      <c r="CT251">
        <f t="shared" si="731"/>
        <v>-1</v>
      </c>
      <c r="CU251">
        <f t="shared" si="731"/>
        <v>-1</v>
      </c>
      <c r="CV251">
        <f t="shared" si="731"/>
        <v>-1</v>
      </c>
      <c r="CW251">
        <f t="shared" si="731"/>
        <v>-1</v>
      </c>
      <c r="CX251">
        <f t="shared" si="731"/>
        <v>-1</v>
      </c>
      <c r="CY251">
        <f t="shared" si="731"/>
        <v>-1</v>
      </c>
      <c r="CZ251">
        <f t="shared" si="731"/>
        <v>-1</v>
      </c>
      <c r="DA251">
        <f t="shared" si="731"/>
        <v>-1</v>
      </c>
      <c r="DB251">
        <f t="shared" si="731"/>
        <v>-1</v>
      </c>
      <c r="DC251">
        <f t="shared" si="731"/>
        <v>-1</v>
      </c>
      <c r="DD251">
        <f t="shared" si="731"/>
        <v>-1</v>
      </c>
      <c r="DE251">
        <f t="shared" si="731"/>
        <v>-1</v>
      </c>
      <c r="DF251">
        <f t="shared" si="731"/>
        <v>-1</v>
      </c>
      <c r="DG251">
        <f t="shared" si="731"/>
        <v>-1</v>
      </c>
      <c r="DH251">
        <f t="shared" si="731"/>
        <v>-1</v>
      </c>
      <c r="DI251">
        <f t="shared" si="731"/>
        <v>-1</v>
      </c>
      <c r="DJ251">
        <f t="shared" si="731"/>
        <v>-1</v>
      </c>
      <c r="DK251">
        <f t="shared" si="731"/>
        <v>-1</v>
      </c>
      <c r="DL251">
        <f t="shared" si="731"/>
        <v>-1</v>
      </c>
      <c r="DM251">
        <f t="shared" si="731"/>
        <v>-1</v>
      </c>
      <c r="DN251">
        <f t="shared" si="731"/>
        <v>-1</v>
      </c>
      <c r="DO251">
        <f t="shared" si="731"/>
        <v>-1</v>
      </c>
      <c r="DP251">
        <f t="shared" si="731"/>
        <v>-1</v>
      </c>
      <c r="DQ251">
        <f t="shared" si="731"/>
        <v>-1</v>
      </c>
      <c r="DR251">
        <f t="shared" si="731"/>
        <v>-1</v>
      </c>
      <c r="DS251">
        <f t="shared" si="731"/>
        <v>-1</v>
      </c>
      <c r="DT251">
        <f t="shared" si="731"/>
        <v>-1</v>
      </c>
      <c r="DU251">
        <f t="shared" si="731"/>
        <v>-1</v>
      </c>
      <c r="DV251">
        <f t="shared" si="731"/>
        <v>-1</v>
      </c>
      <c r="DW251">
        <f t="shared" si="731"/>
        <v>-1</v>
      </c>
      <c r="DX251">
        <f t="shared" si="731"/>
        <v>-1</v>
      </c>
      <c r="DY251">
        <f t="shared" si="731"/>
        <v>-1</v>
      </c>
      <c r="DZ251">
        <f t="shared" si="731"/>
        <v>-1</v>
      </c>
      <c r="EA251">
        <f t="shared" si="731"/>
        <v>-1</v>
      </c>
      <c r="EB251">
        <f t="shared" ref="EB251:EO251" si="732">IF(OR(EB250=-1,AND(IF(EB$3&lt;$B251,EB250+EB$6,IF(EB$3=$B251,1,""))&gt;$B$1,EB$3&lt;$B251)),-1,IF(EB$3&lt;$B251,EB250+EB$6,IF(EB$3=$B251,1,"")))</f>
        <v>-1</v>
      </c>
      <c r="EC251">
        <f t="shared" si="732"/>
        <v>-1</v>
      </c>
      <c r="ED251">
        <f t="shared" si="732"/>
        <v>-1</v>
      </c>
      <c r="EE251">
        <f t="shared" si="732"/>
        <v>-1</v>
      </c>
      <c r="EF251">
        <f t="shared" si="732"/>
        <v>-1</v>
      </c>
      <c r="EG251">
        <f t="shared" si="732"/>
        <v>-1</v>
      </c>
      <c r="EH251">
        <f t="shared" si="732"/>
        <v>-1</v>
      </c>
      <c r="EI251">
        <f t="shared" si="732"/>
        <v>-1</v>
      </c>
      <c r="EJ251">
        <f t="shared" si="732"/>
        <v>-1</v>
      </c>
      <c r="EK251">
        <f t="shared" si="732"/>
        <v>-1</v>
      </c>
      <c r="EL251">
        <f t="shared" si="732"/>
        <v>-1</v>
      </c>
      <c r="EM251">
        <f t="shared" si="732"/>
        <v>-1</v>
      </c>
      <c r="EN251">
        <f t="shared" si="732"/>
        <v>-1</v>
      </c>
      <c r="EO251">
        <f t="shared" si="732"/>
        <v>-1</v>
      </c>
    </row>
    <row r="252" spans="1:145" x14ac:dyDescent="0.15">
      <c r="A252" t="e">
        <f t="shared" si="579"/>
        <v>#N/A</v>
      </c>
      <c r="B252" s="218">
        <v>244</v>
      </c>
      <c r="C252">
        <f t="shared" si="579"/>
        <v>-1</v>
      </c>
      <c r="D252">
        <f t="shared" ref="D252:BO252" si="733">IF(OR(D251=-1,AND(IF(D$3&lt;$B252,D251+D$6,IF(D$3=$B252,1,""))&gt;$B$1,D$3&lt;$B252)),-1,IF(D$3&lt;$B252,D251+D$6,IF(D$3=$B252,1,"")))</f>
        <v>-1</v>
      </c>
      <c r="E252">
        <f t="shared" si="733"/>
        <v>-1</v>
      </c>
      <c r="F252">
        <f t="shared" si="733"/>
        <v>-1</v>
      </c>
      <c r="G252">
        <f t="shared" si="733"/>
        <v>-1</v>
      </c>
      <c r="H252">
        <f t="shared" si="733"/>
        <v>-1</v>
      </c>
      <c r="I252">
        <f t="shared" si="733"/>
        <v>-1</v>
      </c>
      <c r="J252">
        <f t="shared" si="733"/>
        <v>-1</v>
      </c>
      <c r="K252">
        <f t="shared" si="733"/>
        <v>-1</v>
      </c>
      <c r="L252">
        <f t="shared" si="733"/>
        <v>-1</v>
      </c>
      <c r="M252">
        <f t="shared" si="733"/>
        <v>-1</v>
      </c>
      <c r="N252">
        <f t="shared" si="733"/>
        <v>-1</v>
      </c>
      <c r="O252">
        <f t="shared" si="733"/>
        <v>-1</v>
      </c>
      <c r="P252">
        <f t="shared" si="733"/>
        <v>-1</v>
      </c>
      <c r="Q252">
        <f t="shared" si="733"/>
        <v>-1</v>
      </c>
      <c r="R252">
        <f t="shared" si="733"/>
        <v>-1</v>
      </c>
      <c r="S252">
        <f t="shared" si="733"/>
        <v>-1</v>
      </c>
      <c r="T252">
        <f t="shared" si="733"/>
        <v>-1</v>
      </c>
      <c r="U252">
        <f t="shared" si="733"/>
        <v>-1</v>
      </c>
      <c r="V252">
        <f t="shared" si="733"/>
        <v>-1</v>
      </c>
      <c r="W252">
        <f t="shared" si="733"/>
        <v>-1</v>
      </c>
      <c r="X252">
        <f t="shared" si="733"/>
        <v>-1</v>
      </c>
      <c r="Y252">
        <f t="shared" si="733"/>
        <v>-1</v>
      </c>
      <c r="Z252">
        <f t="shared" si="733"/>
        <v>-1</v>
      </c>
      <c r="AA252">
        <f t="shared" si="733"/>
        <v>-1</v>
      </c>
      <c r="AB252">
        <f t="shared" si="733"/>
        <v>-1</v>
      </c>
      <c r="AC252">
        <f t="shared" si="733"/>
        <v>-1</v>
      </c>
      <c r="AD252">
        <f t="shared" si="733"/>
        <v>-1</v>
      </c>
      <c r="AE252">
        <f t="shared" si="733"/>
        <v>-1</v>
      </c>
      <c r="AF252">
        <f t="shared" si="733"/>
        <v>-1</v>
      </c>
      <c r="AG252">
        <f t="shared" si="733"/>
        <v>-1</v>
      </c>
      <c r="AH252">
        <f t="shared" si="733"/>
        <v>-1</v>
      </c>
      <c r="AI252">
        <f t="shared" si="733"/>
        <v>-1</v>
      </c>
      <c r="AJ252">
        <f t="shared" si="733"/>
        <v>-1</v>
      </c>
      <c r="AK252">
        <f t="shared" si="733"/>
        <v>-1</v>
      </c>
      <c r="AL252">
        <f t="shared" si="733"/>
        <v>-1</v>
      </c>
      <c r="AM252">
        <f t="shared" si="733"/>
        <v>-1</v>
      </c>
      <c r="AN252">
        <f t="shared" si="733"/>
        <v>-1</v>
      </c>
      <c r="AO252">
        <f t="shared" si="733"/>
        <v>-1</v>
      </c>
      <c r="AP252">
        <f t="shared" si="733"/>
        <v>-1</v>
      </c>
      <c r="AQ252">
        <f t="shared" si="733"/>
        <v>-1</v>
      </c>
      <c r="AR252">
        <f t="shared" si="733"/>
        <v>-1</v>
      </c>
      <c r="AS252">
        <f t="shared" si="733"/>
        <v>-1</v>
      </c>
      <c r="AT252">
        <f t="shared" si="733"/>
        <v>-1</v>
      </c>
      <c r="AU252">
        <f t="shared" si="733"/>
        <v>-1</v>
      </c>
      <c r="AV252">
        <f t="shared" si="733"/>
        <v>-1</v>
      </c>
      <c r="AW252">
        <f t="shared" si="733"/>
        <v>-1</v>
      </c>
      <c r="AX252">
        <f t="shared" si="733"/>
        <v>-1</v>
      </c>
      <c r="AY252">
        <f t="shared" si="733"/>
        <v>-1</v>
      </c>
      <c r="AZ252">
        <f t="shared" si="733"/>
        <v>-1</v>
      </c>
      <c r="BA252">
        <f t="shared" si="733"/>
        <v>-1</v>
      </c>
      <c r="BB252">
        <f t="shared" si="733"/>
        <v>-1</v>
      </c>
      <c r="BC252">
        <f t="shared" si="733"/>
        <v>-1</v>
      </c>
      <c r="BD252">
        <f t="shared" si="733"/>
        <v>-1</v>
      </c>
      <c r="BE252">
        <f t="shared" si="733"/>
        <v>-1</v>
      </c>
      <c r="BF252">
        <f t="shared" si="733"/>
        <v>-1</v>
      </c>
      <c r="BG252">
        <f t="shared" si="733"/>
        <v>-1</v>
      </c>
      <c r="BH252">
        <f t="shared" si="733"/>
        <v>-1</v>
      </c>
      <c r="BI252">
        <f t="shared" si="733"/>
        <v>-1</v>
      </c>
      <c r="BJ252">
        <f t="shared" si="733"/>
        <v>-1</v>
      </c>
      <c r="BK252">
        <f t="shared" si="733"/>
        <v>-1</v>
      </c>
      <c r="BL252">
        <f t="shared" si="733"/>
        <v>-1</v>
      </c>
      <c r="BM252">
        <f t="shared" si="733"/>
        <v>-1</v>
      </c>
      <c r="BN252">
        <f t="shared" si="733"/>
        <v>-1</v>
      </c>
      <c r="BO252">
        <f t="shared" si="733"/>
        <v>-1</v>
      </c>
      <c r="BP252">
        <f t="shared" ref="BP252:EA252" si="734">IF(OR(BP251=-1,AND(IF(BP$3&lt;$B252,BP251+BP$6,IF(BP$3=$B252,1,""))&gt;$B$1,BP$3&lt;$B252)),-1,IF(BP$3&lt;$B252,BP251+BP$6,IF(BP$3=$B252,1,"")))</f>
        <v>-1</v>
      </c>
      <c r="BQ252">
        <f t="shared" si="734"/>
        <v>-1</v>
      </c>
      <c r="BR252">
        <f t="shared" si="734"/>
        <v>-1</v>
      </c>
      <c r="BS252">
        <f t="shared" si="734"/>
        <v>-1</v>
      </c>
      <c r="BT252">
        <f t="shared" si="734"/>
        <v>-1</v>
      </c>
      <c r="BU252">
        <f t="shared" si="734"/>
        <v>-1</v>
      </c>
      <c r="BV252">
        <f t="shared" si="734"/>
        <v>-1</v>
      </c>
      <c r="BW252">
        <f t="shared" si="734"/>
        <v>-1</v>
      </c>
      <c r="BX252">
        <f t="shared" si="734"/>
        <v>-1</v>
      </c>
      <c r="BY252">
        <f t="shared" si="734"/>
        <v>-1</v>
      </c>
      <c r="BZ252">
        <f t="shared" si="734"/>
        <v>-1</v>
      </c>
      <c r="CA252">
        <f t="shared" si="734"/>
        <v>-1</v>
      </c>
      <c r="CB252">
        <f t="shared" si="734"/>
        <v>-1</v>
      </c>
      <c r="CC252">
        <f t="shared" si="734"/>
        <v>-1</v>
      </c>
      <c r="CD252">
        <f t="shared" si="734"/>
        <v>-1</v>
      </c>
      <c r="CE252">
        <f t="shared" si="734"/>
        <v>-1</v>
      </c>
      <c r="CF252">
        <f t="shared" si="734"/>
        <v>-1</v>
      </c>
      <c r="CG252">
        <f t="shared" si="734"/>
        <v>-1</v>
      </c>
      <c r="CH252">
        <f t="shared" si="734"/>
        <v>-1</v>
      </c>
      <c r="CI252">
        <f t="shared" si="734"/>
        <v>-1</v>
      </c>
      <c r="CJ252">
        <f t="shared" si="734"/>
        <v>-1</v>
      </c>
      <c r="CK252">
        <f t="shared" si="734"/>
        <v>-1</v>
      </c>
      <c r="CL252">
        <f t="shared" si="734"/>
        <v>-1</v>
      </c>
      <c r="CM252">
        <f t="shared" si="734"/>
        <v>-1</v>
      </c>
      <c r="CN252">
        <f t="shared" si="734"/>
        <v>-1</v>
      </c>
      <c r="CO252">
        <f t="shared" si="734"/>
        <v>-1</v>
      </c>
      <c r="CP252">
        <f t="shared" si="734"/>
        <v>-1</v>
      </c>
      <c r="CQ252">
        <f t="shared" si="734"/>
        <v>-1</v>
      </c>
      <c r="CR252">
        <f t="shared" si="734"/>
        <v>-1</v>
      </c>
      <c r="CS252">
        <f t="shared" si="734"/>
        <v>-1</v>
      </c>
      <c r="CT252">
        <f t="shared" si="734"/>
        <v>-1</v>
      </c>
      <c r="CU252">
        <f t="shared" si="734"/>
        <v>-1</v>
      </c>
      <c r="CV252">
        <f t="shared" si="734"/>
        <v>-1</v>
      </c>
      <c r="CW252">
        <f t="shared" si="734"/>
        <v>-1</v>
      </c>
      <c r="CX252">
        <f t="shared" si="734"/>
        <v>-1</v>
      </c>
      <c r="CY252">
        <f t="shared" si="734"/>
        <v>-1</v>
      </c>
      <c r="CZ252">
        <f t="shared" si="734"/>
        <v>-1</v>
      </c>
      <c r="DA252">
        <f t="shared" si="734"/>
        <v>-1</v>
      </c>
      <c r="DB252">
        <f t="shared" si="734"/>
        <v>-1</v>
      </c>
      <c r="DC252">
        <f t="shared" si="734"/>
        <v>-1</v>
      </c>
      <c r="DD252">
        <f t="shared" si="734"/>
        <v>-1</v>
      </c>
      <c r="DE252">
        <f t="shared" si="734"/>
        <v>-1</v>
      </c>
      <c r="DF252">
        <f t="shared" si="734"/>
        <v>-1</v>
      </c>
      <c r="DG252">
        <f t="shared" si="734"/>
        <v>-1</v>
      </c>
      <c r="DH252">
        <f t="shared" si="734"/>
        <v>-1</v>
      </c>
      <c r="DI252">
        <f t="shared" si="734"/>
        <v>-1</v>
      </c>
      <c r="DJ252">
        <f t="shared" si="734"/>
        <v>-1</v>
      </c>
      <c r="DK252">
        <f t="shared" si="734"/>
        <v>-1</v>
      </c>
      <c r="DL252">
        <f t="shared" si="734"/>
        <v>-1</v>
      </c>
      <c r="DM252">
        <f t="shared" si="734"/>
        <v>-1</v>
      </c>
      <c r="DN252">
        <f t="shared" si="734"/>
        <v>-1</v>
      </c>
      <c r="DO252">
        <f t="shared" si="734"/>
        <v>-1</v>
      </c>
      <c r="DP252">
        <f t="shared" si="734"/>
        <v>-1</v>
      </c>
      <c r="DQ252">
        <f t="shared" si="734"/>
        <v>-1</v>
      </c>
      <c r="DR252">
        <f t="shared" si="734"/>
        <v>-1</v>
      </c>
      <c r="DS252">
        <f t="shared" si="734"/>
        <v>-1</v>
      </c>
      <c r="DT252">
        <f t="shared" si="734"/>
        <v>-1</v>
      </c>
      <c r="DU252">
        <f t="shared" si="734"/>
        <v>-1</v>
      </c>
      <c r="DV252">
        <f t="shared" si="734"/>
        <v>-1</v>
      </c>
      <c r="DW252">
        <f t="shared" si="734"/>
        <v>-1</v>
      </c>
      <c r="DX252">
        <f t="shared" si="734"/>
        <v>-1</v>
      </c>
      <c r="DY252">
        <f t="shared" si="734"/>
        <v>-1</v>
      </c>
      <c r="DZ252">
        <f t="shared" si="734"/>
        <v>-1</v>
      </c>
      <c r="EA252">
        <f t="shared" si="734"/>
        <v>-1</v>
      </c>
      <c r="EB252">
        <f t="shared" ref="EB252:EO252" si="735">IF(OR(EB251=-1,AND(IF(EB$3&lt;$B252,EB251+EB$6,IF(EB$3=$B252,1,""))&gt;$B$1,EB$3&lt;$B252)),-1,IF(EB$3&lt;$B252,EB251+EB$6,IF(EB$3=$B252,1,"")))</f>
        <v>-1</v>
      </c>
      <c r="EC252">
        <f t="shared" si="735"/>
        <v>-1</v>
      </c>
      <c r="ED252">
        <f t="shared" si="735"/>
        <v>-1</v>
      </c>
      <c r="EE252">
        <f t="shared" si="735"/>
        <v>-1</v>
      </c>
      <c r="EF252">
        <f t="shared" si="735"/>
        <v>-1</v>
      </c>
      <c r="EG252">
        <f t="shared" si="735"/>
        <v>-1</v>
      </c>
      <c r="EH252">
        <f t="shared" si="735"/>
        <v>-1</v>
      </c>
      <c r="EI252">
        <f t="shared" si="735"/>
        <v>-1</v>
      </c>
      <c r="EJ252">
        <f t="shared" si="735"/>
        <v>-1</v>
      </c>
      <c r="EK252">
        <f t="shared" si="735"/>
        <v>-1</v>
      </c>
      <c r="EL252">
        <f t="shared" si="735"/>
        <v>-1</v>
      </c>
      <c r="EM252">
        <f t="shared" si="735"/>
        <v>-1</v>
      </c>
      <c r="EN252">
        <f t="shared" si="735"/>
        <v>-1</v>
      </c>
      <c r="EO252">
        <f t="shared" si="735"/>
        <v>-1</v>
      </c>
    </row>
    <row r="253" spans="1:145" x14ac:dyDescent="0.15">
      <c r="A253" t="e">
        <f t="shared" si="579"/>
        <v>#N/A</v>
      </c>
      <c r="B253" s="218">
        <v>245</v>
      </c>
      <c r="C253">
        <f t="shared" si="579"/>
        <v>-1</v>
      </c>
      <c r="D253">
        <f t="shared" ref="D253:BO253" si="736">IF(OR(D252=-1,AND(IF(D$3&lt;$B253,D252+D$6,IF(D$3=$B253,1,""))&gt;$B$1,D$3&lt;$B253)),-1,IF(D$3&lt;$B253,D252+D$6,IF(D$3=$B253,1,"")))</f>
        <v>-1</v>
      </c>
      <c r="E253">
        <f t="shared" si="736"/>
        <v>-1</v>
      </c>
      <c r="F253">
        <f t="shared" si="736"/>
        <v>-1</v>
      </c>
      <c r="G253">
        <f t="shared" si="736"/>
        <v>-1</v>
      </c>
      <c r="H253">
        <f t="shared" si="736"/>
        <v>-1</v>
      </c>
      <c r="I253">
        <f t="shared" si="736"/>
        <v>-1</v>
      </c>
      <c r="J253">
        <f t="shared" si="736"/>
        <v>-1</v>
      </c>
      <c r="K253">
        <f t="shared" si="736"/>
        <v>-1</v>
      </c>
      <c r="L253">
        <f t="shared" si="736"/>
        <v>-1</v>
      </c>
      <c r="M253">
        <f t="shared" si="736"/>
        <v>-1</v>
      </c>
      <c r="N253">
        <f t="shared" si="736"/>
        <v>-1</v>
      </c>
      <c r="O253">
        <f t="shared" si="736"/>
        <v>-1</v>
      </c>
      <c r="P253">
        <f t="shared" si="736"/>
        <v>-1</v>
      </c>
      <c r="Q253">
        <f t="shared" si="736"/>
        <v>-1</v>
      </c>
      <c r="R253">
        <f t="shared" si="736"/>
        <v>-1</v>
      </c>
      <c r="S253">
        <f t="shared" si="736"/>
        <v>-1</v>
      </c>
      <c r="T253">
        <f t="shared" si="736"/>
        <v>-1</v>
      </c>
      <c r="U253">
        <f t="shared" si="736"/>
        <v>-1</v>
      </c>
      <c r="V253">
        <f t="shared" si="736"/>
        <v>-1</v>
      </c>
      <c r="W253">
        <f t="shared" si="736"/>
        <v>-1</v>
      </c>
      <c r="X253">
        <f t="shared" si="736"/>
        <v>-1</v>
      </c>
      <c r="Y253">
        <f t="shared" si="736"/>
        <v>-1</v>
      </c>
      <c r="Z253">
        <f t="shared" si="736"/>
        <v>-1</v>
      </c>
      <c r="AA253">
        <f t="shared" si="736"/>
        <v>-1</v>
      </c>
      <c r="AB253">
        <f t="shared" si="736"/>
        <v>-1</v>
      </c>
      <c r="AC253">
        <f t="shared" si="736"/>
        <v>-1</v>
      </c>
      <c r="AD253">
        <f t="shared" si="736"/>
        <v>-1</v>
      </c>
      <c r="AE253">
        <f t="shared" si="736"/>
        <v>-1</v>
      </c>
      <c r="AF253">
        <f t="shared" si="736"/>
        <v>-1</v>
      </c>
      <c r="AG253">
        <f t="shared" si="736"/>
        <v>-1</v>
      </c>
      <c r="AH253">
        <f t="shared" si="736"/>
        <v>-1</v>
      </c>
      <c r="AI253">
        <f t="shared" si="736"/>
        <v>-1</v>
      </c>
      <c r="AJ253">
        <f t="shared" si="736"/>
        <v>-1</v>
      </c>
      <c r="AK253">
        <f t="shared" si="736"/>
        <v>-1</v>
      </c>
      <c r="AL253">
        <f t="shared" si="736"/>
        <v>-1</v>
      </c>
      <c r="AM253">
        <f t="shared" si="736"/>
        <v>-1</v>
      </c>
      <c r="AN253">
        <f t="shared" si="736"/>
        <v>-1</v>
      </c>
      <c r="AO253">
        <f t="shared" si="736"/>
        <v>-1</v>
      </c>
      <c r="AP253">
        <f t="shared" si="736"/>
        <v>-1</v>
      </c>
      <c r="AQ253">
        <f t="shared" si="736"/>
        <v>-1</v>
      </c>
      <c r="AR253">
        <f t="shared" si="736"/>
        <v>-1</v>
      </c>
      <c r="AS253">
        <f t="shared" si="736"/>
        <v>-1</v>
      </c>
      <c r="AT253">
        <f t="shared" si="736"/>
        <v>-1</v>
      </c>
      <c r="AU253">
        <f t="shared" si="736"/>
        <v>-1</v>
      </c>
      <c r="AV253">
        <f t="shared" si="736"/>
        <v>-1</v>
      </c>
      <c r="AW253">
        <f t="shared" si="736"/>
        <v>-1</v>
      </c>
      <c r="AX253">
        <f t="shared" si="736"/>
        <v>-1</v>
      </c>
      <c r="AY253">
        <f t="shared" si="736"/>
        <v>-1</v>
      </c>
      <c r="AZ253">
        <f t="shared" si="736"/>
        <v>-1</v>
      </c>
      <c r="BA253">
        <f t="shared" si="736"/>
        <v>-1</v>
      </c>
      <c r="BB253">
        <f t="shared" si="736"/>
        <v>-1</v>
      </c>
      <c r="BC253">
        <f t="shared" si="736"/>
        <v>-1</v>
      </c>
      <c r="BD253">
        <f t="shared" si="736"/>
        <v>-1</v>
      </c>
      <c r="BE253">
        <f t="shared" si="736"/>
        <v>-1</v>
      </c>
      <c r="BF253">
        <f t="shared" si="736"/>
        <v>-1</v>
      </c>
      <c r="BG253">
        <f t="shared" si="736"/>
        <v>-1</v>
      </c>
      <c r="BH253">
        <f t="shared" si="736"/>
        <v>-1</v>
      </c>
      <c r="BI253">
        <f t="shared" si="736"/>
        <v>-1</v>
      </c>
      <c r="BJ253">
        <f t="shared" si="736"/>
        <v>-1</v>
      </c>
      <c r="BK253">
        <f t="shared" si="736"/>
        <v>-1</v>
      </c>
      <c r="BL253">
        <f t="shared" si="736"/>
        <v>-1</v>
      </c>
      <c r="BM253">
        <f t="shared" si="736"/>
        <v>-1</v>
      </c>
      <c r="BN253">
        <f t="shared" si="736"/>
        <v>-1</v>
      </c>
      <c r="BO253">
        <f t="shared" si="736"/>
        <v>-1</v>
      </c>
      <c r="BP253">
        <f t="shared" ref="BP253:EA253" si="737">IF(OR(BP252=-1,AND(IF(BP$3&lt;$B253,BP252+BP$6,IF(BP$3=$B253,1,""))&gt;$B$1,BP$3&lt;$B253)),-1,IF(BP$3&lt;$B253,BP252+BP$6,IF(BP$3=$B253,1,"")))</f>
        <v>-1</v>
      </c>
      <c r="BQ253">
        <f t="shared" si="737"/>
        <v>-1</v>
      </c>
      <c r="BR253">
        <f t="shared" si="737"/>
        <v>-1</v>
      </c>
      <c r="BS253">
        <f t="shared" si="737"/>
        <v>-1</v>
      </c>
      <c r="BT253">
        <f t="shared" si="737"/>
        <v>-1</v>
      </c>
      <c r="BU253">
        <f t="shared" si="737"/>
        <v>-1</v>
      </c>
      <c r="BV253">
        <f t="shared" si="737"/>
        <v>-1</v>
      </c>
      <c r="BW253">
        <f t="shared" si="737"/>
        <v>-1</v>
      </c>
      <c r="BX253">
        <f t="shared" si="737"/>
        <v>-1</v>
      </c>
      <c r="BY253">
        <f t="shared" si="737"/>
        <v>-1</v>
      </c>
      <c r="BZ253">
        <f t="shared" si="737"/>
        <v>-1</v>
      </c>
      <c r="CA253">
        <f t="shared" si="737"/>
        <v>-1</v>
      </c>
      <c r="CB253">
        <f t="shared" si="737"/>
        <v>-1</v>
      </c>
      <c r="CC253">
        <f t="shared" si="737"/>
        <v>-1</v>
      </c>
      <c r="CD253">
        <f t="shared" si="737"/>
        <v>-1</v>
      </c>
      <c r="CE253">
        <f t="shared" si="737"/>
        <v>-1</v>
      </c>
      <c r="CF253">
        <f t="shared" si="737"/>
        <v>-1</v>
      </c>
      <c r="CG253">
        <f t="shared" si="737"/>
        <v>-1</v>
      </c>
      <c r="CH253">
        <f t="shared" si="737"/>
        <v>-1</v>
      </c>
      <c r="CI253">
        <f t="shared" si="737"/>
        <v>-1</v>
      </c>
      <c r="CJ253">
        <f t="shared" si="737"/>
        <v>-1</v>
      </c>
      <c r="CK253">
        <f t="shared" si="737"/>
        <v>-1</v>
      </c>
      <c r="CL253">
        <f t="shared" si="737"/>
        <v>-1</v>
      </c>
      <c r="CM253">
        <f t="shared" si="737"/>
        <v>-1</v>
      </c>
      <c r="CN253">
        <f t="shared" si="737"/>
        <v>-1</v>
      </c>
      <c r="CO253">
        <f t="shared" si="737"/>
        <v>-1</v>
      </c>
      <c r="CP253">
        <f t="shared" si="737"/>
        <v>-1</v>
      </c>
      <c r="CQ253">
        <f t="shared" si="737"/>
        <v>-1</v>
      </c>
      <c r="CR253">
        <f t="shared" si="737"/>
        <v>-1</v>
      </c>
      <c r="CS253">
        <f t="shared" si="737"/>
        <v>-1</v>
      </c>
      <c r="CT253">
        <f t="shared" si="737"/>
        <v>-1</v>
      </c>
      <c r="CU253">
        <f t="shared" si="737"/>
        <v>-1</v>
      </c>
      <c r="CV253">
        <f t="shared" si="737"/>
        <v>-1</v>
      </c>
      <c r="CW253">
        <f t="shared" si="737"/>
        <v>-1</v>
      </c>
      <c r="CX253">
        <f t="shared" si="737"/>
        <v>-1</v>
      </c>
      <c r="CY253">
        <f t="shared" si="737"/>
        <v>-1</v>
      </c>
      <c r="CZ253">
        <f t="shared" si="737"/>
        <v>-1</v>
      </c>
      <c r="DA253">
        <f t="shared" si="737"/>
        <v>-1</v>
      </c>
      <c r="DB253">
        <f t="shared" si="737"/>
        <v>-1</v>
      </c>
      <c r="DC253">
        <f t="shared" si="737"/>
        <v>-1</v>
      </c>
      <c r="DD253">
        <f t="shared" si="737"/>
        <v>-1</v>
      </c>
      <c r="DE253">
        <f t="shared" si="737"/>
        <v>-1</v>
      </c>
      <c r="DF253">
        <f t="shared" si="737"/>
        <v>-1</v>
      </c>
      <c r="DG253">
        <f t="shared" si="737"/>
        <v>-1</v>
      </c>
      <c r="DH253">
        <f t="shared" si="737"/>
        <v>-1</v>
      </c>
      <c r="DI253">
        <f t="shared" si="737"/>
        <v>-1</v>
      </c>
      <c r="DJ253">
        <f t="shared" si="737"/>
        <v>-1</v>
      </c>
      <c r="DK253">
        <f t="shared" si="737"/>
        <v>-1</v>
      </c>
      <c r="DL253">
        <f t="shared" si="737"/>
        <v>-1</v>
      </c>
      <c r="DM253">
        <f t="shared" si="737"/>
        <v>-1</v>
      </c>
      <c r="DN253">
        <f t="shared" si="737"/>
        <v>-1</v>
      </c>
      <c r="DO253">
        <f t="shared" si="737"/>
        <v>-1</v>
      </c>
      <c r="DP253">
        <f t="shared" si="737"/>
        <v>-1</v>
      </c>
      <c r="DQ253">
        <f t="shared" si="737"/>
        <v>-1</v>
      </c>
      <c r="DR253">
        <f t="shared" si="737"/>
        <v>-1</v>
      </c>
      <c r="DS253">
        <f t="shared" si="737"/>
        <v>-1</v>
      </c>
      <c r="DT253">
        <f t="shared" si="737"/>
        <v>-1</v>
      </c>
      <c r="DU253">
        <f t="shared" si="737"/>
        <v>-1</v>
      </c>
      <c r="DV253">
        <f t="shared" si="737"/>
        <v>-1</v>
      </c>
      <c r="DW253">
        <f t="shared" si="737"/>
        <v>-1</v>
      </c>
      <c r="DX253">
        <f t="shared" si="737"/>
        <v>-1</v>
      </c>
      <c r="DY253">
        <f t="shared" si="737"/>
        <v>-1</v>
      </c>
      <c r="DZ253">
        <f t="shared" si="737"/>
        <v>-1</v>
      </c>
      <c r="EA253">
        <f t="shared" si="737"/>
        <v>-1</v>
      </c>
      <c r="EB253">
        <f t="shared" ref="EB253:EO253" si="738">IF(OR(EB252=-1,AND(IF(EB$3&lt;$B253,EB252+EB$6,IF(EB$3=$B253,1,""))&gt;$B$1,EB$3&lt;$B253)),-1,IF(EB$3&lt;$B253,EB252+EB$6,IF(EB$3=$B253,1,"")))</f>
        <v>-1</v>
      </c>
      <c r="EC253">
        <f t="shared" si="738"/>
        <v>-1</v>
      </c>
      <c r="ED253">
        <f t="shared" si="738"/>
        <v>-1</v>
      </c>
      <c r="EE253">
        <f t="shared" si="738"/>
        <v>-1</v>
      </c>
      <c r="EF253">
        <f t="shared" si="738"/>
        <v>-1</v>
      </c>
      <c r="EG253">
        <f t="shared" si="738"/>
        <v>-1</v>
      </c>
      <c r="EH253">
        <f t="shared" si="738"/>
        <v>-1</v>
      </c>
      <c r="EI253">
        <f t="shared" si="738"/>
        <v>-1</v>
      </c>
      <c r="EJ253">
        <f t="shared" si="738"/>
        <v>-1</v>
      </c>
      <c r="EK253">
        <f t="shared" si="738"/>
        <v>-1</v>
      </c>
      <c r="EL253">
        <f t="shared" si="738"/>
        <v>-1</v>
      </c>
      <c r="EM253">
        <f t="shared" si="738"/>
        <v>-1</v>
      </c>
      <c r="EN253">
        <f t="shared" si="738"/>
        <v>-1</v>
      </c>
      <c r="EO253">
        <f t="shared" si="738"/>
        <v>-1</v>
      </c>
    </row>
    <row r="254" spans="1:145" x14ac:dyDescent="0.15">
      <c r="A254" t="e">
        <f t="shared" si="579"/>
        <v>#N/A</v>
      </c>
      <c r="B254" s="218">
        <v>246</v>
      </c>
      <c r="C254">
        <f t="shared" si="579"/>
        <v>-1</v>
      </c>
      <c r="D254">
        <f t="shared" ref="D254:BO254" si="739">IF(OR(D253=-1,AND(IF(D$3&lt;$B254,D253+D$6,IF(D$3=$B254,1,""))&gt;$B$1,D$3&lt;$B254)),-1,IF(D$3&lt;$B254,D253+D$6,IF(D$3=$B254,1,"")))</f>
        <v>-1</v>
      </c>
      <c r="E254">
        <f t="shared" si="739"/>
        <v>-1</v>
      </c>
      <c r="F254">
        <f t="shared" si="739"/>
        <v>-1</v>
      </c>
      <c r="G254">
        <f t="shared" si="739"/>
        <v>-1</v>
      </c>
      <c r="H254">
        <f t="shared" si="739"/>
        <v>-1</v>
      </c>
      <c r="I254">
        <f t="shared" si="739"/>
        <v>-1</v>
      </c>
      <c r="J254">
        <f t="shared" si="739"/>
        <v>-1</v>
      </c>
      <c r="K254">
        <f t="shared" si="739"/>
        <v>-1</v>
      </c>
      <c r="L254">
        <f t="shared" si="739"/>
        <v>-1</v>
      </c>
      <c r="M254">
        <f t="shared" si="739"/>
        <v>-1</v>
      </c>
      <c r="N254">
        <f t="shared" si="739"/>
        <v>-1</v>
      </c>
      <c r="O254">
        <f t="shared" si="739"/>
        <v>-1</v>
      </c>
      <c r="P254">
        <f t="shared" si="739"/>
        <v>-1</v>
      </c>
      <c r="Q254">
        <f t="shared" si="739"/>
        <v>-1</v>
      </c>
      <c r="R254">
        <f t="shared" si="739"/>
        <v>-1</v>
      </c>
      <c r="S254">
        <f t="shared" si="739"/>
        <v>-1</v>
      </c>
      <c r="T254">
        <f t="shared" si="739"/>
        <v>-1</v>
      </c>
      <c r="U254">
        <f t="shared" si="739"/>
        <v>-1</v>
      </c>
      <c r="V254">
        <f t="shared" si="739"/>
        <v>-1</v>
      </c>
      <c r="W254">
        <f t="shared" si="739"/>
        <v>-1</v>
      </c>
      <c r="X254">
        <f t="shared" si="739"/>
        <v>-1</v>
      </c>
      <c r="Y254">
        <f t="shared" si="739"/>
        <v>-1</v>
      </c>
      <c r="Z254">
        <f t="shared" si="739"/>
        <v>-1</v>
      </c>
      <c r="AA254">
        <f t="shared" si="739"/>
        <v>-1</v>
      </c>
      <c r="AB254">
        <f t="shared" si="739"/>
        <v>-1</v>
      </c>
      <c r="AC254">
        <f t="shared" si="739"/>
        <v>-1</v>
      </c>
      <c r="AD254">
        <f t="shared" si="739"/>
        <v>-1</v>
      </c>
      <c r="AE254">
        <f t="shared" si="739"/>
        <v>-1</v>
      </c>
      <c r="AF254">
        <f t="shared" si="739"/>
        <v>-1</v>
      </c>
      <c r="AG254">
        <f t="shared" si="739"/>
        <v>-1</v>
      </c>
      <c r="AH254">
        <f t="shared" si="739"/>
        <v>-1</v>
      </c>
      <c r="AI254">
        <f t="shared" si="739"/>
        <v>-1</v>
      </c>
      <c r="AJ254">
        <f t="shared" si="739"/>
        <v>-1</v>
      </c>
      <c r="AK254">
        <f t="shared" si="739"/>
        <v>-1</v>
      </c>
      <c r="AL254">
        <f t="shared" si="739"/>
        <v>-1</v>
      </c>
      <c r="AM254">
        <f t="shared" si="739"/>
        <v>-1</v>
      </c>
      <c r="AN254">
        <f t="shared" si="739"/>
        <v>-1</v>
      </c>
      <c r="AO254">
        <f t="shared" si="739"/>
        <v>-1</v>
      </c>
      <c r="AP254">
        <f t="shared" si="739"/>
        <v>-1</v>
      </c>
      <c r="AQ254">
        <f t="shared" si="739"/>
        <v>-1</v>
      </c>
      <c r="AR254">
        <f t="shared" si="739"/>
        <v>-1</v>
      </c>
      <c r="AS254">
        <f t="shared" si="739"/>
        <v>-1</v>
      </c>
      <c r="AT254">
        <f t="shared" si="739"/>
        <v>-1</v>
      </c>
      <c r="AU254">
        <f t="shared" si="739"/>
        <v>-1</v>
      </c>
      <c r="AV254">
        <f t="shared" si="739"/>
        <v>-1</v>
      </c>
      <c r="AW254">
        <f t="shared" si="739"/>
        <v>-1</v>
      </c>
      <c r="AX254">
        <f t="shared" si="739"/>
        <v>-1</v>
      </c>
      <c r="AY254">
        <f t="shared" si="739"/>
        <v>-1</v>
      </c>
      <c r="AZ254">
        <f t="shared" si="739"/>
        <v>-1</v>
      </c>
      <c r="BA254">
        <f t="shared" si="739"/>
        <v>-1</v>
      </c>
      <c r="BB254">
        <f t="shared" si="739"/>
        <v>-1</v>
      </c>
      <c r="BC254">
        <f t="shared" si="739"/>
        <v>-1</v>
      </c>
      <c r="BD254">
        <f t="shared" si="739"/>
        <v>-1</v>
      </c>
      <c r="BE254">
        <f t="shared" si="739"/>
        <v>-1</v>
      </c>
      <c r="BF254">
        <f t="shared" si="739"/>
        <v>-1</v>
      </c>
      <c r="BG254">
        <f t="shared" si="739"/>
        <v>-1</v>
      </c>
      <c r="BH254">
        <f t="shared" si="739"/>
        <v>-1</v>
      </c>
      <c r="BI254">
        <f t="shared" si="739"/>
        <v>-1</v>
      </c>
      <c r="BJ254">
        <f t="shared" si="739"/>
        <v>-1</v>
      </c>
      <c r="BK254">
        <f t="shared" si="739"/>
        <v>-1</v>
      </c>
      <c r="BL254">
        <f t="shared" si="739"/>
        <v>-1</v>
      </c>
      <c r="BM254">
        <f t="shared" si="739"/>
        <v>-1</v>
      </c>
      <c r="BN254">
        <f t="shared" si="739"/>
        <v>-1</v>
      </c>
      <c r="BO254">
        <f t="shared" si="739"/>
        <v>-1</v>
      </c>
      <c r="BP254">
        <f t="shared" ref="BP254:EA254" si="740">IF(OR(BP253=-1,AND(IF(BP$3&lt;$B254,BP253+BP$6,IF(BP$3=$B254,1,""))&gt;$B$1,BP$3&lt;$B254)),-1,IF(BP$3&lt;$B254,BP253+BP$6,IF(BP$3=$B254,1,"")))</f>
        <v>-1</v>
      </c>
      <c r="BQ254">
        <f t="shared" si="740"/>
        <v>-1</v>
      </c>
      <c r="BR254">
        <f t="shared" si="740"/>
        <v>-1</v>
      </c>
      <c r="BS254">
        <f t="shared" si="740"/>
        <v>-1</v>
      </c>
      <c r="BT254">
        <f t="shared" si="740"/>
        <v>-1</v>
      </c>
      <c r="BU254">
        <f t="shared" si="740"/>
        <v>-1</v>
      </c>
      <c r="BV254">
        <f t="shared" si="740"/>
        <v>-1</v>
      </c>
      <c r="BW254">
        <f t="shared" si="740"/>
        <v>-1</v>
      </c>
      <c r="BX254">
        <f t="shared" si="740"/>
        <v>-1</v>
      </c>
      <c r="BY254">
        <f t="shared" si="740"/>
        <v>-1</v>
      </c>
      <c r="BZ254">
        <f t="shared" si="740"/>
        <v>-1</v>
      </c>
      <c r="CA254">
        <f t="shared" si="740"/>
        <v>-1</v>
      </c>
      <c r="CB254">
        <f t="shared" si="740"/>
        <v>-1</v>
      </c>
      <c r="CC254">
        <f t="shared" si="740"/>
        <v>-1</v>
      </c>
      <c r="CD254">
        <f t="shared" si="740"/>
        <v>-1</v>
      </c>
      <c r="CE254">
        <f t="shared" si="740"/>
        <v>-1</v>
      </c>
      <c r="CF254">
        <f t="shared" si="740"/>
        <v>-1</v>
      </c>
      <c r="CG254">
        <f t="shared" si="740"/>
        <v>-1</v>
      </c>
      <c r="CH254">
        <f t="shared" si="740"/>
        <v>-1</v>
      </c>
      <c r="CI254">
        <f t="shared" si="740"/>
        <v>-1</v>
      </c>
      <c r="CJ254">
        <f t="shared" si="740"/>
        <v>-1</v>
      </c>
      <c r="CK254">
        <f t="shared" si="740"/>
        <v>-1</v>
      </c>
      <c r="CL254">
        <f t="shared" si="740"/>
        <v>-1</v>
      </c>
      <c r="CM254">
        <f t="shared" si="740"/>
        <v>-1</v>
      </c>
      <c r="CN254">
        <f t="shared" si="740"/>
        <v>-1</v>
      </c>
      <c r="CO254">
        <f t="shared" si="740"/>
        <v>-1</v>
      </c>
      <c r="CP254">
        <f t="shared" si="740"/>
        <v>-1</v>
      </c>
      <c r="CQ254">
        <f t="shared" si="740"/>
        <v>-1</v>
      </c>
      <c r="CR254">
        <f t="shared" si="740"/>
        <v>-1</v>
      </c>
      <c r="CS254">
        <f t="shared" si="740"/>
        <v>-1</v>
      </c>
      <c r="CT254">
        <f t="shared" si="740"/>
        <v>-1</v>
      </c>
      <c r="CU254">
        <f t="shared" si="740"/>
        <v>-1</v>
      </c>
      <c r="CV254">
        <f t="shared" si="740"/>
        <v>-1</v>
      </c>
      <c r="CW254">
        <f t="shared" si="740"/>
        <v>-1</v>
      </c>
      <c r="CX254">
        <f t="shared" si="740"/>
        <v>-1</v>
      </c>
      <c r="CY254">
        <f t="shared" si="740"/>
        <v>-1</v>
      </c>
      <c r="CZ254">
        <f t="shared" si="740"/>
        <v>-1</v>
      </c>
      <c r="DA254">
        <f t="shared" si="740"/>
        <v>-1</v>
      </c>
      <c r="DB254">
        <f t="shared" si="740"/>
        <v>-1</v>
      </c>
      <c r="DC254">
        <f t="shared" si="740"/>
        <v>-1</v>
      </c>
      <c r="DD254">
        <f t="shared" si="740"/>
        <v>-1</v>
      </c>
      <c r="DE254">
        <f t="shared" si="740"/>
        <v>-1</v>
      </c>
      <c r="DF254">
        <f t="shared" si="740"/>
        <v>-1</v>
      </c>
      <c r="DG254">
        <f t="shared" si="740"/>
        <v>-1</v>
      </c>
      <c r="DH254">
        <f t="shared" si="740"/>
        <v>-1</v>
      </c>
      <c r="DI254">
        <f t="shared" si="740"/>
        <v>-1</v>
      </c>
      <c r="DJ254">
        <f t="shared" si="740"/>
        <v>-1</v>
      </c>
      <c r="DK254">
        <f t="shared" si="740"/>
        <v>-1</v>
      </c>
      <c r="DL254">
        <f t="shared" si="740"/>
        <v>-1</v>
      </c>
      <c r="DM254">
        <f t="shared" si="740"/>
        <v>-1</v>
      </c>
      <c r="DN254">
        <f t="shared" si="740"/>
        <v>-1</v>
      </c>
      <c r="DO254">
        <f t="shared" si="740"/>
        <v>-1</v>
      </c>
      <c r="DP254">
        <f t="shared" si="740"/>
        <v>-1</v>
      </c>
      <c r="DQ254">
        <f t="shared" si="740"/>
        <v>-1</v>
      </c>
      <c r="DR254">
        <f t="shared" si="740"/>
        <v>-1</v>
      </c>
      <c r="DS254">
        <f t="shared" si="740"/>
        <v>-1</v>
      </c>
      <c r="DT254">
        <f t="shared" si="740"/>
        <v>-1</v>
      </c>
      <c r="DU254">
        <f t="shared" si="740"/>
        <v>-1</v>
      </c>
      <c r="DV254">
        <f t="shared" si="740"/>
        <v>-1</v>
      </c>
      <c r="DW254">
        <f t="shared" si="740"/>
        <v>-1</v>
      </c>
      <c r="DX254">
        <f t="shared" si="740"/>
        <v>-1</v>
      </c>
      <c r="DY254">
        <f t="shared" si="740"/>
        <v>-1</v>
      </c>
      <c r="DZ254">
        <f t="shared" si="740"/>
        <v>-1</v>
      </c>
      <c r="EA254">
        <f t="shared" si="740"/>
        <v>-1</v>
      </c>
      <c r="EB254">
        <f t="shared" ref="EB254:EO254" si="741">IF(OR(EB253=-1,AND(IF(EB$3&lt;$B254,EB253+EB$6,IF(EB$3=$B254,1,""))&gt;$B$1,EB$3&lt;$B254)),-1,IF(EB$3&lt;$B254,EB253+EB$6,IF(EB$3=$B254,1,"")))</f>
        <v>-1</v>
      </c>
      <c r="EC254">
        <f t="shared" si="741"/>
        <v>-1</v>
      </c>
      <c r="ED254">
        <f t="shared" si="741"/>
        <v>-1</v>
      </c>
      <c r="EE254">
        <f t="shared" si="741"/>
        <v>-1</v>
      </c>
      <c r="EF254">
        <f t="shared" si="741"/>
        <v>-1</v>
      </c>
      <c r="EG254">
        <f t="shared" si="741"/>
        <v>-1</v>
      </c>
      <c r="EH254">
        <f t="shared" si="741"/>
        <v>-1</v>
      </c>
      <c r="EI254">
        <f t="shared" si="741"/>
        <v>-1</v>
      </c>
      <c r="EJ254">
        <f t="shared" si="741"/>
        <v>-1</v>
      </c>
      <c r="EK254">
        <f t="shared" si="741"/>
        <v>-1</v>
      </c>
      <c r="EL254">
        <f t="shared" si="741"/>
        <v>-1</v>
      </c>
      <c r="EM254">
        <f t="shared" si="741"/>
        <v>-1</v>
      </c>
      <c r="EN254">
        <f t="shared" si="741"/>
        <v>-1</v>
      </c>
      <c r="EO254">
        <f t="shared" si="741"/>
        <v>-1</v>
      </c>
    </row>
    <row r="255" spans="1:145" x14ac:dyDescent="0.15">
      <c r="A255" t="e">
        <f t="shared" si="579"/>
        <v>#N/A</v>
      </c>
      <c r="B255" s="218">
        <v>247</v>
      </c>
      <c r="C255">
        <f t="shared" si="579"/>
        <v>-1</v>
      </c>
      <c r="D255">
        <f t="shared" ref="D255:BO255" si="742">IF(OR(D254=-1,AND(IF(D$3&lt;$B255,D254+D$6,IF(D$3=$B255,1,""))&gt;$B$1,D$3&lt;$B255)),-1,IF(D$3&lt;$B255,D254+D$6,IF(D$3=$B255,1,"")))</f>
        <v>-1</v>
      </c>
      <c r="E255">
        <f t="shared" si="742"/>
        <v>-1</v>
      </c>
      <c r="F255">
        <f t="shared" si="742"/>
        <v>-1</v>
      </c>
      <c r="G255">
        <f t="shared" si="742"/>
        <v>-1</v>
      </c>
      <c r="H255">
        <f t="shared" si="742"/>
        <v>-1</v>
      </c>
      <c r="I255">
        <f t="shared" si="742"/>
        <v>-1</v>
      </c>
      <c r="J255">
        <f t="shared" si="742"/>
        <v>-1</v>
      </c>
      <c r="K255">
        <f t="shared" si="742"/>
        <v>-1</v>
      </c>
      <c r="L255">
        <f t="shared" si="742"/>
        <v>-1</v>
      </c>
      <c r="M255">
        <f t="shared" si="742"/>
        <v>-1</v>
      </c>
      <c r="N255">
        <f t="shared" si="742"/>
        <v>-1</v>
      </c>
      <c r="O255">
        <f t="shared" si="742"/>
        <v>-1</v>
      </c>
      <c r="P255">
        <f t="shared" si="742"/>
        <v>-1</v>
      </c>
      <c r="Q255">
        <f t="shared" si="742"/>
        <v>-1</v>
      </c>
      <c r="R255">
        <f t="shared" si="742"/>
        <v>-1</v>
      </c>
      <c r="S255">
        <f t="shared" si="742"/>
        <v>-1</v>
      </c>
      <c r="T255">
        <f t="shared" si="742"/>
        <v>-1</v>
      </c>
      <c r="U255">
        <f t="shared" si="742"/>
        <v>-1</v>
      </c>
      <c r="V255">
        <f t="shared" si="742"/>
        <v>-1</v>
      </c>
      <c r="W255">
        <f t="shared" si="742"/>
        <v>-1</v>
      </c>
      <c r="X255">
        <f t="shared" si="742"/>
        <v>-1</v>
      </c>
      <c r="Y255">
        <f t="shared" si="742"/>
        <v>-1</v>
      </c>
      <c r="Z255">
        <f t="shared" si="742"/>
        <v>-1</v>
      </c>
      <c r="AA255">
        <f t="shared" si="742"/>
        <v>-1</v>
      </c>
      <c r="AB255">
        <f t="shared" si="742"/>
        <v>-1</v>
      </c>
      <c r="AC255">
        <f t="shared" si="742"/>
        <v>-1</v>
      </c>
      <c r="AD255">
        <f t="shared" si="742"/>
        <v>-1</v>
      </c>
      <c r="AE255">
        <f t="shared" si="742"/>
        <v>-1</v>
      </c>
      <c r="AF255">
        <f t="shared" si="742"/>
        <v>-1</v>
      </c>
      <c r="AG255">
        <f t="shared" si="742"/>
        <v>-1</v>
      </c>
      <c r="AH255">
        <f t="shared" si="742"/>
        <v>-1</v>
      </c>
      <c r="AI255">
        <f t="shared" si="742"/>
        <v>-1</v>
      </c>
      <c r="AJ255">
        <f t="shared" si="742"/>
        <v>-1</v>
      </c>
      <c r="AK255">
        <f t="shared" si="742"/>
        <v>-1</v>
      </c>
      <c r="AL255">
        <f t="shared" si="742"/>
        <v>-1</v>
      </c>
      <c r="AM255">
        <f t="shared" si="742"/>
        <v>-1</v>
      </c>
      <c r="AN255">
        <f t="shared" si="742"/>
        <v>-1</v>
      </c>
      <c r="AO255">
        <f t="shared" si="742"/>
        <v>-1</v>
      </c>
      <c r="AP255">
        <f t="shared" si="742"/>
        <v>-1</v>
      </c>
      <c r="AQ255">
        <f t="shared" si="742"/>
        <v>-1</v>
      </c>
      <c r="AR255">
        <f t="shared" si="742"/>
        <v>-1</v>
      </c>
      <c r="AS255">
        <f t="shared" si="742"/>
        <v>-1</v>
      </c>
      <c r="AT255">
        <f t="shared" si="742"/>
        <v>-1</v>
      </c>
      <c r="AU255">
        <f t="shared" si="742"/>
        <v>-1</v>
      </c>
      <c r="AV255">
        <f t="shared" si="742"/>
        <v>-1</v>
      </c>
      <c r="AW255">
        <f t="shared" si="742"/>
        <v>-1</v>
      </c>
      <c r="AX255">
        <f t="shared" si="742"/>
        <v>-1</v>
      </c>
      <c r="AY255">
        <f t="shared" si="742"/>
        <v>-1</v>
      </c>
      <c r="AZ255">
        <f t="shared" si="742"/>
        <v>-1</v>
      </c>
      <c r="BA255">
        <f t="shared" si="742"/>
        <v>-1</v>
      </c>
      <c r="BB255">
        <f t="shared" si="742"/>
        <v>-1</v>
      </c>
      <c r="BC255">
        <f t="shared" si="742"/>
        <v>-1</v>
      </c>
      <c r="BD255">
        <f t="shared" si="742"/>
        <v>-1</v>
      </c>
      <c r="BE255">
        <f t="shared" si="742"/>
        <v>-1</v>
      </c>
      <c r="BF255">
        <f t="shared" si="742"/>
        <v>-1</v>
      </c>
      <c r="BG255">
        <f t="shared" si="742"/>
        <v>-1</v>
      </c>
      <c r="BH255">
        <f t="shared" si="742"/>
        <v>-1</v>
      </c>
      <c r="BI255">
        <f t="shared" si="742"/>
        <v>-1</v>
      </c>
      <c r="BJ255">
        <f t="shared" si="742"/>
        <v>-1</v>
      </c>
      <c r="BK255">
        <f t="shared" si="742"/>
        <v>-1</v>
      </c>
      <c r="BL255">
        <f t="shared" si="742"/>
        <v>-1</v>
      </c>
      <c r="BM255">
        <f t="shared" si="742"/>
        <v>-1</v>
      </c>
      <c r="BN255">
        <f t="shared" si="742"/>
        <v>-1</v>
      </c>
      <c r="BO255">
        <f t="shared" si="742"/>
        <v>-1</v>
      </c>
      <c r="BP255">
        <f t="shared" ref="BP255:EA255" si="743">IF(OR(BP254=-1,AND(IF(BP$3&lt;$B255,BP254+BP$6,IF(BP$3=$B255,1,""))&gt;$B$1,BP$3&lt;$B255)),-1,IF(BP$3&lt;$B255,BP254+BP$6,IF(BP$3=$B255,1,"")))</f>
        <v>-1</v>
      </c>
      <c r="BQ255">
        <f t="shared" si="743"/>
        <v>-1</v>
      </c>
      <c r="BR255">
        <f t="shared" si="743"/>
        <v>-1</v>
      </c>
      <c r="BS255">
        <f t="shared" si="743"/>
        <v>-1</v>
      </c>
      <c r="BT255">
        <f t="shared" si="743"/>
        <v>-1</v>
      </c>
      <c r="BU255">
        <f t="shared" si="743"/>
        <v>-1</v>
      </c>
      <c r="BV255">
        <f t="shared" si="743"/>
        <v>-1</v>
      </c>
      <c r="BW255">
        <f t="shared" si="743"/>
        <v>-1</v>
      </c>
      <c r="BX255">
        <f t="shared" si="743"/>
        <v>-1</v>
      </c>
      <c r="BY255">
        <f t="shared" si="743"/>
        <v>-1</v>
      </c>
      <c r="BZ255">
        <f t="shared" si="743"/>
        <v>-1</v>
      </c>
      <c r="CA255">
        <f t="shared" si="743"/>
        <v>-1</v>
      </c>
      <c r="CB255">
        <f t="shared" si="743"/>
        <v>-1</v>
      </c>
      <c r="CC255">
        <f t="shared" si="743"/>
        <v>-1</v>
      </c>
      <c r="CD255">
        <f t="shared" si="743"/>
        <v>-1</v>
      </c>
      <c r="CE255">
        <f t="shared" si="743"/>
        <v>-1</v>
      </c>
      <c r="CF255">
        <f t="shared" si="743"/>
        <v>-1</v>
      </c>
      <c r="CG255">
        <f t="shared" si="743"/>
        <v>-1</v>
      </c>
      <c r="CH255">
        <f t="shared" si="743"/>
        <v>-1</v>
      </c>
      <c r="CI255">
        <f t="shared" si="743"/>
        <v>-1</v>
      </c>
      <c r="CJ255">
        <f t="shared" si="743"/>
        <v>-1</v>
      </c>
      <c r="CK255">
        <f t="shared" si="743"/>
        <v>-1</v>
      </c>
      <c r="CL255">
        <f t="shared" si="743"/>
        <v>-1</v>
      </c>
      <c r="CM255">
        <f t="shared" si="743"/>
        <v>-1</v>
      </c>
      <c r="CN255">
        <f t="shared" si="743"/>
        <v>-1</v>
      </c>
      <c r="CO255">
        <f t="shared" si="743"/>
        <v>-1</v>
      </c>
      <c r="CP255">
        <f t="shared" si="743"/>
        <v>-1</v>
      </c>
      <c r="CQ255">
        <f t="shared" si="743"/>
        <v>-1</v>
      </c>
      <c r="CR255">
        <f t="shared" si="743"/>
        <v>-1</v>
      </c>
      <c r="CS255">
        <f t="shared" si="743"/>
        <v>-1</v>
      </c>
      <c r="CT255">
        <f t="shared" si="743"/>
        <v>-1</v>
      </c>
      <c r="CU255">
        <f t="shared" si="743"/>
        <v>-1</v>
      </c>
      <c r="CV255">
        <f t="shared" si="743"/>
        <v>-1</v>
      </c>
      <c r="CW255">
        <f t="shared" si="743"/>
        <v>-1</v>
      </c>
      <c r="CX255">
        <f t="shared" si="743"/>
        <v>-1</v>
      </c>
      <c r="CY255">
        <f t="shared" si="743"/>
        <v>-1</v>
      </c>
      <c r="CZ255">
        <f t="shared" si="743"/>
        <v>-1</v>
      </c>
      <c r="DA255">
        <f t="shared" si="743"/>
        <v>-1</v>
      </c>
      <c r="DB255">
        <f t="shared" si="743"/>
        <v>-1</v>
      </c>
      <c r="DC255">
        <f t="shared" si="743"/>
        <v>-1</v>
      </c>
      <c r="DD255">
        <f t="shared" si="743"/>
        <v>-1</v>
      </c>
      <c r="DE255">
        <f t="shared" si="743"/>
        <v>-1</v>
      </c>
      <c r="DF255">
        <f t="shared" si="743"/>
        <v>-1</v>
      </c>
      <c r="DG255">
        <f t="shared" si="743"/>
        <v>-1</v>
      </c>
      <c r="DH255">
        <f t="shared" si="743"/>
        <v>-1</v>
      </c>
      <c r="DI255">
        <f t="shared" si="743"/>
        <v>-1</v>
      </c>
      <c r="DJ255">
        <f t="shared" si="743"/>
        <v>-1</v>
      </c>
      <c r="DK255">
        <f t="shared" si="743"/>
        <v>-1</v>
      </c>
      <c r="DL255">
        <f t="shared" si="743"/>
        <v>-1</v>
      </c>
      <c r="DM255">
        <f t="shared" si="743"/>
        <v>-1</v>
      </c>
      <c r="DN255">
        <f t="shared" si="743"/>
        <v>-1</v>
      </c>
      <c r="DO255">
        <f t="shared" si="743"/>
        <v>-1</v>
      </c>
      <c r="DP255">
        <f t="shared" si="743"/>
        <v>-1</v>
      </c>
      <c r="DQ255">
        <f t="shared" si="743"/>
        <v>-1</v>
      </c>
      <c r="DR255">
        <f t="shared" si="743"/>
        <v>-1</v>
      </c>
      <c r="DS255">
        <f t="shared" si="743"/>
        <v>-1</v>
      </c>
      <c r="DT255">
        <f t="shared" si="743"/>
        <v>-1</v>
      </c>
      <c r="DU255">
        <f t="shared" si="743"/>
        <v>-1</v>
      </c>
      <c r="DV255">
        <f t="shared" si="743"/>
        <v>-1</v>
      </c>
      <c r="DW255">
        <f t="shared" si="743"/>
        <v>-1</v>
      </c>
      <c r="DX255">
        <f t="shared" si="743"/>
        <v>-1</v>
      </c>
      <c r="DY255">
        <f t="shared" si="743"/>
        <v>-1</v>
      </c>
      <c r="DZ255">
        <f t="shared" si="743"/>
        <v>-1</v>
      </c>
      <c r="EA255">
        <f t="shared" si="743"/>
        <v>-1</v>
      </c>
      <c r="EB255">
        <f t="shared" ref="EB255:EO255" si="744">IF(OR(EB254=-1,AND(IF(EB$3&lt;$B255,EB254+EB$6,IF(EB$3=$B255,1,""))&gt;$B$1,EB$3&lt;$B255)),-1,IF(EB$3&lt;$B255,EB254+EB$6,IF(EB$3=$B255,1,"")))</f>
        <v>-1</v>
      </c>
      <c r="EC255">
        <f t="shared" si="744"/>
        <v>-1</v>
      </c>
      <c r="ED255">
        <f t="shared" si="744"/>
        <v>-1</v>
      </c>
      <c r="EE255">
        <f t="shared" si="744"/>
        <v>-1</v>
      </c>
      <c r="EF255">
        <f t="shared" si="744"/>
        <v>-1</v>
      </c>
      <c r="EG255">
        <f t="shared" si="744"/>
        <v>-1</v>
      </c>
      <c r="EH255">
        <f t="shared" si="744"/>
        <v>-1</v>
      </c>
      <c r="EI255">
        <f t="shared" si="744"/>
        <v>-1</v>
      </c>
      <c r="EJ255">
        <f t="shared" si="744"/>
        <v>-1</v>
      </c>
      <c r="EK255">
        <f t="shared" si="744"/>
        <v>-1</v>
      </c>
      <c r="EL255">
        <f t="shared" si="744"/>
        <v>-1</v>
      </c>
      <c r="EM255">
        <f t="shared" si="744"/>
        <v>-1</v>
      </c>
      <c r="EN255">
        <f t="shared" si="744"/>
        <v>-1</v>
      </c>
      <c r="EO255">
        <f t="shared" si="744"/>
        <v>-1</v>
      </c>
    </row>
    <row r="256" spans="1:145" x14ac:dyDescent="0.15">
      <c r="A256" t="e">
        <f t="shared" si="579"/>
        <v>#N/A</v>
      </c>
      <c r="B256" s="218">
        <v>248</v>
      </c>
      <c r="C256">
        <f t="shared" si="579"/>
        <v>-1</v>
      </c>
      <c r="D256">
        <f t="shared" ref="D256:BO256" si="745">IF(OR(D255=-1,AND(IF(D$3&lt;$B256,D255+D$6,IF(D$3=$B256,1,""))&gt;$B$1,D$3&lt;$B256)),-1,IF(D$3&lt;$B256,D255+D$6,IF(D$3=$B256,1,"")))</f>
        <v>-1</v>
      </c>
      <c r="E256">
        <f t="shared" si="745"/>
        <v>-1</v>
      </c>
      <c r="F256">
        <f t="shared" si="745"/>
        <v>-1</v>
      </c>
      <c r="G256">
        <f t="shared" si="745"/>
        <v>-1</v>
      </c>
      <c r="H256">
        <f t="shared" si="745"/>
        <v>-1</v>
      </c>
      <c r="I256">
        <f t="shared" si="745"/>
        <v>-1</v>
      </c>
      <c r="J256">
        <f t="shared" si="745"/>
        <v>-1</v>
      </c>
      <c r="K256">
        <f t="shared" si="745"/>
        <v>-1</v>
      </c>
      <c r="L256">
        <f t="shared" si="745"/>
        <v>-1</v>
      </c>
      <c r="M256">
        <f t="shared" si="745"/>
        <v>-1</v>
      </c>
      <c r="N256">
        <f t="shared" si="745"/>
        <v>-1</v>
      </c>
      <c r="O256">
        <f t="shared" si="745"/>
        <v>-1</v>
      </c>
      <c r="P256">
        <f t="shared" si="745"/>
        <v>-1</v>
      </c>
      <c r="Q256">
        <f t="shared" si="745"/>
        <v>-1</v>
      </c>
      <c r="R256">
        <f t="shared" si="745"/>
        <v>-1</v>
      </c>
      <c r="S256">
        <f t="shared" si="745"/>
        <v>-1</v>
      </c>
      <c r="T256">
        <f t="shared" si="745"/>
        <v>-1</v>
      </c>
      <c r="U256">
        <f t="shared" si="745"/>
        <v>-1</v>
      </c>
      <c r="V256">
        <f t="shared" si="745"/>
        <v>-1</v>
      </c>
      <c r="W256">
        <f t="shared" si="745"/>
        <v>-1</v>
      </c>
      <c r="X256">
        <f t="shared" si="745"/>
        <v>-1</v>
      </c>
      <c r="Y256">
        <f t="shared" si="745"/>
        <v>-1</v>
      </c>
      <c r="Z256">
        <f t="shared" si="745"/>
        <v>-1</v>
      </c>
      <c r="AA256">
        <f t="shared" si="745"/>
        <v>-1</v>
      </c>
      <c r="AB256">
        <f t="shared" si="745"/>
        <v>-1</v>
      </c>
      <c r="AC256">
        <f t="shared" si="745"/>
        <v>-1</v>
      </c>
      <c r="AD256">
        <f t="shared" si="745"/>
        <v>-1</v>
      </c>
      <c r="AE256">
        <f t="shared" si="745"/>
        <v>-1</v>
      </c>
      <c r="AF256">
        <f t="shared" si="745"/>
        <v>-1</v>
      </c>
      <c r="AG256">
        <f t="shared" si="745"/>
        <v>-1</v>
      </c>
      <c r="AH256">
        <f t="shared" si="745"/>
        <v>-1</v>
      </c>
      <c r="AI256">
        <f t="shared" si="745"/>
        <v>-1</v>
      </c>
      <c r="AJ256">
        <f t="shared" si="745"/>
        <v>-1</v>
      </c>
      <c r="AK256">
        <f t="shared" si="745"/>
        <v>-1</v>
      </c>
      <c r="AL256">
        <f t="shared" si="745"/>
        <v>-1</v>
      </c>
      <c r="AM256">
        <f t="shared" si="745"/>
        <v>-1</v>
      </c>
      <c r="AN256">
        <f t="shared" si="745"/>
        <v>-1</v>
      </c>
      <c r="AO256">
        <f t="shared" si="745"/>
        <v>-1</v>
      </c>
      <c r="AP256">
        <f t="shared" si="745"/>
        <v>-1</v>
      </c>
      <c r="AQ256">
        <f t="shared" si="745"/>
        <v>-1</v>
      </c>
      <c r="AR256">
        <f t="shared" si="745"/>
        <v>-1</v>
      </c>
      <c r="AS256">
        <f t="shared" si="745"/>
        <v>-1</v>
      </c>
      <c r="AT256">
        <f t="shared" si="745"/>
        <v>-1</v>
      </c>
      <c r="AU256">
        <f t="shared" si="745"/>
        <v>-1</v>
      </c>
      <c r="AV256">
        <f t="shared" si="745"/>
        <v>-1</v>
      </c>
      <c r="AW256">
        <f t="shared" si="745"/>
        <v>-1</v>
      </c>
      <c r="AX256">
        <f t="shared" si="745"/>
        <v>-1</v>
      </c>
      <c r="AY256">
        <f t="shared" si="745"/>
        <v>-1</v>
      </c>
      <c r="AZ256">
        <f t="shared" si="745"/>
        <v>-1</v>
      </c>
      <c r="BA256">
        <f t="shared" si="745"/>
        <v>-1</v>
      </c>
      <c r="BB256">
        <f t="shared" si="745"/>
        <v>-1</v>
      </c>
      <c r="BC256">
        <f t="shared" si="745"/>
        <v>-1</v>
      </c>
      <c r="BD256">
        <f t="shared" si="745"/>
        <v>-1</v>
      </c>
      <c r="BE256">
        <f t="shared" si="745"/>
        <v>-1</v>
      </c>
      <c r="BF256">
        <f t="shared" si="745"/>
        <v>-1</v>
      </c>
      <c r="BG256">
        <f t="shared" si="745"/>
        <v>-1</v>
      </c>
      <c r="BH256">
        <f t="shared" si="745"/>
        <v>-1</v>
      </c>
      <c r="BI256">
        <f t="shared" si="745"/>
        <v>-1</v>
      </c>
      <c r="BJ256">
        <f t="shared" si="745"/>
        <v>-1</v>
      </c>
      <c r="BK256">
        <f t="shared" si="745"/>
        <v>-1</v>
      </c>
      <c r="BL256">
        <f t="shared" si="745"/>
        <v>-1</v>
      </c>
      <c r="BM256">
        <f t="shared" si="745"/>
        <v>-1</v>
      </c>
      <c r="BN256">
        <f t="shared" si="745"/>
        <v>-1</v>
      </c>
      <c r="BO256">
        <f t="shared" si="745"/>
        <v>-1</v>
      </c>
      <c r="BP256">
        <f t="shared" ref="BP256:EA256" si="746">IF(OR(BP255=-1,AND(IF(BP$3&lt;$B256,BP255+BP$6,IF(BP$3=$B256,1,""))&gt;$B$1,BP$3&lt;$B256)),-1,IF(BP$3&lt;$B256,BP255+BP$6,IF(BP$3=$B256,1,"")))</f>
        <v>-1</v>
      </c>
      <c r="BQ256">
        <f t="shared" si="746"/>
        <v>-1</v>
      </c>
      <c r="BR256">
        <f t="shared" si="746"/>
        <v>-1</v>
      </c>
      <c r="BS256">
        <f t="shared" si="746"/>
        <v>-1</v>
      </c>
      <c r="BT256">
        <f t="shared" si="746"/>
        <v>-1</v>
      </c>
      <c r="BU256">
        <f t="shared" si="746"/>
        <v>-1</v>
      </c>
      <c r="BV256">
        <f t="shared" si="746"/>
        <v>-1</v>
      </c>
      <c r="BW256">
        <f t="shared" si="746"/>
        <v>-1</v>
      </c>
      <c r="BX256">
        <f t="shared" si="746"/>
        <v>-1</v>
      </c>
      <c r="BY256">
        <f t="shared" si="746"/>
        <v>-1</v>
      </c>
      <c r="BZ256">
        <f t="shared" si="746"/>
        <v>-1</v>
      </c>
      <c r="CA256">
        <f t="shared" si="746"/>
        <v>-1</v>
      </c>
      <c r="CB256">
        <f t="shared" si="746"/>
        <v>-1</v>
      </c>
      <c r="CC256">
        <f t="shared" si="746"/>
        <v>-1</v>
      </c>
      <c r="CD256">
        <f t="shared" si="746"/>
        <v>-1</v>
      </c>
      <c r="CE256">
        <f t="shared" si="746"/>
        <v>-1</v>
      </c>
      <c r="CF256">
        <f t="shared" si="746"/>
        <v>-1</v>
      </c>
      <c r="CG256">
        <f t="shared" si="746"/>
        <v>-1</v>
      </c>
      <c r="CH256">
        <f t="shared" si="746"/>
        <v>-1</v>
      </c>
      <c r="CI256">
        <f t="shared" si="746"/>
        <v>-1</v>
      </c>
      <c r="CJ256">
        <f t="shared" si="746"/>
        <v>-1</v>
      </c>
      <c r="CK256">
        <f t="shared" si="746"/>
        <v>-1</v>
      </c>
      <c r="CL256">
        <f t="shared" si="746"/>
        <v>-1</v>
      </c>
      <c r="CM256">
        <f t="shared" si="746"/>
        <v>-1</v>
      </c>
      <c r="CN256">
        <f t="shared" si="746"/>
        <v>-1</v>
      </c>
      <c r="CO256">
        <f t="shared" si="746"/>
        <v>-1</v>
      </c>
      <c r="CP256">
        <f t="shared" si="746"/>
        <v>-1</v>
      </c>
      <c r="CQ256">
        <f t="shared" si="746"/>
        <v>-1</v>
      </c>
      <c r="CR256">
        <f t="shared" si="746"/>
        <v>-1</v>
      </c>
      <c r="CS256">
        <f t="shared" si="746"/>
        <v>-1</v>
      </c>
      <c r="CT256">
        <f t="shared" si="746"/>
        <v>-1</v>
      </c>
      <c r="CU256">
        <f t="shared" si="746"/>
        <v>-1</v>
      </c>
      <c r="CV256">
        <f t="shared" si="746"/>
        <v>-1</v>
      </c>
      <c r="CW256">
        <f t="shared" si="746"/>
        <v>-1</v>
      </c>
      <c r="CX256">
        <f t="shared" si="746"/>
        <v>-1</v>
      </c>
      <c r="CY256">
        <f t="shared" si="746"/>
        <v>-1</v>
      </c>
      <c r="CZ256">
        <f t="shared" si="746"/>
        <v>-1</v>
      </c>
      <c r="DA256">
        <f t="shared" si="746"/>
        <v>-1</v>
      </c>
      <c r="DB256">
        <f t="shared" si="746"/>
        <v>-1</v>
      </c>
      <c r="DC256">
        <f t="shared" si="746"/>
        <v>-1</v>
      </c>
      <c r="DD256">
        <f t="shared" si="746"/>
        <v>-1</v>
      </c>
      <c r="DE256">
        <f t="shared" si="746"/>
        <v>-1</v>
      </c>
      <c r="DF256">
        <f t="shared" si="746"/>
        <v>-1</v>
      </c>
      <c r="DG256">
        <f t="shared" si="746"/>
        <v>-1</v>
      </c>
      <c r="DH256">
        <f t="shared" si="746"/>
        <v>-1</v>
      </c>
      <c r="DI256">
        <f t="shared" si="746"/>
        <v>-1</v>
      </c>
      <c r="DJ256">
        <f t="shared" si="746"/>
        <v>-1</v>
      </c>
      <c r="DK256">
        <f t="shared" si="746"/>
        <v>-1</v>
      </c>
      <c r="DL256">
        <f t="shared" si="746"/>
        <v>-1</v>
      </c>
      <c r="DM256">
        <f t="shared" si="746"/>
        <v>-1</v>
      </c>
      <c r="DN256">
        <f t="shared" si="746"/>
        <v>-1</v>
      </c>
      <c r="DO256">
        <f t="shared" si="746"/>
        <v>-1</v>
      </c>
      <c r="DP256">
        <f t="shared" si="746"/>
        <v>-1</v>
      </c>
      <c r="DQ256">
        <f t="shared" si="746"/>
        <v>-1</v>
      </c>
      <c r="DR256">
        <f t="shared" si="746"/>
        <v>-1</v>
      </c>
      <c r="DS256">
        <f t="shared" si="746"/>
        <v>-1</v>
      </c>
      <c r="DT256">
        <f t="shared" si="746"/>
        <v>-1</v>
      </c>
      <c r="DU256">
        <f t="shared" si="746"/>
        <v>-1</v>
      </c>
      <c r="DV256">
        <f t="shared" si="746"/>
        <v>-1</v>
      </c>
      <c r="DW256">
        <f t="shared" si="746"/>
        <v>-1</v>
      </c>
      <c r="DX256">
        <f t="shared" si="746"/>
        <v>-1</v>
      </c>
      <c r="DY256">
        <f t="shared" si="746"/>
        <v>-1</v>
      </c>
      <c r="DZ256">
        <f t="shared" si="746"/>
        <v>-1</v>
      </c>
      <c r="EA256">
        <f t="shared" si="746"/>
        <v>-1</v>
      </c>
      <c r="EB256">
        <f t="shared" ref="EB256:EO256" si="747">IF(OR(EB255=-1,AND(IF(EB$3&lt;$B256,EB255+EB$6,IF(EB$3=$B256,1,""))&gt;$B$1,EB$3&lt;$B256)),-1,IF(EB$3&lt;$B256,EB255+EB$6,IF(EB$3=$B256,1,"")))</f>
        <v>-1</v>
      </c>
      <c r="EC256">
        <f t="shared" si="747"/>
        <v>-1</v>
      </c>
      <c r="ED256">
        <f t="shared" si="747"/>
        <v>-1</v>
      </c>
      <c r="EE256">
        <f t="shared" si="747"/>
        <v>-1</v>
      </c>
      <c r="EF256">
        <f t="shared" si="747"/>
        <v>-1</v>
      </c>
      <c r="EG256">
        <f t="shared" si="747"/>
        <v>-1</v>
      </c>
      <c r="EH256">
        <f t="shared" si="747"/>
        <v>-1</v>
      </c>
      <c r="EI256">
        <f t="shared" si="747"/>
        <v>-1</v>
      </c>
      <c r="EJ256">
        <f t="shared" si="747"/>
        <v>-1</v>
      </c>
      <c r="EK256">
        <f t="shared" si="747"/>
        <v>-1</v>
      </c>
      <c r="EL256">
        <f t="shared" si="747"/>
        <v>-1</v>
      </c>
      <c r="EM256">
        <f t="shared" si="747"/>
        <v>-1</v>
      </c>
      <c r="EN256">
        <f t="shared" si="747"/>
        <v>-1</v>
      </c>
      <c r="EO256">
        <f t="shared" si="747"/>
        <v>-1</v>
      </c>
    </row>
    <row r="257" spans="1:145" x14ac:dyDescent="0.15">
      <c r="A257" t="e">
        <f t="shared" si="579"/>
        <v>#N/A</v>
      </c>
      <c r="B257" s="218">
        <v>249</v>
      </c>
      <c r="C257">
        <f t="shared" si="579"/>
        <v>-1</v>
      </c>
      <c r="D257">
        <f t="shared" ref="D257:BO257" si="748">IF(OR(D256=-1,AND(IF(D$3&lt;$B257,D256+D$6,IF(D$3=$B257,1,""))&gt;$B$1,D$3&lt;$B257)),-1,IF(D$3&lt;$B257,D256+D$6,IF(D$3=$B257,1,"")))</f>
        <v>-1</v>
      </c>
      <c r="E257">
        <f t="shared" si="748"/>
        <v>-1</v>
      </c>
      <c r="F257">
        <f t="shared" si="748"/>
        <v>-1</v>
      </c>
      <c r="G257">
        <f t="shared" si="748"/>
        <v>-1</v>
      </c>
      <c r="H257">
        <f t="shared" si="748"/>
        <v>-1</v>
      </c>
      <c r="I257">
        <f t="shared" si="748"/>
        <v>-1</v>
      </c>
      <c r="J257">
        <f t="shared" si="748"/>
        <v>-1</v>
      </c>
      <c r="K257">
        <f t="shared" si="748"/>
        <v>-1</v>
      </c>
      <c r="L257">
        <f t="shared" si="748"/>
        <v>-1</v>
      </c>
      <c r="M257">
        <f t="shared" si="748"/>
        <v>-1</v>
      </c>
      <c r="N257">
        <f t="shared" si="748"/>
        <v>-1</v>
      </c>
      <c r="O257">
        <f t="shared" si="748"/>
        <v>-1</v>
      </c>
      <c r="P257">
        <f t="shared" si="748"/>
        <v>-1</v>
      </c>
      <c r="Q257">
        <f t="shared" si="748"/>
        <v>-1</v>
      </c>
      <c r="R257">
        <f t="shared" si="748"/>
        <v>-1</v>
      </c>
      <c r="S257">
        <f t="shared" si="748"/>
        <v>-1</v>
      </c>
      <c r="T257">
        <f t="shared" si="748"/>
        <v>-1</v>
      </c>
      <c r="U257">
        <f t="shared" si="748"/>
        <v>-1</v>
      </c>
      <c r="V257">
        <f t="shared" si="748"/>
        <v>-1</v>
      </c>
      <c r="W257">
        <f t="shared" si="748"/>
        <v>-1</v>
      </c>
      <c r="X257">
        <f t="shared" si="748"/>
        <v>-1</v>
      </c>
      <c r="Y257">
        <f t="shared" si="748"/>
        <v>-1</v>
      </c>
      <c r="Z257">
        <f t="shared" si="748"/>
        <v>-1</v>
      </c>
      <c r="AA257">
        <f t="shared" si="748"/>
        <v>-1</v>
      </c>
      <c r="AB257">
        <f t="shared" si="748"/>
        <v>-1</v>
      </c>
      <c r="AC257">
        <f t="shared" si="748"/>
        <v>-1</v>
      </c>
      <c r="AD257">
        <f t="shared" si="748"/>
        <v>-1</v>
      </c>
      <c r="AE257">
        <f t="shared" si="748"/>
        <v>-1</v>
      </c>
      <c r="AF257">
        <f t="shared" si="748"/>
        <v>-1</v>
      </c>
      <c r="AG257">
        <f t="shared" si="748"/>
        <v>-1</v>
      </c>
      <c r="AH257">
        <f t="shared" si="748"/>
        <v>-1</v>
      </c>
      <c r="AI257">
        <f t="shared" si="748"/>
        <v>-1</v>
      </c>
      <c r="AJ257">
        <f t="shared" si="748"/>
        <v>-1</v>
      </c>
      <c r="AK257">
        <f t="shared" si="748"/>
        <v>-1</v>
      </c>
      <c r="AL257">
        <f t="shared" si="748"/>
        <v>-1</v>
      </c>
      <c r="AM257">
        <f t="shared" si="748"/>
        <v>-1</v>
      </c>
      <c r="AN257">
        <f t="shared" si="748"/>
        <v>-1</v>
      </c>
      <c r="AO257">
        <f t="shared" si="748"/>
        <v>-1</v>
      </c>
      <c r="AP257">
        <f t="shared" si="748"/>
        <v>-1</v>
      </c>
      <c r="AQ257">
        <f t="shared" si="748"/>
        <v>-1</v>
      </c>
      <c r="AR257">
        <f t="shared" si="748"/>
        <v>-1</v>
      </c>
      <c r="AS257">
        <f t="shared" si="748"/>
        <v>-1</v>
      </c>
      <c r="AT257">
        <f t="shared" si="748"/>
        <v>-1</v>
      </c>
      <c r="AU257">
        <f t="shared" si="748"/>
        <v>-1</v>
      </c>
      <c r="AV257">
        <f t="shared" si="748"/>
        <v>-1</v>
      </c>
      <c r="AW257">
        <f t="shared" si="748"/>
        <v>-1</v>
      </c>
      <c r="AX257">
        <f t="shared" si="748"/>
        <v>-1</v>
      </c>
      <c r="AY257">
        <f t="shared" si="748"/>
        <v>-1</v>
      </c>
      <c r="AZ257">
        <f t="shared" si="748"/>
        <v>-1</v>
      </c>
      <c r="BA257">
        <f t="shared" si="748"/>
        <v>-1</v>
      </c>
      <c r="BB257">
        <f t="shared" si="748"/>
        <v>-1</v>
      </c>
      <c r="BC257">
        <f t="shared" si="748"/>
        <v>-1</v>
      </c>
      <c r="BD257">
        <f t="shared" si="748"/>
        <v>-1</v>
      </c>
      <c r="BE257">
        <f t="shared" si="748"/>
        <v>-1</v>
      </c>
      <c r="BF257">
        <f t="shared" si="748"/>
        <v>-1</v>
      </c>
      <c r="BG257">
        <f t="shared" si="748"/>
        <v>-1</v>
      </c>
      <c r="BH257">
        <f t="shared" si="748"/>
        <v>-1</v>
      </c>
      <c r="BI257">
        <f t="shared" si="748"/>
        <v>-1</v>
      </c>
      <c r="BJ257">
        <f t="shared" si="748"/>
        <v>-1</v>
      </c>
      <c r="BK257">
        <f t="shared" si="748"/>
        <v>-1</v>
      </c>
      <c r="BL257">
        <f t="shared" si="748"/>
        <v>-1</v>
      </c>
      <c r="BM257">
        <f t="shared" si="748"/>
        <v>-1</v>
      </c>
      <c r="BN257">
        <f t="shared" si="748"/>
        <v>-1</v>
      </c>
      <c r="BO257">
        <f t="shared" si="748"/>
        <v>-1</v>
      </c>
      <c r="BP257">
        <f t="shared" ref="BP257:EA257" si="749">IF(OR(BP256=-1,AND(IF(BP$3&lt;$B257,BP256+BP$6,IF(BP$3=$B257,1,""))&gt;$B$1,BP$3&lt;$B257)),-1,IF(BP$3&lt;$B257,BP256+BP$6,IF(BP$3=$B257,1,"")))</f>
        <v>-1</v>
      </c>
      <c r="BQ257">
        <f t="shared" si="749"/>
        <v>-1</v>
      </c>
      <c r="BR257">
        <f t="shared" si="749"/>
        <v>-1</v>
      </c>
      <c r="BS257">
        <f t="shared" si="749"/>
        <v>-1</v>
      </c>
      <c r="BT257">
        <f t="shared" si="749"/>
        <v>-1</v>
      </c>
      <c r="BU257">
        <f t="shared" si="749"/>
        <v>-1</v>
      </c>
      <c r="BV257">
        <f t="shared" si="749"/>
        <v>-1</v>
      </c>
      <c r="BW257">
        <f t="shared" si="749"/>
        <v>-1</v>
      </c>
      <c r="BX257">
        <f t="shared" si="749"/>
        <v>-1</v>
      </c>
      <c r="BY257">
        <f t="shared" si="749"/>
        <v>-1</v>
      </c>
      <c r="BZ257">
        <f t="shared" si="749"/>
        <v>-1</v>
      </c>
      <c r="CA257">
        <f t="shared" si="749"/>
        <v>-1</v>
      </c>
      <c r="CB257">
        <f t="shared" si="749"/>
        <v>-1</v>
      </c>
      <c r="CC257">
        <f t="shared" si="749"/>
        <v>-1</v>
      </c>
      <c r="CD257">
        <f t="shared" si="749"/>
        <v>-1</v>
      </c>
      <c r="CE257">
        <f t="shared" si="749"/>
        <v>-1</v>
      </c>
      <c r="CF257">
        <f t="shared" si="749"/>
        <v>-1</v>
      </c>
      <c r="CG257">
        <f t="shared" si="749"/>
        <v>-1</v>
      </c>
      <c r="CH257">
        <f t="shared" si="749"/>
        <v>-1</v>
      </c>
      <c r="CI257">
        <f t="shared" si="749"/>
        <v>-1</v>
      </c>
      <c r="CJ257">
        <f t="shared" si="749"/>
        <v>-1</v>
      </c>
      <c r="CK257">
        <f t="shared" si="749"/>
        <v>-1</v>
      </c>
      <c r="CL257">
        <f t="shared" si="749"/>
        <v>-1</v>
      </c>
      <c r="CM257">
        <f t="shared" si="749"/>
        <v>-1</v>
      </c>
      <c r="CN257">
        <f t="shared" si="749"/>
        <v>-1</v>
      </c>
      <c r="CO257">
        <f t="shared" si="749"/>
        <v>-1</v>
      </c>
      <c r="CP257">
        <f t="shared" si="749"/>
        <v>-1</v>
      </c>
      <c r="CQ257">
        <f t="shared" si="749"/>
        <v>-1</v>
      </c>
      <c r="CR257">
        <f t="shared" si="749"/>
        <v>-1</v>
      </c>
      <c r="CS257">
        <f t="shared" si="749"/>
        <v>-1</v>
      </c>
      <c r="CT257">
        <f t="shared" si="749"/>
        <v>-1</v>
      </c>
      <c r="CU257">
        <f t="shared" si="749"/>
        <v>-1</v>
      </c>
      <c r="CV257">
        <f t="shared" si="749"/>
        <v>-1</v>
      </c>
      <c r="CW257">
        <f t="shared" si="749"/>
        <v>-1</v>
      </c>
      <c r="CX257">
        <f t="shared" si="749"/>
        <v>-1</v>
      </c>
      <c r="CY257">
        <f t="shared" si="749"/>
        <v>-1</v>
      </c>
      <c r="CZ257">
        <f t="shared" si="749"/>
        <v>-1</v>
      </c>
      <c r="DA257">
        <f t="shared" si="749"/>
        <v>-1</v>
      </c>
      <c r="DB257">
        <f t="shared" si="749"/>
        <v>-1</v>
      </c>
      <c r="DC257">
        <f t="shared" si="749"/>
        <v>-1</v>
      </c>
      <c r="DD257">
        <f t="shared" si="749"/>
        <v>-1</v>
      </c>
      <c r="DE257">
        <f t="shared" si="749"/>
        <v>-1</v>
      </c>
      <c r="DF257">
        <f t="shared" si="749"/>
        <v>-1</v>
      </c>
      <c r="DG257">
        <f t="shared" si="749"/>
        <v>-1</v>
      </c>
      <c r="DH257">
        <f t="shared" si="749"/>
        <v>-1</v>
      </c>
      <c r="DI257">
        <f t="shared" si="749"/>
        <v>-1</v>
      </c>
      <c r="DJ257">
        <f t="shared" si="749"/>
        <v>-1</v>
      </c>
      <c r="DK257">
        <f t="shared" si="749"/>
        <v>-1</v>
      </c>
      <c r="DL257">
        <f t="shared" si="749"/>
        <v>-1</v>
      </c>
      <c r="DM257">
        <f t="shared" si="749"/>
        <v>-1</v>
      </c>
      <c r="DN257">
        <f t="shared" si="749"/>
        <v>-1</v>
      </c>
      <c r="DO257">
        <f t="shared" si="749"/>
        <v>-1</v>
      </c>
      <c r="DP257">
        <f t="shared" si="749"/>
        <v>-1</v>
      </c>
      <c r="DQ257">
        <f t="shared" si="749"/>
        <v>-1</v>
      </c>
      <c r="DR257">
        <f t="shared" si="749"/>
        <v>-1</v>
      </c>
      <c r="DS257">
        <f t="shared" si="749"/>
        <v>-1</v>
      </c>
      <c r="DT257">
        <f t="shared" si="749"/>
        <v>-1</v>
      </c>
      <c r="DU257">
        <f t="shared" si="749"/>
        <v>-1</v>
      </c>
      <c r="DV257">
        <f t="shared" si="749"/>
        <v>-1</v>
      </c>
      <c r="DW257">
        <f t="shared" si="749"/>
        <v>-1</v>
      </c>
      <c r="DX257">
        <f t="shared" si="749"/>
        <v>-1</v>
      </c>
      <c r="DY257">
        <f t="shared" si="749"/>
        <v>-1</v>
      </c>
      <c r="DZ257">
        <f t="shared" si="749"/>
        <v>-1</v>
      </c>
      <c r="EA257">
        <f t="shared" si="749"/>
        <v>-1</v>
      </c>
      <c r="EB257">
        <f t="shared" ref="EB257:EO257" si="750">IF(OR(EB256=-1,AND(IF(EB$3&lt;$B257,EB256+EB$6,IF(EB$3=$B257,1,""))&gt;$B$1,EB$3&lt;$B257)),-1,IF(EB$3&lt;$B257,EB256+EB$6,IF(EB$3=$B257,1,"")))</f>
        <v>-1</v>
      </c>
      <c r="EC257">
        <f t="shared" si="750"/>
        <v>-1</v>
      </c>
      <c r="ED257">
        <f t="shared" si="750"/>
        <v>-1</v>
      </c>
      <c r="EE257">
        <f t="shared" si="750"/>
        <v>-1</v>
      </c>
      <c r="EF257">
        <f t="shared" si="750"/>
        <v>-1</v>
      </c>
      <c r="EG257">
        <f t="shared" si="750"/>
        <v>-1</v>
      </c>
      <c r="EH257">
        <f t="shared" si="750"/>
        <v>-1</v>
      </c>
      <c r="EI257">
        <f t="shared" si="750"/>
        <v>-1</v>
      </c>
      <c r="EJ257">
        <f t="shared" si="750"/>
        <v>-1</v>
      </c>
      <c r="EK257">
        <f t="shared" si="750"/>
        <v>-1</v>
      </c>
      <c r="EL257">
        <f t="shared" si="750"/>
        <v>-1</v>
      </c>
      <c r="EM257">
        <f t="shared" si="750"/>
        <v>-1</v>
      </c>
      <c r="EN257">
        <f t="shared" si="750"/>
        <v>-1</v>
      </c>
      <c r="EO257">
        <f t="shared" si="750"/>
        <v>-1</v>
      </c>
    </row>
    <row r="258" spans="1:145" x14ac:dyDescent="0.15">
      <c r="A258" t="e">
        <f t="shared" si="579"/>
        <v>#N/A</v>
      </c>
      <c r="B258" s="218">
        <v>250</v>
      </c>
      <c r="C258">
        <f t="shared" si="579"/>
        <v>-1</v>
      </c>
      <c r="D258">
        <f t="shared" ref="D258:BO258" si="751">IF(OR(D257=-1,AND(IF(D$3&lt;$B258,D257+D$6,IF(D$3=$B258,1,""))&gt;$B$1,D$3&lt;$B258)),-1,IF(D$3&lt;$B258,D257+D$6,IF(D$3=$B258,1,"")))</f>
        <v>-1</v>
      </c>
      <c r="E258">
        <f t="shared" si="751"/>
        <v>-1</v>
      </c>
      <c r="F258">
        <f t="shared" si="751"/>
        <v>-1</v>
      </c>
      <c r="G258">
        <f t="shared" si="751"/>
        <v>-1</v>
      </c>
      <c r="H258">
        <f t="shared" si="751"/>
        <v>-1</v>
      </c>
      <c r="I258">
        <f t="shared" si="751"/>
        <v>-1</v>
      </c>
      <c r="J258">
        <f t="shared" si="751"/>
        <v>-1</v>
      </c>
      <c r="K258">
        <f t="shared" si="751"/>
        <v>-1</v>
      </c>
      <c r="L258">
        <f t="shared" si="751"/>
        <v>-1</v>
      </c>
      <c r="M258">
        <f t="shared" si="751"/>
        <v>-1</v>
      </c>
      <c r="N258">
        <f t="shared" si="751"/>
        <v>-1</v>
      </c>
      <c r="O258">
        <f t="shared" si="751"/>
        <v>-1</v>
      </c>
      <c r="P258">
        <f t="shared" si="751"/>
        <v>-1</v>
      </c>
      <c r="Q258">
        <f t="shared" si="751"/>
        <v>-1</v>
      </c>
      <c r="R258">
        <f t="shared" si="751"/>
        <v>-1</v>
      </c>
      <c r="S258">
        <f t="shared" si="751"/>
        <v>-1</v>
      </c>
      <c r="T258">
        <f t="shared" si="751"/>
        <v>-1</v>
      </c>
      <c r="U258">
        <f t="shared" si="751"/>
        <v>-1</v>
      </c>
      <c r="V258">
        <f t="shared" si="751"/>
        <v>-1</v>
      </c>
      <c r="W258">
        <f t="shared" si="751"/>
        <v>-1</v>
      </c>
      <c r="X258">
        <f t="shared" si="751"/>
        <v>-1</v>
      </c>
      <c r="Y258">
        <f t="shared" si="751"/>
        <v>-1</v>
      </c>
      <c r="Z258">
        <f t="shared" si="751"/>
        <v>-1</v>
      </c>
      <c r="AA258">
        <f t="shared" si="751"/>
        <v>-1</v>
      </c>
      <c r="AB258">
        <f t="shared" si="751"/>
        <v>-1</v>
      </c>
      <c r="AC258">
        <f t="shared" si="751"/>
        <v>-1</v>
      </c>
      <c r="AD258">
        <f t="shared" si="751"/>
        <v>-1</v>
      </c>
      <c r="AE258">
        <f t="shared" si="751"/>
        <v>-1</v>
      </c>
      <c r="AF258">
        <f t="shared" si="751"/>
        <v>-1</v>
      </c>
      <c r="AG258">
        <f t="shared" si="751"/>
        <v>-1</v>
      </c>
      <c r="AH258">
        <f t="shared" si="751"/>
        <v>-1</v>
      </c>
      <c r="AI258">
        <f t="shared" si="751"/>
        <v>-1</v>
      </c>
      <c r="AJ258">
        <f t="shared" si="751"/>
        <v>-1</v>
      </c>
      <c r="AK258">
        <f t="shared" si="751"/>
        <v>-1</v>
      </c>
      <c r="AL258">
        <f t="shared" si="751"/>
        <v>-1</v>
      </c>
      <c r="AM258">
        <f t="shared" si="751"/>
        <v>-1</v>
      </c>
      <c r="AN258">
        <f t="shared" si="751"/>
        <v>-1</v>
      </c>
      <c r="AO258">
        <f t="shared" si="751"/>
        <v>-1</v>
      </c>
      <c r="AP258">
        <f t="shared" si="751"/>
        <v>-1</v>
      </c>
      <c r="AQ258">
        <f t="shared" si="751"/>
        <v>-1</v>
      </c>
      <c r="AR258">
        <f t="shared" si="751"/>
        <v>-1</v>
      </c>
      <c r="AS258">
        <f t="shared" si="751"/>
        <v>-1</v>
      </c>
      <c r="AT258">
        <f t="shared" si="751"/>
        <v>-1</v>
      </c>
      <c r="AU258">
        <f t="shared" si="751"/>
        <v>-1</v>
      </c>
      <c r="AV258">
        <f t="shared" si="751"/>
        <v>-1</v>
      </c>
      <c r="AW258">
        <f t="shared" si="751"/>
        <v>-1</v>
      </c>
      <c r="AX258">
        <f t="shared" si="751"/>
        <v>-1</v>
      </c>
      <c r="AY258">
        <f t="shared" si="751"/>
        <v>-1</v>
      </c>
      <c r="AZ258">
        <f t="shared" si="751"/>
        <v>-1</v>
      </c>
      <c r="BA258">
        <f t="shared" si="751"/>
        <v>-1</v>
      </c>
      <c r="BB258">
        <f t="shared" si="751"/>
        <v>-1</v>
      </c>
      <c r="BC258">
        <f t="shared" si="751"/>
        <v>-1</v>
      </c>
      <c r="BD258">
        <f t="shared" si="751"/>
        <v>-1</v>
      </c>
      <c r="BE258">
        <f t="shared" si="751"/>
        <v>-1</v>
      </c>
      <c r="BF258">
        <f t="shared" si="751"/>
        <v>-1</v>
      </c>
      <c r="BG258">
        <f t="shared" si="751"/>
        <v>-1</v>
      </c>
      <c r="BH258">
        <f t="shared" si="751"/>
        <v>-1</v>
      </c>
      <c r="BI258">
        <f t="shared" si="751"/>
        <v>-1</v>
      </c>
      <c r="BJ258">
        <f t="shared" si="751"/>
        <v>-1</v>
      </c>
      <c r="BK258">
        <f t="shared" si="751"/>
        <v>-1</v>
      </c>
      <c r="BL258">
        <f t="shared" si="751"/>
        <v>-1</v>
      </c>
      <c r="BM258">
        <f t="shared" si="751"/>
        <v>-1</v>
      </c>
      <c r="BN258">
        <f t="shared" si="751"/>
        <v>-1</v>
      </c>
      <c r="BO258">
        <f t="shared" si="751"/>
        <v>-1</v>
      </c>
      <c r="BP258">
        <f t="shared" ref="BP258:EA258" si="752">IF(OR(BP257=-1,AND(IF(BP$3&lt;$B258,BP257+BP$6,IF(BP$3=$B258,1,""))&gt;$B$1,BP$3&lt;$B258)),-1,IF(BP$3&lt;$B258,BP257+BP$6,IF(BP$3=$B258,1,"")))</f>
        <v>-1</v>
      </c>
      <c r="BQ258">
        <f t="shared" si="752"/>
        <v>-1</v>
      </c>
      <c r="BR258">
        <f t="shared" si="752"/>
        <v>-1</v>
      </c>
      <c r="BS258">
        <f t="shared" si="752"/>
        <v>-1</v>
      </c>
      <c r="BT258">
        <f t="shared" si="752"/>
        <v>-1</v>
      </c>
      <c r="BU258">
        <f t="shared" si="752"/>
        <v>-1</v>
      </c>
      <c r="BV258">
        <f t="shared" si="752"/>
        <v>-1</v>
      </c>
      <c r="BW258">
        <f t="shared" si="752"/>
        <v>-1</v>
      </c>
      <c r="BX258">
        <f t="shared" si="752"/>
        <v>-1</v>
      </c>
      <c r="BY258">
        <f t="shared" si="752"/>
        <v>-1</v>
      </c>
      <c r="BZ258">
        <f t="shared" si="752"/>
        <v>-1</v>
      </c>
      <c r="CA258">
        <f t="shared" si="752"/>
        <v>-1</v>
      </c>
      <c r="CB258">
        <f t="shared" si="752"/>
        <v>-1</v>
      </c>
      <c r="CC258">
        <f t="shared" si="752"/>
        <v>-1</v>
      </c>
      <c r="CD258">
        <f t="shared" si="752"/>
        <v>-1</v>
      </c>
      <c r="CE258">
        <f t="shared" si="752"/>
        <v>-1</v>
      </c>
      <c r="CF258">
        <f t="shared" si="752"/>
        <v>-1</v>
      </c>
      <c r="CG258">
        <f t="shared" si="752"/>
        <v>-1</v>
      </c>
      <c r="CH258">
        <f t="shared" si="752"/>
        <v>-1</v>
      </c>
      <c r="CI258">
        <f t="shared" si="752"/>
        <v>-1</v>
      </c>
      <c r="CJ258">
        <f t="shared" si="752"/>
        <v>-1</v>
      </c>
      <c r="CK258">
        <f t="shared" si="752"/>
        <v>-1</v>
      </c>
      <c r="CL258">
        <f t="shared" si="752"/>
        <v>-1</v>
      </c>
      <c r="CM258">
        <f t="shared" si="752"/>
        <v>-1</v>
      </c>
      <c r="CN258">
        <f t="shared" si="752"/>
        <v>-1</v>
      </c>
      <c r="CO258">
        <f t="shared" si="752"/>
        <v>-1</v>
      </c>
      <c r="CP258">
        <f t="shared" si="752"/>
        <v>-1</v>
      </c>
      <c r="CQ258">
        <f t="shared" si="752"/>
        <v>-1</v>
      </c>
      <c r="CR258">
        <f t="shared" si="752"/>
        <v>-1</v>
      </c>
      <c r="CS258">
        <f t="shared" si="752"/>
        <v>-1</v>
      </c>
      <c r="CT258">
        <f t="shared" si="752"/>
        <v>-1</v>
      </c>
      <c r="CU258">
        <f t="shared" si="752"/>
        <v>-1</v>
      </c>
      <c r="CV258">
        <f t="shared" si="752"/>
        <v>-1</v>
      </c>
      <c r="CW258">
        <f t="shared" si="752"/>
        <v>-1</v>
      </c>
      <c r="CX258">
        <f t="shared" si="752"/>
        <v>-1</v>
      </c>
      <c r="CY258">
        <f t="shared" si="752"/>
        <v>-1</v>
      </c>
      <c r="CZ258">
        <f t="shared" si="752"/>
        <v>-1</v>
      </c>
      <c r="DA258">
        <f t="shared" si="752"/>
        <v>-1</v>
      </c>
      <c r="DB258">
        <f t="shared" si="752"/>
        <v>-1</v>
      </c>
      <c r="DC258">
        <f t="shared" si="752"/>
        <v>-1</v>
      </c>
      <c r="DD258">
        <f t="shared" si="752"/>
        <v>-1</v>
      </c>
      <c r="DE258">
        <f t="shared" si="752"/>
        <v>-1</v>
      </c>
      <c r="DF258">
        <f t="shared" si="752"/>
        <v>-1</v>
      </c>
      <c r="DG258">
        <f t="shared" si="752"/>
        <v>-1</v>
      </c>
      <c r="DH258">
        <f t="shared" si="752"/>
        <v>-1</v>
      </c>
      <c r="DI258">
        <f t="shared" si="752"/>
        <v>-1</v>
      </c>
      <c r="DJ258">
        <f t="shared" si="752"/>
        <v>-1</v>
      </c>
      <c r="DK258">
        <f t="shared" si="752"/>
        <v>-1</v>
      </c>
      <c r="DL258">
        <f t="shared" si="752"/>
        <v>-1</v>
      </c>
      <c r="DM258">
        <f t="shared" si="752"/>
        <v>-1</v>
      </c>
      <c r="DN258">
        <f t="shared" si="752"/>
        <v>-1</v>
      </c>
      <c r="DO258">
        <f t="shared" si="752"/>
        <v>-1</v>
      </c>
      <c r="DP258">
        <f t="shared" si="752"/>
        <v>-1</v>
      </c>
      <c r="DQ258">
        <f t="shared" si="752"/>
        <v>-1</v>
      </c>
      <c r="DR258">
        <f t="shared" si="752"/>
        <v>-1</v>
      </c>
      <c r="DS258">
        <f t="shared" si="752"/>
        <v>-1</v>
      </c>
      <c r="DT258">
        <f t="shared" si="752"/>
        <v>-1</v>
      </c>
      <c r="DU258">
        <f t="shared" si="752"/>
        <v>-1</v>
      </c>
      <c r="DV258">
        <f t="shared" si="752"/>
        <v>-1</v>
      </c>
      <c r="DW258">
        <f t="shared" si="752"/>
        <v>-1</v>
      </c>
      <c r="DX258">
        <f t="shared" si="752"/>
        <v>-1</v>
      </c>
      <c r="DY258">
        <f t="shared" si="752"/>
        <v>-1</v>
      </c>
      <c r="DZ258">
        <f t="shared" si="752"/>
        <v>-1</v>
      </c>
      <c r="EA258">
        <f t="shared" si="752"/>
        <v>-1</v>
      </c>
      <c r="EB258">
        <f t="shared" ref="EB258:EO258" si="753">IF(OR(EB257=-1,AND(IF(EB$3&lt;$B258,EB257+EB$6,IF(EB$3=$B258,1,""))&gt;$B$1,EB$3&lt;$B258)),-1,IF(EB$3&lt;$B258,EB257+EB$6,IF(EB$3=$B258,1,"")))</f>
        <v>-1</v>
      </c>
      <c r="EC258">
        <f t="shared" si="753"/>
        <v>-1</v>
      </c>
      <c r="ED258">
        <f t="shared" si="753"/>
        <v>-1</v>
      </c>
      <c r="EE258">
        <f t="shared" si="753"/>
        <v>-1</v>
      </c>
      <c r="EF258">
        <f t="shared" si="753"/>
        <v>-1</v>
      </c>
      <c r="EG258">
        <f t="shared" si="753"/>
        <v>-1</v>
      </c>
      <c r="EH258">
        <f t="shared" si="753"/>
        <v>-1</v>
      </c>
      <c r="EI258">
        <f t="shared" si="753"/>
        <v>-1</v>
      </c>
      <c r="EJ258">
        <f t="shared" si="753"/>
        <v>-1</v>
      </c>
      <c r="EK258">
        <f t="shared" si="753"/>
        <v>-1</v>
      </c>
      <c r="EL258">
        <f t="shared" si="753"/>
        <v>-1</v>
      </c>
      <c r="EM258">
        <f t="shared" si="753"/>
        <v>-1</v>
      </c>
      <c r="EN258">
        <f t="shared" si="753"/>
        <v>-1</v>
      </c>
      <c r="EO258">
        <f t="shared" si="753"/>
        <v>-1</v>
      </c>
    </row>
    <row r="259" spans="1:145" x14ac:dyDescent="0.15">
      <c r="A259" t="e">
        <f t="shared" si="579"/>
        <v>#N/A</v>
      </c>
      <c r="B259" s="218">
        <v>251</v>
      </c>
      <c r="C259">
        <f t="shared" si="579"/>
        <v>-1</v>
      </c>
      <c r="D259">
        <f t="shared" ref="D259:BO259" si="754">IF(OR(D258=-1,AND(IF(D$3&lt;$B259,D258+D$6,IF(D$3=$B259,1,""))&gt;$B$1,D$3&lt;$B259)),-1,IF(D$3&lt;$B259,D258+D$6,IF(D$3=$B259,1,"")))</f>
        <v>-1</v>
      </c>
      <c r="E259">
        <f t="shared" si="754"/>
        <v>-1</v>
      </c>
      <c r="F259">
        <f t="shared" si="754"/>
        <v>-1</v>
      </c>
      <c r="G259">
        <f t="shared" si="754"/>
        <v>-1</v>
      </c>
      <c r="H259">
        <f t="shared" si="754"/>
        <v>-1</v>
      </c>
      <c r="I259">
        <f t="shared" si="754"/>
        <v>-1</v>
      </c>
      <c r="J259">
        <f t="shared" si="754"/>
        <v>-1</v>
      </c>
      <c r="K259">
        <f t="shared" si="754"/>
        <v>-1</v>
      </c>
      <c r="L259">
        <f t="shared" si="754"/>
        <v>-1</v>
      </c>
      <c r="M259">
        <f t="shared" si="754"/>
        <v>-1</v>
      </c>
      <c r="N259">
        <f t="shared" si="754"/>
        <v>-1</v>
      </c>
      <c r="O259">
        <f t="shared" si="754"/>
        <v>-1</v>
      </c>
      <c r="P259">
        <f t="shared" si="754"/>
        <v>-1</v>
      </c>
      <c r="Q259">
        <f t="shared" si="754"/>
        <v>-1</v>
      </c>
      <c r="R259">
        <f t="shared" si="754"/>
        <v>-1</v>
      </c>
      <c r="S259">
        <f t="shared" si="754"/>
        <v>-1</v>
      </c>
      <c r="T259">
        <f t="shared" si="754"/>
        <v>-1</v>
      </c>
      <c r="U259">
        <f t="shared" si="754"/>
        <v>-1</v>
      </c>
      <c r="V259">
        <f t="shared" si="754"/>
        <v>-1</v>
      </c>
      <c r="W259">
        <f t="shared" si="754"/>
        <v>-1</v>
      </c>
      <c r="X259">
        <f t="shared" si="754"/>
        <v>-1</v>
      </c>
      <c r="Y259">
        <f t="shared" si="754"/>
        <v>-1</v>
      </c>
      <c r="Z259">
        <f t="shared" si="754"/>
        <v>-1</v>
      </c>
      <c r="AA259">
        <f t="shared" si="754"/>
        <v>-1</v>
      </c>
      <c r="AB259">
        <f t="shared" si="754"/>
        <v>-1</v>
      </c>
      <c r="AC259">
        <f t="shared" si="754"/>
        <v>-1</v>
      </c>
      <c r="AD259">
        <f t="shared" si="754"/>
        <v>-1</v>
      </c>
      <c r="AE259">
        <f t="shared" si="754"/>
        <v>-1</v>
      </c>
      <c r="AF259">
        <f t="shared" si="754"/>
        <v>-1</v>
      </c>
      <c r="AG259">
        <f t="shared" si="754"/>
        <v>-1</v>
      </c>
      <c r="AH259">
        <f t="shared" si="754"/>
        <v>-1</v>
      </c>
      <c r="AI259">
        <f t="shared" si="754"/>
        <v>-1</v>
      </c>
      <c r="AJ259">
        <f t="shared" si="754"/>
        <v>-1</v>
      </c>
      <c r="AK259">
        <f t="shared" si="754"/>
        <v>-1</v>
      </c>
      <c r="AL259">
        <f t="shared" si="754"/>
        <v>-1</v>
      </c>
      <c r="AM259">
        <f t="shared" si="754"/>
        <v>-1</v>
      </c>
      <c r="AN259">
        <f t="shared" si="754"/>
        <v>-1</v>
      </c>
      <c r="AO259">
        <f t="shared" si="754"/>
        <v>-1</v>
      </c>
      <c r="AP259">
        <f t="shared" si="754"/>
        <v>-1</v>
      </c>
      <c r="AQ259">
        <f t="shared" si="754"/>
        <v>-1</v>
      </c>
      <c r="AR259">
        <f t="shared" si="754"/>
        <v>-1</v>
      </c>
      <c r="AS259">
        <f t="shared" si="754"/>
        <v>-1</v>
      </c>
      <c r="AT259">
        <f t="shared" si="754"/>
        <v>-1</v>
      </c>
      <c r="AU259">
        <f t="shared" si="754"/>
        <v>-1</v>
      </c>
      <c r="AV259">
        <f t="shared" si="754"/>
        <v>-1</v>
      </c>
      <c r="AW259">
        <f t="shared" si="754"/>
        <v>-1</v>
      </c>
      <c r="AX259">
        <f t="shared" si="754"/>
        <v>-1</v>
      </c>
      <c r="AY259">
        <f t="shared" si="754"/>
        <v>-1</v>
      </c>
      <c r="AZ259">
        <f t="shared" si="754"/>
        <v>-1</v>
      </c>
      <c r="BA259">
        <f t="shared" si="754"/>
        <v>-1</v>
      </c>
      <c r="BB259">
        <f t="shared" si="754"/>
        <v>-1</v>
      </c>
      <c r="BC259">
        <f t="shared" si="754"/>
        <v>-1</v>
      </c>
      <c r="BD259">
        <f t="shared" si="754"/>
        <v>-1</v>
      </c>
      <c r="BE259">
        <f t="shared" si="754"/>
        <v>-1</v>
      </c>
      <c r="BF259">
        <f t="shared" si="754"/>
        <v>-1</v>
      </c>
      <c r="BG259">
        <f t="shared" si="754"/>
        <v>-1</v>
      </c>
      <c r="BH259">
        <f t="shared" si="754"/>
        <v>-1</v>
      </c>
      <c r="BI259">
        <f t="shared" si="754"/>
        <v>-1</v>
      </c>
      <c r="BJ259">
        <f t="shared" si="754"/>
        <v>-1</v>
      </c>
      <c r="BK259">
        <f t="shared" si="754"/>
        <v>-1</v>
      </c>
      <c r="BL259">
        <f t="shared" si="754"/>
        <v>-1</v>
      </c>
      <c r="BM259">
        <f t="shared" si="754"/>
        <v>-1</v>
      </c>
      <c r="BN259">
        <f t="shared" si="754"/>
        <v>-1</v>
      </c>
      <c r="BO259">
        <f t="shared" si="754"/>
        <v>-1</v>
      </c>
      <c r="BP259">
        <f t="shared" ref="BP259:EA259" si="755">IF(OR(BP258=-1,AND(IF(BP$3&lt;$B259,BP258+BP$6,IF(BP$3=$B259,1,""))&gt;$B$1,BP$3&lt;$B259)),-1,IF(BP$3&lt;$B259,BP258+BP$6,IF(BP$3=$B259,1,"")))</f>
        <v>-1</v>
      </c>
      <c r="BQ259">
        <f t="shared" si="755"/>
        <v>-1</v>
      </c>
      <c r="BR259">
        <f t="shared" si="755"/>
        <v>-1</v>
      </c>
      <c r="BS259">
        <f t="shared" si="755"/>
        <v>-1</v>
      </c>
      <c r="BT259">
        <f t="shared" si="755"/>
        <v>-1</v>
      </c>
      <c r="BU259">
        <f t="shared" si="755"/>
        <v>-1</v>
      </c>
      <c r="BV259">
        <f t="shared" si="755"/>
        <v>-1</v>
      </c>
      <c r="BW259">
        <f t="shared" si="755"/>
        <v>-1</v>
      </c>
      <c r="BX259">
        <f t="shared" si="755"/>
        <v>-1</v>
      </c>
      <c r="BY259">
        <f t="shared" si="755"/>
        <v>-1</v>
      </c>
      <c r="BZ259">
        <f t="shared" si="755"/>
        <v>-1</v>
      </c>
      <c r="CA259">
        <f t="shared" si="755"/>
        <v>-1</v>
      </c>
      <c r="CB259">
        <f t="shared" si="755"/>
        <v>-1</v>
      </c>
      <c r="CC259">
        <f t="shared" si="755"/>
        <v>-1</v>
      </c>
      <c r="CD259">
        <f t="shared" si="755"/>
        <v>-1</v>
      </c>
      <c r="CE259">
        <f t="shared" si="755"/>
        <v>-1</v>
      </c>
      <c r="CF259">
        <f t="shared" si="755"/>
        <v>-1</v>
      </c>
      <c r="CG259">
        <f t="shared" si="755"/>
        <v>-1</v>
      </c>
      <c r="CH259">
        <f t="shared" si="755"/>
        <v>-1</v>
      </c>
      <c r="CI259">
        <f t="shared" si="755"/>
        <v>-1</v>
      </c>
      <c r="CJ259">
        <f t="shared" si="755"/>
        <v>-1</v>
      </c>
      <c r="CK259">
        <f t="shared" si="755"/>
        <v>-1</v>
      </c>
      <c r="CL259">
        <f t="shared" si="755"/>
        <v>-1</v>
      </c>
      <c r="CM259">
        <f t="shared" si="755"/>
        <v>-1</v>
      </c>
      <c r="CN259">
        <f t="shared" si="755"/>
        <v>-1</v>
      </c>
      <c r="CO259">
        <f t="shared" si="755"/>
        <v>-1</v>
      </c>
      <c r="CP259">
        <f t="shared" si="755"/>
        <v>-1</v>
      </c>
      <c r="CQ259">
        <f t="shared" si="755"/>
        <v>-1</v>
      </c>
      <c r="CR259">
        <f t="shared" si="755"/>
        <v>-1</v>
      </c>
      <c r="CS259">
        <f t="shared" si="755"/>
        <v>-1</v>
      </c>
      <c r="CT259">
        <f t="shared" si="755"/>
        <v>-1</v>
      </c>
      <c r="CU259">
        <f t="shared" si="755"/>
        <v>-1</v>
      </c>
      <c r="CV259">
        <f t="shared" si="755"/>
        <v>-1</v>
      </c>
      <c r="CW259">
        <f t="shared" si="755"/>
        <v>-1</v>
      </c>
      <c r="CX259">
        <f t="shared" si="755"/>
        <v>-1</v>
      </c>
      <c r="CY259">
        <f t="shared" si="755"/>
        <v>-1</v>
      </c>
      <c r="CZ259">
        <f t="shared" si="755"/>
        <v>-1</v>
      </c>
      <c r="DA259">
        <f t="shared" si="755"/>
        <v>-1</v>
      </c>
      <c r="DB259">
        <f t="shared" si="755"/>
        <v>-1</v>
      </c>
      <c r="DC259">
        <f t="shared" si="755"/>
        <v>-1</v>
      </c>
      <c r="DD259">
        <f t="shared" si="755"/>
        <v>-1</v>
      </c>
      <c r="DE259">
        <f t="shared" si="755"/>
        <v>-1</v>
      </c>
      <c r="DF259">
        <f t="shared" si="755"/>
        <v>-1</v>
      </c>
      <c r="DG259">
        <f t="shared" si="755"/>
        <v>-1</v>
      </c>
      <c r="DH259">
        <f t="shared" si="755"/>
        <v>-1</v>
      </c>
      <c r="DI259">
        <f t="shared" si="755"/>
        <v>-1</v>
      </c>
      <c r="DJ259">
        <f t="shared" si="755"/>
        <v>-1</v>
      </c>
      <c r="DK259">
        <f t="shared" si="755"/>
        <v>-1</v>
      </c>
      <c r="DL259">
        <f t="shared" si="755"/>
        <v>-1</v>
      </c>
      <c r="DM259">
        <f t="shared" si="755"/>
        <v>-1</v>
      </c>
      <c r="DN259">
        <f t="shared" si="755"/>
        <v>-1</v>
      </c>
      <c r="DO259">
        <f t="shared" si="755"/>
        <v>-1</v>
      </c>
      <c r="DP259">
        <f t="shared" si="755"/>
        <v>-1</v>
      </c>
      <c r="DQ259">
        <f t="shared" si="755"/>
        <v>-1</v>
      </c>
      <c r="DR259">
        <f t="shared" si="755"/>
        <v>-1</v>
      </c>
      <c r="DS259">
        <f t="shared" si="755"/>
        <v>-1</v>
      </c>
      <c r="DT259">
        <f t="shared" si="755"/>
        <v>-1</v>
      </c>
      <c r="DU259">
        <f t="shared" si="755"/>
        <v>-1</v>
      </c>
      <c r="DV259">
        <f t="shared" si="755"/>
        <v>-1</v>
      </c>
      <c r="DW259">
        <f t="shared" si="755"/>
        <v>-1</v>
      </c>
      <c r="DX259">
        <f t="shared" si="755"/>
        <v>-1</v>
      </c>
      <c r="DY259">
        <f t="shared" si="755"/>
        <v>-1</v>
      </c>
      <c r="DZ259">
        <f t="shared" si="755"/>
        <v>-1</v>
      </c>
      <c r="EA259">
        <f t="shared" si="755"/>
        <v>-1</v>
      </c>
      <c r="EB259">
        <f t="shared" ref="EB259:EO259" si="756">IF(OR(EB258=-1,AND(IF(EB$3&lt;$B259,EB258+EB$6,IF(EB$3=$B259,1,""))&gt;$B$1,EB$3&lt;$B259)),-1,IF(EB$3&lt;$B259,EB258+EB$6,IF(EB$3=$B259,1,"")))</f>
        <v>-1</v>
      </c>
      <c r="EC259">
        <f t="shared" si="756"/>
        <v>-1</v>
      </c>
      <c r="ED259">
        <f t="shared" si="756"/>
        <v>-1</v>
      </c>
      <c r="EE259">
        <f t="shared" si="756"/>
        <v>-1</v>
      </c>
      <c r="EF259">
        <f t="shared" si="756"/>
        <v>-1</v>
      </c>
      <c r="EG259">
        <f t="shared" si="756"/>
        <v>-1</v>
      </c>
      <c r="EH259">
        <f t="shared" si="756"/>
        <v>-1</v>
      </c>
      <c r="EI259">
        <f t="shared" si="756"/>
        <v>-1</v>
      </c>
      <c r="EJ259">
        <f t="shared" si="756"/>
        <v>-1</v>
      </c>
      <c r="EK259">
        <f t="shared" si="756"/>
        <v>-1</v>
      </c>
      <c r="EL259">
        <f t="shared" si="756"/>
        <v>-1</v>
      </c>
      <c r="EM259">
        <f t="shared" si="756"/>
        <v>-1</v>
      </c>
      <c r="EN259">
        <f t="shared" si="756"/>
        <v>-1</v>
      </c>
      <c r="EO259">
        <f t="shared" si="756"/>
        <v>-1</v>
      </c>
    </row>
    <row r="260" spans="1:145" x14ac:dyDescent="0.15">
      <c r="A260" t="e">
        <f t="shared" si="579"/>
        <v>#N/A</v>
      </c>
      <c r="B260" s="218">
        <v>252</v>
      </c>
      <c r="C260">
        <f t="shared" si="579"/>
        <v>-1</v>
      </c>
      <c r="D260">
        <f t="shared" ref="D260:BO260" si="757">IF(OR(D259=-1,AND(IF(D$3&lt;$B260,D259+D$6,IF(D$3=$B260,1,""))&gt;$B$1,D$3&lt;$B260)),-1,IF(D$3&lt;$B260,D259+D$6,IF(D$3=$B260,1,"")))</f>
        <v>-1</v>
      </c>
      <c r="E260">
        <f t="shared" si="757"/>
        <v>-1</v>
      </c>
      <c r="F260">
        <f t="shared" si="757"/>
        <v>-1</v>
      </c>
      <c r="G260">
        <f t="shared" si="757"/>
        <v>-1</v>
      </c>
      <c r="H260">
        <f t="shared" si="757"/>
        <v>-1</v>
      </c>
      <c r="I260">
        <f t="shared" si="757"/>
        <v>-1</v>
      </c>
      <c r="J260">
        <f t="shared" si="757"/>
        <v>-1</v>
      </c>
      <c r="K260">
        <f t="shared" si="757"/>
        <v>-1</v>
      </c>
      <c r="L260">
        <f t="shared" si="757"/>
        <v>-1</v>
      </c>
      <c r="M260">
        <f t="shared" si="757"/>
        <v>-1</v>
      </c>
      <c r="N260">
        <f t="shared" si="757"/>
        <v>-1</v>
      </c>
      <c r="O260">
        <f t="shared" si="757"/>
        <v>-1</v>
      </c>
      <c r="P260">
        <f t="shared" si="757"/>
        <v>-1</v>
      </c>
      <c r="Q260">
        <f t="shared" si="757"/>
        <v>-1</v>
      </c>
      <c r="R260">
        <f t="shared" si="757"/>
        <v>-1</v>
      </c>
      <c r="S260">
        <f t="shared" si="757"/>
        <v>-1</v>
      </c>
      <c r="T260">
        <f t="shared" si="757"/>
        <v>-1</v>
      </c>
      <c r="U260">
        <f t="shared" si="757"/>
        <v>-1</v>
      </c>
      <c r="V260">
        <f t="shared" si="757"/>
        <v>-1</v>
      </c>
      <c r="W260">
        <f t="shared" si="757"/>
        <v>-1</v>
      </c>
      <c r="X260">
        <f t="shared" si="757"/>
        <v>-1</v>
      </c>
      <c r="Y260">
        <f t="shared" si="757"/>
        <v>-1</v>
      </c>
      <c r="Z260">
        <f t="shared" si="757"/>
        <v>-1</v>
      </c>
      <c r="AA260">
        <f t="shared" si="757"/>
        <v>-1</v>
      </c>
      <c r="AB260">
        <f t="shared" si="757"/>
        <v>-1</v>
      </c>
      <c r="AC260">
        <f t="shared" si="757"/>
        <v>-1</v>
      </c>
      <c r="AD260">
        <f t="shared" si="757"/>
        <v>-1</v>
      </c>
      <c r="AE260">
        <f t="shared" si="757"/>
        <v>-1</v>
      </c>
      <c r="AF260">
        <f t="shared" si="757"/>
        <v>-1</v>
      </c>
      <c r="AG260">
        <f t="shared" si="757"/>
        <v>-1</v>
      </c>
      <c r="AH260">
        <f t="shared" si="757"/>
        <v>-1</v>
      </c>
      <c r="AI260">
        <f t="shared" si="757"/>
        <v>-1</v>
      </c>
      <c r="AJ260">
        <f t="shared" si="757"/>
        <v>-1</v>
      </c>
      <c r="AK260">
        <f t="shared" si="757"/>
        <v>-1</v>
      </c>
      <c r="AL260">
        <f t="shared" si="757"/>
        <v>-1</v>
      </c>
      <c r="AM260">
        <f t="shared" si="757"/>
        <v>-1</v>
      </c>
      <c r="AN260">
        <f t="shared" si="757"/>
        <v>-1</v>
      </c>
      <c r="AO260">
        <f t="shared" si="757"/>
        <v>-1</v>
      </c>
      <c r="AP260">
        <f t="shared" si="757"/>
        <v>-1</v>
      </c>
      <c r="AQ260">
        <f t="shared" si="757"/>
        <v>-1</v>
      </c>
      <c r="AR260">
        <f t="shared" si="757"/>
        <v>-1</v>
      </c>
      <c r="AS260">
        <f t="shared" si="757"/>
        <v>-1</v>
      </c>
      <c r="AT260">
        <f t="shared" si="757"/>
        <v>-1</v>
      </c>
      <c r="AU260">
        <f t="shared" si="757"/>
        <v>-1</v>
      </c>
      <c r="AV260">
        <f t="shared" si="757"/>
        <v>-1</v>
      </c>
      <c r="AW260">
        <f t="shared" si="757"/>
        <v>-1</v>
      </c>
      <c r="AX260">
        <f t="shared" si="757"/>
        <v>-1</v>
      </c>
      <c r="AY260">
        <f t="shared" si="757"/>
        <v>-1</v>
      </c>
      <c r="AZ260">
        <f t="shared" si="757"/>
        <v>-1</v>
      </c>
      <c r="BA260">
        <f t="shared" si="757"/>
        <v>-1</v>
      </c>
      <c r="BB260">
        <f t="shared" si="757"/>
        <v>-1</v>
      </c>
      <c r="BC260">
        <f t="shared" si="757"/>
        <v>-1</v>
      </c>
      <c r="BD260">
        <f t="shared" si="757"/>
        <v>-1</v>
      </c>
      <c r="BE260">
        <f t="shared" si="757"/>
        <v>-1</v>
      </c>
      <c r="BF260">
        <f t="shared" si="757"/>
        <v>-1</v>
      </c>
      <c r="BG260">
        <f t="shared" si="757"/>
        <v>-1</v>
      </c>
      <c r="BH260">
        <f t="shared" si="757"/>
        <v>-1</v>
      </c>
      <c r="BI260">
        <f t="shared" si="757"/>
        <v>-1</v>
      </c>
      <c r="BJ260">
        <f t="shared" si="757"/>
        <v>-1</v>
      </c>
      <c r="BK260">
        <f t="shared" si="757"/>
        <v>-1</v>
      </c>
      <c r="BL260">
        <f t="shared" si="757"/>
        <v>-1</v>
      </c>
      <c r="BM260">
        <f t="shared" si="757"/>
        <v>-1</v>
      </c>
      <c r="BN260">
        <f t="shared" si="757"/>
        <v>-1</v>
      </c>
      <c r="BO260">
        <f t="shared" si="757"/>
        <v>-1</v>
      </c>
      <c r="BP260">
        <f t="shared" ref="BP260:EA260" si="758">IF(OR(BP259=-1,AND(IF(BP$3&lt;$B260,BP259+BP$6,IF(BP$3=$B260,1,""))&gt;$B$1,BP$3&lt;$B260)),-1,IF(BP$3&lt;$B260,BP259+BP$6,IF(BP$3=$B260,1,"")))</f>
        <v>-1</v>
      </c>
      <c r="BQ260">
        <f t="shared" si="758"/>
        <v>-1</v>
      </c>
      <c r="BR260">
        <f t="shared" si="758"/>
        <v>-1</v>
      </c>
      <c r="BS260">
        <f t="shared" si="758"/>
        <v>-1</v>
      </c>
      <c r="BT260">
        <f t="shared" si="758"/>
        <v>-1</v>
      </c>
      <c r="BU260">
        <f t="shared" si="758"/>
        <v>-1</v>
      </c>
      <c r="BV260">
        <f t="shared" si="758"/>
        <v>-1</v>
      </c>
      <c r="BW260">
        <f t="shared" si="758"/>
        <v>-1</v>
      </c>
      <c r="BX260">
        <f t="shared" si="758"/>
        <v>-1</v>
      </c>
      <c r="BY260">
        <f t="shared" si="758"/>
        <v>-1</v>
      </c>
      <c r="BZ260">
        <f t="shared" si="758"/>
        <v>-1</v>
      </c>
      <c r="CA260">
        <f t="shared" si="758"/>
        <v>-1</v>
      </c>
      <c r="CB260">
        <f t="shared" si="758"/>
        <v>-1</v>
      </c>
      <c r="CC260">
        <f t="shared" si="758"/>
        <v>-1</v>
      </c>
      <c r="CD260">
        <f t="shared" si="758"/>
        <v>-1</v>
      </c>
      <c r="CE260">
        <f t="shared" si="758"/>
        <v>-1</v>
      </c>
      <c r="CF260">
        <f t="shared" si="758"/>
        <v>-1</v>
      </c>
      <c r="CG260">
        <f t="shared" si="758"/>
        <v>-1</v>
      </c>
      <c r="CH260">
        <f t="shared" si="758"/>
        <v>-1</v>
      </c>
      <c r="CI260">
        <f t="shared" si="758"/>
        <v>-1</v>
      </c>
      <c r="CJ260">
        <f t="shared" si="758"/>
        <v>-1</v>
      </c>
      <c r="CK260">
        <f t="shared" si="758"/>
        <v>-1</v>
      </c>
      <c r="CL260">
        <f t="shared" si="758"/>
        <v>-1</v>
      </c>
      <c r="CM260">
        <f t="shared" si="758"/>
        <v>-1</v>
      </c>
      <c r="CN260">
        <f t="shared" si="758"/>
        <v>-1</v>
      </c>
      <c r="CO260">
        <f t="shared" si="758"/>
        <v>-1</v>
      </c>
      <c r="CP260">
        <f t="shared" si="758"/>
        <v>-1</v>
      </c>
      <c r="CQ260">
        <f t="shared" si="758"/>
        <v>-1</v>
      </c>
      <c r="CR260">
        <f t="shared" si="758"/>
        <v>-1</v>
      </c>
      <c r="CS260">
        <f t="shared" si="758"/>
        <v>-1</v>
      </c>
      <c r="CT260">
        <f t="shared" si="758"/>
        <v>-1</v>
      </c>
      <c r="CU260">
        <f t="shared" si="758"/>
        <v>-1</v>
      </c>
      <c r="CV260">
        <f t="shared" si="758"/>
        <v>-1</v>
      </c>
      <c r="CW260">
        <f t="shared" si="758"/>
        <v>-1</v>
      </c>
      <c r="CX260">
        <f t="shared" si="758"/>
        <v>-1</v>
      </c>
      <c r="CY260">
        <f t="shared" si="758"/>
        <v>-1</v>
      </c>
      <c r="CZ260">
        <f t="shared" si="758"/>
        <v>-1</v>
      </c>
      <c r="DA260">
        <f t="shared" si="758"/>
        <v>-1</v>
      </c>
      <c r="DB260">
        <f t="shared" si="758"/>
        <v>-1</v>
      </c>
      <c r="DC260">
        <f t="shared" si="758"/>
        <v>-1</v>
      </c>
      <c r="DD260">
        <f t="shared" si="758"/>
        <v>-1</v>
      </c>
      <c r="DE260">
        <f t="shared" si="758"/>
        <v>-1</v>
      </c>
      <c r="DF260">
        <f t="shared" si="758"/>
        <v>-1</v>
      </c>
      <c r="DG260">
        <f t="shared" si="758"/>
        <v>-1</v>
      </c>
      <c r="DH260">
        <f t="shared" si="758"/>
        <v>-1</v>
      </c>
      <c r="DI260">
        <f t="shared" si="758"/>
        <v>-1</v>
      </c>
      <c r="DJ260">
        <f t="shared" si="758"/>
        <v>-1</v>
      </c>
      <c r="DK260">
        <f t="shared" si="758"/>
        <v>-1</v>
      </c>
      <c r="DL260">
        <f t="shared" si="758"/>
        <v>-1</v>
      </c>
      <c r="DM260">
        <f t="shared" si="758"/>
        <v>-1</v>
      </c>
      <c r="DN260">
        <f t="shared" si="758"/>
        <v>-1</v>
      </c>
      <c r="DO260">
        <f t="shared" si="758"/>
        <v>-1</v>
      </c>
      <c r="DP260">
        <f t="shared" si="758"/>
        <v>-1</v>
      </c>
      <c r="DQ260">
        <f t="shared" si="758"/>
        <v>-1</v>
      </c>
      <c r="DR260">
        <f t="shared" si="758"/>
        <v>-1</v>
      </c>
      <c r="DS260">
        <f t="shared" si="758"/>
        <v>-1</v>
      </c>
      <c r="DT260">
        <f t="shared" si="758"/>
        <v>-1</v>
      </c>
      <c r="DU260">
        <f t="shared" si="758"/>
        <v>-1</v>
      </c>
      <c r="DV260">
        <f t="shared" si="758"/>
        <v>-1</v>
      </c>
      <c r="DW260">
        <f t="shared" si="758"/>
        <v>-1</v>
      </c>
      <c r="DX260">
        <f t="shared" si="758"/>
        <v>-1</v>
      </c>
      <c r="DY260">
        <f t="shared" si="758"/>
        <v>-1</v>
      </c>
      <c r="DZ260">
        <f t="shared" si="758"/>
        <v>-1</v>
      </c>
      <c r="EA260">
        <f t="shared" si="758"/>
        <v>-1</v>
      </c>
      <c r="EB260">
        <f t="shared" ref="EB260:EO260" si="759">IF(OR(EB259=-1,AND(IF(EB$3&lt;$B260,EB259+EB$6,IF(EB$3=$B260,1,""))&gt;$B$1,EB$3&lt;$B260)),-1,IF(EB$3&lt;$B260,EB259+EB$6,IF(EB$3=$B260,1,"")))</f>
        <v>-1</v>
      </c>
      <c r="EC260">
        <f t="shared" si="759"/>
        <v>-1</v>
      </c>
      <c r="ED260">
        <f t="shared" si="759"/>
        <v>-1</v>
      </c>
      <c r="EE260">
        <f t="shared" si="759"/>
        <v>-1</v>
      </c>
      <c r="EF260">
        <f t="shared" si="759"/>
        <v>-1</v>
      </c>
      <c r="EG260">
        <f t="shared" si="759"/>
        <v>-1</v>
      </c>
      <c r="EH260">
        <f t="shared" si="759"/>
        <v>-1</v>
      </c>
      <c r="EI260">
        <f t="shared" si="759"/>
        <v>-1</v>
      </c>
      <c r="EJ260">
        <f t="shared" si="759"/>
        <v>-1</v>
      </c>
      <c r="EK260">
        <f t="shared" si="759"/>
        <v>-1</v>
      </c>
      <c r="EL260">
        <f t="shared" si="759"/>
        <v>-1</v>
      </c>
      <c r="EM260">
        <f t="shared" si="759"/>
        <v>-1</v>
      </c>
      <c r="EN260">
        <f t="shared" si="759"/>
        <v>-1</v>
      </c>
      <c r="EO260">
        <f t="shared" si="759"/>
        <v>-1</v>
      </c>
    </row>
    <row r="261" spans="1:145" x14ac:dyDescent="0.15">
      <c r="A261" t="e">
        <f t="shared" si="579"/>
        <v>#N/A</v>
      </c>
      <c r="B261" s="218">
        <v>253</v>
      </c>
      <c r="C261">
        <f t="shared" si="579"/>
        <v>-1</v>
      </c>
      <c r="D261">
        <f t="shared" ref="D261:BO261" si="760">IF(OR(D260=-1,AND(IF(D$3&lt;$B261,D260+D$6,IF(D$3=$B261,1,""))&gt;$B$1,D$3&lt;$B261)),-1,IF(D$3&lt;$B261,D260+D$6,IF(D$3=$B261,1,"")))</f>
        <v>-1</v>
      </c>
      <c r="E261">
        <f t="shared" si="760"/>
        <v>-1</v>
      </c>
      <c r="F261">
        <f t="shared" si="760"/>
        <v>-1</v>
      </c>
      <c r="G261">
        <f t="shared" si="760"/>
        <v>-1</v>
      </c>
      <c r="H261">
        <f t="shared" si="760"/>
        <v>-1</v>
      </c>
      <c r="I261">
        <f t="shared" si="760"/>
        <v>-1</v>
      </c>
      <c r="J261">
        <f t="shared" si="760"/>
        <v>-1</v>
      </c>
      <c r="K261">
        <f t="shared" si="760"/>
        <v>-1</v>
      </c>
      <c r="L261">
        <f t="shared" si="760"/>
        <v>-1</v>
      </c>
      <c r="M261">
        <f t="shared" si="760"/>
        <v>-1</v>
      </c>
      <c r="N261">
        <f t="shared" si="760"/>
        <v>-1</v>
      </c>
      <c r="O261">
        <f t="shared" si="760"/>
        <v>-1</v>
      </c>
      <c r="P261">
        <f t="shared" si="760"/>
        <v>-1</v>
      </c>
      <c r="Q261">
        <f t="shared" si="760"/>
        <v>-1</v>
      </c>
      <c r="R261">
        <f t="shared" si="760"/>
        <v>-1</v>
      </c>
      <c r="S261">
        <f t="shared" si="760"/>
        <v>-1</v>
      </c>
      <c r="T261">
        <f t="shared" si="760"/>
        <v>-1</v>
      </c>
      <c r="U261">
        <f t="shared" si="760"/>
        <v>-1</v>
      </c>
      <c r="V261">
        <f t="shared" si="760"/>
        <v>-1</v>
      </c>
      <c r="W261">
        <f t="shared" si="760"/>
        <v>-1</v>
      </c>
      <c r="X261">
        <f t="shared" si="760"/>
        <v>-1</v>
      </c>
      <c r="Y261">
        <f t="shared" si="760"/>
        <v>-1</v>
      </c>
      <c r="Z261">
        <f t="shared" si="760"/>
        <v>-1</v>
      </c>
      <c r="AA261">
        <f t="shared" si="760"/>
        <v>-1</v>
      </c>
      <c r="AB261">
        <f t="shared" si="760"/>
        <v>-1</v>
      </c>
      <c r="AC261">
        <f t="shared" si="760"/>
        <v>-1</v>
      </c>
      <c r="AD261">
        <f t="shared" si="760"/>
        <v>-1</v>
      </c>
      <c r="AE261">
        <f t="shared" si="760"/>
        <v>-1</v>
      </c>
      <c r="AF261">
        <f t="shared" si="760"/>
        <v>-1</v>
      </c>
      <c r="AG261">
        <f t="shared" si="760"/>
        <v>-1</v>
      </c>
      <c r="AH261">
        <f t="shared" si="760"/>
        <v>-1</v>
      </c>
      <c r="AI261">
        <f t="shared" si="760"/>
        <v>-1</v>
      </c>
      <c r="AJ261">
        <f t="shared" si="760"/>
        <v>-1</v>
      </c>
      <c r="AK261">
        <f t="shared" si="760"/>
        <v>-1</v>
      </c>
      <c r="AL261">
        <f t="shared" si="760"/>
        <v>-1</v>
      </c>
      <c r="AM261">
        <f t="shared" si="760"/>
        <v>-1</v>
      </c>
      <c r="AN261">
        <f t="shared" si="760"/>
        <v>-1</v>
      </c>
      <c r="AO261">
        <f t="shared" si="760"/>
        <v>-1</v>
      </c>
      <c r="AP261">
        <f t="shared" si="760"/>
        <v>-1</v>
      </c>
      <c r="AQ261">
        <f t="shared" si="760"/>
        <v>-1</v>
      </c>
      <c r="AR261">
        <f t="shared" si="760"/>
        <v>-1</v>
      </c>
      <c r="AS261">
        <f t="shared" si="760"/>
        <v>-1</v>
      </c>
      <c r="AT261">
        <f t="shared" si="760"/>
        <v>-1</v>
      </c>
      <c r="AU261">
        <f t="shared" si="760"/>
        <v>-1</v>
      </c>
      <c r="AV261">
        <f t="shared" si="760"/>
        <v>-1</v>
      </c>
      <c r="AW261">
        <f t="shared" si="760"/>
        <v>-1</v>
      </c>
      <c r="AX261">
        <f t="shared" si="760"/>
        <v>-1</v>
      </c>
      <c r="AY261">
        <f t="shared" si="760"/>
        <v>-1</v>
      </c>
      <c r="AZ261">
        <f t="shared" si="760"/>
        <v>-1</v>
      </c>
      <c r="BA261">
        <f t="shared" si="760"/>
        <v>-1</v>
      </c>
      <c r="BB261">
        <f t="shared" si="760"/>
        <v>-1</v>
      </c>
      <c r="BC261">
        <f t="shared" si="760"/>
        <v>-1</v>
      </c>
      <c r="BD261">
        <f t="shared" si="760"/>
        <v>-1</v>
      </c>
      <c r="BE261">
        <f t="shared" si="760"/>
        <v>-1</v>
      </c>
      <c r="BF261">
        <f t="shared" si="760"/>
        <v>-1</v>
      </c>
      <c r="BG261">
        <f t="shared" si="760"/>
        <v>-1</v>
      </c>
      <c r="BH261">
        <f t="shared" si="760"/>
        <v>-1</v>
      </c>
      <c r="BI261">
        <f t="shared" si="760"/>
        <v>-1</v>
      </c>
      <c r="BJ261">
        <f t="shared" si="760"/>
        <v>-1</v>
      </c>
      <c r="BK261">
        <f t="shared" si="760"/>
        <v>-1</v>
      </c>
      <c r="BL261">
        <f t="shared" si="760"/>
        <v>-1</v>
      </c>
      <c r="BM261">
        <f t="shared" si="760"/>
        <v>-1</v>
      </c>
      <c r="BN261">
        <f t="shared" si="760"/>
        <v>-1</v>
      </c>
      <c r="BO261">
        <f t="shared" si="760"/>
        <v>-1</v>
      </c>
      <c r="BP261">
        <f t="shared" ref="BP261:EA261" si="761">IF(OR(BP260=-1,AND(IF(BP$3&lt;$B261,BP260+BP$6,IF(BP$3=$B261,1,""))&gt;$B$1,BP$3&lt;$B261)),-1,IF(BP$3&lt;$B261,BP260+BP$6,IF(BP$3=$B261,1,"")))</f>
        <v>-1</v>
      </c>
      <c r="BQ261">
        <f t="shared" si="761"/>
        <v>-1</v>
      </c>
      <c r="BR261">
        <f t="shared" si="761"/>
        <v>-1</v>
      </c>
      <c r="BS261">
        <f t="shared" si="761"/>
        <v>-1</v>
      </c>
      <c r="BT261">
        <f t="shared" si="761"/>
        <v>-1</v>
      </c>
      <c r="BU261">
        <f t="shared" si="761"/>
        <v>-1</v>
      </c>
      <c r="BV261">
        <f t="shared" si="761"/>
        <v>-1</v>
      </c>
      <c r="BW261">
        <f t="shared" si="761"/>
        <v>-1</v>
      </c>
      <c r="BX261">
        <f t="shared" si="761"/>
        <v>-1</v>
      </c>
      <c r="BY261">
        <f t="shared" si="761"/>
        <v>-1</v>
      </c>
      <c r="BZ261">
        <f t="shared" si="761"/>
        <v>-1</v>
      </c>
      <c r="CA261">
        <f t="shared" si="761"/>
        <v>-1</v>
      </c>
      <c r="CB261">
        <f t="shared" si="761"/>
        <v>-1</v>
      </c>
      <c r="CC261">
        <f t="shared" si="761"/>
        <v>-1</v>
      </c>
      <c r="CD261">
        <f t="shared" si="761"/>
        <v>-1</v>
      </c>
      <c r="CE261">
        <f t="shared" si="761"/>
        <v>-1</v>
      </c>
      <c r="CF261">
        <f t="shared" si="761"/>
        <v>-1</v>
      </c>
      <c r="CG261">
        <f t="shared" si="761"/>
        <v>-1</v>
      </c>
      <c r="CH261">
        <f t="shared" si="761"/>
        <v>-1</v>
      </c>
      <c r="CI261">
        <f t="shared" si="761"/>
        <v>-1</v>
      </c>
      <c r="CJ261">
        <f t="shared" si="761"/>
        <v>-1</v>
      </c>
      <c r="CK261">
        <f t="shared" si="761"/>
        <v>-1</v>
      </c>
      <c r="CL261">
        <f t="shared" si="761"/>
        <v>-1</v>
      </c>
      <c r="CM261">
        <f t="shared" si="761"/>
        <v>-1</v>
      </c>
      <c r="CN261">
        <f t="shared" si="761"/>
        <v>-1</v>
      </c>
      <c r="CO261">
        <f t="shared" si="761"/>
        <v>-1</v>
      </c>
      <c r="CP261">
        <f t="shared" si="761"/>
        <v>-1</v>
      </c>
      <c r="CQ261">
        <f t="shared" si="761"/>
        <v>-1</v>
      </c>
      <c r="CR261">
        <f t="shared" si="761"/>
        <v>-1</v>
      </c>
      <c r="CS261">
        <f t="shared" si="761"/>
        <v>-1</v>
      </c>
      <c r="CT261">
        <f t="shared" si="761"/>
        <v>-1</v>
      </c>
      <c r="CU261">
        <f t="shared" si="761"/>
        <v>-1</v>
      </c>
      <c r="CV261">
        <f t="shared" si="761"/>
        <v>-1</v>
      </c>
      <c r="CW261">
        <f t="shared" si="761"/>
        <v>-1</v>
      </c>
      <c r="CX261">
        <f t="shared" si="761"/>
        <v>-1</v>
      </c>
      <c r="CY261">
        <f t="shared" si="761"/>
        <v>-1</v>
      </c>
      <c r="CZ261">
        <f t="shared" si="761"/>
        <v>-1</v>
      </c>
      <c r="DA261">
        <f t="shared" si="761"/>
        <v>-1</v>
      </c>
      <c r="DB261">
        <f t="shared" si="761"/>
        <v>-1</v>
      </c>
      <c r="DC261">
        <f t="shared" si="761"/>
        <v>-1</v>
      </c>
      <c r="DD261">
        <f t="shared" si="761"/>
        <v>-1</v>
      </c>
      <c r="DE261">
        <f t="shared" si="761"/>
        <v>-1</v>
      </c>
      <c r="DF261">
        <f t="shared" si="761"/>
        <v>-1</v>
      </c>
      <c r="DG261">
        <f t="shared" si="761"/>
        <v>-1</v>
      </c>
      <c r="DH261">
        <f t="shared" si="761"/>
        <v>-1</v>
      </c>
      <c r="DI261">
        <f t="shared" si="761"/>
        <v>-1</v>
      </c>
      <c r="DJ261">
        <f t="shared" si="761"/>
        <v>-1</v>
      </c>
      <c r="DK261">
        <f t="shared" si="761"/>
        <v>-1</v>
      </c>
      <c r="DL261">
        <f t="shared" si="761"/>
        <v>-1</v>
      </c>
      <c r="DM261">
        <f t="shared" si="761"/>
        <v>-1</v>
      </c>
      <c r="DN261">
        <f t="shared" si="761"/>
        <v>-1</v>
      </c>
      <c r="DO261">
        <f t="shared" si="761"/>
        <v>-1</v>
      </c>
      <c r="DP261">
        <f t="shared" si="761"/>
        <v>-1</v>
      </c>
      <c r="DQ261">
        <f t="shared" si="761"/>
        <v>-1</v>
      </c>
      <c r="DR261">
        <f t="shared" si="761"/>
        <v>-1</v>
      </c>
      <c r="DS261">
        <f t="shared" si="761"/>
        <v>-1</v>
      </c>
      <c r="DT261">
        <f t="shared" si="761"/>
        <v>-1</v>
      </c>
      <c r="DU261">
        <f t="shared" si="761"/>
        <v>-1</v>
      </c>
      <c r="DV261">
        <f t="shared" si="761"/>
        <v>-1</v>
      </c>
      <c r="DW261">
        <f t="shared" si="761"/>
        <v>-1</v>
      </c>
      <c r="DX261">
        <f t="shared" si="761"/>
        <v>-1</v>
      </c>
      <c r="DY261">
        <f t="shared" si="761"/>
        <v>-1</v>
      </c>
      <c r="DZ261">
        <f t="shared" si="761"/>
        <v>-1</v>
      </c>
      <c r="EA261">
        <f t="shared" si="761"/>
        <v>-1</v>
      </c>
      <c r="EB261">
        <f t="shared" ref="EB261:EO261" si="762">IF(OR(EB260=-1,AND(IF(EB$3&lt;$B261,EB260+EB$6,IF(EB$3=$B261,1,""))&gt;$B$1,EB$3&lt;$B261)),-1,IF(EB$3&lt;$B261,EB260+EB$6,IF(EB$3=$B261,1,"")))</f>
        <v>-1</v>
      </c>
      <c r="EC261">
        <f t="shared" si="762"/>
        <v>-1</v>
      </c>
      <c r="ED261">
        <f t="shared" si="762"/>
        <v>-1</v>
      </c>
      <c r="EE261">
        <f t="shared" si="762"/>
        <v>-1</v>
      </c>
      <c r="EF261">
        <f t="shared" si="762"/>
        <v>-1</v>
      </c>
      <c r="EG261">
        <f t="shared" si="762"/>
        <v>-1</v>
      </c>
      <c r="EH261">
        <f t="shared" si="762"/>
        <v>-1</v>
      </c>
      <c r="EI261">
        <f t="shared" si="762"/>
        <v>-1</v>
      </c>
      <c r="EJ261">
        <f t="shared" si="762"/>
        <v>-1</v>
      </c>
      <c r="EK261">
        <f t="shared" si="762"/>
        <v>-1</v>
      </c>
      <c r="EL261">
        <f t="shared" si="762"/>
        <v>-1</v>
      </c>
      <c r="EM261">
        <f t="shared" si="762"/>
        <v>-1</v>
      </c>
      <c r="EN261">
        <f t="shared" si="762"/>
        <v>-1</v>
      </c>
      <c r="EO261">
        <f t="shared" si="762"/>
        <v>-1</v>
      </c>
    </row>
    <row r="262" spans="1:145" x14ac:dyDescent="0.15">
      <c r="A262" t="e">
        <f t="shared" si="579"/>
        <v>#N/A</v>
      </c>
      <c r="B262" s="218">
        <v>254</v>
      </c>
      <c r="C262">
        <f t="shared" si="579"/>
        <v>-1</v>
      </c>
      <c r="D262">
        <f t="shared" ref="D262:BO262" si="763">IF(OR(D261=-1,AND(IF(D$3&lt;$B262,D261+D$6,IF(D$3=$B262,1,""))&gt;$B$1,D$3&lt;$B262)),-1,IF(D$3&lt;$B262,D261+D$6,IF(D$3=$B262,1,"")))</f>
        <v>-1</v>
      </c>
      <c r="E262">
        <f t="shared" si="763"/>
        <v>-1</v>
      </c>
      <c r="F262">
        <f t="shared" si="763"/>
        <v>-1</v>
      </c>
      <c r="G262">
        <f t="shared" si="763"/>
        <v>-1</v>
      </c>
      <c r="H262">
        <f t="shared" si="763"/>
        <v>-1</v>
      </c>
      <c r="I262">
        <f t="shared" si="763"/>
        <v>-1</v>
      </c>
      <c r="J262">
        <f t="shared" si="763"/>
        <v>-1</v>
      </c>
      <c r="K262">
        <f t="shared" si="763"/>
        <v>-1</v>
      </c>
      <c r="L262">
        <f t="shared" si="763"/>
        <v>-1</v>
      </c>
      <c r="M262">
        <f t="shared" si="763"/>
        <v>-1</v>
      </c>
      <c r="N262">
        <f t="shared" si="763"/>
        <v>-1</v>
      </c>
      <c r="O262">
        <f t="shared" si="763"/>
        <v>-1</v>
      </c>
      <c r="P262">
        <f t="shared" si="763"/>
        <v>-1</v>
      </c>
      <c r="Q262">
        <f t="shared" si="763"/>
        <v>-1</v>
      </c>
      <c r="R262">
        <f t="shared" si="763"/>
        <v>-1</v>
      </c>
      <c r="S262">
        <f t="shared" si="763"/>
        <v>-1</v>
      </c>
      <c r="T262">
        <f t="shared" si="763"/>
        <v>-1</v>
      </c>
      <c r="U262">
        <f t="shared" si="763"/>
        <v>-1</v>
      </c>
      <c r="V262">
        <f t="shared" si="763"/>
        <v>-1</v>
      </c>
      <c r="W262">
        <f t="shared" si="763"/>
        <v>-1</v>
      </c>
      <c r="X262">
        <f t="shared" si="763"/>
        <v>-1</v>
      </c>
      <c r="Y262">
        <f t="shared" si="763"/>
        <v>-1</v>
      </c>
      <c r="Z262">
        <f t="shared" si="763"/>
        <v>-1</v>
      </c>
      <c r="AA262">
        <f t="shared" si="763"/>
        <v>-1</v>
      </c>
      <c r="AB262">
        <f t="shared" si="763"/>
        <v>-1</v>
      </c>
      <c r="AC262">
        <f t="shared" si="763"/>
        <v>-1</v>
      </c>
      <c r="AD262">
        <f t="shared" si="763"/>
        <v>-1</v>
      </c>
      <c r="AE262">
        <f t="shared" si="763"/>
        <v>-1</v>
      </c>
      <c r="AF262">
        <f t="shared" si="763"/>
        <v>-1</v>
      </c>
      <c r="AG262">
        <f t="shared" si="763"/>
        <v>-1</v>
      </c>
      <c r="AH262">
        <f t="shared" si="763"/>
        <v>-1</v>
      </c>
      <c r="AI262">
        <f t="shared" si="763"/>
        <v>-1</v>
      </c>
      <c r="AJ262">
        <f t="shared" si="763"/>
        <v>-1</v>
      </c>
      <c r="AK262">
        <f t="shared" si="763"/>
        <v>-1</v>
      </c>
      <c r="AL262">
        <f t="shared" si="763"/>
        <v>-1</v>
      </c>
      <c r="AM262">
        <f t="shared" si="763"/>
        <v>-1</v>
      </c>
      <c r="AN262">
        <f t="shared" si="763"/>
        <v>-1</v>
      </c>
      <c r="AO262">
        <f t="shared" si="763"/>
        <v>-1</v>
      </c>
      <c r="AP262">
        <f t="shared" si="763"/>
        <v>-1</v>
      </c>
      <c r="AQ262">
        <f t="shared" si="763"/>
        <v>-1</v>
      </c>
      <c r="AR262">
        <f t="shared" si="763"/>
        <v>-1</v>
      </c>
      <c r="AS262">
        <f t="shared" si="763"/>
        <v>-1</v>
      </c>
      <c r="AT262">
        <f t="shared" si="763"/>
        <v>-1</v>
      </c>
      <c r="AU262">
        <f t="shared" si="763"/>
        <v>-1</v>
      </c>
      <c r="AV262">
        <f t="shared" si="763"/>
        <v>-1</v>
      </c>
      <c r="AW262">
        <f t="shared" si="763"/>
        <v>-1</v>
      </c>
      <c r="AX262">
        <f t="shared" si="763"/>
        <v>-1</v>
      </c>
      <c r="AY262">
        <f t="shared" si="763"/>
        <v>-1</v>
      </c>
      <c r="AZ262">
        <f t="shared" si="763"/>
        <v>-1</v>
      </c>
      <c r="BA262">
        <f t="shared" si="763"/>
        <v>-1</v>
      </c>
      <c r="BB262">
        <f t="shared" si="763"/>
        <v>-1</v>
      </c>
      <c r="BC262">
        <f t="shared" si="763"/>
        <v>-1</v>
      </c>
      <c r="BD262">
        <f t="shared" si="763"/>
        <v>-1</v>
      </c>
      <c r="BE262">
        <f t="shared" si="763"/>
        <v>-1</v>
      </c>
      <c r="BF262">
        <f t="shared" si="763"/>
        <v>-1</v>
      </c>
      <c r="BG262">
        <f t="shared" si="763"/>
        <v>-1</v>
      </c>
      <c r="BH262">
        <f t="shared" si="763"/>
        <v>-1</v>
      </c>
      <c r="BI262">
        <f t="shared" si="763"/>
        <v>-1</v>
      </c>
      <c r="BJ262">
        <f t="shared" si="763"/>
        <v>-1</v>
      </c>
      <c r="BK262">
        <f t="shared" si="763"/>
        <v>-1</v>
      </c>
      <c r="BL262">
        <f t="shared" si="763"/>
        <v>-1</v>
      </c>
      <c r="BM262">
        <f t="shared" si="763"/>
        <v>-1</v>
      </c>
      <c r="BN262">
        <f t="shared" si="763"/>
        <v>-1</v>
      </c>
      <c r="BO262">
        <f t="shared" si="763"/>
        <v>-1</v>
      </c>
      <c r="BP262">
        <f t="shared" ref="BP262:EA262" si="764">IF(OR(BP261=-1,AND(IF(BP$3&lt;$B262,BP261+BP$6,IF(BP$3=$B262,1,""))&gt;$B$1,BP$3&lt;$B262)),-1,IF(BP$3&lt;$B262,BP261+BP$6,IF(BP$3=$B262,1,"")))</f>
        <v>-1</v>
      </c>
      <c r="BQ262">
        <f t="shared" si="764"/>
        <v>-1</v>
      </c>
      <c r="BR262">
        <f t="shared" si="764"/>
        <v>-1</v>
      </c>
      <c r="BS262">
        <f t="shared" si="764"/>
        <v>-1</v>
      </c>
      <c r="BT262">
        <f t="shared" si="764"/>
        <v>-1</v>
      </c>
      <c r="BU262">
        <f t="shared" si="764"/>
        <v>-1</v>
      </c>
      <c r="BV262">
        <f t="shared" si="764"/>
        <v>-1</v>
      </c>
      <c r="BW262">
        <f t="shared" si="764"/>
        <v>-1</v>
      </c>
      <c r="BX262">
        <f t="shared" si="764"/>
        <v>-1</v>
      </c>
      <c r="BY262">
        <f t="shared" si="764"/>
        <v>-1</v>
      </c>
      <c r="BZ262">
        <f t="shared" si="764"/>
        <v>-1</v>
      </c>
      <c r="CA262">
        <f t="shared" si="764"/>
        <v>-1</v>
      </c>
      <c r="CB262">
        <f t="shared" si="764"/>
        <v>-1</v>
      </c>
      <c r="CC262">
        <f t="shared" si="764"/>
        <v>-1</v>
      </c>
      <c r="CD262">
        <f t="shared" si="764"/>
        <v>-1</v>
      </c>
      <c r="CE262">
        <f t="shared" si="764"/>
        <v>-1</v>
      </c>
      <c r="CF262">
        <f t="shared" si="764"/>
        <v>-1</v>
      </c>
      <c r="CG262">
        <f t="shared" si="764"/>
        <v>-1</v>
      </c>
      <c r="CH262">
        <f t="shared" si="764"/>
        <v>-1</v>
      </c>
      <c r="CI262">
        <f t="shared" si="764"/>
        <v>-1</v>
      </c>
      <c r="CJ262">
        <f t="shared" si="764"/>
        <v>-1</v>
      </c>
      <c r="CK262">
        <f t="shared" si="764"/>
        <v>-1</v>
      </c>
      <c r="CL262">
        <f t="shared" si="764"/>
        <v>-1</v>
      </c>
      <c r="CM262">
        <f t="shared" si="764"/>
        <v>-1</v>
      </c>
      <c r="CN262">
        <f t="shared" si="764"/>
        <v>-1</v>
      </c>
      <c r="CO262">
        <f t="shared" si="764"/>
        <v>-1</v>
      </c>
      <c r="CP262">
        <f t="shared" si="764"/>
        <v>-1</v>
      </c>
      <c r="CQ262">
        <f t="shared" si="764"/>
        <v>-1</v>
      </c>
      <c r="CR262">
        <f t="shared" si="764"/>
        <v>-1</v>
      </c>
      <c r="CS262">
        <f t="shared" si="764"/>
        <v>-1</v>
      </c>
      <c r="CT262">
        <f t="shared" si="764"/>
        <v>-1</v>
      </c>
      <c r="CU262">
        <f t="shared" si="764"/>
        <v>-1</v>
      </c>
      <c r="CV262">
        <f t="shared" si="764"/>
        <v>-1</v>
      </c>
      <c r="CW262">
        <f t="shared" si="764"/>
        <v>-1</v>
      </c>
      <c r="CX262">
        <f t="shared" si="764"/>
        <v>-1</v>
      </c>
      <c r="CY262">
        <f t="shared" si="764"/>
        <v>-1</v>
      </c>
      <c r="CZ262">
        <f t="shared" si="764"/>
        <v>-1</v>
      </c>
      <c r="DA262">
        <f t="shared" si="764"/>
        <v>-1</v>
      </c>
      <c r="DB262">
        <f t="shared" si="764"/>
        <v>-1</v>
      </c>
      <c r="DC262">
        <f t="shared" si="764"/>
        <v>-1</v>
      </c>
      <c r="DD262">
        <f t="shared" si="764"/>
        <v>-1</v>
      </c>
      <c r="DE262">
        <f t="shared" si="764"/>
        <v>-1</v>
      </c>
      <c r="DF262">
        <f t="shared" si="764"/>
        <v>-1</v>
      </c>
      <c r="DG262">
        <f t="shared" si="764"/>
        <v>-1</v>
      </c>
      <c r="DH262">
        <f t="shared" si="764"/>
        <v>-1</v>
      </c>
      <c r="DI262">
        <f t="shared" si="764"/>
        <v>-1</v>
      </c>
      <c r="DJ262">
        <f t="shared" si="764"/>
        <v>-1</v>
      </c>
      <c r="DK262">
        <f t="shared" si="764"/>
        <v>-1</v>
      </c>
      <c r="DL262">
        <f t="shared" si="764"/>
        <v>-1</v>
      </c>
      <c r="DM262">
        <f t="shared" si="764"/>
        <v>-1</v>
      </c>
      <c r="DN262">
        <f t="shared" si="764"/>
        <v>-1</v>
      </c>
      <c r="DO262">
        <f t="shared" si="764"/>
        <v>-1</v>
      </c>
      <c r="DP262">
        <f t="shared" si="764"/>
        <v>-1</v>
      </c>
      <c r="DQ262">
        <f t="shared" si="764"/>
        <v>-1</v>
      </c>
      <c r="DR262">
        <f t="shared" si="764"/>
        <v>-1</v>
      </c>
      <c r="DS262">
        <f t="shared" si="764"/>
        <v>-1</v>
      </c>
      <c r="DT262">
        <f t="shared" si="764"/>
        <v>-1</v>
      </c>
      <c r="DU262">
        <f t="shared" si="764"/>
        <v>-1</v>
      </c>
      <c r="DV262">
        <f t="shared" si="764"/>
        <v>-1</v>
      </c>
      <c r="DW262">
        <f t="shared" si="764"/>
        <v>-1</v>
      </c>
      <c r="DX262">
        <f t="shared" si="764"/>
        <v>-1</v>
      </c>
      <c r="DY262">
        <f t="shared" si="764"/>
        <v>-1</v>
      </c>
      <c r="DZ262">
        <f t="shared" si="764"/>
        <v>-1</v>
      </c>
      <c r="EA262">
        <f t="shared" si="764"/>
        <v>-1</v>
      </c>
      <c r="EB262">
        <f t="shared" ref="EB262:EO262" si="765">IF(OR(EB261=-1,AND(IF(EB$3&lt;$B262,EB261+EB$6,IF(EB$3=$B262,1,""))&gt;$B$1,EB$3&lt;$B262)),-1,IF(EB$3&lt;$B262,EB261+EB$6,IF(EB$3=$B262,1,"")))</f>
        <v>-1</v>
      </c>
      <c r="EC262">
        <f t="shared" si="765"/>
        <v>-1</v>
      </c>
      <c r="ED262">
        <f t="shared" si="765"/>
        <v>-1</v>
      </c>
      <c r="EE262">
        <f t="shared" si="765"/>
        <v>-1</v>
      </c>
      <c r="EF262">
        <f t="shared" si="765"/>
        <v>-1</v>
      </c>
      <c r="EG262">
        <f t="shared" si="765"/>
        <v>-1</v>
      </c>
      <c r="EH262">
        <f t="shared" si="765"/>
        <v>-1</v>
      </c>
      <c r="EI262">
        <f t="shared" si="765"/>
        <v>-1</v>
      </c>
      <c r="EJ262">
        <f t="shared" si="765"/>
        <v>-1</v>
      </c>
      <c r="EK262">
        <f t="shared" si="765"/>
        <v>-1</v>
      </c>
      <c r="EL262">
        <f t="shared" si="765"/>
        <v>-1</v>
      </c>
      <c r="EM262">
        <f t="shared" si="765"/>
        <v>-1</v>
      </c>
      <c r="EN262">
        <f t="shared" si="765"/>
        <v>-1</v>
      </c>
      <c r="EO262">
        <f t="shared" si="765"/>
        <v>-1</v>
      </c>
    </row>
    <row r="263" spans="1:145" x14ac:dyDescent="0.15">
      <c r="A263" t="e">
        <f t="shared" si="579"/>
        <v>#N/A</v>
      </c>
      <c r="B263" s="218">
        <v>255</v>
      </c>
      <c r="C263">
        <f t="shared" si="579"/>
        <v>-1</v>
      </c>
      <c r="D263">
        <f t="shared" ref="D263:BO263" si="766">IF(OR(D262=-1,AND(IF(D$3&lt;$B263,D262+D$6,IF(D$3=$B263,1,""))&gt;$B$1,D$3&lt;$B263)),-1,IF(D$3&lt;$B263,D262+D$6,IF(D$3=$B263,1,"")))</f>
        <v>-1</v>
      </c>
      <c r="E263">
        <f t="shared" si="766"/>
        <v>-1</v>
      </c>
      <c r="F263">
        <f t="shared" si="766"/>
        <v>-1</v>
      </c>
      <c r="G263">
        <f t="shared" si="766"/>
        <v>-1</v>
      </c>
      <c r="H263">
        <f t="shared" si="766"/>
        <v>-1</v>
      </c>
      <c r="I263">
        <f t="shared" si="766"/>
        <v>-1</v>
      </c>
      <c r="J263">
        <f t="shared" si="766"/>
        <v>-1</v>
      </c>
      <c r="K263">
        <f t="shared" si="766"/>
        <v>-1</v>
      </c>
      <c r="L263">
        <f t="shared" si="766"/>
        <v>-1</v>
      </c>
      <c r="M263">
        <f t="shared" si="766"/>
        <v>-1</v>
      </c>
      <c r="N263">
        <f t="shared" si="766"/>
        <v>-1</v>
      </c>
      <c r="O263">
        <f t="shared" si="766"/>
        <v>-1</v>
      </c>
      <c r="P263">
        <f t="shared" si="766"/>
        <v>-1</v>
      </c>
      <c r="Q263">
        <f t="shared" si="766"/>
        <v>-1</v>
      </c>
      <c r="R263">
        <f t="shared" si="766"/>
        <v>-1</v>
      </c>
      <c r="S263">
        <f t="shared" si="766"/>
        <v>-1</v>
      </c>
      <c r="T263">
        <f t="shared" si="766"/>
        <v>-1</v>
      </c>
      <c r="U263">
        <f t="shared" si="766"/>
        <v>-1</v>
      </c>
      <c r="V263">
        <f t="shared" si="766"/>
        <v>-1</v>
      </c>
      <c r="W263">
        <f t="shared" si="766"/>
        <v>-1</v>
      </c>
      <c r="X263">
        <f t="shared" si="766"/>
        <v>-1</v>
      </c>
      <c r="Y263">
        <f t="shared" si="766"/>
        <v>-1</v>
      </c>
      <c r="Z263">
        <f t="shared" si="766"/>
        <v>-1</v>
      </c>
      <c r="AA263">
        <f t="shared" si="766"/>
        <v>-1</v>
      </c>
      <c r="AB263">
        <f t="shared" si="766"/>
        <v>-1</v>
      </c>
      <c r="AC263">
        <f t="shared" si="766"/>
        <v>-1</v>
      </c>
      <c r="AD263">
        <f t="shared" si="766"/>
        <v>-1</v>
      </c>
      <c r="AE263">
        <f t="shared" si="766"/>
        <v>-1</v>
      </c>
      <c r="AF263">
        <f t="shared" si="766"/>
        <v>-1</v>
      </c>
      <c r="AG263">
        <f t="shared" si="766"/>
        <v>-1</v>
      </c>
      <c r="AH263">
        <f t="shared" si="766"/>
        <v>-1</v>
      </c>
      <c r="AI263">
        <f t="shared" si="766"/>
        <v>-1</v>
      </c>
      <c r="AJ263">
        <f t="shared" si="766"/>
        <v>-1</v>
      </c>
      <c r="AK263">
        <f t="shared" si="766"/>
        <v>-1</v>
      </c>
      <c r="AL263">
        <f t="shared" si="766"/>
        <v>-1</v>
      </c>
      <c r="AM263">
        <f t="shared" si="766"/>
        <v>-1</v>
      </c>
      <c r="AN263">
        <f t="shared" si="766"/>
        <v>-1</v>
      </c>
      <c r="AO263">
        <f t="shared" si="766"/>
        <v>-1</v>
      </c>
      <c r="AP263">
        <f t="shared" si="766"/>
        <v>-1</v>
      </c>
      <c r="AQ263">
        <f t="shared" si="766"/>
        <v>-1</v>
      </c>
      <c r="AR263">
        <f t="shared" si="766"/>
        <v>-1</v>
      </c>
      <c r="AS263">
        <f t="shared" si="766"/>
        <v>-1</v>
      </c>
      <c r="AT263">
        <f t="shared" si="766"/>
        <v>-1</v>
      </c>
      <c r="AU263">
        <f t="shared" si="766"/>
        <v>-1</v>
      </c>
      <c r="AV263">
        <f t="shared" si="766"/>
        <v>-1</v>
      </c>
      <c r="AW263">
        <f t="shared" si="766"/>
        <v>-1</v>
      </c>
      <c r="AX263">
        <f t="shared" si="766"/>
        <v>-1</v>
      </c>
      <c r="AY263">
        <f t="shared" si="766"/>
        <v>-1</v>
      </c>
      <c r="AZ263">
        <f t="shared" si="766"/>
        <v>-1</v>
      </c>
      <c r="BA263">
        <f t="shared" si="766"/>
        <v>-1</v>
      </c>
      <c r="BB263">
        <f t="shared" si="766"/>
        <v>-1</v>
      </c>
      <c r="BC263">
        <f t="shared" si="766"/>
        <v>-1</v>
      </c>
      <c r="BD263">
        <f t="shared" si="766"/>
        <v>-1</v>
      </c>
      <c r="BE263">
        <f t="shared" si="766"/>
        <v>-1</v>
      </c>
      <c r="BF263">
        <f t="shared" si="766"/>
        <v>-1</v>
      </c>
      <c r="BG263">
        <f t="shared" si="766"/>
        <v>-1</v>
      </c>
      <c r="BH263">
        <f t="shared" si="766"/>
        <v>-1</v>
      </c>
      <c r="BI263">
        <f t="shared" si="766"/>
        <v>-1</v>
      </c>
      <c r="BJ263">
        <f t="shared" si="766"/>
        <v>-1</v>
      </c>
      <c r="BK263">
        <f t="shared" si="766"/>
        <v>-1</v>
      </c>
      <c r="BL263">
        <f t="shared" si="766"/>
        <v>-1</v>
      </c>
      <c r="BM263">
        <f t="shared" si="766"/>
        <v>-1</v>
      </c>
      <c r="BN263">
        <f t="shared" si="766"/>
        <v>-1</v>
      </c>
      <c r="BO263">
        <f t="shared" si="766"/>
        <v>-1</v>
      </c>
      <c r="BP263">
        <f t="shared" ref="BP263:EA263" si="767">IF(OR(BP262=-1,AND(IF(BP$3&lt;$B263,BP262+BP$6,IF(BP$3=$B263,1,""))&gt;$B$1,BP$3&lt;$B263)),-1,IF(BP$3&lt;$B263,BP262+BP$6,IF(BP$3=$B263,1,"")))</f>
        <v>-1</v>
      </c>
      <c r="BQ263">
        <f t="shared" si="767"/>
        <v>-1</v>
      </c>
      <c r="BR263">
        <f t="shared" si="767"/>
        <v>-1</v>
      </c>
      <c r="BS263">
        <f t="shared" si="767"/>
        <v>-1</v>
      </c>
      <c r="BT263">
        <f t="shared" si="767"/>
        <v>-1</v>
      </c>
      <c r="BU263">
        <f t="shared" si="767"/>
        <v>-1</v>
      </c>
      <c r="BV263">
        <f t="shared" si="767"/>
        <v>-1</v>
      </c>
      <c r="BW263">
        <f t="shared" si="767"/>
        <v>-1</v>
      </c>
      <c r="BX263">
        <f t="shared" si="767"/>
        <v>-1</v>
      </c>
      <c r="BY263">
        <f t="shared" si="767"/>
        <v>-1</v>
      </c>
      <c r="BZ263">
        <f t="shared" si="767"/>
        <v>-1</v>
      </c>
      <c r="CA263">
        <f t="shared" si="767"/>
        <v>-1</v>
      </c>
      <c r="CB263">
        <f t="shared" si="767"/>
        <v>-1</v>
      </c>
      <c r="CC263">
        <f t="shared" si="767"/>
        <v>-1</v>
      </c>
      <c r="CD263">
        <f t="shared" si="767"/>
        <v>-1</v>
      </c>
      <c r="CE263">
        <f t="shared" si="767"/>
        <v>-1</v>
      </c>
      <c r="CF263">
        <f t="shared" si="767"/>
        <v>-1</v>
      </c>
      <c r="CG263">
        <f t="shared" si="767"/>
        <v>-1</v>
      </c>
      <c r="CH263">
        <f t="shared" si="767"/>
        <v>-1</v>
      </c>
      <c r="CI263">
        <f t="shared" si="767"/>
        <v>-1</v>
      </c>
      <c r="CJ263">
        <f t="shared" si="767"/>
        <v>-1</v>
      </c>
      <c r="CK263">
        <f t="shared" si="767"/>
        <v>-1</v>
      </c>
      <c r="CL263">
        <f t="shared" si="767"/>
        <v>-1</v>
      </c>
      <c r="CM263">
        <f t="shared" si="767"/>
        <v>-1</v>
      </c>
      <c r="CN263">
        <f t="shared" si="767"/>
        <v>-1</v>
      </c>
      <c r="CO263">
        <f t="shared" si="767"/>
        <v>-1</v>
      </c>
      <c r="CP263">
        <f t="shared" si="767"/>
        <v>-1</v>
      </c>
      <c r="CQ263">
        <f t="shared" si="767"/>
        <v>-1</v>
      </c>
      <c r="CR263">
        <f t="shared" si="767"/>
        <v>-1</v>
      </c>
      <c r="CS263">
        <f t="shared" si="767"/>
        <v>-1</v>
      </c>
      <c r="CT263">
        <f t="shared" si="767"/>
        <v>-1</v>
      </c>
      <c r="CU263">
        <f t="shared" si="767"/>
        <v>-1</v>
      </c>
      <c r="CV263">
        <f t="shared" si="767"/>
        <v>-1</v>
      </c>
      <c r="CW263">
        <f t="shared" si="767"/>
        <v>-1</v>
      </c>
      <c r="CX263">
        <f t="shared" si="767"/>
        <v>-1</v>
      </c>
      <c r="CY263">
        <f t="shared" si="767"/>
        <v>-1</v>
      </c>
      <c r="CZ263">
        <f t="shared" si="767"/>
        <v>-1</v>
      </c>
      <c r="DA263">
        <f t="shared" si="767"/>
        <v>-1</v>
      </c>
      <c r="DB263">
        <f t="shared" si="767"/>
        <v>-1</v>
      </c>
      <c r="DC263">
        <f t="shared" si="767"/>
        <v>-1</v>
      </c>
      <c r="DD263">
        <f t="shared" si="767"/>
        <v>-1</v>
      </c>
      <c r="DE263">
        <f t="shared" si="767"/>
        <v>-1</v>
      </c>
      <c r="DF263">
        <f t="shared" si="767"/>
        <v>-1</v>
      </c>
      <c r="DG263">
        <f t="shared" si="767"/>
        <v>-1</v>
      </c>
      <c r="DH263">
        <f t="shared" si="767"/>
        <v>-1</v>
      </c>
      <c r="DI263">
        <f t="shared" si="767"/>
        <v>-1</v>
      </c>
      <c r="DJ263">
        <f t="shared" si="767"/>
        <v>-1</v>
      </c>
      <c r="DK263">
        <f t="shared" si="767"/>
        <v>-1</v>
      </c>
      <c r="DL263">
        <f t="shared" si="767"/>
        <v>-1</v>
      </c>
      <c r="DM263">
        <f t="shared" si="767"/>
        <v>-1</v>
      </c>
      <c r="DN263">
        <f t="shared" si="767"/>
        <v>-1</v>
      </c>
      <c r="DO263">
        <f t="shared" si="767"/>
        <v>-1</v>
      </c>
      <c r="DP263">
        <f t="shared" si="767"/>
        <v>-1</v>
      </c>
      <c r="DQ263">
        <f t="shared" si="767"/>
        <v>-1</v>
      </c>
      <c r="DR263">
        <f t="shared" si="767"/>
        <v>-1</v>
      </c>
      <c r="DS263">
        <f t="shared" si="767"/>
        <v>-1</v>
      </c>
      <c r="DT263">
        <f t="shared" si="767"/>
        <v>-1</v>
      </c>
      <c r="DU263">
        <f t="shared" si="767"/>
        <v>-1</v>
      </c>
      <c r="DV263">
        <f t="shared" si="767"/>
        <v>-1</v>
      </c>
      <c r="DW263">
        <f t="shared" si="767"/>
        <v>-1</v>
      </c>
      <c r="DX263">
        <f t="shared" si="767"/>
        <v>-1</v>
      </c>
      <c r="DY263">
        <f t="shared" si="767"/>
        <v>-1</v>
      </c>
      <c r="DZ263">
        <f t="shared" si="767"/>
        <v>-1</v>
      </c>
      <c r="EA263">
        <f t="shared" si="767"/>
        <v>-1</v>
      </c>
      <c r="EB263">
        <f t="shared" ref="EB263:EO263" si="768">IF(OR(EB262=-1,AND(IF(EB$3&lt;$B263,EB262+EB$6,IF(EB$3=$B263,1,""))&gt;$B$1,EB$3&lt;$B263)),-1,IF(EB$3&lt;$B263,EB262+EB$6,IF(EB$3=$B263,1,"")))</f>
        <v>-1</v>
      </c>
      <c r="EC263">
        <f t="shared" si="768"/>
        <v>-1</v>
      </c>
      <c r="ED263">
        <f t="shared" si="768"/>
        <v>-1</v>
      </c>
      <c r="EE263">
        <f t="shared" si="768"/>
        <v>-1</v>
      </c>
      <c r="EF263">
        <f t="shared" si="768"/>
        <v>-1</v>
      </c>
      <c r="EG263">
        <f t="shared" si="768"/>
        <v>-1</v>
      </c>
      <c r="EH263">
        <f t="shared" si="768"/>
        <v>-1</v>
      </c>
      <c r="EI263">
        <f t="shared" si="768"/>
        <v>-1</v>
      </c>
      <c r="EJ263">
        <f t="shared" si="768"/>
        <v>-1</v>
      </c>
      <c r="EK263">
        <f t="shared" si="768"/>
        <v>-1</v>
      </c>
      <c r="EL263">
        <f t="shared" si="768"/>
        <v>-1</v>
      </c>
      <c r="EM263">
        <f t="shared" si="768"/>
        <v>-1</v>
      </c>
      <c r="EN263">
        <f t="shared" si="768"/>
        <v>-1</v>
      </c>
      <c r="EO263">
        <f t="shared" si="768"/>
        <v>-1</v>
      </c>
    </row>
    <row r="264" spans="1:145" x14ac:dyDescent="0.15">
      <c r="A264" t="e">
        <f t="shared" si="579"/>
        <v>#N/A</v>
      </c>
      <c r="B264" s="218">
        <v>256</v>
      </c>
      <c r="C264">
        <f t="shared" si="579"/>
        <v>-1</v>
      </c>
      <c r="D264">
        <f t="shared" ref="D264:BO264" si="769">IF(OR(D263=-1,AND(IF(D$3&lt;$B264,D263+D$6,IF(D$3=$B264,1,""))&gt;$B$1,D$3&lt;$B264)),-1,IF(D$3&lt;$B264,D263+D$6,IF(D$3=$B264,1,"")))</f>
        <v>-1</v>
      </c>
      <c r="E264">
        <f t="shared" si="769"/>
        <v>-1</v>
      </c>
      <c r="F264">
        <f t="shared" si="769"/>
        <v>-1</v>
      </c>
      <c r="G264">
        <f t="shared" si="769"/>
        <v>-1</v>
      </c>
      <c r="H264">
        <f t="shared" si="769"/>
        <v>-1</v>
      </c>
      <c r="I264">
        <f t="shared" si="769"/>
        <v>-1</v>
      </c>
      <c r="J264">
        <f t="shared" si="769"/>
        <v>-1</v>
      </c>
      <c r="K264">
        <f t="shared" si="769"/>
        <v>-1</v>
      </c>
      <c r="L264">
        <f t="shared" si="769"/>
        <v>-1</v>
      </c>
      <c r="M264">
        <f t="shared" si="769"/>
        <v>-1</v>
      </c>
      <c r="N264">
        <f t="shared" si="769"/>
        <v>-1</v>
      </c>
      <c r="O264">
        <f t="shared" si="769"/>
        <v>-1</v>
      </c>
      <c r="P264">
        <f t="shared" si="769"/>
        <v>-1</v>
      </c>
      <c r="Q264">
        <f t="shared" si="769"/>
        <v>-1</v>
      </c>
      <c r="R264">
        <f t="shared" si="769"/>
        <v>-1</v>
      </c>
      <c r="S264">
        <f t="shared" si="769"/>
        <v>-1</v>
      </c>
      <c r="T264">
        <f t="shared" si="769"/>
        <v>-1</v>
      </c>
      <c r="U264">
        <f t="shared" si="769"/>
        <v>-1</v>
      </c>
      <c r="V264">
        <f t="shared" si="769"/>
        <v>-1</v>
      </c>
      <c r="W264">
        <f t="shared" si="769"/>
        <v>-1</v>
      </c>
      <c r="X264">
        <f t="shared" si="769"/>
        <v>-1</v>
      </c>
      <c r="Y264">
        <f t="shared" si="769"/>
        <v>-1</v>
      </c>
      <c r="Z264">
        <f t="shared" si="769"/>
        <v>-1</v>
      </c>
      <c r="AA264">
        <f t="shared" si="769"/>
        <v>-1</v>
      </c>
      <c r="AB264">
        <f t="shared" si="769"/>
        <v>-1</v>
      </c>
      <c r="AC264">
        <f t="shared" si="769"/>
        <v>-1</v>
      </c>
      <c r="AD264">
        <f t="shared" si="769"/>
        <v>-1</v>
      </c>
      <c r="AE264">
        <f t="shared" si="769"/>
        <v>-1</v>
      </c>
      <c r="AF264">
        <f t="shared" si="769"/>
        <v>-1</v>
      </c>
      <c r="AG264">
        <f t="shared" si="769"/>
        <v>-1</v>
      </c>
      <c r="AH264">
        <f t="shared" si="769"/>
        <v>-1</v>
      </c>
      <c r="AI264">
        <f t="shared" si="769"/>
        <v>-1</v>
      </c>
      <c r="AJ264">
        <f t="shared" si="769"/>
        <v>-1</v>
      </c>
      <c r="AK264">
        <f t="shared" si="769"/>
        <v>-1</v>
      </c>
      <c r="AL264">
        <f t="shared" si="769"/>
        <v>-1</v>
      </c>
      <c r="AM264">
        <f t="shared" si="769"/>
        <v>-1</v>
      </c>
      <c r="AN264">
        <f t="shared" si="769"/>
        <v>-1</v>
      </c>
      <c r="AO264">
        <f t="shared" si="769"/>
        <v>-1</v>
      </c>
      <c r="AP264">
        <f t="shared" si="769"/>
        <v>-1</v>
      </c>
      <c r="AQ264">
        <f t="shared" si="769"/>
        <v>-1</v>
      </c>
      <c r="AR264">
        <f t="shared" si="769"/>
        <v>-1</v>
      </c>
      <c r="AS264">
        <f t="shared" si="769"/>
        <v>-1</v>
      </c>
      <c r="AT264">
        <f t="shared" si="769"/>
        <v>-1</v>
      </c>
      <c r="AU264">
        <f t="shared" si="769"/>
        <v>-1</v>
      </c>
      <c r="AV264">
        <f t="shared" si="769"/>
        <v>-1</v>
      </c>
      <c r="AW264">
        <f t="shared" si="769"/>
        <v>-1</v>
      </c>
      <c r="AX264">
        <f t="shared" si="769"/>
        <v>-1</v>
      </c>
      <c r="AY264">
        <f t="shared" si="769"/>
        <v>-1</v>
      </c>
      <c r="AZ264">
        <f t="shared" si="769"/>
        <v>-1</v>
      </c>
      <c r="BA264">
        <f t="shared" si="769"/>
        <v>-1</v>
      </c>
      <c r="BB264">
        <f t="shared" si="769"/>
        <v>-1</v>
      </c>
      <c r="BC264">
        <f t="shared" si="769"/>
        <v>-1</v>
      </c>
      <c r="BD264">
        <f t="shared" si="769"/>
        <v>-1</v>
      </c>
      <c r="BE264">
        <f t="shared" si="769"/>
        <v>-1</v>
      </c>
      <c r="BF264">
        <f t="shared" si="769"/>
        <v>-1</v>
      </c>
      <c r="BG264">
        <f t="shared" si="769"/>
        <v>-1</v>
      </c>
      <c r="BH264">
        <f t="shared" si="769"/>
        <v>-1</v>
      </c>
      <c r="BI264">
        <f t="shared" si="769"/>
        <v>-1</v>
      </c>
      <c r="BJ264">
        <f t="shared" si="769"/>
        <v>-1</v>
      </c>
      <c r="BK264">
        <f t="shared" si="769"/>
        <v>-1</v>
      </c>
      <c r="BL264">
        <f t="shared" si="769"/>
        <v>-1</v>
      </c>
      <c r="BM264">
        <f t="shared" si="769"/>
        <v>-1</v>
      </c>
      <c r="BN264">
        <f t="shared" si="769"/>
        <v>-1</v>
      </c>
      <c r="BO264">
        <f t="shared" si="769"/>
        <v>-1</v>
      </c>
      <c r="BP264">
        <f t="shared" ref="BP264:EA264" si="770">IF(OR(BP263=-1,AND(IF(BP$3&lt;$B264,BP263+BP$6,IF(BP$3=$B264,1,""))&gt;$B$1,BP$3&lt;$B264)),-1,IF(BP$3&lt;$B264,BP263+BP$6,IF(BP$3=$B264,1,"")))</f>
        <v>-1</v>
      </c>
      <c r="BQ264">
        <f t="shared" si="770"/>
        <v>-1</v>
      </c>
      <c r="BR264">
        <f t="shared" si="770"/>
        <v>-1</v>
      </c>
      <c r="BS264">
        <f t="shared" si="770"/>
        <v>-1</v>
      </c>
      <c r="BT264">
        <f t="shared" si="770"/>
        <v>-1</v>
      </c>
      <c r="BU264">
        <f t="shared" si="770"/>
        <v>-1</v>
      </c>
      <c r="BV264">
        <f t="shared" si="770"/>
        <v>-1</v>
      </c>
      <c r="BW264">
        <f t="shared" si="770"/>
        <v>-1</v>
      </c>
      <c r="BX264">
        <f t="shared" si="770"/>
        <v>-1</v>
      </c>
      <c r="BY264">
        <f t="shared" si="770"/>
        <v>-1</v>
      </c>
      <c r="BZ264">
        <f t="shared" si="770"/>
        <v>-1</v>
      </c>
      <c r="CA264">
        <f t="shared" si="770"/>
        <v>-1</v>
      </c>
      <c r="CB264">
        <f t="shared" si="770"/>
        <v>-1</v>
      </c>
      <c r="CC264">
        <f t="shared" si="770"/>
        <v>-1</v>
      </c>
      <c r="CD264">
        <f t="shared" si="770"/>
        <v>-1</v>
      </c>
      <c r="CE264">
        <f t="shared" si="770"/>
        <v>-1</v>
      </c>
      <c r="CF264">
        <f t="shared" si="770"/>
        <v>-1</v>
      </c>
      <c r="CG264">
        <f t="shared" si="770"/>
        <v>-1</v>
      </c>
      <c r="CH264">
        <f t="shared" si="770"/>
        <v>-1</v>
      </c>
      <c r="CI264">
        <f t="shared" si="770"/>
        <v>-1</v>
      </c>
      <c r="CJ264">
        <f t="shared" si="770"/>
        <v>-1</v>
      </c>
      <c r="CK264">
        <f t="shared" si="770"/>
        <v>-1</v>
      </c>
      <c r="CL264">
        <f t="shared" si="770"/>
        <v>-1</v>
      </c>
      <c r="CM264">
        <f t="shared" si="770"/>
        <v>-1</v>
      </c>
      <c r="CN264">
        <f t="shared" si="770"/>
        <v>-1</v>
      </c>
      <c r="CO264">
        <f t="shared" si="770"/>
        <v>-1</v>
      </c>
      <c r="CP264">
        <f t="shared" si="770"/>
        <v>-1</v>
      </c>
      <c r="CQ264">
        <f t="shared" si="770"/>
        <v>-1</v>
      </c>
      <c r="CR264">
        <f t="shared" si="770"/>
        <v>-1</v>
      </c>
      <c r="CS264">
        <f t="shared" si="770"/>
        <v>-1</v>
      </c>
      <c r="CT264">
        <f t="shared" si="770"/>
        <v>-1</v>
      </c>
      <c r="CU264">
        <f t="shared" si="770"/>
        <v>-1</v>
      </c>
      <c r="CV264">
        <f t="shared" si="770"/>
        <v>-1</v>
      </c>
      <c r="CW264">
        <f t="shared" si="770"/>
        <v>-1</v>
      </c>
      <c r="CX264">
        <f t="shared" si="770"/>
        <v>-1</v>
      </c>
      <c r="CY264">
        <f t="shared" si="770"/>
        <v>-1</v>
      </c>
      <c r="CZ264">
        <f t="shared" si="770"/>
        <v>-1</v>
      </c>
      <c r="DA264">
        <f t="shared" si="770"/>
        <v>-1</v>
      </c>
      <c r="DB264">
        <f t="shared" si="770"/>
        <v>-1</v>
      </c>
      <c r="DC264">
        <f t="shared" si="770"/>
        <v>-1</v>
      </c>
      <c r="DD264">
        <f t="shared" si="770"/>
        <v>-1</v>
      </c>
      <c r="DE264">
        <f t="shared" si="770"/>
        <v>-1</v>
      </c>
      <c r="DF264">
        <f t="shared" si="770"/>
        <v>-1</v>
      </c>
      <c r="DG264">
        <f t="shared" si="770"/>
        <v>-1</v>
      </c>
      <c r="DH264">
        <f t="shared" si="770"/>
        <v>-1</v>
      </c>
      <c r="DI264">
        <f t="shared" si="770"/>
        <v>-1</v>
      </c>
      <c r="DJ264">
        <f t="shared" si="770"/>
        <v>-1</v>
      </c>
      <c r="DK264">
        <f t="shared" si="770"/>
        <v>-1</v>
      </c>
      <c r="DL264">
        <f t="shared" si="770"/>
        <v>-1</v>
      </c>
      <c r="DM264">
        <f t="shared" si="770"/>
        <v>-1</v>
      </c>
      <c r="DN264">
        <f t="shared" si="770"/>
        <v>-1</v>
      </c>
      <c r="DO264">
        <f t="shared" si="770"/>
        <v>-1</v>
      </c>
      <c r="DP264">
        <f t="shared" si="770"/>
        <v>-1</v>
      </c>
      <c r="DQ264">
        <f t="shared" si="770"/>
        <v>-1</v>
      </c>
      <c r="DR264">
        <f t="shared" si="770"/>
        <v>-1</v>
      </c>
      <c r="DS264">
        <f t="shared" si="770"/>
        <v>-1</v>
      </c>
      <c r="DT264">
        <f t="shared" si="770"/>
        <v>-1</v>
      </c>
      <c r="DU264">
        <f t="shared" si="770"/>
        <v>-1</v>
      </c>
      <c r="DV264">
        <f t="shared" si="770"/>
        <v>-1</v>
      </c>
      <c r="DW264">
        <f t="shared" si="770"/>
        <v>-1</v>
      </c>
      <c r="DX264">
        <f t="shared" si="770"/>
        <v>-1</v>
      </c>
      <c r="DY264">
        <f t="shared" si="770"/>
        <v>-1</v>
      </c>
      <c r="DZ264">
        <f t="shared" si="770"/>
        <v>-1</v>
      </c>
      <c r="EA264">
        <f t="shared" si="770"/>
        <v>-1</v>
      </c>
      <c r="EB264">
        <f t="shared" ref="EB264:EO264" si="771">IF(OR(EB263=-1,AND(IF(EB$3&lt;$B264,EB263+EB$6,IF(EB$3=$B264,1,""))&gt;$B$1,EB$3&lt;$B264)),-1,IF(EB$3&lt;$B264,EB263+EB$6,IF(EB$3=$B264,1,"")))</f>
        <v>-1</v>
      </c>
      <c r="EC264">
        <f t="shared" si="771"/>
        <v>-1</v>
      </c>
      <c r="ED264">
        <f t="shared" si="771"/>
        <v>-1</v>
      </c>
      <c r="EE264">
        <f t="shared" si="771"/>
        <v>-1</v>
      </c>
      <c r="EF264">
        <f t="shared" si="771"/>
        <v>-1</v>
      </c>
      <c r="EG264">
        <f t="shared" si="771"/>
        <v>-1</v>
      </c>
      <c r="EH264">
        <f t="shared" si="771"/>
        <v>-1</v>
      </c>
      <c r="EI264">
        <f t="shared" si="771"/>
        <v>-1</v>
      </c>
      <c r="EJ264">
        <f t="shared" si="771"/>
        <v>-1</v>
      </c>
      <c r="EK264">
        <f t="shared" si="771"/>
        <v>-1</v>
      </c>
      <c r="EL264">
        <f t="shared" si="771"/>
        <v>-1</v>
      </c>
      <c r="EM264">
        <f t="shared" si="771"/>
        <v>-1</v>
      </c>
      <c r="EN264">
        <f t="shared" si="771"/>
        <v>-1</v>
      </c>
      <c r="EO264">
        <f t="shared" si="771"/>
        <v>-1</v>
      </c>
    </row>
    <row r="265" spans="1:145" x14ac:dyDescent="0.15">
      <c r="A265" t="e">
        <f t="shared" ref="A265:C308" si="772">IF(OR(A264=-1,AND(IF(A$3&lt;$B265,A264+A$6,IF(A$3=$B265,1,""))&gt;$B$1,A$3&lt;$B265)),-1,IF(A$3&lt;$B265,A264+A$6,IF(A$3=$B265,1,"")))</f>
        <v>#N/A</v>
      </c>
      <c r="B265" s="218">
        <v>257</v>
      </c>
      <c r="C265">
        <f t="shared" si="772"/>
        <v>-1</v>
      </c>
      <c r="D265">
        <f t="shared" ref="D265:BO265" si="773">IF(OR(D264=-1,AND(IF(D$3&lt;$B265,D264+D$6,IF(D$3=$B265,1,""))&gt;$B$1,D$3&lt;$B265)),-1,IF(D$3&lt;$B265,D264+D$6,IF(D$3=$B265,1,"")))</f>
        <v>-1</v>
      </c>
      <c r="E265">
        <f t="shared" si="773"/>
        <v>-1</v>
      </c>
      <c r="F265">
        <f t="shared" si="773"/>
        <v>-1</v>
      </c>
      <c r="G265">
        <f t="shared" si="773"/>
        <v>-1</v>
      </c>
      <c r="H265">
        <f t="shared" si="773"/>
        <v>-1</v>
      </c>
      <c r="I265">
        <f t="shared" si="773"/>
        <v>-1</v>
      </c>
      <c r="J265">
        <f t="shared" si="773"/>
        <v>-1</v>
      </c>
      <c r="K265">
        <f t="shared" si="773"/>
        <v>-1</v>
      </c>
      <c r="L265">
        <f t="shared" si="773"/>
        <v>-1</v>
      </c>
      <c r="M265">
        <f t="shared" si="773"/>
        <v>-1</v>
      </c>
      <c r="N265">
        <f t="shared" si="773"/>
        <v>-1</v>
      </c>
      <c r="O265">
        <f t="shared" si="773"/>
        <v>-1</v>
      </c>
      <c r="P265">
        <f t="shared" si="773"/>
        <v>-1</v>
      </c>
      <c r="Q265">
        <f t="shared" si="773"/>
        <v>-1</v>
      </c>
      <c r="R265">
        <f t="shared" si="773"/>
        <v>-1</v>
      </c>
      <c r="S265">
        <f t="shared" si="773"/>
        <v>-1</v>
      </c>
      <c r="T265">
        <f t="shared" si="773"/>
        <v>-1</v>
      </c>
      <c r="U265">
        <f t="shared" si="773"/>
        <v>-1</v>
      </c>
      <c r="V265">
        <f t="shared" si="773"/>
        <v>-1</v>
      </c>
      <c r="W265">
        <f t="shared" si="773"/>
        <v>-1</v>
      </c>
      <c r="X265">
        <f t="shared" si="773"/>
        <v>-1</v>
      </c>
      <c r="Y265">
        <f t="shared" si="773"/>
        <v>-1</v>
      </c>
      <c r="Z265">
        <f t="shared" si="773"/>
        <v>-1</v>
      </c>
      <c r="AA265">
        <f t="shared" si="773"/>
        <v>-1</v>
      </c>
      <c r="AB265">
        <f t="shared" si="773"/>
        <v>-1</v>
      </c>
      <c r="AC265">
        <f t="shared" si="773"/>
        <v>-1</v>
      </c>
      <c r="AD265">
        <f t="shared" si="773"/>
        <v>-1</v>
      </c>
      <c r="AE265">
        <f t="shared" si="773"/>
        <v>-1</v>
      </c>
      <c r="AF265">
        <f t="shared" si="773"/>
        <v>-1</v>
      </c>
      <c r="AG265">
        <f t="shared" si="773"/>
        <v>-1</v>
      </c>
      <c r="AH265">
        <f t="shared" si="773"/>
        <v>-1</v>
      </c>
      <c r="AI265">
        <f t="shared" si="773"/>
        <v>-1</v>
      </c>
      <c r="AJ265">
        <f t="shared" si="773"/>
        <v>-1</v>
      </c>
      <c r="AK265">
        <f t="shared" si="773"/>
        <v>-1</v>
      </c>
      <c r="AL265">
        <f t="shared" si="773"/>
        <v>-1</v>
      </c>
      <c r="AM265">
        <f t="shared" si="773"/>
        <v>-1</v>
      </c>
      <c r="AN265">
        <f t="shared" si="773"/>
        <v>-1</v>
      </c>
      <c r="AO265">
        <f t="shared" si="773"/>
        <v>-1</v>
      </c>
      <c r="AP265">
        <f t="shared" si="773"/>
        <v>-1</v>
      </c>
      <c r="AQ265">
        <f t="shared" si="773"/>
        <v>-1</v>
      </c>
      <c r="AR265">
        <f t="shared" si="773"/>
        <v>-1</v>
      </c>
      <c r="AS265">
        <f t="shared" si="773"/>
        <v>-1</v>
      </c>
      <c r="AT265">
        <f t="shared" si="773"/>
        <v>-1</v>
      </c>
      <c r="AU265">
        <f t="shared" si="773"/>
        <v>-1</v>
      </c>
      <c r="AV265">
        <f t="shared" si="773"/>
        <v>-1</v>
      </c>
      <c r="AW265">
        <f t="shared" si="773"/>
        <v>-1</v>
      </c>
      <c r="AX265">
        <f t="shared" si="773"/>
        <v>-1</v>
      </c>
      <c r="AY265">
        <f t="shared" si="773"/>
        <v>-1</v>
      </c>
      <c r="AZ265">
        <f t="shared" si="773"/>
        <v>-1</v>
      </c>
      <c r="BA265">
        <f t="shared" si="773"/>
        <v>-1</v>
      </c>
      <c r="BB265">
        <f t="shared" si="773"/>
        <v>-1</v>
      </c>
      <c r="BC265">
        <f t="shared" si="773"/>
        <v>-1</v>
      </c>
      <c r="BD265">
        <f t="shared" si="773"/>
        <v>-1</v>
      </c>
      <c r="BE265">
        <f t="shared" si="773"/>
        <v>-1</v>
      </c>
      <c r="BF265">
        <f t="shared" si="773"/>
        <v>-1</v>
      </c>
      <c r="BG265">
        <f t="shared" si="773"/>
        <v>-1</v>
      </c>
      <c r="BH265">
        <f t="shared" si="773"/>
        <v>-1</v>
      </c>
      <c r="BI265">
        <f t="shared" si="773"/>
        <v>-1</v>
      </c>
      <c r="BJ265">
        <f t="shared" si="773"/>
        <v>-1</v>
      </c>
      <c r="BK265">
        <f t="shared" si="773"/>
        <v>-1</v>
      </c>
      <c r="BL265">
        <f t="shared" si="773"/>
        <v>-1</v>
      </c>
      <c r="BM265">
        <f t="shared" si="773"/>
        <v>-1</v>
      </c>
      <c r="BN265">
        <f t="shared" si="773"/>
        <v>-1</v>
      </c>
      <c r="BO265">
        <f t="shared" si="773"/>
        <v>-1</v>
      </c>
      <c r="BP265">
        <f t="shared" ref="BP265:EA265" si="774">IF(OR(BP264=-1,AND(IF(BP$3&lt;$B265,BP264+BP$6,IF(BP$3=$B265,1,""))&gt;$B$1,BP$3&lt;$B265)),-1,IF(BP$3&lt;$B265,BP264+BP$6,IF(BP$3=$B265,1,"")))</f>
        <v>-1</v>
      </c>
      <c r="BQ265">
        <f t="shared" si="774"/>
        <v>-1</v>
      </c>
      <c r="BR265">
        <f t="shared" si="774"/>
        <v>-1</v>
      </c>
      <c r="BS265">
        <f t="shared" si="774"/>
        <v>-1</v>
      </c>
      <c r="BT265">
        <f t="shared" si="774"/>
        <v>-1</v>
      </c>
      <c r="BU265">
        <f t="shared" si="774"/>
        <v>-1</v>
      </c>
      <c r="BV265">
        <f t="shared" si="774"/>
        <v>-1</v>
      </c>
      <c r="BW265">
        <f t="shared" si="774"/>
        <v>-1</v>
      </c>
      <c r="BX265">
        <f t="shared" si="774"/>
        <v>-1</v>
      </c>
      <c r="BY265">
        <f t="shared" si="774"/>
        <v>-1</v>
      </c>
      <c r="BZ265">
        <f t="shared" si="774"/>
        <v>-1</v>
      </c>
      <c r="CA265">
        <f t="shared" si="774"/>
        <v>-1</v>
      </c>
      <c r="CB265">
        <f t="shared" si="774"/>
        <v>-1</v>
      </c>
      <c r="CC265">
        <f t="shared" si="774"/>
        <v>-1</v>
      </c>
      <c r="CD265">
        <f t="shared" si="774"/>
        <v>-1</v>
      </c>
      <c r="CE265">
        <f t="shared" si="774"/>
        <v>-1</v>
      </c>
      <c r="CF265">
        <f t="shared" si="774"/>
        <v>-1</v>
      </c>
      <c r="CG265">
        <f t="shared" si="774"/>
        <v>-1</v>
      </c>
      <c r="CH265">
        <f t="shared" si="774"/>
        <v>-1</v>
      </c>
      <c r="CI265">
        <f t="shared" si="774"/>
        <v>-1</v>
      </c>
      <c r="CJ265">
        <f t="shared" si="774"/>
        <v>-1</v>
      </c>
      <c r="CK265">
        <f t="shared" si="774"/>
        <v>-1</v>
      </c>
      <c r="CL265">
        <f t="shared" si="774"/>
        <v>-1</v>
      </c>
      <c r="CM265">
        <f t="shared" si="774"/>
        <v>-1</v>
      </c>
      <c r="CN265">
        <f t="shared" si="774"/>
        <v>-1</v>
      </c>
      <c r="CO265">
        <f t="shared" si="774"/>
        <v>-1</v>
      </c>
      <c r="CP265">
        <f t="shared" si="774"/>
        <v>-1</v>
      </c>
      <c r="CQ265">
        <f t="shared" si="774"/>
        <v>-1</v>
      </c>
      <c r="CR265">
        <f t="shared" si="774"/>
        <v>-1</v>
      </c>
      <c r="CS265">
        <f t="shared" si="774"/>
        <v>-1</v>
      </c>
      <c r="CT265">
        <f t="shared" si="774"/>
        <v>-1</v>
      </c>
      <c r="CU265">
        <f t="shared" si="774"/>
        <v>-1</v>
      </c>
      <c r="CV265">
        <f t="shared" si="774"/>
        <v>-1</v>
      </c>
      <c r="CW265">
        <f t="shared" si="774"/>
        <v>-1</v>
      </c>
      <c r="CX265">
        <f t="shared" si="774"/>
        <v>-1</v>
      </c>
      <c r="CY265">
        <f t="shared" si="774"/>
        <v>-1</v>
      </c>
      <c r="CZ265">
        <f t="shared" si="774"/>
        <v>-1</v>
      </c>
      <c r="DA265">
        <f t="shared" si="774"/>
        <v>-1</v>
      </c>
      <c r="DB265">
        <f t="shared" si="774"/>
        <v>-1</v>
      </c>
      <c r="DC265">
        <f t="shared" si="774"/>
        <v>-1</v>
      </c>
      <c r="DD265">
        <f t="shared" si="774"/>
        <v>-1</v>
      </c>
      <c r="DE265">
        <f t="shared" si="774"/>
        <v>-1</v>
      </c>
      <c r="DF265">
        <f t="shared" si="774"/>
        <v>-1</v>
      </c>
      <c r="DG265">
        <f t="shared" si="774"/>
        <v>-1</v>
      </c>
      <c r="DH265">
        <f t="shared" si="774"/>
        <v>-1</v>
      </c>
      <c r="DI265">
        <f t="shared" si="774"/>
        <v>-1</v>
      </c>
      <c r="DJ265">
        <f t="shared" si="774"/>
        <v>-1</v>
      </c>
      <c r="DK265">
        <f t="shared" si="774"/>
        <v>-1</v>
      </c>
      <c r="DL265">
        <f t="shared" si="774"/>
        <v>-1</v>
      </c>
      <c r="DM265">
        <f t="shared" si="774"/>
        <v>-1</v>
      </c>
      <c r="DN265">
        <f t="shared" si="774"/>
        <v>-1</v>
      </c>
      <c r="DO265">
        <f t="shared" si="774"/>
        <v>-1</v>
      </c>
      <c r="DP265">
        <f t="shared" si="774"/>
        <v>-1</v>
      </c>
      <c r="DQ265">
        <f t="shared" si="774"/>
        <v>-1</v>
      </c>
      <c r="DR265">
        <f t="shared" si="774"/>
        <v>-1</v>
      </c>
      <c r="DS265">
        <f t="shared" si="774"/>
        <v>-1</v>
      </c>
      <c r="DT265">
        <f t="shared" si="774"/>
        <v>-1</v>
      </c>
      <c r="DU265">
        <f t="shared" si="774"/>
        <v>-1</v>
      </c>
      <c r="DV265">
        <f t="shared" si="774"/>
        <v>-1</v>
      </c>
      <c r="DW265">
        <f t="shared" si="774"/>
        <v>-1</v>
      </c>
      <c r="DX265">
        <f t="shared" si="774"/>
        <v>-1</v>
      </c>
      <c r="DY265">
        <f t="shared" si="774"/>
        <v>-1</v>
      </c>
      <c r="DZ265">
        <f t="shared" si="774"/>
        <v>-1</v>
      </c>
      <c r="EA265">
        <f t="shared" si="774"/>
        <v>-1</v>
      </c>
      <c r="EB265">
        <f t="shared" ref="EB265:EO265" si="775">IF(OR(EB264=-1,AND(IF(EB$3&lt;$B265,EB264+EB$6,IF(EB$3=$B265,1,""))&gt;$B$1,EB$3&lt;$B265)),-1,IF(EB$3&lt;$B265,EB264+EB$6,IF(EB$3=$B265,1,"")))</f>
        <v>-1</v>
      </c>
      <c r="EC265">
        <f t="shared" si="775"/>
        <v>-1</v>
      </c>
      <c r="ED265">
        <f t="shared" si="775"/>
        <v>-1</v>
      </c>
      <c r="EE265">
        <f t="shared" si="775"/>
        <v>-1</v>
      </c>
      <c r="EF265">
        <f t="shared" si="775"/>
        <v>-1</v>
      </c>
      <c r="EG265">
        <f t="shared" si="775"/>
        <v>-1</v>
      </c>
      <c r="EH265">
        <f t="shared" si="775"/>
        <v>-1</v>
      </c>
      <c r="EI265">
        <f t="shared" si="775"/>
        <v>-1</v>
      </c>
      <c r="EJ265">
        <f t="shared" si="775"/>
        <v>-1</v>
      </c>
      <c r="EK265">
        <f t="shared" si="775"/>
        <v>-1</v>
      </c>
      <c r="EL265">
        <f t="shared" si="775"/>
        <v>-1</v>
      </c>
      <c r="EM265">
        <f t="shared" si="775"/>
        <v>-1</v>
      </c>
      <c r="EN265">
        <f t="shared" si="775"/>
        <v>-1</v>
      </c>
      <c r="EO265">
        <f t="shared" si="775"/>
        <v>-1</v>
      </c>
    </row>
    <row r="266" spans="1:145" x14ac:dyDescent="0.15">
      <c r="A266" t="e">
        <f t="shared" si="772"/>
        <v>#N/A</v>
      </c>
      <c r="B266" s="218">
        <v>258</v>
      </c>
      <c r="C266">
        <f t="shared" si="772"/>
        <v>-1</v>
      </c>
      <c r="D266">
        <f t="shared" ref="D266:BO266" si="776">IF(OR(D265=-1,AND(IF(D$3&lt;$B266,D265+D$6,IF(D$3=$B266,1,""))&gt;$B$1,D$3&lt;$B266)),-1,IF(D$3&lt;$B266,D265+D$6,IF(D$3=$B266,1,"")))</f>
        <v>-1</v>
      </c>
      <c r="E266">
        <f t="shared" si="776"/>
        <v>-1</v>
      </c>
      <c r="F266">
        <f t="shared" si="776"/>
        <v>-1</v>
      </c>
      <c r="G266">
        <f t="shared" si="776"/>
        <v>-1</v>
      </c>
      <c r="H266">
        <f t="shared" si="776"/>
        <v>-1</v>
      </c>
      <c r="I266">
        <f t="shared" si="776"/>
        <v>-1</v>
      </c>
      <c r="J266">
        <f t="shared" si="776"/>
        <v>-1</v>
      </c>
      <c r="K266">
        <f t="shared" si="776"/>
        <v>-1</v>
      </c>
      <c r="L266">
        <f t="shared" si="776"/>
        <v>-1</v>
      </c>
      <c r="M266">
        <f t="shared" si="776"/>
        <v>-1</v>
      </c>
      <c r="N266">
        <f t="shared" si="776"/>
        <v>-1</v>
      </c>
      <c r="O266">
        <f t="shared" si="776"/>
        <v>-1</v>
      </c>
      <c r="P266">
        <f t="shared" si="776"/>
        <v>-1</v>
      </c>
      <c r="Q266">
        <f t="shared" si="776"/>
        <v>-1</v>
      </c>
      <c r="R266">
        <f t="shared" si="776"/>
        <v>-1</v>
      </c>
      <c r="S266">
        <f t="shared" si="776"/>
        <v>-1</v>
      </c>
      <c r="T266">
        <f t="shared" si="776"/>
        <v>-1</v>
      </c>
      <c r="U266">
        <f t="shared" si="776"/>
        <v>-1</v>
      </c>
      <c r="V266">
        <f t="shared" si="776"/>
        <v>-1</v>
      </c>
      <c r="W266">
        <f t="shared" si="776"/>
        <v>-1</v>
      </c>
      <c r="X266">
        <f t="shared" si="776"/>
        <v>-1</v>
      </c>
      <c r="Y266">
        <f t="shared" si="776"/>
        <v>-1</v>
      </c>
      <c r="Z266">
        <f t="shared" si="776"/>
        <v>-1</v>
      </c>
      <c r="AA266">
        <f t="shared" si="776"/>
        <v>-1</v>
      </c>
      <c r="AB266">
        <f t="shared" si="776"/>
        <v>-1</v>
      </c>
      <c r="AC266">
        <f t="shared" si="776"/>
        <v>-1</v>
      </c>
      <c r="AD266">
        <f t="shared" si="776"/>
        <v>-1</v>
      </c>
      <c r="AE266">
        <f t="shared" si="776"/>
        <v>-1</v>
      </c>
      <c r="AF266">
        <f t="shared" si="776"/>
        <v>-1</v>
      </c>
      <c r="AG266">
        <f t="shared" si="776"/>
        <v>-1</v>
      </c>
      <c r="AH266">
        <f t="shared" si="776"/>
        <v>-1</v>
      </c>
      <c r="AI266">
        <f t="shared" si="776"/>
        <v>-1</v>
      </c>
      <c r="AJ266">
        <f t="shared" si="776"/>
        <v>-1</v>
      </c>
      <c r="AK266">
        <f t="shared" si="776"/>
        <v>-1</v>
      </c>
      <c r="AL266">
        <f t="shared" si="776"/>
        <v>-1</v>
      </c>
      <c r="AM266">
        <f t="shared" si="776"/>
        <v>-1</v>
      </c>
      <c r="AN266">
        <f t="shared" si="776"/>
        <v>-1</v>
      </c>
      <c r="AO266">
        <f t="shared" si="776"/>
        <v>-1</v>
      </c>
      <c r="AP266">
        <f t="shared" si="776"/>
        <v>-1</v>
      </c>
      <c r="AQ266">
        <f t="shared" si="776"/>
        <v>-1</v>
      </c>
      <c r="AR266">
        <f t="shared" si="776"/>
        <v>-1</v>
      </c>
      <c r="AS266">
        <f t="shared" si="776"/>
        <v>-1</v>
      </c>
      <c r="AT266">
        <f t="shared" si="776"/>
        <v>-1</v>
      </c>
      <c r="AU266">
        <f t="shared" si="776"/>
        <v>-1</v>
      </c>
      <c r="AV266">
        <f t="shared" si="776"/>
        <v>-1</v>
      </c>
      <c r="AW266">
        <f t="shared" si="776"/>
        <v>-1</v>
      </c>
      <c r="AX266">
        <f t="shared" si="776"/>
        <v>-1</v>
      </c>
      <c r="AY266">
        <f t="shared" si="776"/>
        <v>-1</v>
      </c>
      <c r="AZ266">
        <f t="shared" si="776"/>
        <v>-1</v>
      </c>
      <c r="BA266">
        <f t="shared" si="776"/>
        <v>-1</v>
      </c>
      <c r="BB266">
        <f t="shared" si="776"/>
        <v>-1</v>
      </c>
      <c r="BC266">
        <f t="shared" si="776"/>
        <v>-1</v>
      </c>
      <c r="BD266">
        <f t="shared" si="776"/>
        <v>-1</v>
      </c>
      <c r="BE266">
        <f t="shared" si="776"/>
        <v>-1</v>
      </c>
      <c r="BF266">
        <f t="shared" si="776"/>
        <v>-1</v>
      </c>
      <c r="BG266">
        <f t="shared" si="776"/>
        <v>-1</v>
      </c>
      <c r="BH266">
        <f t="shared" si="776"/>
        <v>-1</v>
      </c>
      <c r="BI266">
        <f t="shared" si="776"/>
        <v>-1</v>
      </c>
      <c r="BJ266">
        <f t="shared" si="776"/>
        <v>-1</v>
      </c>
      <c r="BK266">
        <f t="shared" si="776"/>
        <v>-1</v>
      </c>
      <c r="BL266">
        <f t="shared" si="776"/>
        <v>-1</v>
      </c>
      <c r="BM266">
        <f t="shared" si="776"/>
        <v>-1</v>
      </c>
      <c r="BN266">
        <f t="shared" si="776"/>
        <v>-1</v>
      </c>
      <c r="BO266">
        <f t="shared" si="776"/>
        <v>-1</v>
      </c>
      <c r="BP266">
        <f t="shared" ref="BP266:EA266" si="777">IF(OR(BP265=-1,AND(IF(BP$3&lt;$B266,BP265+BP$6,IF(BP$3=$B266,1,""))&gt;$B$1,BP$3&lt;$B266)),-1,IF(BP$3&lt;$B266,BP265+BP$6,IF(BP$3=$B266,1,"")))</f>
        <v>-1</v>
      </c>
      <c r="BQ266">
        <f t="shared" si="777"/>
        <v>-1</v>
      </c>
      <c r="BR266">
        <f t="shared" si="777"/>
        <v>-1</v>
      </c>
      <c r="BS266">
        <f t="shared" si="777"/>
        <v>-1</v>
      </c>
      <c r="BT266">
        <f t="shared" si="777"/>
        <v>-1</v>
      </c>
      <c r="BU266">
        <f t="shared" si="777"/>
        <v>-1</v>
      </c>
      <c r="BV266">
        <f t="shared" si="777"/>
        <v>-1</v>
      </c>
      <c r="BW266">
        <f t="shared" si="777"/>
        <v>-1</v>
      </c>
      <c r="BX266">
        <f t="shared" si="777"/>
        <v>-1</v>
      </c>
      <c r="BY266">
        <f t="shared" si="777"/>
        <v>-1</v>
      </c>
      <c r="BZ266">
        <f t="shared" si="777"/>
        <v>-1</v>
      </c>
      <c r="CA266">
        <f t="shared" si="777"/>
        <v>-1</v>
      </c>
      <c r="CB266">
        <f t="shared" si="777"/>
        <v>-1</v>
      </c>
      <c r="CC266">
        <f t="shared" si="777"/>
        <v>-1</v>
      </c>
      <c r="CD266">
        <f t="shared" si="777"/>
        <v>-1</v>
      </c>
      <c r="CE266">
        <f t="shared" si="777"/>
        <v>-1</v>
      </c>
      <c r="CF266">
        <f t="shared" si="777"/>
        <v>-1</v>
      </c>
      <c r="CG266">
        <f t="shared" si="777"/>
        <v>-1</v>
      </c>
      <c r="CH266">
        <f t="shared" si="777"/>
        <v>-1</v>
      </c>
      <c r="CI266">
        <f t="shared" si="777"/>
        <v>-1</v>
      </c>
      <c r="CJ266">
        <f t="shared" si="777"/>
        <v>-1</v>
      </c>
      <c r="CK266">
        <f t="shared" si="777"/>
        <v>-1</v>
      </c>
      <c r="CL266">
        <f t="shared" si="777"/>
        <v>-1</v>
      </c>
      <c r="CM266">
        <f t="shared" si="777"/>
        <v>-1</v>
      </c>
      <c r="CN266">
        <f t="shared" si="777"/>
        <v>-1</v>
      </c>
      <c r="CO266">
        <f t="shared" si="777"/>
        <v>-1</v>
      </c>
      <c r="CP266">
        <f t="shared" si="777"/>
        <v>-1</v>
      </c>
      <c r="CQ266">
        <f t="shared" si="777"/>
        <v>-1</v>
      </c>
      <c r="CR266">
        <f t="shared" si="777"/>
        <v>-1</v>
      </c>
      <c r="CS266">
        <f t="shared" si="777"/>
        <v>-1</v>
      </c>
      <c r="CT266">
        <f t="shared" si="777"/>
        <v>-1</v>
      </c>
      <c r="CU266">
        <f t="shared" si="777"/>
        <v>-1</v>
      </c>
      <c r="CV266">
        <f t="shared" si="777"/>
        <v>-1</v>
      </c>
      <c r="CW266">
        <f t="shared" si="777"/>
        <v>-1</v>
      </c>
      <c r="CX266">
        <f t="shared" si="777"/>
        <v>-1</v>
      </c>
      <c r="CY266">
        <f t="shared" si="777"/>
        <v>-1</v>
      </c>
      <c r="CZ266">
        <f t="shared" si="777"/>
        <v>-1</v>
      </c>
      <c r="DA266">
        <f t="shared" si="777"/>
        <v>-1</v>
      </c>
      <c r="DB266">
        <f t="shared" si="777"/>
        <v>-1</v>
      </c>
      <c r="DC266">
        <f t="shared" si="777"/>
        <v>-1</v>
      </c>
      <c r="DD266">
        <f t="shared" si="777"/>
        <v>-1</v>
      </c>
      <c r="DE266">
        <f t="shared" si="777"/>
        <v>-1</v>
      </c>
      <c r="DF266">
        <f t="shared" si="777"/>
        <v>-1</v>
      </c>
      <c r="DG266">
        <f t="shared" si="777"/>
        <v>-1</v>
      </c>
      <c r="DH266">
        <f t="shared" si="777"/>
        <v>-1</v>
      </c>
      <c r="DI266">
        <f t="shared" si="777"/>
        <v>-1</v>
      </c>
      <c r="DJ266">
        <f t="shared" si="777"/>
        <v>-1</v>
      </c>
      <c r="DK266">
        <f t="shared" si="777"/>
        <v>-1</v>
      </c>
      <c r="DL266">
        <f t="shared" si="777"/>
        <v>-1</v>
      </c>
      <c r="DM266">
        <f t="shared" si="777"/>
        <v>-1</v>
      </c>
      <c r="DN266">
        <f t="shared" si="777"/>
        <v>-1</v>
      </c>
      <c r="DO266">
        <f t="shared" si="777"/>
        <v>-1</v>
      </c>
      <c r="DP266">
        <f t="shared" si="777"/>
        <v>-1</v>
      </c>
      <c r="DQ266">
        <f t="shared" si="777"/>
        <v>-1</v>
      </c>
      <c r="DR266">
        <f t="shared" si="777"/>
        <v>-1</v>
      </c>
      <c r="DS266">
        <f t="shared" si="777"/>
        <v>-1</v>
      </c>
      <c r="DT266">
        <f t="shared" si="777"/>
        <v>-1</v>
      </c>
      <c r="DU266">
        <f t="shared" si="777"/>
        <v>-1</v>
      </c>
      <c r="DV266">
        <f t="shared" si="777"/>
        <v>-1</v>
      </c>
      <c r="DW266">
        <f t="shared" si="777"/>
        <v>-1</v>
      </c>
      <c r="DX266">
        <f t="shared" si="777"/>
        <v>-1</v>
      </c>
      <c r="DY266">
        <f t="shared" si="777"/>
        <v>-1</v>
      </c>
      <c r="DZ266">
        <f t="shared" si="777"/>
        <v>-1</v>
      </c>
      <c r="EA266">
        <f t="shared" si="777"/>
        <v>-1</v>
      </c>
      <c r="EB266">
        <f t="shared" ref="EB266:EO266" si="778">IF(OR(EB265=-1,AND(IF(EB$3&lt;$B266,EB265+EB$6,IF(EB$3=$B266,1,""))&gt;$B$1,EB$3&lt;$B266)),-1,IF(EB$3&lt;$B266,EB265+EB$6,IF(EB$3=$B266,1,"")))</f>
        <v>-1</v>
      </c>
      <c r="EC266">
        <f t="shared" si="778"/>
        <v>-1</v>
      </c>
      <c r="ED266">
        <f t="shared" si="778"/>
        <v>-1</v>
      </c>
      <c r="EE266">
        <f t="shared" si="778"/>
        <v>-1</v>
      </c>
      <c r="EF266">
        <f t="shared" si="778"/>
        <v>-1</v>
      </c>
      <c r="EG266">
        <f t="shared" si="778"/>
        <v>-1</v>
      </c>
      <c r="EH266">
        <f t="shared" si="778"/>
        <v>-1</v>
      </c>
      <c r="EI266">
        <f t="shared" si="778"/>
        <v>-1</v>
      </c>
      <c r="EJ266">
        <f t="shared" si="778"/>
        <v>-1</v>
      </c>
      <c r="EK266">
        <f t="shared" si="778"/>
        <v>-1</v>
      </c>
      <c r="EL266">
        <f t="shared" si="778"/>
        <v>-1</v>
      </c>
      <c r="EM266">
        <f t="shared" si="778"/>
        <v>-1</v>
      </c>
      <c r="EN266">
        <f t="shared" si="778"/>
        <v>-1</v>
      </c>
      <c r="EO266">
        <f t="shared" si="778"/>
        <v>-1</v>
      </c>
    </row>
    <row r="267" spans="1:145" x14ac:dyDescent="0.15">
      <c r="A267" t="e">
        <f t="shared" si="772"/>
        <v>#N/A</v>
      </c>
      <c r="B267" s="218">
        <v>259</v>
      </c>
      <c r="C267">
        <f t="shared" si="772"/>
        <v>-1</v>
      </c>
      <c r="D267">
        <f t="shared" ref="D267:BO267" si="779">IF(OR(D266=-1,AND(IF(D$3&lt;$B267,D266+D$6,IF(D$3=$B267,1,""))&gt;$B$1,D$3&lt;$B267)),-1,IF(D$3&lt;$B267,D266+D$6,IF(D$3=$B267,1,"")))</f>
        <v>-1</v>
      </c>
      <c r="E267">
        <f t="shared" si="779"/>
        <v>-1</v>
      </c>
      <c r="F267">
        <f t="shared" si="779"/>
        <v>-1</v>
      </c>
      <c r="G267">
        <f t="shared" si="779"/>
        <v>-1</v>
      </c>
      <c r="H267">
        <f t="shared" si="779"/>
        <v>-1</v>
      </c>
      <c r="I267">
        <f t="shared" si="779"/>
        <v>-1</v>
      </c>
      <c r="J267">
        <f t="shared" si="779"/>
        <v>-1</v>
      </c>
      <c r="K267">
        <f t="shared" si="779"/>
        <v>-1</v>
      </c>
      <c r="L267">
        <f t="shared" si="779"/>
        <v>-1</v>
      </c>
      <c r="M267">
        <f t="shared" si="779"/>
        <v>-1</v>
      </c>
      <c r="N267">
        <f t="shared" si="779"/>
        <v>-1</v>
      </c>
      <c r="O267">
        <f t="shared" si="779"/>
        <v>-1</v>
      </c>
      <c r="P267">
        <f t="shared" si="779"/>
        <v>-1</v>
      </c>
      <c r="Q267">
        <f t="shared" si="779"/>
        <v>-1</v>
      </c>
      <c r="R267">
        <f t="shared" si="779"/>
        <v>-1</v>
      </c>
      <c r="S267">
        <f t="shared" si="779"/>
        <v>-1</v>
      </c>
      <c r="T267">
        <f t="shared" si="779"/>
        <v>-1</v>
      </c>
      <c r="U267">
        <f t="shared" si="779"/>
        <v>-1</v>
      </c>
      <c r="V267">
        <f t="shared" si="779"/>
        <v>-1</v>
      </c>
      <c r="W267">
        <f t="shared" si="779"/>
        <v>-1</v>
      </c>
      <c r="X267">
        <f t="shared" si="779"/>
        <v>-1</v>
      </c>
      <c r="Y267">
        <f t="shared" si="779"/>
        <v>-1</v>
      </c>
      <c r="Z267">
        <f t="shared" si="779"/>
        <v>-1</v>
      </c>
      <c r="AA267">
        <f t="shared" si="779"/>
        <v>-1</v>
      </c>
      <c r="AB267">
        <f t="shared" si="779"/>
        <v>-1</v>
      </c>
      <c r="AC267">
        <f t="shared" si="779"/>
        <v>-1</v>
      </c>
      <c r="AD267">
        <f t="shared" si="779"/>
        <v>-1</v>
      </c>
      <c r="AE267">
        <f t="shared" si="779"/>
        <v>-1</v>
      </c>
      <c r="AF267">
        <f t="shared" si="779"/>
        <v>-1</v>
      </c>
      <c r="AG267">
        <f t="shared" si="779"/>
        <v>-1</v>
      </c>
      <c r="AH267">
        <f t="shared" si="779"/>
        <v>-1</v>
      </c>
      <c r="AI267">
        <f t="shared" si="779"/>
        <v>-1</v>
      </c>
      <c r="AJ267">
        <f t="shared" si="779"/>
        <v>-1</v>
      </c>
      <c r="AK267">
        <f t="shared" si="779"/>
        <v>-1</v>
      </c>
      <c r="AL267">
        <f t="shared" si="779"/>
        <v>-1</v>
      </c>
      <c r="AM267">
        <f t="shared" si="779"/>
        <v>-1</v>
      </c>
      <c r="AN267">
        <f t="shared" si="779"/>
        <v>-1</v>
      </c>
      <c r="AO267">
        <f t="shared" si="779"/>
        <v>-1</v>
      </c>
      <c r="AP267">
        <f t="shared" si="779"/>
        <v>-1</v>
      </c>
      <c r="AQ267">
        <f t="shared" si="779"/>
        <v>-1</v>
      </c>
      <c r="AR267">
        <f t="shared" si="779"/>
        <v>-1</v>
      </c>
      <c r="AS267">
        <f t="shared" si="779"/>
        <v>-1</v>
      </c>
      <c r="AT267">
        <f t="shared" si="779"/>
        <v>-1</v>
      </c>
      <c r="AU267">
        <f t="shared" si="779"/>
        <v>-1</v>
      </c>
      <c r="AV267">
        <f t="shared" si="779"/>
        <v>-1</v>
      </c>
      <c r="AW267">
        <f t="shared" si="779"/>
        <v>-1</v>
      </c>
      <c r="AX267">
        <f t="shared" si="779"/>
        <v>-1</v>
      </c>
      <c r="AY267">
        <f t="shared" si="779"/>
        <v>-1</v>
      </c>
      <c r="AZ267">
        <f t="shared" si="779"/>
        <v>-1</v>
      </c>
      <c r="BA267">
        <f t="shared" si="779"/>
        <v>-1</v>
      </c>
      <c r="BB267">
        <f t="shared" si="779"/>
        <v>-1</v>
      </c>
      <c r="BC267">
        <f t="shared" si="779"/>
        <v>-1</v>
      </c>
      <c r="BD267">
        <f t="shared" si="779"/>
        <v>-1</v>
      </c>
      <c r="BE267">
        <f t="shared" si="779"/>
        <v>-1</v>
      </c>
      <c r="BF267">
        <f t="shared" si="779"/>
        <v>-1</v>
      </c>
      <c r="BG267">
        <f t="shared" si="779"/>
        <v>-1</v>
      </c>
      <c r="BH267">
        <f t="shared" si="779"/>
        <v>-1</v>
      </c>
      <c r="BI267">
        <f t="shared" si="779"/>
        <v>-1</v>
      </c>
      <c r="BJ267">
        <f t="shared" si="779"/>
        <v>-1</v>
      </c>
      <c r="BK267">
        <f t="shared" si="779"/>
        <v>-1</v>
      </c>
      <c r="BL267">
        <f t="shared" si="779"/>
        <v>-1</v>
      </c>
      <c r="BM267">
        <f t="shared" si="779"/>
        <v>-1</v>
      </c>
      <c r="BN267">
        <f t="shared" si="779"/>
        <v>-1</v>
      </c>
      <c r="BO267">
        <f t="shared" si="779"/>
        <v>-1</v>
      </c>
      <c r="BP267">
        <f t="shared" ref="BP267:EA267" si="780">IF(OR(BP266=-1,AND(IF(BP$3&lt;$B267,BP266+BP$6,IF(BP$3=$B267,1,""))&gt;$B$1,BP$3&lt;$B267)),-1,IF(BP$3&lt;$B267,BP266+BP$6,IF(BP$3=$B267,1,"")))</f>
        <v>-1</v>
      </c>
      <c r="BQ267">
        <f t="shared" si="780"/>
        <v>-1</v>
      </c>
      <c r="BR267">
        <f t="shared" si="780"/>
        <v>-1</v>
      </c>
      <c r="BS267">
        <f t="shared" si="780"/>
        <v>-1</v>
      </c>
      <c r="BT267">
        <f t="shared" si="780"/>
        <v>-1</v>
      </c>
      <c r="BU267">
        <f t="shared" si="780"/>
        <v>-1</v>
      </c>
      <c r="BV267">
        <f t="shared" si="780"/>
        <v>-1</v>
      </c>
      <c r="BW267">
        <f t="shared" si="780"/>
        <v>-1</v>
      </c>
      <c r="BX267">
        <f t="shared" si="780"/>
        <v>-1</v>
      </c>
      <c r="BY267">
        <f t="shared" si="780"/>
        <v>-1</v>
      </c>
      <c r="BZ267">
        <f t="shared" si="780"/>
        <v>-1</v>
      </c>
      <c r="CA267">
        <f t="shared" si="780"/>
        <v>-1</v>
      </c>
      <c r="CB267">
        <f t="shared" si="780"/>
        <v>-1</v>
      </c>
      <c r="CC267">
        <f t="shared" si="780"/>
        <v>-1</v>
      </c>
      <c r="CD267">
        <f t="shared" si="780"/>
        <v>-1</v>
      </c>
      <c r="CE267">
        <f t="shared" si="780"/>
        <v>-1</v>
      </c>
      <c r="CF267">
        <f t="shared" si="780"/>
        <v>-1</v>
      </c>
      <c r="CG267">
        <f t="shared" si="780"/>
        <v>-1</v>
      </c>
      <c r="CH267">
        <f t="shared" si="780"/>
        <v>-1</v>
      </c>
      <c r="CI267">
        <f t="shared" si="780"/>
        <v>-1</v>
      </c>
      <c r="CJ267">
        <f t="shared" si="780"/>
        <v>-1</v>
      </c>
      <c r="CK267">
        <f t="shared" si="780"/>
        <v>-1</v>
      </c>
      <c r="CL267">
        <f t="shared" si="780"/>
        <v>-1</v>
      </c>
      <c r="CM267">
        <f t="shared" si="780"/>
        <v>-1</v>
      </c>
      <c r="CN267">
        <f t="shared" si="780"/>
        <v>-1</v>
      </c>
      <c r="CO267">
        <f t="shared" si="780"/>
        <v>-1</v>
      </c>
      <c r="CP267">
        <f t="shared" si="780"/>
        <v>-1</v>
      </c>
      <c r="CQ267">
        <f t="shared" si="780"/>
        <v>-1</v>
      </c>
      <c r="CR267">
        <f t="shared" si="780"/>
        <v>-1</v>
      </c>
      <c r="CS267">
        <f t="shared" si="780"/>
        <v>-1</v>
      </c>
      <c r="CT267">
        <f t="shared" si="780"/>
        <v>-1</v>
      </c>
      <c r="CU267">
        <f t="shared" si="780"/>
        <v>-1</v>
      </c>
      <c r="CV267">
        <f t="shared" si="780"/>
        <v>-1</v>
      </c>
      <c r="CW267">
        <f t="shared" si="780"/>
        <v>-1</v>
      </c>
      <c r="CX267">
        <f t="shared" si="780"/>
        <v>-1</v>
      </c>
      <c r="CY267">
        <f t="shared" si="780"/>
        <v>-1</v>
      </c>
      <c r="CZ267">
        <f t="shared" si="780"/>
        <v>-1</v>
      </c>
      <c r="DA267">
        <f t="shared" si="780"/>
        <v>-1</v>
      </c>
      <c r="DB267">
        <f t="shared" si="780"/>
        <v>-1</v>
      </c>
      <c r="DC267">
        <f t="shared" si="780"/>
        <v>-1</v>
      </c>
      <c r="DD267">
        <f t="shared" si="780"/>
        <v>-1</v>
      </c>
      <c r="DE267">
        <f t="shared" si="780"/>
        <v>-1</v>
      </c>
      <c r="DF267">
        <f t="shared" si="780"/>
        <v>-1</v>
      </c>
      <c r="DG267">
        <f t="shared" si="780"/>
        <v>-1</v>
      </c>
      <c r="DH267">
        <f t="shared" si="780"/>
        <v>-1</v>
      </c>
      <c r="DI267">
        <f t="shared" si="780"/>
        <v>-1</v>
      </c>
      <c r="DJ267">
        <f t="shared" si="780"/>
        <v>-1</v>
      </c>
      <c r="DK267">
        <f t="shared" si="780"/>
        <v>-1</v>
      </c>
      <c r="DL267">
        <f t="shared" si="780"/>
        <v>-1</v>
      </c>
      <c r="DM267">
        <f t="shared" si="780"/>
        <v>-1</v>
      </c>
      <c r="DN267">
        <f t="shared" si="780"/>
        <v>-1</v>
      </c>
      <c r="DO267">
        <f t="shared" si="780"/>
        <v>-1</v>
      </c>
      <c r="DP267">
        <f t="shared" si="780"/>
        <v>-1</v>
      </c>
      <c r="DQ267">
        <f t="shared" si="780"/>
        <v>-1</v>
      </c>
      <c r="DR267">
        <f t="shared" si="780"/>
        <v>-1</v>
      </c>
      <c r="DS267">
        <f t="shared" si="780"/>
        <v>-1</v>
      </c>
      <c r="DT267">
        <f t="shared" si="780"/>
        <v>-1</v>
      </c>
      <c r="DU267">
        <f t="shared" si="780"/>
        <v>-1</v>
      </c>
      <c r="DV267">
        <f t="shared" si="780"/>
        <v>-1</v>
      </c>
      <c r="DW267">
        <f t="shared" si="780"/>
        <v>-1</v>
      </c>
      <c r="DX267">
        <f t="shared" si="780"/>
        <v>-1</v>
      </c>
      <c r="DY267">
        <f t="shared" si="780"/>
        <v>-1</v>
      </c>
      <c r="DZ267">
        <f t="shared" si="780"/>
        <v>-1</v>
      </c>
      <c r="EA267">
        <f t="shared" si="780"/>
        <v>-1</v>
      </c>
      <c r="EB267">
        <f t="shared" ref="EB267:EO267" si="781">IF(OR(EB266=-1,AND(IF(EB$3&lt;$B267,EB266+EB$6,IF(EB$3=$B267,1,""))&gt;$B$1,EB$3&lt;$B267)),-1,IF(EB$3&lt;$B267,EB266+EB$6,IF(EB$3=$B267,1,"")))</f>
        <v>-1</v>
      </c>
      <c r="EC267">
        <f t="shared" si="781"/>
        <v>-1</v>
      </c>
      <c r="ED267">
        <f t="shared" si="781"/>
        <v>-1</v>
      </c>
      <c r="EE267">
        <f t="shared" si="781"/>
        <v>-1</v>
      </c>
      <c r="EF267">
        <f t="shared" si="781"/>
        <v>-1</v>
      </c>
      <c r="EG267">
        <f t="shared" si="781"/>
        <v>-1</v>
      </c>
      <c r="EH267">
        <f t="shared" si="781"/>
        <v>-1</v>
      </c>
      <c r="EI267">
        <f t="shared" si="781"/>
        <v>-1</v>
      </c>
      <c r="EJ267">
        <f t="shared" si="781"/>
        <v>-1</v>
      </c>
      <c r="EK267">
        <f t="shared" si="781"/>
        <v>-1</v>
      </c>
      <c r="EL267">
        <f t="shared" si="781"/>
        <v>-1</v>
      </c>
      <c r="EM267">
        <f t="shared" si="781"/>
        <v>-1</v>
      </c>
      <c r="EN267">
        <f t="shared" si="781"/>
        <v>-1</v>
      </c>
      <c r="EO267">
        <f t="shared" si="781"/>
        <v>-1</v>
      </c>
    </row>
    <row r="268" spans="1:145" x14ac:dyDescent="0.15">
      <c r="A268" t="e">
        <f t="shared" si="772"/>
        <v>#N/A</v>
      </c>
      <c r="B268" s="218">
        <v>260</v>
      </c>
      <c r="C268">
        <f t="shared" si="772"/>
        <v>-1</v>
      </c>
      <c r="D268">
        <f t="shared" ref="D268:BO268" si="782">IF(OR(D267=-1,AND(IF(D$3&lt;$B268,D267+D$6,IF(D$3=$B268,1,""))&gt;$B$1,D$3&lt;$B268)),-1,IF(D$3&lt;$B268,D267+D$6,IF(D$3=$B268,1,"")))</f>
        <v>-1</v>
      </c>
      <c r="E268">
        <f t="shared" si="782"/>
        <v>-1</v>
      </c>
      <c r="F268">
        <f t="shared" si="782"/>
        <v>-1</v>
      </c>
      <c r="G268">
        <f t="shared" si="782"/>
        <v>-1</v>
      </c>
      <c r="H268">
        <f t="shared" si="782"/>
        <v>-1</v>
      </c>
      <c r="I268">
        <f t="shared" si="782"/>
        <v>-1</v>
      </c>
      <c r="J268">
        <f t="shared" si="782"/>
        <v>-1</v>
      </c>
      <c r="K268">
        <f t="shared" si="782"/>
        <v>-1</v>
      </c>
      <c r="L268">
        <f t="shared" si="782"/>
        <v>-1</v>
      </c>
      <c r="M268">
        <f t="shared" si="782"/>
        <v>-1</v>
      </c>
      <c r="N268">
        <f t="shared" si="782"/>
        <v>-1</v>
      </c>
      <c r="O268">
        <f t="shared" si="782"/>
        <v>-1</v>
      </c>
      <c r="P268">
        <f t="shared" si="782"/>
        <v>-1</v>
      </c>
      <c r="Q268">
        <f t="shared" si="782"/>
        <v>-1</v>
      </c>
      <c r="R268">
        <f t="shared" si="782"/>
        <v>-1</v>
      </c>
      <c r="S268">
        <f t="shared" si="782"/>
        <v>-1</v>
      </c>
      <c r="T268">
        <f t="shared" si="782"/>
        <v>-1</v>
      </c>
      <c r="U268">
        <f t="shared" si="782"/>
        <v>-1</v>
      </c>
      <c r="V268">
        <f t="shared" si="782"/>
        <v>-1</v>
      </c>
      <c r="W268">
        <f t="shared" si="782"/>
        <v>-1</v>
      </c>
      <c r="X268">
        <f t="shared" si="782"/>
        <v>-1</v>
      </c>
      <c r="Y268">
        <f t="shared" si="782"/>
        <v>-1</v>
      </c>
      <c r="Z268">
        <f t="shared" si="782"/>
        <v>-1</v>
      </c>
      <c r="AA268">
        <f t="shared" si="782"/>
        <v>-1</v>
      </c>
      <c r="AB268">
        <f t="shared" si="782"/>
        <v>-1</v>
      </c>
      <c r="AC268">
        <f t="shared" si="782"/>
        <v>-1</v>
      </c>
      <c r="AD268">
        <f t="shared" si="782"/>
        <v>-1</v>
      </c>
      <c r="AE268">
        <f t="shared" si="782"/>
        <v>-1</v>
      </c>
      <c r="AF268">
        <f t="shared" si="782"/>
        <v>-1</v>
      </c>
      <c r="AG268">
        <f t="shared" si="782"/>
        <v>-1</v>
      </c>
      <c r="AH268">
        <f t="shared" si="782"/>
        <v>-1</v>
      </c>
      <c r="AI268">
        <f t="shared" si="782"/>
        <v>-1</v>
      </c>
      <c r="AJ268">
        <f t="shared" si="782"/>
        <v>-1</v>
      </c>
      <c r="AK268">
        <f t="shared" si="782"/>
        <v>-1</v>
      </c>
      <c r="AL268">
        <f t="shared" si="782"/>
        <v>-1</v>
      </c>
      <c r="AM268">
        <f t="shared" si="782"/>
        <v>-1</v>
      </c>
      <c r="AN268">
        <f t="shared" si="782"/>
        <v>-1</v>
      </c>
      <c r="AO268">
        <f t="shared" si="782"/>
        <v>-1</v>
      </c>
      <c r="AP268">
        <f t="shared" si="782"/>
        <v>-1</v>
      </c>
      <c r="AQ268">
        <f t="shared" si="782"/>
        <v>-1</v>
      </c>
      <c r="AR268">
        <f t="shared" si="782"/>
        <v>-1</v>
      </c>
      <c r="AS268">
        <f t="shared" si="782"/>
        <v>-1</v>
      </c>
      <c r="AT268">
        <f t="shared" si="782"/>
        <v>-1</v>
      </c>
      <c r="AU268">
        <f t="shared" si="782"/>
        <v>-1</v>
      </c>
      <c r="AV268">
        <f t="shared" si="782"/>
        <v>-1</v>
      </c>
      <c r="AW268">
        <f t="shared" si="782"/>
        <v>-1</v>
      </c>
      <c r="AX268">
        <f t="shared" si="782"/>
        <v>-1</v>
      </c>
      <c r="AY268">
        <f t="shared" si="782"/>
        <v>-1</v>
      </c>
      <c r="AZ268">
        <f t="shared" si="782"/>
        <v>-1</v>
      </c>
      <c r="BA268">
        <f t="shared" si="782"/>
        <v>-1</v>
      </c>
      <c r="BB268">
        <f t="shared" si="782"/>
        <v>-1</v>
      </c>
      <c r="BC268">
        <f t="shared" si="782"/>
        <v>-1</v>
      </c>
      <c r="BD268">
        <f t="shared" si="782"/>
        <v>-1</v>
      </c>
      <c r="BE268">
        <f t="shared" si="782"/>
        <v>-1</v>
      </c>
      <c r="BF268">
        <f t="shared" si="782"/>
        <v>-1</v>
      </c>
      <c r="BG268">
        <f t="shared" si="782"/>
        <v>-1</v>
      </c>
      <c r="BH268">
        <f t="shared" si="782"/>
        <v>-1</v>
      </c>
      <c r="BI268">
        <f t="shared" si="782"/>
        <v>-1</v>
      </c>
      <c r="BJ268">
        <f t="shared" si="782"/>
        <v>-1</v>
      </c>
      <c r="BK268">
        <f t="shared" si="782"/>
        <v>-1</v>
      </c>
      <c r="BL268">
        <f t="shared" si="782"/>
        <v>-1</v>
      </c>
      <c r="BM268">
        <f t="shared" si="782"/>
        <v>-1</v>
      </c>
      <c r="BN268">
        <f t="shared" si="782"/>
        <v>-1</v>
      </c>
      <c r="BO268">
        <f t="shared" si="782"/>
        <v>-1</v>
      </c>
      <c r="BP268">
        <f t="shared" ref="BP268:EA268" si="783">IF(OR(BP267=-1,AND(IF(BP$3&lt;$B268,BP267+BP$6,IF(BP$3=$B268,1,""))&gt;$B$1,BP$3&lt;$B268)),-1,IF(BP$3&lt;$B268,BP267+BP$6,IF(BP$3=$B268,1,"")))</f>
        <v>-1</v>
      </c>
      <c r="BQ268">
        <f t="shared" si="783"/>
        <v>-1</v>
      </c>
      <c r="BR268">
        <f t="shared" si="783"/>
        <v>-1</v>
      </c>
      <c r="BS268">
        <f t="shared" si="783"/>
        <v>-1</v>
      </c>
      <c r="BT268">
        <f t="shared" si="783"/>
        <v>-1</v>
      </c>
      <c r="BU268">
        <f t="shared" si="783"/>
        <v>-1</v>
      </c>
      <c r="BV268">
        <f t="shared" si="783"/>
        <v>-1</v>
      </c>
      <c r="BW268">
        <f t="shared" si="783"/>
        <v>-1</v>
      </c>
      <c r="BX268">
        <f t="shared" si="783"/>
        <v>-1</v>
      </c>
      <c r="BY268">
        <f t="shared" si="783"/>
        <v>-1</v>
      </c>
      <c r="BZ268">
        <f t="shared" si="783"/>
        <v>-1</v>
      </c>
      <c r="CA268">
        <f t="shared" si="783"/>
        <v>-1</v>
      </c>
      <c r="CB268">
        <f t="shared" si="783"/>
        <v>-1</v>
      </c>
      <c r="CC268">
        <f t="shared" si="783"/>
        <v>-1</v>
      </c>
      <c r="CD268">
        <f t="shared" si="783"/>
        <v>-1</v>
      </c>
      <c r="CE268">
        <f t="shared" si="783"/>
        <v>-1</v>
      </c>
      <c r="CF268">
        <f t="shared" si="783"/>
        <v>-1</v>
      </c>
      <c r="CG268">
        <f t="shared" si="783"/>
        <v>-1</v>
      </c>
      <c r="CH268">
        <f t="shared" si="783"/>
        <v>-1</v>
      </c>
      <c r="CI268">
        <f t="shared" si="783"/>
        <v>-1</v>
      </c>
      <c r="CJ268">
        <f t="shared" si="783"/>
        <v>-1</v>
      </c>
      <c r="CK268">
        <f t="shared" si="783"/>
        <v>-1</v>
      </c>
      <c r="CL268">
        <f t="shared" si="783"/>
        <v>-1</v>
      </c>
      <c r="CM268">
        <f t="shared" si="783"/>
        <v>-1</v>
      </c>
      <c r="CN268">
        <f t="shared" si="783"/>
        <v>-1</v>
      </c>
      <c r="CO268">
        <f t="shared" si="783"/>
        <v>-1</v>
      </c>
      <c r="CP268">
        <f t="shared" si="783"/>
        <v>-1</v>
      </c>
      <c r="CQ268">
        <f t="shared" si="783"/>
        <v>-1</v>
      </c>
      <c r="CR268">
        <f t="shared" si="783"/>
        <v>-1</v>
      </c>
      <c r="CS268">
        <f t="shared" si="783"/>
        <v>-1</v>
      </c>
      <c r="CT268">
        <f t="shared" si="783"/>
        <v>-1</v>
      </c>
      <c r="CU268">
        <f t="shared" si="783"/>
        <v>-1</v>
      </c>
      <c r="CV268">
        <f t="shared" si="783"/>
        <v>-1</v>
      </c>
      <c r="CW268">
        <f t="shared" si="783"/>
        <v>-1</v>
      </c>
      <c r="CX268">
        <f t="shared" si="783"/>
        <v>-1</v>
      </c>
      <c r="CY268">
        <f t="shared" si="783"/>
        <v>-1</v>
      </c>
      <c r="CZ268">
        <f t="shared" si="783"/>
        <v>-1</v>
      </c>
      <c r="DA268">
        <f t="shared" si="783"/>
        <v>-1</v>
      </c>
      <c r="DB268">
        <f t="shared" si="783"/>
        <v>-1</v>
      </c>
      <c r="DC268">
        <f t="shared" si="783"/>
        <v>-1</v>
      </c>
      <c r="DD268">
        <f t="shared" si="783"/>
        <v>-1</v>
      </c>
      <c r="DE268">
        <f t="shared" si="783"/>
        <v>-1</v>
      </c>
      <c r="DF268">
        <f t="shared" si="783"/>
        <v>-1</v>
      </c>
      <c r="DG268">
        <f t="shared" si="783"/>
        <v>-1</v>
      </c>
      <c r="DH268">
        <f t="shared" si="783"/>
        <v>-1</v>
      </c>
      <c r="DI268">
        <f t="shared" si="783"/>
        <v>-1</v>
      </c>
      <c r="DJ268">
        <f t="shared" si="783"/>
        <v>-1</v>
      </c>
      <c r="DK268">
        <f t="shared" si="783"/>
        <v>-1</v>
      </c>
      <c r="DL268">
        <f t="shared" si="783"/>
        <v>-1</v>
      </c>
      <c r="DM268">
        <f t="shared" si="783"/>
        <v>-1</v>
      </c>
      <c r="DN268">
        <f t="shared" si="783"/>
        <v>-1</v>
      </c>
      <c r="DO268">
        <f t="shared" si="783"/>
        <v>-1</v>
      </c>
      <c r="DP268">
        <f t="shared" si="783"/>
        <v>-1</v>
      </c>
      <c r="DQ268">
        <f t="shared" si="783"/>
        <v>-1</v>
      </c>
      <c r="DR268">
        <f t="shared" si="783"/>
        <v>-1</v>
      </c>
      <c r="DS268">
        <f t="shared" si="783"/>
        <v>-1</v>
      </c>
      <c r="DT268">
        <f t="shared" si="783"/>
        <v>-1</v>
      </c>
      <c r="DU268">
        <f t="shared" si="783"/>
        <v>-1</v>
      </c>
      <c r="DV268">
        <f t="shared" si="783"/>
        <v>-1</v>
      </c>
      <c r="DW268">
        <f t="shared" si="783"/>
        <v>-1</v>
      </c>
      <c r="DX268">
        <f t="shared" si="783"/>
        <v>-1</v>
      </c>
      <c r="DY268">
        <f t="shared" si="783"/>
        <v>-1</v>
      </c>
      <c r="DZ268">
        <f t="shared" si="783"/>
        <v>-1</v>
      </c>
      <c r="EA268">
        <f t="shared" si="783"/>
        <v>-1</v>
      </c>
      <c r="EB268">
        <f t="shared" ref="EB268:EO268" si="784">IF(OR(EB267=-1,AND(IF(EB$3&lt;$B268,EB267+EB$6,IF(EB$3=$B268,1,""))&gt;$B$1,EB$3&lt;$B268)),-1,IF(EB$3&lt;$B268,EB267+EB$6,IF(EB$3=$B268,1,"")))</f>
        <v>-1</v>
      </c>
      <c r="EC268">
        <f t="shared" si="784"/>
        <v>-1</v>
      </c>
      <c r="ED268">
        <f t="shared" si="784"/>
        <v>-1</v>
      </c>
      <c r="EE268">
        <f t="shared" si="784"/>
        <v>-1</v>
      </c>
      <c r="EF268">
        <f t="shared" si="784"/>
        <v>-1</v>
      </c>
      <c r="EG268">
        <f t="shared" si="784"/>
        <v>-1</v>
      </c>
      <c r="EH268">
        <f t="shared" si="784"/>
        <v>-1</v>
      </c>
      <c r="EI268">
        <f t="shared" si="784"/>
        <v>-1</v>
      </c>
      <c r="EJ268">
        <f t="shared" si="784"/>
        <v>-1</v>
      </c>
      <c r="EK268">
        <f t="shared" si="784"/>
        <v>-1</v>
      </c>
      <c r="EL268">
        <f t="shared" si="784"/>
        <v>-1</v>
      </c>
      <c r="EM268">
        <f t="shared" si="784"/>
        <v>-1</v>
      </c>
      <c r="EN268">
        <f t="shared" si="784"/>
        <v>-1</v>
      </c>
      <c r="EO268">
        <f t="shared" si="784"/>
        <v>-1</v>
      </c>
    </row>
    <row r="269" spans="1:145" x14ac:dyDescent="0.15">
      <c r="A269" t="e">
        <f t="shared" si="772"/>
        <v>#N/A</v>
      </c>
      <c r="B269" s="218">
        <v>261</v>
      </c>
      <c r="C269">
        <f t="shared" si="772"/>
        <v>-1</v>
      </c>
      <c r="D269">
        <f t="shared" ref="D269:BO269" si="785">IF(OR(D268=-1,AND(IF(D$3&lt;$B269,D268+D$6,IF(D$3=$B269,1,""))&gt;$B$1,D$3&lt;$B269)),-1,IF(D$3&lt;$B269,D268+D$6,IF(D$3=$B269,1,"")))</f>
        <v>-1</v>
      </c>
      <c r="E269">
        <f t="shared" si="785"/>
        <v>-1</v>
      </c>
      <c r="F269">
        <f t="shared" si="785"/>
        <v>-1</v>
      </c>
      <c r="G269">
        <f t="shared" si="785"/>
        <v>-1</v>
      </c>
      <c r="H269">
        <f t="shared" si="785"/>
        <v>-1</v>
      </c>
      <c r="I269">
        <f t="shared" si="785"/>
        <v>-1</v>
      </c>
      <c r="J269">
        <f t="shared" si="785"/>
        <v>-1</v>
      </c>
      <c r="K269">
        <f t="shared" si="785"/>
        <v>-1</v>
      </c>
      <c r="L269">
        <f t="shared" si="785"/>
        <v>-1</v>
      </c>
      <c r="M269">
        <f t="shared" si="785"/>
        <v>-1</v>
      </c>
      <c r="N269">
        <f t="shared" si="785"/>
        <v>-1</v>
      </c>
      <c r="O269">
        <f t="shared" si="785"/>
        <v>-1</v>
      </c>
      <c r="P269">
        <f t="shared" si="785"/>
        <v>-1</v>
      </c>
      <c r="Q269">
        <f t="shared" si="785"/>
        <v>-1</v>
      </c>
      <c r="R269">
        <f t="shared" si="785"/>
        <v>-1</v>
      </c>
      <c r="S269">
        <f t="shared" si="785"/>
        <v>-1</v>
      </c>
      <c r="T269">
        <f t="shared" si="785"/>
        <v>-1</v>
      </c>
      <c r="U269">
        <f t="shared" si="785"/>
        <v>-1</v>
      </c>
      <c r="V269">
        <f t="shared" si="785"/>
        <v>-1</v>
      </c>
      <c r="W269">
        <f t="shared" si="785"/>
        <v>-1</v>
      </c>
      <c r="X269">
        <f t="shared" si="785"/>
        <v>-1</v>
      </c>
      <c r="Y269">
        <f t="shared" si="785"/>
        <v>-1</v>
      </c>
      <c r="Z269">
        <f t="shared" si="785"/>
        <v>-1</v>
      </c>
      <c r="AA269">
        <f t="shared" si="785"/>
        <v>-1</v>
      </c>
      <c r="AB269">
        <f t="shared" si="785"/>
        <v>-1</v>
      </c>
      <c r="AC269">
        <f t="shared" si="785"/>
        <v>-1</v>
      </c>
      <c r="AD269">
        <f t="shared" si="785"/>
        <v>-1</v>
      </c>
      <c r="AE269">
        <f t="shared" si="785"/>
        <v>-1</v>
      </c>
      <c r="AF269">
        <f t="shared" si="785"/>
        <v>-1</v>
      </c>
      <c r="AG269">
        <f t="shared" si="785"/>
        <v>-1</v>
      </c>
      <c r="AH269">
        <f t="shared" si="785"/>
        <v>-1</v>
      </c>
      <c r="AI269">
        <f t="shared" si="785"/>
        <v>-1</v>
      </c>
      <c r="AJ269">
        <f t="shared" si="785"/>
        <v>-1</v>
      </c>
      <c r="AK269">
        <f t="shared" si="785"/>
        <v>-1</v>
      </c>
      <c r="AL269">
        <f t="shared" si="785"/>
        <v>-1</v>
      </c>
      <c r="AM269">
        <f t="shared" si="785"/>
        <v>-1</v>
      </c>
      <c r="AN269">
        <f t="shared" si="785"/>
        <v>-1</v>
      </c>
      <c r="AO269">
        <f t="shared" si="785"/>
        <v>-1</v>
      </c>
      <c r="AP269">
        <f t="shared" si="785"/>
        <v>-1</v>
      </c>
      <c r="AQ269">
        <f t="shared" si="785"/>
        <v>-1</v>
      </c>
      <c r="AR269">
        <f t="shared" si="785"/>
        <v>-1</v>
      </c>
      <c r="AS269">
        <f t="shared" si="785"/>
        <v>-1</v>
      </c>
      <c r="AT269">
        <f t="shared" si="785"/>
        <v>-1</v>
      </c>
      <c r="AU269">
        <f t="shared" si="785"/>
        <v>-1</v>
      </c>
      <c r="AV269">
        <f t="shared" si="785"/>
        <v>-1</v>
      </c>
      <c r="AW269">
        <f t="shared" si="785"/>
        <v>-1</v>
      </c>
      <c r="AX269">
        <f t="shared" si="785"/>
        <v>-1</v>
      </c>
      <c r="AY269">
        <f t="shared" si="785"/>
        <v>-1</v>
      </c>
      <c r="AZ269">
        <f t="shared" si="785"/>
        <v>-1</v>
      </c>
      <c r="BA269">
        <f t="shared" si="785"/>
        <v>-1</v>
      </c>
      <c r="BB269">
        <f t="shared" si="785"/>
        <v>-1</v>
      </c>
      <c r="BC269">
        <f t="shared" si="785"/>
        <v>-1</v>
      </c>
      <c r="BD269">
        <f t="shared" si="785"/>
        <v>-1</v>
      </c>
      <c r="BE269">
        <f t="shared" si="785"/>
        <v>-1</v>
      </c>
      <c r="BF269">
        <f t="shared" si="785"/>
        <v>-1</v>
      </c>
      <c r="BG269">
        <f t="shared" si="785"/>
        <v>-1</v>
      </c>
      <c r="BH269">
        <f t="shared" si="785"/>
        <v>-1</v>
      </c>
      <c r="BI269">
        <f t="shared" si="785"/>
        <v>-1</v>
      </c>
      <c r="BJ269">
        <f t="shared" si="785"/>
        <v>-1</v>
      </c>
      <c r="BK269">
        <f t="shared" si="785"/>
        <v>-1</v>
      </c>
      <c r="BL269">
        <f t="shared" si="785"/>
        <v>-1</v>
      </c>
      <c r="BM269">
        <f t="shared" si="785"/>
        <v>-1</v>
      </c>
      <c r="BN269">
        <f t="shared" si="785"/>
        <v>-1</v>
      </c>
      <c r="BO269">
        <f t="shared" si="785"/>
        <v>-1</v>
      </c>
      <c r="BP269">
        <f t="shared" ref="BP269:EA269" si="786">IF(OR(BP268=-1,AND(IF(BP$3&lt;$B269,BP268+BP$6,IF(BP$3=$B269,1,""))&gt;$B$1,BP$3&lt;$B269)),-1,IF(BP$3&lt;$B269,BP268+BP$6,IF(BP$3=$B269,1,"")))</f>
        <v>-1</v>
      </c>
      <c r="BQ269">
        <f t="shared" si="786"/>
        <v>-1</v>
      </c>
      <c r="BR269">
        <f t="shared" si="786"/>
        <v>-1</v>
      </c>
      <c r="BS269">
        <f t="shared" si="786"/>
        <v>-1</v>
      </c>
      <c r="BT269">
        <f t="shared" si="786"/>
        <v>-1</v>
      </c>
      <c r="BU269">
        <f t="shared" si="786"/>
        <v>-1</v>
      </c>
      <c r="BV269">
        <f t="shared" si="786"/>
        <v>-1</v>
      </c>
      <c r="BW269">
        <f t="shared" si="786"/>
        <v>-1</v>
      </c>
      <c r="BX269">
        <f t="shared" si="786"/>
        <v>-1</v>
      </c>
      <c r="BY269">
        <f t="shared" si="786"/>
        <v>-1</v>
      </c>
      <c r="BZ269">
        <f t="shared" si="786"/>
        <v>-1</v>
      </c>
      <c r="CA269">
        <f t="shared" si="786"/>
        <v>-1</v>
      </c>
      <c r="CB269">
        <f t="shared" si="786"/>
        <v>-1</v>
      </c>
      <c r="CC269">
        <f t="shared" si="786"/>
        <v>-1</v>
      </c>
      <c r="CD269">
        <f t="shared" si="786"/>
        <v>-1</v>
      </c>
      <c r="CE269">
        <f t="shared" si="786"/>
        <v>-1</v>
      </c>
      <c r="CF269">
        <f t="shared" si="786"/>
        <v>-1</v>
      </c>
      <c r="CG269">
        <f t="shared" si="786"/>
        <v>-1</v>
      </c>
      <c r="CH269">
        <f t="shared" si="786"/>
        <v>-1</v>
      </c>
      <c r="CI269">
        <f t="shared" si="786"/>
        <v>-1</v>
      </c>
      <c r="CJ269">
        <f t="shared" si="786"/>
        <v>-1</v>
      </c>
      <c r="CK269">
        <f t="shared" si="786"/>
        <v>-1</v>
      </c>
      <c r="CL269">
        <f t="shared" si="786"/>
        <v>-1</v>
      </c>
      <c r="CM269">
        <f t="shared" si="786"/>
        <v>-1</v>
      </c>
      <c r="CN269">
        <f t="shared" si="786"/>
        <v>-1</v>
      </c>
      <c r="CO269">
        <f t="shared" si="786"/>
        <v>-1</v>
      </c>
      <c r="CP269">
        <f t="shared" si="786"/>
        <v>-1</v>
      </c>
      <c r="CQ269">
        <f t="shared" si="786"/>
        <v>-1</v>
      </c>
      <c r="CR269">
        <f t="shared" si="786"/>
        <v>-1</v>
      </c>
      <c r="CS269">
        <f t="shared" si="786"/>
        <v>-1</v>
      </c>
      <c r="CT269">
        <f t="shared" si="786"/>
        <v>-1</v>
      </c>
      <c r="CU269">
        <f t="shared" si="786"/>
        <v>-1</v>
      </c>
      <c r="CV269">
        <f t="shared" si="786"/>
        <v>-1</v>
      </c>
      <c r="CW269">
        <f t="shared" si="786"/>
        <v>-1</v>
      </c>
      <c r="CX269">
        <f t="shared" si="786"/>
        <v>-1</v>
      </c>
      <c r="CY269">
        <f t="shared" si="786"/>
        <v>-1</v>
      </c>
      <c r="CZ269">
        <f t="shared" si="786"/>
        <v>-1</v>
      </c>
      <c r="DA269">
        <f t="shared" si="786"/>
        <v>-1</v>
      </c>
      <c r="DB269">
        <f t="shared" si="786"/>
        <v>-1</v>
      </c>
      <c r="DC269">
        <f t="shared" si="786"/>
        <v>-1</v>
      </c>
      <c r="DD269">
        <f t="shared" si="786"/>
        <v>-1</v>
      </c>
      <c r="DE269">
        <f t="shared" si="786"/>
        <v>-1</v>
      </c>
      <c r="DF269">
        <f t="shared" si="786"/>
        <v>-1</v>
      </c>
      <c r="DG269">
        <f t="shared" si="786"/>
        <v>-1</v>
      </c>
      <c r="DH269">
        <f t="shared" si="786"/>
        <v>-1</v>
      </c>
      <c r="DI269">
        <f t="shared" si="786"/>
        <v>-1</v>
      </c>
      <c r="DJ269">
        <f t="shared" si="786"/>
        <v>-1</v>
      </c>
      <c r="DK269">
        <f t="shared" si="786"/>
        <v>-1</v>
      </c>
      <c r="DL269">
        <f t="shared" si="786"/>
        <v>-1</v>
      </c>
      <c r="DM269">
        <f t="shared" si="786"/>
        <v>-1</v>
      </c>
      <c r="DN269">
        <f t="shared" si="786"/>
        <v>-1</v>
      </c>
      <c r="DO269">
        <f t="shared" si="786"/>
        <v>-1</v>
      </c>
      <c r="DP269">
        <f t="shared" si="786"/>
        <v>-1</v>
      </c>
      <c r="DQ269">
        <f t="shared" si="786"/>
        <v>-1</v>
      </c>
      <c r="DR269">
        <f t="shared" si="786"/>
        <v>-1</v>
      </c>
      <c r="DS269">
        <f t="shared" si="786"/>
        <v>-1</v>
      </c>
      <c r="DT269">
        <f t="shared" si="786"/>
        <v>-1</v>
      </c>
      <c r="DU269">
        <f t="shared" si="786"/>
        <v>-1</v>
      </c>
      <c r="DV269">
        <f t="shared" si="786"/>
        <v>-1</v>
      </c>
      <c r="DW269">
        <f t="shared" si="786"/>
        <v>-1</v>
      </c>
      <c r="DX269">
        <f t="shared" si="786"/>
        <v>-1</v>
      </c>
      <c r="DY269">
        <f t="shared" si="786"/>
        <v>-1</v>
      </c>
      <c r="DZ269">
        <f t="shared" si="786"/>
        <v>-1</v>
      </c>
      <c r="EA269">
        <f t="shared" si="786"/>
        <v>-1</v>
      </c>
      <c r="EB269">
        <f t="shared" ref="EB269:EO269" si="787">IF(OR(EB268=-1,AND(IF(EB$3&lt;$B269,EB268+EB$6,IF(EB$3=$B269,1,""))&gt;$B$1,EB$3&lt;$B269)),-1,IF(EB$3&lt;$B269,EB268+EB$6,IF(EB$3=$B269,1,"")))</f>
        <v>-1</v>
      </c>
      <c r="EC269">
        <f t="shared" si="787"/>
        <v>-1</v>
      </c>
      <c r="ED269">
        <f t="shared" si="787"/>
        <v>-1</v>
      </c>
      <c r="EE269">
        <f t="shared" si="787"/>
        <v>-1</v>
      </c>
      <c r="EF269">
        <f t="shared" si="787"/>
        <v>-1</v>
      </c>
      <c r="EG269">
        <f t="shared" si="787"/>
        <v>-1</v>
      </c>
      <c r="EH269">
        <f t="shared" si="787"/>
        <v>-1</v>
      </c>
      <c r="EI269">
        <f t="shared" si="787"/>
        <v>-1</v>
      </c>
      <c r="EJ269">
        <f t="shared" si="787"/>
        <v>-1</v>
      </c>
      <c r="EK269">
        <f t="shared" si="787"/>
        <v>-1</v>
      </c>
      <c r="EL269">
        <f t="shared" si="787"/>
        <v>-1</v>
      </c>
      <c r="EM269">
        <f t="shared" si="787"/>
        <v>-1</v>
      </c>
      <c r="EN269">
        <f t="shared" si="787"/>
        <v>-1</v>
      </c>
      <c r="EO269">
        <f t="shared" si="787"/>
        <v>-1</v>
      </c>
    </row>
    <row r="270" spans="1:145" x14ac:dyDescent="0.15">
      <c r="A270" t="e">
        <f t="shared" si="772"/>
        <v>#N/A</v>
      </c>
      <c r="B270" s="218">
        <v>262</v>
      </c>
      <c r="C270">
        <f t="shared" si="772"/>
        <v>-1</v>
      </c>
      <c r="D270">
        <f t="shared" ref="D270:BO270" si="788">IF(OR(D269=-1,AND(IF(D$3&lt;$B270,D269+D$6,IF(D$3=$B270,1,""))&gt;$B$1,D$3&lt;$B270)),-1,IF(D$3&lt;$B270,D269+D$6,IF(D$3=$B270,1,"")))</f>
        <v>-1</v>
      </c>
      <c r="E270">
        <f t="shared" si="788"/>
        <v>-1</v>
      </c>
      <c r="F270">
        <f t="shared" si="788"/>
        <v>-1</v>
      </c>
      <c r="G270">
        <f t="shared" si="788"/>
        <v>-1</v>
      </c>
      <c r="H270">
        <f t="shared" si="788"/>
        <v>-1</v>
      </c>
      <c r="I270">
        <f t="shared" si="788"/>
        <v>-1</v>
      </c>
      <c r="J270">
        <f t="shared" si="788"/>
        <v>-1</v>
      </c>
      <c r="K270">
        <f t="shared" si="788"/>
        <v>-1</v>
      </c>
      <c r="L270">
        <f t="shared" si="788"/>
        <v>-1</v>
      </c>
      <c r="M270">
        <f t="shared" si="788"/>
        <v>-1</v>
      </c>
      <c r="N270">
        <f t="shared" si="788"/>
        <v>-1</v>
      </c>
      <c r="O270">
        <f t="shared" si="788"/>
        <v>-1</v>
      </c>
      <c r="P270">
        <f t="shared" si="788"/>
        <v>-1</v>
      </c>
      <c r="Q270">
        <f t="shared" si="788"/>
        <v>-1</v>
      </c>
      <c r="R270">
        <f t="shared" si="788"/>
        <v>-1</v>
      </c>
      <c r="S270">
        <f t="shared" si="788"/>
        <v>-1</v>
      </c>
      <c r="T270">
        <f t="shared" si="788"/>
        <v>-1</v>
      </c>
      <c r="U270">
        <f t="shared" si="788"/>
        <v>-1</v>
      </c>
      <c r="V270">
        <f t="shared" si="788"/>
        <v>-1</v>
      </c>
      <c r="W270">
        <f t="shared" si="788"/>
        <v>-1</v>
      </c>
      <c r="X270">
        <f t="shared" si="788"/>
        <v>-1</v>
      </c>
      <c r="Y270">
        <f t="shared" si="788"/>
        <v>-1</v>
      </c>
      <c r="Z270">
        <f t="shared" si="788"/>
        <v>-1</v>
      </c>
      <c r="AA270">
        <f t="shared" si="788"/>
        <v>-1</v>
      </c>
      <c r="AB270">
        <f t="shared" si="788"/>
        <v>-1</v>
      </c>
      <c r="AC270">
        <f t="shared" si="788"/>
        <v>-1</v>
      </c>
      <c r="AD270">
        <f t="shared" si="788"/>
        <v>-1</v>
      </c>
      <c r="AE270">
        <f t="shared" si="788"/>
        <v>-1</v>
      </c>
      <c r="AF270">
        <f t="shared" si="788"/>
        <v>-1</v>
      </c>
      <c r="AG270">
        <f t="shared" si="788"/>
        <v>-1</v>
      </c>
      <c r="AH270">
        <f t="shared" si="788"/>
        <v>-1</v>
      </c>
      <c r="AI270">
        <f t="shared" si="788"/>
        <v>-1</v>
      </c>
      <c r="AJ270">
        <f t="shared" si="788"/>
        <v>-1</v>
      </c>
      <c r="AK270">
        <f t="shared" si="788"/>
        <v>-1</v>
      </c>
      <c r="AL270">
        <f t="shared" si="788"/>
        <v>-1</v>
      </c>
      <c r="AM270">
        <f t="shared" si="788"/>
        <v>-1</v>
      </c>
      <c r="AN270">
        <f t="shared" si="788"/>
        <v>-1</v>
      </c>
      <c r="AO270">
        <f t="shared" si="788"/>
        <v>-1</v>
      </c>
      <c r="AP270">
        <f t="shared" si="788"/>
        <v>-1</v>
      </c>
      <c r="AQ270">
        <f t="shared" si="788"/>
        <v>-1</v>
      </c>
      <c r="AR270">
        <f t="shared" si="788"/>
        <v>-1</v>
      </c>
      <c r="AS270">
        <f t="shared" si="788"/>
        <v>-1</v>
      </c>
      <c r="AT270">
        <f t="shared" si="788"/>
        <v>-1</v>
      </c>
      <c r="AU270">
        <f t="shared" si="788"/>
        <v>-1</v>
      </c>
      <c r="AV270">
        <f t="shared" si="788"/>
        <v>-1</v>
      </c>
      <c r="AW270">
        <f t="shared" si="788"/>
        <v>-1</v>
      </c>
      <c r="AX270">
        <f t="shared" si="788"/>
        <v>-1</v>
      </c>
      <c r="AY270">
        <f t="shared" si="788"/>
        <v>-1</v>
      </c>
      <c r="AZ270">
        <f t="shared" si="788"/>
        <v>-1</v>
      </c>
      <c r="BA270">
        <f t="shared" si="788"/>
        <v>-1</v>
      </c>
      <c r="BB270">
        <f t="shared" si="788"/>
        <v>-1</v>
      </c>
      <c r="BC270">
        <f t="shared" si="788"/>
        <v>-1</v>
      </c>
      <c r="BD270">
        <f t="shared" si="788"/>
        <v>-1</v>
      </c>
      <c r="BE270">
        <f t="shared" si="788"/>
        <v>-1</v>
      </c>
      <c r="BF270">
        <f t="shared" si="788"/>
        <v>-1</v>
      </c>
      <c r="BG270">
        <f t="shared" si="788"/>
        <v>-1</v>
      </c>
      <c r="BH270">
        <f t="shared" si="788"/>
        <v>-1</v>
      </c>
      <c r="BI270">
        <f t="shared" si="788"/>
        <v>-1</v>
      </c>
      <c r="BJ270">
        <f t="shared" si="788"/>
        <v>-1</v>
      </c>
      <c r="BK270">
        <f t="shared" si="788"/>
        <v>-1</v>
      </c>
      <c r="BL270">
        <f t="shared" si="788"/>
        <v>-1</v>
      </c>
      <c r="BM270">
        <f t="shared" si="788"/>
        <v>-1</v>
      </c>
      <c r="BN270">
        <f t="shared" si="788"/>
        <v>-1</v>
      </c>
      <c r="BO270">
        <f t="shared" si="788"/>
        <v>-1</v>
      </c>
      <c r="BP270">
        <f t="shared" ref="BP270:EA270" si="789">IF(OR(BP269=-1,AND(IF(BP$3&lt;$B270,BP269+BP$6,IF(BP$3=$B270,1,""))&gt;$B$1,BP$3&lt;$B270)),-1,IF(BP$3&lt;$B270,BP269+BP$6,IF(BP$3=$B270,1,"")))</f>
        <v>-1</v>
      </c>
      <c r="BQ270">
        <f t="shared" si="789"/>
        <v>-1</v>
      </c>
      <c r="BR270">
        <f t="shared" si="789"/>
        <v>-1</v>
      </c>
      <c r="BS270">
        <f t="shared" si="789"/>
        <v>-1</v>
      </c>
      <c r="BT270">
        <f t="shared" si="789"/>
        <v>-1</v>
      </c>
      <c r="BU270">
        <f t="shared" si="789"/>
        <v>-1</v>
      </c>
      <c r="BV270">
        <f t="shared" si="789"/>
        <v>-1</v>
      </c>
      <c r="BW270">
        <f t="shared" si="789"/>
        <v>-1</v>
      </c>
      <c r="BX270">
        <f t="shared" si="789"/>
        <v>-1</v>
      </c>
      <c r="BY270">
        <f t="shared" si="789"/>
        <v>-1</v>
      </c>
      <c r="BZ270">
        <f t="shared" si="789"/>
        <v>-1</v>
      </c>
      <c r="CA270">
        <f t="shared" si="789"/>
        <v>-1</v>
      </c>
      <c r="CB270">
        <f t="shared" si="789"/>
        <v>-1</v>
      </c>
      <c r="CC270">
        <f t="shared" si="789"/>
        <v>-1</v>
      </c>
      <c r="CD270">
        <f t="shared" si="789"/>
        <v>-1</v>
      </c>
      <c r="CE270">
        <f t="shared" si="789"/>
        <v>-1</v>
      </c>
      <c r="CF270">
        <f t="shared" si="789"/>
        <v>-1</v>
      </c>
      <c r="CG270">
        <f t="shared" si="789"/>
        <v>-1</v>
      </c>
      <c r="CH270">
        <f t="shared" si="789"/>
        <v>-1</v>
      </c>
      <c r="CI270">
        <f t="shared" si="789"/>
        <v>-1</v>
      </c>
      <c r="CJ270">
        <f t="shared" si="789"/>
        <v>-1</v>
      </c>
      <c r="CK270">
        <f t="shared" si="789"/>
        <v>-1</v>
      </c>
      <c r="CL270">
        <f t="shared" si="789"/>
        <v>-1</v>
      </c>
      <c r="CM270">
        <f t="shared" si="789"/>
        <v>-1</v>
      </c>
      <c r="CN270">
        <f t="shared" si="789"/>
        <v>-1</v>
      </c>
      <c r="CO270">
        <f t="shared" si="789"/>
        <v>-1</v>
      </c>
      <c r="CP270">
        <f t="shared" si="789"/>
        <v>-1</v>
      </c>
      <c r="CQ270">
        <f t="shared" si="789"/>
        <v>-1</v>
      </c>
      <c r="CR270">
        <f t="shared" si="789"/>
        <v>-1</v>
      </c>
      <c r="CS270">
        <f t="shared" si="789"/>
        <v>-1</v>
      </c>
      <c r="CT270">
        <f t="shared" si="789"/>
        <v>-1</v>
      </c>
      <c r="CU270">
        <f t="shared" si="789"/>
        <v>-1</v>
      </c>
      <c r="CV270">
        <f t="shared" si="789"/>
        <v>-1</v>
      </c>
      <c r="CW270">
        <f t="shared" si="789"/>
        <v>-1</v>
      </c>
      <c r="CX270">
        <f t="shared" si="789"/>
        <v>-1</v>
      </c>
      <c r="CY270">
        <f t="shared" si="789"/>
        <v>-1</v>
      </c>
      <c r="CZ270">
        <f t="shared" si="789"/>
        <v>-1</v>
      </c>
      <c r="DA270">
        <f t="shared" si="789"/>
        <v>-1</v>
      </c>
      <c r="DB270">
        <f t="shared" si="789"/>
        <v>-1</v>
      </c>
      <c r="DC270">
        <f t="shared" si="789"/>
        <v>-1</v>
      </c>
      <c r="DD270">
        <f t="shared" si="789"/>
        <v>-1</v>
      </c>
      <c r="DE270">
        <f t="shared" si="789"/>
        <v>-1</v>
      </c>
      <c r="DF270">
        <f t="shared" si="789"/>
        <v>-1</v>
      </c>
      <c r="DG270">
        <f t="shared" si="789"/>
        <v>-1</v>
      </c>
      <c r="DH270">
        <f t="shared" si="789"/>
        <v>-1</v>
      </c>
      <c r="DI270">
        <f t="shared" si="789"/>
        <v>-1</v>
      </c>
      <c r="DJ270">
        <f t="shared" si="789"/>
        <v>-1</v>
      </c>
      <c r="DK270">
        <f t="shared" si="789"/>
        <v>-1</v>
      </c>
      <c r="DL270">
        <f t="shared" si="789"/>
        <v>-1</v>
      </c>
      <c r="DM270">
        <f t="shared" si="789"/>
        <v>-1</v>
      </c>
      <c r="DN270">
        <f t="shared" si="789"/>
        <v>-1</v>
      </c>
      <c r="DO270">
        <f t="shared" si="789"/>
        <v>-1</v>
      </c>
      <c r="DP270">
        <f t="shared" si="789"/>
        <v>-1</v>
      </c>
      <c r="DQ270">
        <f t="shared" si="789"/>
        <v>-1</v>
      </c>
      <c r="DR270">
        <f t="shared" si="789"/>
        <v>-1</v>
      </c>
      <c r="DS270">
        <f t="shared" si="789"/>
        <v>-1</v>
      </c>
      <c r="DT270">
        <f t="shared" si="789"/>
        <v>-1</v>
      </c>
      <c r="DU270">
        <f t="shared" si="789"/>
        <v>-1</v>
      </c>
      <c r="DV270">
        <f t="shared" si="789"/>
        <v>-1</v>
      </c>
      <c r="DW270">
        <f t="shared" si="789"/>
        <v>-1</v>
      </c>
      <c r="DX270">
        <f t="shared" si="789"/>
        <v>-1</v>
      </c>
      <c r="DY270">
        <f t="shared" si="789"/>
        <v>-1</v>
      </c>
      <c r="DZ270">
        <f t="shared" si="789"/>
        <v>-1</v>
      </c>
      <c r="EA270">
        <f t="shared" si="789"/>
        <v>-1</v>
      </c>
      <c r="EB270">
        <f t="shared" ref="EB270:EO270" si="790">IF(OR(EB269=-1,AND(IF(EB$3&lt;$B270,EB269+EB$6,IF(EB$3=$B270,1,""))&gt;$B$1,EB$3&lt;$B270)),-1,IF(EB$3&lt;$B270,EB269+EB$6,IF(EB$3=$B270,1,"")))</f>
        <v>-1</v>
      </c>
      <c r="EC270">
        <f t="shared" si="790"/>
        <v>-1</v>
      </c>
      <c r="ED270">
        <f t="shared" si="790"/>
        <v>-1</v>
      </c>
      <c r="EE270">
        <f t="shared" si="790"/>
        <v>-1</v>
      </c>
      <c r="EF270">
        <f t="shared" si="790"/>
        <v>-1</v>
      </c>
      <c r="EG270">
        <f t="shared" si="790"/>
        <v>-1</v>
      </c>
      <c r="EH270">
        <f t="shared" si="790"/>
        <v>-1</v>
      </c>
      <c r="EI270">
        <f t="shared" si="790"/>
        <v>-1</v>
      </c>
      <c r="EJ270">
        <f t="shared" si="790"/>
        <v>-1</v>
      </c>
      <c r="EK270">
        <f t="shared" si="790"/>
        <v>-1</v>
      </c>
      <c r="EL270">
        <f t="shared" si="790"/>
        <v>-1</v>
      </c>
      <c r="EM270">
        <f t="shared" si="790"/>
        <v>-1</v>
      </c>
      <c r="EN270">
        <f t="shared" si="790"/>
        <v>-1</v>
      </c>
      <c r="EO270">
        <f t="shared" si="790"/>
        <v>-1</v>
      </c>
    </row>
    <row r="271" spans="1:145" x14ac:dyDescent="0.15">
      <c r="A271" t="e">
        <f t="shared" si="772"/>
        <v>#N/A</v>
      </c>
      <c r="B271" s="218">
        <v>263</v>
      </c>
      <c r="C271">
        <f t="shared" si="772"/>
        <v>-1</v>
      </c>
      <c r="D271">
        <f t="shared" ref="D271:BO271" si="791">IF(OR(D270=-1,AND(IF(D$3&lt;$B271,D270+D$6,IF(D$3=$B271,1,""))&gt;$B$1,D$3&lt;$B271)),-1,IF(D$3&lt;$B271,D270+D$6,IF(D$3=$B271,1,"")))</f>
        <v>-1</v>
      </c>
      <c r="E271">
        <f t="shared" si="791"/>
        <v>-1</v>
      </c>
      <c r="F271">
        <f t="shared" si="791"/>
        <v>-1</v>
      </c>
      <c r="G271">
        <f t="shared" si="791"/>
        <v>-1</v>
      </c>
      <c r="H271">
        <f t="shared" si="791"/>
        <v>-1</v>
      </c>
      <c r="I271">
        <f t="shared" si="791"/>
        <v>-1</v>
      </c>
      <c r="J271">
        <f t="shared" si="791"/>
        <v>-1</v>
      </c>
      <c r="K271">
        <f t="shared" si="791"/>
        <v>-1</v>
      </c>
      <c r="L271">
        <f t="shared" si="791"/>
        <v>-1</v>
      </c>
      <c r="M271">
        <f t="shared" si="791"/>
        <v>-1</v>
      </c>
      <c r="N271">
        <f t="shared" si="791"/>
        <v>-1</v>
      </c>
      <c r="O271">
        <f t="shared" si="791"/>
        <v>-1</v>
      </c>
      <c r="P271">
        <f t="shared" si="791"/>
        <v>-1</v>
      </c>
      <c r="Q271">
        <f t="shared" si="791"/>
        <v>-1</v>
      </c>
      <c r="R271">
        <f t="shared" si="791"/>
        <v>-1</v>
      </c>
      <c r="S271">
        <f t="shared" si="791"/>
        <v>-1</v>
      </c>
      <c r="T271">
        <f t="shared" si="791"/>
        <v>-1</v>
      </c>
      <c r="U271">
        <f t="shared" si="791"/>
        <v>-1</v>
      </c>
      <c r="V271">
        <f t="shared" si="791"/>
        <v>-1</v>
      </c>
      <c r="W271">
        <f t="shared" si="791"/>
        <v>-1</v>
      </c>
      <c r="X271">
        <f t="shared" si="791"/>
        <v>-1</v>
      </c>
      <c r="Y271">
        <f t="shared" si="791"/>
        <v>-1</v>
      </c>
      <c r="Z271">
        <f t="shared" si="791"/>
        <v>-1</v>
      </c>
      <c r="AA271">
        <f t="shared" si="791"/>
        <v>-1</v>
      </c>
      <c r="AB271">
        <f t="shared" si="791"/>
        <v>-1</v>
      </c>
      <c r="AC271">
        <f t="shared" si="791"/>
        <v>-1</v>
      </c>
      <c r="AD271">
        <f t="shared" si="791"/>
        <v>-1</v>
      </c>
      <c r="AE271">
        <f t="shared" si="791"/>
        <v>-1</v>
      </c>
      <c r="AF271">
        <f t="shared" si="791"/>
        <v>-1</v>
      </c>
      <c r="AG271">
        <f t="shared" si="791"/>
        <v>-1</v>
      </c>
      <c r="AH271">
        <f t="shared" si="791"/>
        <v>-1</v>
      </c>
      <c r="AI271">
        <f t="shared" si="791"/>
        <v>-1</v>
      </c>
      <c r="AJ271">
        <f t="shared" si="791"/>
        <v>-1</v>
      </c>
      <c r="AK271">
        <f t="shared" si="791"/>
        <v>-1</v>
      </c>
      <c r="AL271">
        <f t="shared" si="791"/>
        <v>-1</v>
      </c>
      <c r="AM271">
        <f t="shared" si="791"/>
        <v>-1</v>
      </c>
      <c r="AN271">
        <f t="shared" si="791"/>
        <v>-1</v>
      </c>
      <c r="AO271">
        <f t="shared" si="791"/>
        <v>-1</v>
      </c>
      <c r="AP271">
        <f t="shared" si="791"/>
        <v>-1</v>
      </c>
      <c r="AQ271">
        <f t="shared" si="791"/>
        <v>-1</v>
      </c>
      <c r="AR271">
        <f t="shared" si="791"/>
        <v>-1</v>
      </c>
      <c r="AS271">
        <f t="shared" si="791"/>
        <v>-1</v>
      </c>
      <c r="AT271">
        <f t="shared" si="791"/>
        <v>-1</v>
      </c>
      <c r="AU271">
        <f t="shared" si="791"/>
        <v>-1</v>
      </c>
      <c r="AV271">
        <f t="shared" si="791"/>
        <v>-1</v>
      </c>
      <c r="AW271">
        <f t="shared" si="791"/>
        <v>-1</v>
      </c>
      <c r="AX271">
        <f t="shared" si="791"/>
        <v>-1</v>
      </c>
      <c r="AY271">
        <f t="shared" si="791"/>
        <v>-1</v>
      </c>
      <c r="AZ271">
        <f t="shared" si="791"/>
        <v>-1</v>
      </c>
      <c r="BA271">
        <f t="shared" si="791"/>
        <v>-1</v>
      </c>
      <c r="BB271">
        <f t="shared" si="791"/>
        <v>-1</v>
      </c>
      <c r="BC271">
        <f t="shared" si="791"/>
        <v>-1</v>
      </c>
      <c r="BD271">
        <f t="shared" si="791"/>
        <v>-1</v>
      </c>
      <c r="BE271">
        <f t="shared" si="791"/>
        <v>-1</v>
      </c>
      <c r="BF271">
        <f t="shared" si="791"/>
        <v>-1</v>
      </c>
      <c r="BG271">
        <f t="shared" si="791"/>
        <v>-1</v>
      </c>
      <c r="BH271">
        <f t="shared" si="791"/>
        <v>-1</v>
      </c>
      <c r="BI271">
        <f t="shared" si="791"/>
        <v>-1</v>
      </c>
      <c r="BJ271">
        <f t="shared" si="791"/>
        <v>-1</v>
      </c>
      <c r="BK271">
        <f t="shared" si="791"/>
        <v>-1</v>
      </c>
      <c r="BL271">
        <f t="shared" si="791"/>
        <v>-1</v>
      </c>
      <c r="BM271">
        <f t="shared" si="791"/>
        <v>-1</v>
      </c>
      <c r="BN271">
        <f t="shared" si="791"/>
        <v>-1</v>
      </c>
      <c r="BO271">
        <f t="shared" si="791"/>
        <v>-1</v>
      </c>
      <c r="BP271">
        <f t="shared" ref="BP271:EA271" si="792">IF(OR(BP270=-1,AND(IF(BP$3&lt;$B271,BP270+BP$6,IF(BP$3=$B271,1,""))&gt;$B$1,BP$3&lt;$B271)),-1,IF(BP$3&lt;$B271,BP270+BP$6,IF(BP$3=$B271,1,"")))</f>
        <v>-1</v>
      </c>
      <c r="BQ271">
        <f t="shared" si="792"/>
        <v>-1</v>
      </c>
      <c r="BR271">
        <f t="shared" si="792"/>
        <v>-1</v>
      </c>
      <c r="BS271">
        <f t="shared" si="792"/>
        <v>-1</v>
      </c>
      <c r="BT271">
        <f t="shared" si="792"/>
        <v>-1</v>
      </c>
      <c r="BU271">
        <f t="shared" si="792"/>
        <v>-1</v>
      </c>
      <c r="BV271">
        <f t="shared" si="792"/>
        <v>-1</v>
      </c>
      <c r="BW271">
        <f t="shared" si="792"/>
        <v>-1</v>
      </c>
      <c r="BX271">
        <f t="shared" si="792"/>
        <v>-1</v>
      </c>
      <c r="BY271">
        <f t="shared" si="792"/>
        <v>-1</v>
      </c>
      <c r="BZ271">
        <f t="shared" si="792"/>
        <v>-1</v>
      </c>
      <c r="CA271">
        <f t="shared" si="792"/>
        <v>-1</v>
      </c>
      <c r="CB271">
        <f t="shared" si="792"/>
        <v>-1</v>
      </c>
      <c r="CC271">
        <f t="shared" si="792"/>
        <v>-1</v>
      </c>
      <c r="CD271">
        <f t="shared" si="792"/>
        <v>-1</v>
      </c>
      <c r="CE271">
        <f t="shared" si="792"/>
        <v>-1</v>
      </c>
      <c r="CF271">
        <f t="shared" si="792"/>
        <v>-1</v>
      </c>
      <c r="CG271">
        <f t="shared" si="792"/>
        <v>-1</v>
      </c>
      <c r="CH271">
        <f t="shared" si="792"/>
        <v>-1</v>
      </c>
      <c r="CI271">
        <f t="shared" si="792"/>
        <v>-1</v>
      </c>
      <c r="CJ271">
        <f t="shared" si="792"/>
        <v>-1</v>
      </c>
      <c r="CK271">
        <f t="shared" si="792"/>
        <v>-1</v>
      </c>
      <c r="CL271">
        <f t="shared" si="792"/>
        <v>-1</v>
      </c>
      <c r="CM271">
        <f t="shared" si="792"/>
        <v>-1</v>
      </c>
      <c r="CN271">
        <f t="shared" si="792"/>
        <v>-1</v>
      </c>
      <c r="CO271">
        <f t="shared" si="792"/>
        <v>-1</v>
      </c>
      <c r="CP271">
        <f t="shared" si="792"/>
        <v>-1</v>
      </c>
      <c r="CQ271">
        <f t="shared" si="792"/>
        <v>-1</v>
      </c>
      <c r="CR271">
        <f t="shared" si="792"/>
        <v>-1</v>
      </c>
      <c r="CS271">
        <f t="shared" si="792"/>
        <v>-1</v>
      </c>
      <c r="CT271">
        <f t="shared" si="792"/>
        <v>-1</v>
      </c>
      <c r="CU271">
        <f t="shared" si="792"/>
        <v>-1</v>
      </c>
      <c r="CV271">
        <f t="shared" si="792"/>
        <v>-1</v>
      </c>
      <c r="CW271">
        <f t="shared" si="792"/>
        <v>-1</v>
      </c>
      <c r="CX271">
        <f t="shared" si="792"/>
        <v>-1</v>
      </c>
      <c r="CY271">
        <f t="shared" si="792"/>
        <v>-1</v>
      </c>
      <c r="CZ271">
        <f t="shared" si="792"/>
        <v>-1</v>
      </c>
      <c r="DA271">
        <f t="shared" si="792"/>
        <v>-1</v>
      </c>
      <c r="DB271">
        <f t="shared" si="792"/>
        <v>-1</v>
      </c>
      <c r="DC271">
        <f t="shared" si="792"/>
        <v>-1</v>
      </c>
      <c r="DD271">
        <f t="shared" si="792"/>
        <v>-1</v>
      </c>
      <c r="DE271">
        <f t="shared" si="792"/>
        <v>-1</v>
      </c>
      <c r="DF271">
        <f t="shared" si="792"/>
        <v>-1</v>
      </c>
      <c r="DG271">
        <f t="shared" si="792"/>
        <v>-1</v>
      </c>
      <c r="DH271">
        <f t="shared" si="792"/>
        <v>-1</v>
      </c>
      <c r="DI271">
        <f t="shared" si="792"/>
        <v>-1</v>
      </c>
      <c r="DJ271">
        <f t="shared" si="792"/>
        <v>-1</v>
      </c>
      <c r="DK271">
        <f t="shared" si="792"/>
        <v>-1</v>
      </c>
      <c r="DL271">
        <f t="shared" si="792"/>
        <v>-1</v>
      </c>
      <c r="DM271">
        <f t="shared" si="792"/>
        <v>-1</v>
      </c>
      <c r="DN271">
        <f t="shared" si="792"/>
        <v>-1</v>
      </c>
      <c r="DO271">
        <f t="shared" si="792"/>
        <v>-1</v>
      </c>
      <c r="DP271">
        <f t="shared" si="792"/>
        <v>-1</v>
      </c>
      <c r="DQ271">
        <f t="shared" si="792"/>
        <v>-1</v>
      </c>
      <c r="DR271">
        <f t="shared" si="792"/>
        <v>-1</v>
      </c>
      <c r="DS271">
        <f t="shared" si="792"/>
        <v>-1</v>
      </c>
      <c r="DT271">
        <f t="shared" si="792"/>
        <v>-1</v>
      </c>
      <c r="DU271">
        <f t="shared" si="792"/>
        <v>-1</v>
      </c>
      <c r="DV271">
        <f t="shared" si="792"/>
        <v>-1</v>
      </c>
      <c r="DW271">
        <f t="shared" si="792"/>
        <v>-1</v>
      </c>
      <c r="DX271">
        <f t="shared" si="792"/>
        <v>-1</v>
      </c>
      <c r="DY271">
        <f t="shared" si="792"/>
        <v>-1</v>
      </c>
      <c r="DZ271">
        <f t="shared" si="792"/>
        <v>-1</v>
      </c>
      <c r="EA271">
        <f t="shared" si="792"/>
        <v>-1</v>
      </c>
      <c r="EB271">
        <f t="shared" ref="EB271:EO271" si="793">IF(OR(EB270=-1,AND(IF(EB$3&lt;$B271,EB270+EB$6,IF(EB$3=$B271,1,""))&gt;$B$1,EB$3&lt;$B271)),-1,IF(EB$3&lt;$B271,EB270+EB$6,IF(EB$3=$B271,1,"")))</f>
        <v>-1</v>
      </c>
      <c r="EC271">
        <f t="shared" si="793"/>
        <v>-1</v>
      </c>
      <c r="ED271">
        <f t="shared" si="793"/>
        <v>-1</v>
      </c>
      <c r="EE271">
        <f t="shared" si="793"/>
        <v>-1</v>
      </c>
      <c r="EF271">
        <f t="shared" si="793"/>
        <v>-1</v>
      </c>
      <c r="EG271">
        <f t="shared" si="793"/>
        <v>-1</v>
      </c>
      <c r="EH271">
        <f t="shared" si="793"/>
        <v>-1</v>
      </c>
      <c r="EI271">
        <f t="shared" si="793"/>
        <v>-1</v>
      </c>
      <c r="EJ271">
        <f t="shared" si="793"/>
        <v>-1</v>
      </c>
      <c r="EK271">
        <f t="shared" si="793"/>
        <v>-1</v>
      </c>
      <c r="EL271">
        <f t="shared" si="793"/>
        <v>-1</v>
      </c>
      <c r="EM271">
        <f t="shared" si="793"/>
        <v>-1</v>
      </c>
      <c r="EN271">
        <f t="shared" si="793"/>
        <v>-1</v>
      </c>
      <c r="EO271">
        <f t="shared" si="793"/>
        <v>-1</v>
      </c>
    </row>
    <row r="272" spans="1:145" x14ac:dyDescent="0.15">
      <c r="A272" t="e">
        <f t="shared" si="772"/>
        <v>#N/A</v>
      </c>
      <c r="B272" s="218">
        <v>264</v>
      </c>
      <c r="C272">
        <f t="shared" si="772"/>
        <v>-1</v>
      </c>
      <c r="D272">
        <f t="shared" ref="D272:BO272" si="794">IF(OR(D271=-1,AND(IF(D$3&lt;$B272,D271+D$6,IF(D$3=$B272,1,""))&gt;$B$1,D$3&lt;$B272)),-1,IF(D$3&lt;$B272,D271+D$6,IF(D$3=$B272,1,"")))</f>
        <v>-1</v>
      </c>
      <c r="E272">
        <f t="shared" si="794"/>
        <v>-1</v>
      </c>
      <c r="F272">
        <f t="shared" si="794"/>
        <v>-1</v>
      </c>
      <c r="G272">
        <f t="shared" si="794"/>
        <v>-1</v>
      </c>
      <c r="H272">
        <f t="shared" si="794"/>
        <v>-1</v>
      </c>
      <c r="I272">
        <f t="shared" si="794"/>
        <v>-1</v>
      </c>
      <c r="J272">
        <f t="shared" si="794"/>
        <v>-1</v>
      </c>
      <c r="K272">
        <f t="shared" si="794"/>
        <v>-1</v>
      </c>
      <c r="L272">
        <f t="shared" si="794"/>
        <v>-1</v>
      </c>
      <c r="M272">
        <f t="shared" si="794"/>
        <v>-1</v>
      </c>
      <c r="N272">
        <f t="shared" si="794"/>
        <v>-1</v>
      </c>
      <c r="O272">
        <f t="shared" si="794"/>
        <v>-1</v>
      </c>
      <c r="P272">
        <f t="shared" si="794"/>
        <v>-1</v>
      </c>
      <c r="Q272">
        <f t="shared" si="794"/>
        <v>-1</v>
      </c>
      <c r="R272">
        <f t="shared" si="794"/>
        <v>-1</v>
      </c>
      <c r="S272">
        <f t="shared" si="794"/>
        <v>-1</v>
      </c>
      <c r="T272">
        <f t="shared" si="794"/>
        <v>-1</v>
      </c>
      <c r="U272">
        <f t="shared" si="794"/>
        <v>-1</v>
      </c>
      <c r="V272">
        <f t="shared" si="794"/>
        <v>-1</v>
      </c>
      <c r="W272">
        <f t="shared" si="794"/>
        <v>-1</v>
      </c>
      <c r="X272">
        <f t="shared" si="794"/>
        <v>-1</v>
      </c>
      <c r="Y272">
        <f t="shared" si="794"/>
        <v>-1</v>
      </c>
      <c r="Z272">
        <f t="shared" si="794"/>
        <v>-1</v>
      </c>
      <c r="AA272">
        <f t="shared" si="794"/>
        <v>-1</v>
      </c>
      <c r="AB272">
        <f t="shared" si="794"/>
        <v>-1</v>
      </c>
      <c r="AC272">
        <f t="shared" si="794"/>
        <v>-1</v>
      </c>
      <c r="AD272">
        <f t="shared" si="794"/>
        <v>-1</v>
      </c>
      <c r="AE272">
        <f t="shared" si="794"/>
        <v>-1</v>
      </c>
      <c r="AF272">
        <f t="shared" si="794"/>
        <v>-1</v>
      </c>
      <c r="AG272">
        <f t="shared" si="794"/>
        <v>-1</v>
      </c>
      <c r="AH272">
        <f t="shared" si="794"/>
        <v>-1</v>
      </c>
      <c r="AI272">
        <f t="shared" si="794"/>
        <v>-1</v>
      </c>
      <c r="AJ272">
        <f t="shared" si="794"/>
        <v>-1</v>
      </c>
      <c r="AK272">
        <f t="shared" si="794"/>
        <v>-1</v>
      </c>
      <c r="AL272">
        <f t="shared" si="794"/>
        <v>-1</v>
      </c>
      <c r="AM272">
        <f t="shared" si="794"/>
        <v>-1</v>
      </c>
      <c r="AN272">
        <f t="shared" si="794"/>
        <v>-1</v>
      </c>
      <c r="AO272">
        <f t="shared" si="794"/>
        <v>-1</v>
      </c>
      <c r="AP272">
        <f t="shared" si="794"/>
        <v>-1</v>
      </c>
      <c r="AQ272">
        <f t="shared" si="794"/>
        <v>-1</v>
      </c>
      <c r="AR272">
        <f t="shared" si="794"/>
        <v>-1</v>
      </c>
      <c r="AS272">
        <f t="shared" si="794"/>
        <v>-1</v>
      </c>
      <c r="AT272">
        <f t="shared" si="794"/>
        <v>-1</v>
      </c>
      <c r="AU272">
        <f t="shared" si="794"/>
        <v>-1</v>
      </c>
      <c r="AV272">
        <f t="shared" si="794"/>
        <v>-1</v>
      </c>
      <c r="AW272">
        <f t="shared" si="794"/>
        <v>-1</v>
      </c>
      <c r="AX272">
        <f t="shared" si="794"/>
        <v>-1</v>
      </c>
      <c r="AY272">
        <f t="shared" si="794"/>
        <v>-1</v>
      </c>
      <c r="AZ272">
        <f t="shared" si="794"/>
        <v>-1</v>
      </c>
      <c r="BA272">
        <f t="shared" si="794"/>
        <v>-1</v>
      </c>
      <c r="BB272">
        <f t="shared" si="794"/>
        <v>-1</v>
      </c>
      <c r="BC272">
        <f t="shared" si="794"/>
        <v>-1</v>
      </c>
      <c r="BD272">
        <f t="shared" si="794"/>
        <v>-1</v>
      </c>
      <c r="BE272">
        <f t="shared" si="794"/>
        <v>-1</v>
      </c>
      <c r="BF272">
        <f t="shared" si="794"/>
        <v>-1</v>
      </c>
      <c r="BG272">
        <f t="shared" si="794"/>
        <v>-1</v>
      </c>
      <c r="BH272">
        <f t="shared" si="794"/>
        <v>-1</v>
      </c>
      <c r="BI272">
        <f t="shared" si="794"/>
        <v>-1</v>
      </c>
      <c r="BJ272">
        <f t="shared" si="794"/>
        <v>-1</v>
      </c>
      <c r="BK272">
        <f t="shared" si="794"/>
        <v>-1</v>
      </c>
      <c r="BL272">
        <f t="shared" si="794"/>
        <v>-1</v>
      </c>
      <c r="BM272">
        <f t="shared" si="794"/>
        <v>-1</v>
      </c>
      <c r="BN272">
        <f t="shared" si="794"/>
        <v>-1</v>
      </c>
      <c r="BO272">
        <f t="shared" si="794"/>
        <v>-1</v>
      </c>
      <c r="BP272">
        <f t="shared" ref="BP272:EA272" si="795">IF(OR(BP271=-1,AND(IF(BP$3&lt;$B272,BP271+BP$6,IF(BP$3=$B272,1,""))&gt;$B$1,BP$3&lt;$B272)),-1,IF(BP$3&lt;$B272,BP271+BP$6,IF(BP$3=$B272,1,"")))</f>
        <v>-1</v>
      </c>
      <c r="BQ272">
        <f t="shared" si="795"/>
        <v>-1</v>
      </c>
      <c r="BR272">
        <f t="shared" si="795"/>
        <v>-1</v>
      </c>
      <c r="BS272">
        <f t="shared" si="795"/>
        <v>-1</v>
      </c>
      <c r="BT272">
        <f t="shared" si="795"/>
        <v>-1</v>
      </c>
      <c r="BU272">
        <f t="shared" si="795"/>
        <v>-1</v>
      </c>
      <c r="BV272">
        <f t="shared" si="795"/>
        <v>-1</v>
      </c>
      <c r="BW272">
        <f t="shared" si="795"/>
        <v>-1</v>
      </c>
      <c r="BX272">
        <f t="shared" si="795"/>
        <v>-1</v>
      </c>
      <c r="BY272">
        <f t="shared" si="795"/>
        <v>-1</v>
      </c>
      <c r="BZ272">
        <f t="shared" si="795"/>
        <v>-1</v>
      </c>
      <c r="CA272">
        <f t="shared" si="795"/>
        <v>-1</v>
      </c>
      <c r="CB272">
        <f t="shared" si="795"/>
        <v>-1</v>
      </c>
      <c r="CC272">
        <f t="shared" si="795"/>
        <v>-1</v>
      </c>
      <c r="CD272">
        <f t="shared" si="795"/>
        <v>-1</v>
      </c>
      <c r="CE272">
        <f t="shared" si="795"/>
        <v>-1</v>
      </c>
      <c r="CF272">
        <f t="shared" si="795"/>
        <v>-1</v>
      </c>
      <c r="CG272">
        <f t="shared" si="795"/>
        <v>-1</v>
      </c>
      <c r="CH272">
        <f t="shared" si="795"/>
        <v>-1</v>
      </c>
      <c r="CI272">
        <f t="shared" si="795"/>
        <v>-1</v>
      </c>
      <c r="CJ272">
        <f t="shared" si="795"/>
        <v>-1</v>
      </c>
      <c r="CK272">
        <f t="shared" si="795"/>
        <v>-1</v>
      </c>
      <c r="CL272">
        <f t="shared" si="795"/>
        <v>-1</v>
      </c>
      <c r="CM272">
        <f t="shared" si="795"/>
        <v>-1</v>
      </c>
      <c r="CN272">
        <f t="shared" si="795"/>
        <v>-1</v>
      </c>
      <c r="CO272">
        <f t="shared" si="795"/>
        <v>-1</v>
      </c>
      <c r="CP272">
        <f t="shared" si="795"/>
        <v>-1</v>
      </c>
      <c r="CQ272">
        <f t="shared" si="795"/>
        <v>-1</v>
      </c>
      <c r="CR272">
        <f t="shared" si="795"/>
        <v>-1</v>
      </c>
      <c r="CS272">
        <f t="shared" si="795"/>
        <v>-1</v>
      </c>
      <c r="CT272">
        <f t="shared" si="795"/>
        <v>-1</v>
      </c>
      <c r="CU272">
        <f t="shared" si="795"/>
        <v>-1</v>
      </c>
      <c r="CV272">
        <f t="shared" si="795"/>
        <v>-1</v>
      </c>
      <c r="CW272">
        <f t="shared" si="795"/>
        <v>-1</v>
      </c>
      <c r="CX272">
        <f t="shared" si="795"/>
        <v>-1</v>
      </c>
      <c r="CY272">
        <f t="shared" si="795"/>
        <v>-1</v>
      </c>
      <c r="CZ272">
        <f t="shared" si="795"/>
        <v>-1</v>
      </c>
      <c r="DA272">
        <f t="shared" si="795"/>
        <v>-1</v>
      </c>
      <c r="DB272">
        <f t="shared" si="795"/>
        <v>-1</v>
      </c>
      <c r="DC272">
        <f t="shared" si="795"/>
        <v>-1</v>
      </c>
      <c r="DD272">
        <f t="shared" si="795"/>
        <v>-1</v>
      </c>
      <c r="DE272">
        <f t="shared" si="795"/>
        <v>-1</v>
      </c>
      <c r="DF272">
        <f t="shared" si="795"/>
        <v>-1</v>
      </c>
      <c r="DG272">
        <f t="shared" si="795"/>
        <v>-1</v>
      </c>
      <c r="DH272">
        <f t="shared" si="795"/>
        <v>-1</v>
      </c>
      <c r="DI272">
        <f t="shared" si="795"/>
        <v>-1</v>
      </c>
      <c r="DJ272">
        <f t="shared" si="795"/>
        <v>-1</v>
      </c>
      <c r="DK272">
        <f t="shared" si="795"/>
        <v>-1</v>
      </c>
      <c r="DL272">
        <f t="shared" si="795"/>
        <v>-1</v>
      </c>
      <c r="DM272">
        <f t="shared" si="795"/>
        <v>-1</v>
      </c>
      <c r="DN272">
        <f t="shared" si="795"/>
        <v>-1</v>
      </c>
      <c r="DO272">
        <f t="shared" si="795"/>
        <v>-1</v>
      </c>
      <c r="DP272">
        <f t="shared" si="795"/>
        <v>-1</v>
      </c>
      <c r="DQ272">
        <f t="shared" si="795"/>
        <v>-1</v>
      </c>
      <c r="DR272">
        <f t="shared" si="795"/>
        <v>-1</v>
      </c>
      <c r="DS272">
        <f t="shared" si="795"/>
        <v>-1</v>
      </c>
      <c r="DT272">
        <f t="shared" si="795"/>
        <v>-1</v>
      </c>
      <c r="DU272">
        <f t="shared" si="795"/>
        <v>-1</v>
      </c>
      <c r="DV272">
        <f t="shared" si="795"/>
        <v>-1</v>
      </c>
      <c r="DW272">
        <f t="shared" si="795"/>
        <v>-1</v>
      </c>
      <c r="DX272">
        <f t="shared" si="795"/>
        <v>-1</v>
      </c>
      <c r="DY272">
        <f t="shared" si="795"/>
        <v>-1</v>
      </c>
      <c r="DZ272">
        <f t="shared" si="795"/>
        <v>-1</v>
      </c>
      <c r="EA272">
        <f t="shared" si="795"/>
        <v>-1</v>
      </c>
      <c r="EB272">
        <f t="shared" ref="EB272:EO272" si="796">IF(OR(EB271=-1,AND(IF(EB$3&lt;$B272,EB271+EB$6,IF(EB$3=$B272,1,""))&gt;$B$1,EB$3&lt;$B272)),-1,IF(EB$3&lt;$B272,EB271+EB$6,IF(EB$3=$B272,1,"")))</f>
        <v>-1</v>
      </c>
      <c r="EC272">
        <f t="shared" si="796"/>
        <v>-1</v>
      </c>
      <c r="ED272">
        <f t="shared" si="796"/>
        <v>-1</v>
      </c>
      <c r="EE272">
        <f t="shared" si="796"/>
        <v>-1</v>
      </c>
      <c r="EF272">
        <f t="shared" si="796"/>
        <v>-1</v>
      </c>
      <c r="EG272">
        <f t="shared" si="796"/>
        <v>-1</v>
      </c>
      <c r="EH272">
        <f t="shared" si="796"/>
        <v>-1</v>
      </c>
      <c r="EI272">
        <f t="shared" si="796"/>
        <v>-1</v>
      </c>
      <c r="EJ272">
        <f t="shared" si="796"/>
        <v>-1</v>
      </c>
      <c r="EK272">
        <f t="shared" si="796"/>
        <v>-1</v>
      </c>
      <c r="EL272">
        <f t="shared" si="796"/>
        <v>-1</v>
      </c>
      <c r="EM272">
        <f t="shared" si="796"/>
        <v>-1</v>
      </c>
      <c r="EN272">
        <f t="shared" si="796"/>
        <v>-1</v>
      </c>
      <c r="EO272">
        <f t="shared" si="796"/>
        <v>-1</v>
      </c>
    </row>
    <row r="273" spans="1:145" x14ac:dyDescent="0.15">
      <c r="A273" t="e">
        <f t="shared" si="772"/>
        <v>#N/A</v>
      </c>
      <c r="B273" s="218">
        <v>265</v>
      </c>
      <c r="C273">
        <f t="shared" si="772"/>
        <v>-1</v>
      </c>
      <c r="D273">
        <f t="shared" ref="D273:BO273" si="797">IF(OR(D272=-1,AND(IF(D$3&lt;$B273,D272+D$6,IF(D$3=$B273,1,""))&gt;$B$1,D$3&lt;$B273)),-1,IF(D$3&lt;$B273,D272+D$6,IF(D$3=$B273,1,"")))</f>
        <v>-1</v>
      </c>
      <c r="E273">
        <f t="shared" si="797"/>
        <v>-1</v>
      </c>
      <c r="F273">
        <f t="shared" si="797"/>
        <v>-1</v>
      </c>
      <c r="G273">
        <f t="shared" si="797"/>
        <v>-1</v>
      </c>
      <c r="H273">
        <f t="shared" si="797"/>
        <v>-1</v>
      </c>
      <c r="I273">
        <f t="shared" si="797"/>
        <v>-1</v>
      </c>
      <c r="J273">
        <f t="shared" si="797"/>
        <v>-1</v>
      </c>
      <c r="K273">
        <f t="shared" si="797"/>
        <v>-1</v>
      </c>
      <c r="L273">
        <f t="shared" si="797"/>
        <v>-1</v>
      </c>
      <c r="M273">
        <f t="shared" si="797"/>
        <v>-1</v>
      </c>
      <c r="N273">
        <f t="shared" si="797"/>
        <v>-1</v>
      </c>
      <c r="O273">
        <f t="shared" si="797"/>
        <v>-1</v>
      </c>
      <c r="P273">
        <f t="shared" si="797"/>
        <v>-1</v>
      </c>
      <c r="Q273">
        <f t="shared" si="797"/>
        <v>-1</v>
      </c>
      <c r="R273">
        <f t="shared" si="797"/>
        <v>-1</v>
      </c>
      <c r="S273">
        <f t="shared" si="797"/>
        <v>-1</v>
      </c>
      <c r="T273">
        <f t="shared" si="797"/>
        <v>-1</v>
      </c>
      <c r="U273">
        <f t="shared" si="797"/>
        <v>-1</v>
      </c>
      <c r="V273">
        <f t="shared" si="797"/>
        <v>-1</v>
      </c>
      <c r="W273">
        <f t="shared" si="797"/>
        <v>-1</v>
      </c>
      <c r="X273">
        <f t="shared" si="797"/>
        <v>-1</v>
      </c>
      <c r="Y273">
        <f t="shared" si="797"/>
        <v>-1</v>
      </c>
      <c r="Z273">
        <f t="shared" si="797"/>
        <v>-1</v>
      </c>
      <c r="AA273">
        <f t="shared" si="797"/>
        <v>-1</v>
      </c>
      <c r="AB273">
        <f t="shared" si="797"/>
        <v>-1</v>
      </c>
      <c r="AC273">
        <f t="shared" si="797"/>
        <v>-1</v>
      </c>
      <c r="AD273">
        <f t="shared" si="797"/>
        <v>-1</v>
      </c>
      <c r="AE273">
        <f t="shared" si="797"/>
        <v>-1</v>
      </c>
      <c r="AF273">
        <f t="shared" si="797"/>
        <v>-1</v>
      </c>
      <c r="AG273">
        <f t="shared" si="797"/>
        <v>-1</v>
      </c>
      <c r="AH273">
        <f t="shared" si="797"/>
        <v>-1</v>
      </c>
      <c r="AI273">
        <f t="shared" si="797"/>
        <v>-1</v>
      </c>
      <c r="AJ273">
        <f t="shared" si="797"/>
        <v>-1</v>
      </c>
      <c r="AK273">
        <f t="shared" si="797"/>
        <v>-1</v>
      </c>
      <c r="AL273">
        <f t="shared" si="797"/>
        <v>-1</v>
      </c>
      <c r="AM273">
        <f t="shared" si="797"/>
        <v>-1</v>
      </c>
      <c r="AN273">
        <f t="shared" si="797"/>
        <v>-1</v>
      </c>
      <c r="AO273">
        <f t="shared" si="797"/>
        <v>-1</v>
      </c>
      <c r="AP273">
        <f t="shared" si="797"/>
        <v>-1</v>
      </c>
      <c r="AQ273">
        <f t="shared" si="797"/>
        <v>-1</v>
      </c>
      <c r="AR273">
        <f t="shared" si="797"/>
        <v>-1</v>
      </c>
      <c r="AS273">
        <f t="shared" si="797"/>
        <v>-1</v>
      </c>
      <c r="AT273">
        <f t="shared" si="797"/>
        <v>-1</v>
      </c>
      <c r="AU273">
        <f t="shared" si="797"/>
        <v>-1</v>
      </c>
      <c r="AV273">
        <f t="shared" si="797"/>
        <v>-1</v>
      </c>
      <c r="AW273">
        <f t="shared" si="797"/>
        <v>-1</v>
      </c>
      <c r="AX273">
        <f t="shared" si="797"/>
        <v>-1</v>
      </c>
      <c r="AY273">
        <f t="shared" si="797"/>
        <v>-1</v>
      </c>
      <c r="AZ273">
        <f t="shared" si="797"/>
        <v>-1</v>
      </c>
      <c r="BA273">
        <f t="shared" si="797"/>
        <v>-1</v>
      </c>
      <c r="BB273">
        <f t="shared" si="797"/>
        <v>-1</v>
      </c>
      <c r="BC273">
        <f t="shared" si="797"/>
        <v>-1</v>
      </c>
      <c r="BD273">
        <f t="shared" si="797"/>
        <v>-1</v>
      </c>
      <c r="BE273">
        <f t="shared" si="797"/>
        <v>-1</v>
      </c>
      <c r="BF273">
        <f t="shared" si="797"/>
        <v>-1</v>
      </c>
      <c r="BG273">
        <f t="shared" si="797"/>
        <v>-1</v>
      </c>
      <c r="BH273">
        <f t="shared" si="797"/>
        <v>-1</v>
      </c>
      <c r="BI273">
        <f t="shared" si="797"/>
        <v>-1</v>
      </c>
      <c r="BJ273">
        <f t="shared" si="797"/>
        <v>-1</v>
      </c>
      <c r="BK273">
        <f t="shared" si="797"/>
        <v>-1</v>
      </c>
      <c r="BL273">
        <f t="shared" si="797"/>
        <v>-1</v>
      </c>
      <c r="BM273">
        <f t="shared" si="797"/>
        <v>-1</v>
      </c>
      <c r="BN273">
        <f t="shared" si="797"/>
        <v>-1</v>
      </c>
      <c r="BO273">
        <f t="shared" si="797"/>
        <v>-1</v>
      </c>
      <c r="BP273">
        <f t="shared" ref="BP273:EA273" si="798">IF(OR(BP272=-1,AND(IF(BP$3&lt;$B273,BP272+BP$6,IF(BP$3=$B273,1,""))&gt;$B$1,BP$3&lt;$B273)),-1,IF(BP$3&lt;$B273,BP272+BP$6,IF(BP$3=$B273,1,"")))</f>
        <v>-1</v>
      </c>
      <c r="BQ273">
        <f t="shared" si="798"/>
        <v>-1</v>
      </c>
      <c r="BR273">
        <f t="shared" si="798"/>
        <v>-1</v>
      </c>
      <c r="BS273">
        <f t="shared" si="798"/>
        <v>-1</v>
      </c>
      <c r="BT273">
        <f t="shared" si="798"/>
        <v>-1</v>
      </c>
      <c r="BU273">
        <f t="shared" si="798"/>
        <v>-1</v>
      </c>
      <c r="BV273">
        <f t="shared" si="798"/>
        <v>-1</v>
      </c>
      <c r="BW273">
        <f t="shared" si="798"/>
        <v>-1</v>
      </c>
      <c r="BX273">
        <f t="shared" si="798"/>
        <v>-1</v>
      </c>
      <c r="BY273">
        <f t="shared" si="798"/>
        <v>-1</v>
      </c>
      <c r="BZ273">
        <f t="shared" si="798"/>
        <v>-1</v>
      </c>
      <c r="CA273">
        <f t="shared" si="798"/>
        <v>-1</v>
      </c>
      <c r="CB273">
        <f t="shared" si="798"/>
        <v>-1</v>
      </c>
      <c r="CC273">
        <f t="shared" si="798"/>
        <v>-1</v>
      </c>
      <c r="CD273">
        <f t="shared" si="798"/>
        <v>-1</v>
      </c>
      <c r="CE273">
        <f t="shared" si="798"/>
        <v>-1</v>
      </c>
      <c r="CF273">
        <f t="shared" si="798"/>
        <v>-1</v>
      </c>
      <c r="CG273">
        <f t="shared" si="798"/>
        <v>-1</v>
      </c>
      <c r="CH273">
        <f t="shared" si="798"/>
        <v>-1</v>
      </c>
      <c r="CI273">
        <f t="shared" si="798"/>
        <v>-1</v>
      </c>
      <c r="CJ273">
        <f t="shared" si="798"/>
        <v>-1</v>
      </c>
      <c r="CK273">
        <f t="shared" si="798"/>
        <v>-1</v>
      </c>
      <c r="CL273">
        <f t="shared" si="798"/>
        <v>-1</v>
      </c>
      <c r="CM273">
        <f t="shared" si="798"/>
        <v>-1</v>
      </c>
      <c r="CN273">
        <f t="shared" si="798"/>
        <v>-1</v>
      </c>
      <c r="CO273">
        <f t="shared" si="798"/>
        <v>-1</v>
      </c>
      <c r="CP273">
        <f t="shared" si="798"/>
        <v>-1</v>
      </c>
      <c r="CQ273">
        <f t="shared" si="798"/>
        <v>-1</v>
      </c>
      <c r="CR273">
        <f t="shared" si="798"/>
        <v>-1</v>
      </c>
      <c r="CS273">
        <f t="shared" si="798"/>
        <v>-1</v>
      </c>
      <c r="CT273">
        <f t="shared" si="798"/>
        <v>-1</v>
      </c>
      <c r="CU273">
        <f t="shared" si="798"/>
        <v>-1</v>
      </c>
      <c r="CV273">
        <f t="shared" si="798"/>
        <v>-1</v>
      </c>
      <c r="CW273">
        <f t="shared" si="798"/>
        <v>-1</v>
      </c>
      <c r="CX273">
        <f t="shared" si="798"/>
        <v>-1</v>
      </c>
      <c r="CY273">
        <f t="shared" si="798"/>
        <v>-1</v>
      </c>
      <c r="CZ273">
        <f t="shared" si="798"/>
        <v>-1</v>
      </c>
      <c r="DA273">
        <f t="shared" si="798"/>
        <v>-1</v>
      </c>
      <c r="DB273">
        <f t="shared" si="798"/>
        <v>-1</v>
      </c>
      <c r="DC273">
        <f t="shared" si="798"/>
        <v>-1</v>
      </c>
      <c r="DD273">
        <f t="shared" si="798"/>
        <v>-1</v>
      </c>
      <c r="DE273">
        <f t="shared" si="798"/>
        <v>-1</v>
      </c>
      <c r="DF273">
        <f t="shared" si="798"/>
        <v>-1</v>
      </c>
      <c r="DG273">
        <f t="shared" si="798"/>
        <v>-1</v>
      </c>
      <c r="DH273">
        <f t="shared" si="798"/>
        <v>-1</v>
      </c>
      <c r="DI273">
        <f t="shared" si="798"/>
        <v>-1</v>
      </c>
      <c r="DJ273">
        <f t="shared" si="798"/>
        <v>-1</v>
      </c>
      <c r="DK273">
        <f t="shared" si="798"/>
        <v>-1</v>
      </c>
      <c r="DL273">
        <f t="shared" si="798"/>
        <v>-1</v>
      </c>
      <c r="DM273">
        <f t="shared" si="798"/>
        <v>-1</v>
      </c>
      <c r="DN273">
        <f t="shared" si="798"/>
        <v>-1</v>
      </c>
      <c r="DO273">
        <f t="shared" si="798"/>
        <v>-1</v>
      </c>
      <c r="DP273">
        <f t="shared" si="798"/>
        <v>-1</v>
      </c>
      <c r="DQ273">
        <f t="shared" si="798"/>
        <v>-1</v>
      </c>
      <c r="DR273">
        <f t="shared" si="798"/>
        <v>-1</v>
      </c>
      <c r="DS273">
        <f t="shared" si="798"/>
        <v>-1</v>
      </c>
      <c r="DT273">
        <f t="shared" si="798"/>
        <v>-1</v>
      </c>
      <c r="DU273">
        <f t="shared" si="798"/>
        <v>-1</v>
      </c>
      <c r="DV273">
        <f t="shared" si="798"/>
        <v>-1</v>
      </c>
      <c r="DW273">
        <f t="shared" si="798"/>
        <v>-1</v>
      </c>
      <c r="DX273">
        <f t="shared" si="798"/>
        <v>-1</v>
      </c>
      <c r="DY273">
        <f t="shared" si="798"/>
        <v>-1</v>
      </c>
      <c r="DZ273">
        <f t="shared" si="798"/>
        <v>-1</v>
      </c>
      <c r="EA273">
        <f t="shared" si="798"/>
        <v>-1</v>
      </c>
      <c r="EB273">
        <f t="shared" ref="EB273:EO273" si="799">IF(OR(EB272=-1,AND(IF(EB$3&lt;$B273,EB272+EB$6,IF(EB$3=$B273,1,""))&gt;$B$1,EB$3&lt;$B273)),-1,IF(EB$3&lt;$B273,EB272+EB$6,IF(EB$3=$B273,1,"")))</f>
        <v>-1</v>
      </c>
      <c r="EC273">
        <f t="shared" si="799"/>
        <v>-1</v>
      </c>
      <c r="ED273">
        <f t="shared" si="799"/>
        <v>-1</v>
      </c>
      <c r="EE273">
        <f t="shared" si="799"/>
        <v>-1</v>
      </c>
      <c r="EF273">
        <f t="shared" si="799"/>
        <v>-1</v>
      </c>
      <c r="EG273">
        <f t="shared" si="799"/>
        <v>-1</v>
      </c>
      <c r="EH273">
        <f t="shared" si="799"/>
        <v>-1</v>
      </c>
      <c r="EI273">
        <f t="shared" si="799"/>
        <v>-1</v>
      </c>
      <c r="EJ273">
        <f t="shared" si="799"/>
        <v>-1</v>
      </c>
      <c r="EK273">
        <f t="shared" si="799"/>
        <v>-1</v>
      </c>
      <c r="EL273">
        <f t="shared" si="799"/>
        <v>-1</v>
      </c>
      <c r="EM273">
        <f t="shared" si="799"/>
        <v>-1</v>
      </c>
      <c r="EN273">
        <f t="shared" si="799"/>
        <v>-1</v>
      </c>
      <c r="EO273">
        <f t="shared" si="799"/>
        <v>-1</v>
      </c>
    </row>
    <row r="274" spans="1:145" x14ac:dyDescent="0.15">
      <c r="A274" t="e">
        <f t="shared" si="772"/>
        <v>#N/A</v>
      </c>
      <c r="B274" s="218">
        <v>266</v>
      </c>
      <c r="C274">
        <f t="shared" si="772"/>
        <v>-1</v>
      </c>
      <c r="D274">
        <f t="shared" ref="D274:BO274" si="800">IF(OR(D273=-1,AND(IF(D$3&lt;$B274,D273+D$6,IF(D$3=$B274,1,""))&gt;$B$1,D$3&lt;$B274)),-1,IF(D$3&lt;$B274,D273+D$6,IF(D$3=$B274,1,"")))</f>
        <v>-1</v>
      </c>
      <c r="E274">
        <f t="shared" si="800"/>
        <v>-1</v>
      </c>
      <c r="F274">
        <f t="shared" si="800"/>
        <v>-1</v>
      </c>
      <c r="G274">
        <f t="shared" si="800"/>
        <v>-1</v>
      </c>
      <c r="H274">
        <f t="shared" si="800"/>
        <v>-1</v>
      </c>
      <c r="I274">
        <f t="shared" si="800"/>
        <v>-1</v>
      </c>
      <c r="J274">
        <f t="shared" si="800"/>
        <v>-1</v>
      </c>
      <c r="K274">
        <f t="shared" si="800"/>
        <v>-1</v>
      </c>
      <c r="L274">
        <f t="shared" si="800"/>
        <v>-1</v>
      </c>
      <c r="M274">
        <f t="shared" si="800"/>
        <v>-1</v>
      </c>
      <c r="N274">
        <f t="shared" si="800"/>
        <v>-1</v>
      </c>
      <c r="O274">
        <f t="shared" si="800"/>
        <v>-1</v>
      </c>
      <c r="P274">
        <f t="shared" si="800"/>
        <v>-1</v>
      </c>
      <c r="Q274">
        <f t="shared" si="800"/>
        <v>-1</v>
      </c>
      <c r="R274">
        <f t="shared" si="800"/>
        <v>-1</v>
      </c>
      <c r="S274">
        <f t="shared" si="800"/>
        <v>-1</v>
      </c>
      <c r="T274">
        <f t="shared" si="800"/>
        <v>-1</v>
      </c>
      <c r="U274">
        <f t="shared" si="800"/>
        <v>-1</v>
      </c>
      <c r="V274">
        <f t="shared" si="800"/>
        <v>-1</v>
      </c>
      <c r="W274">
        <f t="shared" si="800"/>
        <v>-1</v>
      </c>
      <c r="X274">
        <f t="shared" si="800"/>
        <v>-1</v>
      </c>
      <c r="Y274">
        <f t="shared" si="800"/>
        <v>-1</v>
      </c>
      <c r="Z274">
        <f t="shared" si="800"/>
        <v>-1</v>
      </c>
      <c r="AA274">
        <f t="shared" si="800"/>
        <v>-1</v>
      </c>
      <c r="AB274">
        <f t="shared" si="800"/>
        <v>-1</v>
      </c>
      <c r="AC274">
        <f t="shared" si="800"/>
        <v>-1</v>
      </c>
      <c r="AD274">
        <f t="shared" si="800"/>
        <v>-1</v>
      </c>
      <c r="AE274">
        <f t="shared" si="800"/>
        <v>-1</v>
      </c>
      <c r="AF274">
        <f t="shared" si="800"/>
        <v>-1</v>
      </c>
      <c r="AG274">
        <f t="shared" si="800"/>
        <v>-1</v>
      </c>
      <c r="AH274">
        <f t="shared" si="800"/>
        <v>-1</v>
      </c>
      <c r="AI274">
        <f t="shared" si="800"/>
        <v>-1</v>
      </c>
      <c r="AJ274">
        <f t="shared" si="800"/>
        <v>-1</v>
      </c>
      <c r="AK274">
        <f t="shared" si="800"/>
        <v>-1</v>
      </c>
      <c r="AL274">
        <f t="shared" si="800"/>
        <v>-1</v>
      </c>
      <c r="AM274">
        <f t="shared" si="800"/>
        <v>-1</v>
      </c>
      <c r="AN274">
        <f t="shared" si="800"/>
        <v>-1</v>
      </c>
      <c r="AO274">
        <f t="shared" si="800"/>
        <v>-1</v>
      </c>
      <c r="AP274">
        <f t="shared" si="800"/>
        <v>-1</v>
      </c>
      <c r="AQ274">
        <f t="shared" si="800"/>
        <v>-1</v>
      </c>
      <c r="AR274">
        <f t="shared" si="800"/>
        <v>-1</v>
      </c>
      <c r="AS274">
        <f t="shared" si="800"/>
        <v>-1</v>
      </c>
      <c r="AT274">
        <f t="shared" si="800"/>
        <v>-1</v>
      </c>
      <c r="AU274">
        <f t="shared" si="800"/>
        <v>-1</v>
      </c>
      <c r="AV274">
        <f t="shared" si="800"/>
        <v>-1</v>
      </c>
      <c r="AW274">
        <f t="shared" si="800"/>
        <v>-1</v>
      </c>
      <c r="AX274">
        <f t="shared" si="800"/>
        <v>-1</v>
      </c>
      <c r="AY274">
        <f t="shared" si="800"/>
        <v>-1</v>
      </c>
      <c r="AZ274">
        <f t="shared" si="800"/>
        <v>-1</v>
      </c>
      <c r="BA274">
        <f t="shared" si="800"/>
        <v>-1</v>
      </c>
      <c r="BB274">
        <f t="shared" si="800"/>
        <v>-1</v>
      </c>
      <c r="BC274">
        <f t="shared" si="800"/>
        <v>-1</v>
      </c>
      <c r="BD274">
        <f t="shared" si="800"/>
        <v>-1</v>
      </c>
      <c r="BE274">
        <f t="shared" si="800"/>
        <v>-1</v>
      </c>
      <c r="BF274">
        <f t="shared" si="800"/>
        <v>-1</v>
      </c>
      <c r="BG274">
        <f t="shared" si="800"/>
        <v>-1</v>
      </c>
      <c r="BH274">
        <f t="shared" si="800"/>
        <v>-1</v>
      </c>
      <c r="BI274">
        <f t="shared" si="800"/>
        <v>-1</v>
      </c>
      <c r="BJ274">
        <f t="shared" si="800"/>
        <v>-1</v>
      </c>
      <c r="BK274">
        <f t="shared" si="800"/>
        <v>-1</v>
      </c>
      <c r="BL274">
        <f t="shared" si="800"/>
        <v>-1</v>
      </c>
      <c r="BM274">
        <f t="shared" si="800"/>
        <v>-1</v>
      </c>
      <c r="BN274">
        <f t="shared" si="800"/>
        <v>-1</v>
      </c>
      <c r="BO274">
        <f t="shared" si="800"/>
        <v>-1</v>
      </c>
      <c r="BP274">
        <f t="shared" ref="BP274:EA274" si="801">IF(OR(BP273=-1,AND(IF(BP$3&lt;$B274,BP273+BP$6,IF(BP$3=$B274,1,""))&gt;$B$1,BP$3&lt;$B274)),-1,IF(BP$3&lt;$B274,BP273+BP$6,IF(BP$3=$B274,1,"")))</f>
        <v>-1</v>
      </c>
      <c r="BQ274">
        <f t="shared" si="801"/>
        <v>-1</v>
      </c>
      <c r="BR274">
        <f t="shared" si="801"/>
        <v>-1</v>
      </c>
      <c r="BS274">
        <f t="shared" si="801"/>
        <v>-1</v>
      </c>
      <c r="BT274">
        <f t="shared" si="801"/>
        <v>-1</v>
      </c>
      <c r="BU274">
        <f t="shared" si="801"/>
        <v>-1</v>
      </c>
      <c r="BV274">
        <f t="shared" si="801"/>
        <v>-1</v>
      </c>
      <c r="BW274">
        <f t="shared" si="801"/>
        <v>-1</v>
      </c>
      <c r="BX274">
        <f t="shared" si="801"/>
        <v>-1</v>
      </c>
      <c r="BY274">
        <f t="shared" si="801"/>
        <v>-1</v>
      </c>
      <c r="BZ274">
        <f t="shared" si="801"/>
        <v>-1</v>
      </c>
      <c r="CA274">
        <f t="shared" si="801"/>
        <v>-1</v>
      </c>
      <c r="CB274">
        <f t="shared" si="801"/>
        <v>-1</v>
      </c>
      <c r="CC274">
        <f t="shared" si="801"/>
        <v>-1</v>
      </c>
      <c r="CD274">
        <f t="shared" si="801"/>
        <v>-1</v>
      </c>
      <c r="CE274">
        <f t="shared" si="801"/>
        <v>-1</v>
      </c>
      <c r="CF274">
        <f t="shared" si="801"/>
        <v>-1</v>
      </c>
      <c r="CG274">
        <f t="shared" si="801"/>
        <v>-1</v>
      </c>
      <c r="CH274">
        <f t="shared" si="801"/>
        <v>-1</v>
      </c>
      <c r="CI274">
        <f t="shared" si="801"/>
        <v>-1</v>
      </c>
      <c r="CJ274">
        <f t="shared" si="801"/>
        <v>-1</v>
      </c>
      <c r="CK274">
        <f t="shared" si="801"/>
        <v>-1</v>
      </c>
      <c r="CL274">
        <f t="shared" si="801"/>
        <v>-1</v>
      </c>
      <c r="CM274">
        <f t="shared" si="801"/>
        <v>-1</v>
      </c>
      <c r="CN274">
        <f t="shared" si="801"/>
        <v>-1</v>
      </c>
      <c r="CO274">
        <f t="shared" si="801"/>
        <v>-1</v>
      </c>
      <c r="CP274">
        <f t="shared" si="801"/>
        <v>-1</v>
      </c>
      <c r="CQ274">
        <f t="shared" si="801"/>
        <v>-1</v>
      </c>
      <c r="CR274">
        <f t="shared" si="801"/>
        <v>-1</v>
      </c>
      <c r="CS274">
        <f t="shared" si="801"/>
        <v>-1</v>
      </c>
      <c r="CT274">
        <f t="shared" si="801"/>
        <v>-1</v>
      </c>
      <c r="CU274">
        <f t="shared" si="801"/>
        <v>-1</v>
      </c>
      <c r="CV274">
        <f t="shared" si="801"/>
        <v>-1</v>
      </c>
      <c r="CW274">
        <f t="shared" si="801"/>
        <v>-1</v>
      </c>
      <c r="CX274">
        <f t="shared" si="801"/>
        <v>-1</v>
      </c>
      <c r="CY274">
        <f t="shared" si="801"/>
        <v>-1</v>
      </c>
      <c r="CZ274">
        <f t="shared" si="801"/>
        <v>-1</v>
      </c>
      <c r="DA274">
        <f t="shared" si="801"/>
        <v>-1</v>
      </c>
      <c r="DB274">
        <f t="shared" si="801"/>
        <v>-1</v>
      </c>
      <c r="DC274">
        <f t="shared" si="801"/>
        <v>-1</v>
      </c>
      <c r="DD274">
        <f t="shared" si="801"/>
        <v>-1</v>
      </c>
      <c r="DE274">
        <f t="shared" si="801"/>
        <v>-1</v>
      </c>
      <c r="DF274">
        <f t="shared" si="801"/>
        <v>-1</v>
      </c>
      <c r="DG274">
        <f t="shared" si="801"/>
        <v>-1</v>
      </c>
      <c r="DH274">
        <f t="shared" si="801"/>
        <v>-1</v>
      </c>
      <c r="DI274">
        <f t="shared" si="801"/>
        <v>-1</v>
      </c>
      <c r="DJ274">
        <f t="shared" si="801"/>
        <v>-1</v>
      </c>
      <c r="DK274">
        <f t="shared" si="801"/>
        <v>-1</v>
      </c>
      <c r="DL274">
        <f t="shared" si="801"/>
        <v>-1</v>
      </c>
      <c r="DM274">
        <f t="shared" si="801"/>
        <v>-1</v>
      </c>
      <c r="DN274">
        <f t="shared" si="801"/>
        <v>-1</v>
      </c>
      <c r="DO274">
        <f t="shared" si="801"/>
        <v>-1</v>
      </c>
      <c r="DP274">
        <f t="shared" si="801"/>
        <v>-1</v>
      </c>
      <c r="DQ274">
        <f t="shared" si="801"/>
        <v>-1</v>
      </c>
      <c r="DR274">
        <f t="shared" si="801"/>
        <v>-1</v>
      </c>
      <c r="DS274">
        <f t="shared" si="801"/>
        <v>-1</v>
      </c>
      <c r="DT274">
        <f t="shared" si="801"/>
        <v>-1</v>
      </c>
      <c r="DU274">
        <f t="shared" si="801"/>
        <v>-1</v>
      </c>
      <c r="DV274">
        <f t="shared" si="801"/>
        <v>-1</v>
      </c>
      <c r="DW274">
        <f t="shared" si="801"/>
        <v>-1</v>
      </c>
      <c r="DX274">
        <f t="shared" si="801"/>
        <v>-1</v>
      </c>
      <c r="DY274">
        <f t="shared" si="801"/>
        <v>-1</v>
      </c>
      <c r="DZ274">
        <f t="shared" si="801"/>
        <v>-1</v>
      </c>
      <c r="EA274">
        <f t="shared" si="801"/>
        <v>-1</v>
      </c>
      <c r="EB274">
        <f t="shared" ref="EB274:EO274" si="802">IF(OR(EB273=-1,AND(IF(EB$3&lt;$B274,EB273+EB$6,IF(EB$3=$B274,1,""))&gt;$B$1,EB$3&lt;$B274)),-1,IF(EB$3&lt;$B274,EB273+EB$6,IF(EB$3=$B274,1,"")))</f>
        <v>-1</v>
      </c>
      <c r="EC274">
        <f t="shared" si="802"/>
        <v>-1</v>
      </c>
      <c r="ED274">
        <f t="shared" si="802"/>
        <v>-1</v>
      </c>
      <c r="EE274">
        <f t="shared" si="802"/>
        <v>-1</v>
      </c>
      <c r="EF274">
        <f t="shared" si="802"/>
        <v>-1</v>
      </c>
      <c r="EG274">
        <f t="shared" si="802"/>
        <v>-1</v>
      </c>
      <c r="EH274">
        <f t="shared" si="802"/>
        <v>-1</v>
      </c>
      <c r="EI274">
        <f t="shared" si="802"/>
        <v>-1</v>
      </c>
      <c r="EJ274">
        <f t="shared" si="802"/>
        <v>-1</v>
      </c>
      <c r="EK274">
        <f t="shared" si="802"/>
        <v>-1</v>
      </c>
      <c r="EL274">
        <f t="shared" si="802"/>
        <v>-1</v>
      </c>
      <c r="EM274">
        <f t="shared" si="802"/>
        <v>-1</v>
      </c>
      <c r="EN274">
        <f t="shared" si="802"/>
        <v>-1</v>
      </c>
      <c r="EO274">
        <f t="shared" si="802"/>
        <v>-1</v>
      </c>
    </row>
    <row r="275" spans="1:145" x14ac:dyDescent="0.15">
      <c r="A275" t="e">
        <f t="shared" si="772"/>
        <v>#N/A</v>
      </c>
      <c r="B275" s="218">
        <v>267</v>
      </c>
      <c r="C275">
        <f t="shared" si="772"/>
        <v>-1</v>
      </c>
      <c r="D275">
        <f t="shared" ref="D275:BO275" si="803">IF(OR(D274=-1,AND(IF(D$3&lt;$B275,D274+D$6,IF(D$3=$B275,1,""))&gt;$B$1,D$3&lt;$B275)),-1,IF(D$3&lt;$B275,D274+D$6,IF(D$3=$B275,1,"")))</f>
        <v>-1</v>
      </c>
      <c r="E275">
        <f t="shared" si="803"/>
        <v>-1</v>
      </c>
      <c r="F275">
        <f t="shared" si="803"/>
        <v>-1</v>
      </c>
      <c r="G275">
        <f t="shared" si="803"/>
        <v>-1</v>
      </c>
      <c r="H275">
        <f t="shared" si="803"/>
        <v>-1</v>
      </c>
      <c r="I275">
        <f t="shared" si="803"/>
        <v>-1</v>
      </c>
      <c r="J275">
        <f t="shared" si="803"/>
        <v>-1</v>
      </c>
      <c r="K275">
        <f t="shared" si="803"/>
        <v>-1</v>
      </c>
      <c r="L275">
        <f t="shared" si="803"/>
        <v>-1</v>
      </c>
      <c r="M275">
        <f t="shared" si="803"/>
        <v>-1</v>
      </c>
      <c r="N275">
        <f t="shared" si="803"/>
        <v>-1</v>
      </c>
      <c r="O275">
        <f t="shared" si="803"/>
        <v>-1</v>
      </c>
      <c r="P275">
        <f t="shared" si="803"/>
        <v>-1</v>
      </c>
      <c r="Q275">
        <f t="shared" si="803"/>
        <v>-1</v>
      </c>
      <c r="R275">
        <f t="shared" si="803"/>
        <v>-1</v>
      </c>
      <c r="S275">
        <f t="shared" si="803"/>
        <v>-1</v>
      </c>
      <c r="T275">
        <f t="shared" si="803"/>
        <v>-1</v>
      </c>
      <c r="U275">
        <f t="shared" si="803"/>
        <v>-1</v>
      </c>
      <c r="V275">
        <f t="shared" si="803"/>
        <v>-1</v>
      </c>
      <c r="W275">
        <f t="shared" si="803"/>
        <v>-1</v>
      </c>
      <c r="X275">
        <f t="shared" si="803"/>
        <v>-1</v>
      </c>
      <c r="Y275">
        <f t="shared" si="803"/>
        <v>-1</v>
      </c>
      <c r="Z275">
        <f t="shared" si="803"/>
        <v>-1</v>
      </c>
      <c r="AA275">
        <f t="shared" si="803"/>
        <v>-1</v>
      </c>
      <c r="AB275">
        <f t="shared" si="803"/>
        <v>-1</v>
      </c>
      <c r="AC275">
        <f t="shared" si="803"/>
        <v>-1</v>
      </c>
      <c r="AD275">
        <f t="shared" si="803"/>
        <v>-1</v>
      </c>
      <c r="AE275">
        <f t="shared" si="803"/>
        <v>-1</v>
      </c>
      <c r="AF275">
        <f t="shared" si="803"/>
        <v>-1</v>
      </c>
      <c r="AG275">
        <f t="shared" si="803"/>
        <v>-1</v>
      </c>
      <c r="AH275">
        <f t="shared" si="803"/>
        <v>-1</v>
      </c>
      <c r="AI275">
        <f t="shared" si="803"/>
        <v>-1</v>
      </c>
      <c r="AJ275">
        <f t="shared" si="803"/>
        <v>-1</v>
      </c>
      <c r="AK275">
        <f t="shared" si="803"/>
        <v>-1</v>
      </c>
      <c r="AL275">
        <f t="shared" si="803"/>
        <v>-1</v>
      </c>
      <c r="AM275">
        <f t="shared" si="803"/>
        <v>-1</v>
      </c>
      <c r="AN275">
        <f t="shared" si="803"/>
        <v>-1</v>
      </c>
      <c r="AO275">
        <f t="shared" si="803"/>
        <v>-1</v>
      </c>
      <c r="AP275">
        <f t="shared" si="803"/>
        <v>-1</v>
      </c>
      <c r="AQ275">
        <f t="shared" si="803"/>
        <v>-1</v>
      </c>
      <c r="AR275">
        <f t="shared" si="803"/>
        <v>-1</v>
      </c>
      <c r="AS275">
        <f t="shared" si="803"/>
        <v>-1</v>
      </c>
      <c r="AT275">
        <f t="shared" si="803"/>
        <v>-1</v>
      </c>
      <c r="AU275">
        <f t="shared" si="803"/>
        <v>-1</v>
      </c>
      <c r="AV275">
        <f t="shared" si="803"/>
        <v>-1</v>
      </c>
      <c r="AW275">
        <f t="shared" si="803"/>
        <v>-1</v>
      </c>
      <c r="AX275">
        <f t="shared" si="803"/>
        <v>-1</v>
      </c>
      <c r="AY275">
        <f t="shared" si="803"/>
        <v>-1</v>
      </c>
      <c r="AZ275">
        <f t="shared" si="803"/>
        <v>-1</v>
      </c>
      <c r="BA275">
        <f t="shared" si="803"/>
        <v>-1</v>
      </c>
      <c r="BB275">
        <f t="shared" si="803"/>
        <v>-1</v>
      </c>
      <c r="BC275">
        <f t="shared" si="803"/>
        <v>-1</v>
      </c>
      <c r="BD275">
        <f t="shared" si="803"/>
        <v>-1</v>
      </c>
      <c r="BE275">
        <f t="shared" si="803"/>
        <v>-1</v>
      </c>
      <c r="BF275">
        <f t="shared" si="803"/>
        <v>-1</v>
      </c>
      <c r="BG275">
        <f t="shared" si="803"/>
        <v>-1</v>
      </c>
      <c r="BH275">
        <f t="shared" si="803"/>
        <v>-1</v>
      </c>
      <c r="BI275">
        <f t="shared" si="803"/>
        <v>-1</v>
      </c>
      <c r="BJ275">
        <f t="shared" si="803"/>
        <v>-1</v>
      </c>
      <c r="BK275">
        <f t="shared" si="803"/>
        <v>-1</v>
      </c>
      <c r="BL275">
        <f t="shared" si="803"/>
        <v>-1</v>
      </c>
      <c r="BM275">
        <f t="shared" si="803"/>
        <v>-1</v>
      </c>
      <c r="BN275">
        <f t="shared" si="803"/>
        <v>-1</v>
      </c>
      <c r="BO275">
        <f t="shared" si="803"/>
        <v>-1</v>
      </c>
      <c r="BP275">
        <f t="shared" ref="BP275:EA275" si="804">IF(OR(BP274=-1,AND(IF(BP$3&lt;$B275,BP274+BP$6,IF(BP$3=$B275,1,""))&gt;$B$1,BP$3&lt;$B275)),-1,IF(BP$3&lt;$B275,BP274+BP$6,IF(BP$3=$B275,1,"")))</f>
        <v>-1</v>
      </c>
      <c r="BQ275">
        <f t="shared" si="804"/>
        <v>-1</v>
      </c>
      <c r="BR275">
        <f t="shared" si="804"/>
        <v>-1</v>
      </c>
      <c r="BS275">
        <f t="shared" si="804"/>
        <v>-1</v>
      </c>
      <c r="BT275">
        <f t="shared" si="804"/>
        <v>-1</v>
      </c>
      <c r="BU275">
        <f t="shared" si="804"/>
        <v>-1</v>
      </c>
      <c r="BV275">
        <f t="shared" si="804"/>
        <v>-1</v>
      </c>
      <c r="BW275">
        <f t="shared" si="804"/>
        <v>-1</v>
      </c>
      <c r="BX275">
        <f t="shared" si="804"/>
        <v>-1</v>
      </c>
      <c r="BY275">
        <f t="shared" si="804"/>
        <v>-1</v>
      </c>
      <c r="BZ275">
        <f t="shared" si="804"/>
        <v>-1</v>
      </c>
      <c r="CA275">
        <f t="shared" si="804"/>
        <v>-1</v>
      </c>
      <c r="CB275">
        <f t="shared" si="804"/>
        <v>-1</v>
      </c>
      <c r="CC275">
        <f t="shared" si="804"/>
        <v>-1</v>
      </c>
      <c r="CD275">
        <f t="shared" si="804"/>
        <v>-1</v>
      </c>
      <c r="CE275">
        <f t="shared" si="804"/>
        <v>-1</v>
      </c>
      <c r="CF275">
        <f t="shared" si="804"/>
        <v>-1</v>
      </c>
      <c r="CG275">
        <f t="shared" si="804"/>
        <v>-1</v>
      </c>
      <c r="CH275">
        <f t="shared" si="804"/>
        <v>-1</v>
      </c>
      <c r="CI275">
        <f t="shared" si="804"/>
        <v>-1</v>
      </c>
      <c r="CJ275">
        <f t="shared" si="804"/>
        <v>-1</v>
      </c>
      <c r="CK275">
        <f t="shared" si="804"/>
        <v>-1</v>
      </c>
      <c r="CL275">
        <f t="shared" si="804"/>
        <v>-1</v>
      </c>
      <c r="CM275">
        <f t="shared" si="804"/>
        <v>-1</v>
      </c>
      <c r="CN275">
        <f t="shared" si="804"/>
        <v>-1</v>
      </c>
      <c r="CO275">
        <f t="shared" si="804"/>
        <v>-1</v>
      </c>
      <c r="CP275">
        <f t="shared" si="804"/>
        <v>-1</v>
      </c>
      <c r="CQ275">
        <f t="shared" si="804"/>
        <v>-1</v>
      </c>
      <c r="CR275">
        <f t="shared" si="804"/>
        <v>-1</v>
      </c>
      <c r="CS275">
        <f t="shared" si="804"/>
        <v>-1</v>
      </c>
      <c r="CT275">
        <f t="shared" si="804"/>
        <v>-1</v>
      </c>
      <c r="CU275">
        <f t="shared" si="804"/>
        <v>-1</v>
      </c>
      <c r="CV275">
        <f t="shared" si="804"/>
        <v>-1</v>
      </c>
      <c r="CW275">
        <f t="shared" si="804"/>
        <v>-1</v>
      </c>
      <c r="CX275">
        <f t="shared" si="804"/>
        <v>-1</v>
      </c>
      <c r="CY275">
        <f t="shared" si="804"/>
        <v>-1</v>
      </c>
      <c r="CZ275">
        <f t="shared" si="804"/>
        <v>-1</v>
      </c>
      <c r="DA275">
        <f t="shared" si="804"/>
        <v>-1</v>
      </c>
      <c r="DB275">
        <f t="shared" si="804"/>
        <v>-1</v>
      </c>
      <c r="DC275">
        <f t="shared" si="804"/>
        <v>-1</v>
      </c>
      <c r="DD275">
        <f t="shared" si="804"/>
        <v>-1</v>
      </c>
      <c r="DE275">
        <f t="shared" si="804"/>
        <v>-1</v>
      </c>
      <c r="DF275">
        <f t="shared" si="804"/>
        <v>-1</v>
      </c>
      <c r="DG275">
        <f t="shared" si="804"/>
        <v>-1</v>
      </c>
      <c r="DH275">
        <f t="shared" si="804"/>
        <v>-1</v>
      </c>
      <c r="DI275">
        <f t="shared" si="804"/>
        <v>-1</v>
      </c>
      <c r="DJ275">
        <f t="shared" si="804"/>
        <v>-1</v>
      </c>
      <c r="DK275">
        <f t="shared" si="804"/>
        <v>-1</v>
      </c>
      <c r="DL275">
        <f t="shared" si="804"/>
        <v>-1</v>
      </c>
      <c r="DM275">
        <f t="shared" si="804"/>
        <v>-1</v>
      </c>
      <c r="DN275">
        <f t="shared" si="804"/>
        <v>-1</v>
      </c>
      <c r="DO275">
        <f t="shared" si="804"/>
        <v>-1</v>
      </c>
      <c r="DP275">
        <f t="shared" si="804"/>
        <v>-1</v>
      </c>
      <c r="DQ275">
        <f t="shared" si="804"/>
        <v>-1</v>
      </c>
      <c r="DR275">
        <f t="shared" si="804"/>
        <v>-1</v>
      </c>
      <c r="DS275">
        <f t="shared" si="804"/>
        <v>-1</v>
      </c>
      <c r="DT275">
        <f t="shared" si="804"/>
        <v>-1</v>
      </c>
      <c r="DU275">
        <f t="shared" si="804"/>
        <v>-1</v>
      </c>
      <c r="DV275">
        <f t="shared" si="804"/>
        <v>-1</v>
      </c>
      <c r="DW275">
        <f t="shared" si="804"/>
        <v>-1</v>
      </c>
      <c r="DX275">
        <f t="shared" si="804"/>
        <v>-1</v>
      </c>
      <c r="DY275">
        <f t="shared" si="804"/>
        <v>-1</v>
      </c>
      <c r="DZ275">
        <f t="shared" si="804"/>
        <v>-1</v>
      </c>
      <c r="EA275">
        <f t="shared" si="804"/>
        <v>-1</v>
      </c>
      <c r="EB275">
        <f t="shared" ref="EB275:EO275" si="805">IF(OR(EB274=-1,AND(IF(EB$3&lt;$B275,EB274+EB$6,IF(EB$3=$B275,1,""))&gt;$B$1,EB$3&lt;$B275)),-1,IF(EB$3&lt;$B275,EB274+EB$6,IF(EB$3=$B275,1,"")))</f>
        <v>-1</v>
      </c>
      <c r="EC275">
        <f t="shared" si="805"/>
        <v>-1</v>
      </c>
      <c r="ED275">
        <f t="shared" si="805"/>
        <v>-1</v>
      </c>
      <c r="EE275">
        <f t="shared" si="805"/>
        <v>-1</v>
      </c>
      <c r="EF275">
        <f t="shared" si="805"/>
        <v>-1</v>
      </c>
      <c r="EG275">
        <f t="shared" si="805"/>
        <v>-1</v>
      </c>
      <c r="EH275">
        <f t="shared" si="805"/>
        <v>-1</v>
      </c>
      <c r="EI275">
        <f t="shared" si="805"/>
        <v>-1</v>
      </c>
      <c r="EJ275">
        <f t="shared" si="805"/>
        <v>-1</v>
      </c>
      <c r="EK275">
        <f t="shared" si="805"/>
        <v>-1</v>
      </c>
      <c r="EL275">
        <f t="shared" si="805"/>
        <v>-1</v>
      </c>
      <c r="EM275">
        <f t="shared" si="805"/>
        <v>-1</v>
      </c>
      <c r="EN275">
        <f t="shared" si="805"/>
        <v>-1</v>
      </c>
      <c r="EO275">
        <f t="shared" si="805"/>
        <v>-1</v>
      </c>
    </row>
    <row r="276" spans="1:145" x14ac:dyDescent="0.15">
      <c r="A276" t="e">
        <f t="shared" si="772"/>
        <v>#N/A</v>
      </c>
      <c r="B276" s="218">
        <v>268</v>
      </c>
      <c r="C276">
        <f t="shared" si="772"/>
        <v>-1</v>
      </c>
      <c r="D276">
        <f t="shared" ref="D276:BO276" si="806">IF(OR(D275=-1,AND(IF(D$3&lt;$B276,D275+D$6,IF(D$3=$B276,1,""))&gt;$B$1,D$3&lt;$B276)),-1,IF(D$3&lt;$B276,D275+D$6,IF(D$3=$B276,1,"")))</f>
        <v>-1</v>
      </c>
      <c r="E276">
        <f t="shared" si="806"/>
        <v>-1</v>
      </c>
      <c r="F276">
        <f t="shared" si="806"/>
        <v>-1</v>
      </c>
      <c r="G276">
        <f t="shared" si="806"/>
        <v>-1</v>
      </c>
      <c r="H276">
        <f t="shared" si="806"/>
        <v>-1</v>
      </c>
      <c r="I276">
        <f t="shared" si="806"/>
        <v>-1</v>
      </c>
      <c r="J276">
        <f t="shared" si="806"/>
        <v>-1</v>
      </c>
      <c r="K276">
        <f t="shared" si="806"/>
        <v>-1</v>
      </c>
      <c r="L276">
        <f t="shared" si="806"/>
        <v>-1</v>
      </c>
      <c r="M276">
        <f t="shared" si="806"/>
        <v>-1</v>
      </c>
      <c r="N276">
        <f t="shared" si="806"/>
        <v>-1</v>
      </c>
      <c r="O276">
        <f t="shared" si="806"/>
        <v>-1</v>
      </c>
      <c r="P276">
        <f t="shared" si="806"/>
        <v>-1</v>
      </c>
      <c r="Q276">
        <f t="shared" si="806"/>
        <v>-1</v>
      </c>
      <c r="R276">
        <f t="shared" si="806"/>
        <v>-1</v>
      </c>
      <c r="S276">
        <f t="shared" si="806"/>
        <v>-1</v>
      </c>
      <c r="T276">
        <f t="shared" si="806"/>
        <v>-1</v>
      </c>
      <c r="U276">
        <f t="shared" si="806"/>
        <v>-1</v>
      </c>
      <c r="V276">
        <f t="shared" si="806"/>
        <v>-1</v>
      </c>
      <c r="W276">
        <f t="shared" si="806"/>
        <v>-1</v>
      </c>
      <c r="X276">
        <f t="shared" si="806"/>
        <v>-1</v>
      </c>
      <c r="Y276">
        <f t="shared" si="806"/>
        <v>-1</v>
      </c>
      <c r="Z276">
        <f t="shared" si="806"/>
        <v>-1</v>
      </c>
      <c r="AA276">
        <f t="shared" si="806"/>
        <v>-1</v>
      </c>
      <c r="AB276">
        <f t="shared" si="806"/>
        <v>-1</v>
      </c>
      <c r="AC276">
        <f t="shared" si="806"/>
        <v>-1</v>
      </c>
      <c r="AD276">
        <f t="shared" si="806"/>
        <v>-1</v>
      </c>
      <c r="AE276">
        <f t="shared" si="806"/>
        <v>-1</v>
      </c>
      <c r="AF276">
        <f t="shared" si="806"/>
        <v>-1</v>
      </c>
      <c r="AG276">
        <f t="shared" si="806"/>
        <v>-1</v>
      </c>
      <c r="AH276">
        <f t="shared" si="806"/>
        <v>-1</v>
      </c>
      <c r="AI276">
        <f t="shared" si="806"/>
        <v>-1</v>
      </c>
      <c r="AJ276">
        <f t="shared" si="806"/>
        <v>-1</v>
      </c>
      <c r="AK276">
        <f t="shared" si="806"/>
        <v>-1</v>
      </c>
      <c r="AL276">
        <f t="shared" si="806"/>
        <v>-1</v>
      </c>
      <c r="AM276">
        <f t="shared" si="806"/>
        <v>-1</v>
      </c>
      <c r="AN276">
        <f t="shared" si="806"/>
        <v>-1</v>
      </c>
      <c r="AO276">
        <f t="shared" si="806"/>
        <v>-1</v>
      </c>
      <c r="AP276">
        <f t="shared" si="806"/>
        <v>-1</v>
      </c>
      <c r="AQ276">
        <f t="shared" si="806"/>
        <v>-1</v>
      </c>
      <c r="AR276">
        <f t="shared" si="806"/>
        <v>-1</v>
      </c>
      <c r="AS276">
        <f t="shared" si="806"/>
        <v>-1</v>
      </c>
      <c r="AT276">
        <f t="shared" si="806"/>
        <v>-1</v>
      </c>
      <c r="AU276">
        <f t="shared" si="806"/>
        <v>-1</v>
      </c>
      <c r="AV276">
        <f t="shared" si="806"/>
        <v>-1</v>
      </c>
      <c r="AW276">
        <f t="shared" si="806"/>
        <v>-1</v>
      </c>
      <c r="AX276">
        <f t="shared" si="806"/>
        <v>-1</v>
      </c>
      <c r="AY276">
        <f t="shared" si="806"/>
        <v>-1</v>
      </c>
      <c r="AZ276">
        <f t="shared" si="806"/>
        <v>-1</v>
      </c>
      <c r="BA276">
        <f t="shared" si="806"/>
        <v>-1</v>
      </c>
      <c r="BB276">
        <f t="shared" si="806"/>
        <v>-1</v>
      </c>
      <c r="BC276">
        <f t="shared" si="806"/>
        <v>-1</v>
      </c>
      <c r="BD276">
        <f t="shared" si="806"/>
        <v>-1</v>
      </c>
      <c r="BE276">
        <f t="shared" si="806"/>
        <v>-1</v>
      </c>
      <c r="BF276">
        <f t="shared" si="806"/>
        <v>-1</v>
      </c>
      <c r="BG276">
        <f t="shared" si="806"/>
        <v>-1</v>
      </c>
      <c r="BH276">
        <f t="shared" si="806"/>
        <v>-1</v>
      </c>
      <c r="BI276">
        <f t="shared" si="806"/>
        <v>-1</v>
      </c>
      <c r="BJ276">
        <f t="shared" si="806"/>
        <v>-1</v>
      </c>
      <c r="BK276">
        <f t="shared" si="806"/>
        <v>-1</v>
      </c>
      <c r="BL276">
        <f t="shared" si="806"/>
        <v>-1</v>
      </c>
      <c r="BM276">
        <f t="shared" si="806"/>
        <v>-1</v>
      </c>
      <c r="BN276">
        <f t="shared" si="806"/>
        <v>-1</v>
      </c>
      <c r="BO276">
        <f t="shared" si="806"/>
        <v>-1</v>
      </c>
      <c r="BP276">
        <f t="shared" ref="BP276:EA276" si="807">IF(OR(BP275=-1,AND(IF(BP$3&lt;$B276,BP275+BP$6,IF(BP$3=$B276,1,""))&gt;$B$1,BP$3&lt;$B276)),-1,IF(BP$3&lt;$B276,BP275+BP$6,IF(BP$3=$B276,1,"")))</f>
        <v>-1</v>
      </c>
      <c r="BQ276">
        <f t="shared" si="807"/>
        <v>-1</v>
      </c>
      <c r="BR276">
        <f t="shared" si="807"/>
        <v>-1</v>
      </c>
      <c r="BS276">
        <f t="shared" si="807"/>
        <v>-1</v>
      </c>
      <c r="BT276">
        <f t="shared" si="807"/>
        <v>-1</v>
      </c>
      <c r="BU276">
        <f t="shared" si="807"/>
        <v>-1</v>
      </c>
      <c r="BV276">
        <f t="shared" si="807"/>
        <v>-1</v>
      </c>
      <c r="BW276">
        <f t="shared" si="807"/>
        <v>-1</v>
      </c>
      <c r="BX276">
        <f t="shared" si="807"/>
        <v>-1</v>
      </c>
      <c r="BY276">
        <f t="shared" si="807"/>
        <v>-1</v>
      </c>
      <c r="BZ276">
        <f t="shared" si="807"/>
        <v>-1</v>
      </c>
      <c r="CA276">
        <f t="shared" si="807"/>
        <v>-1</v>
      </c>
      <c r="CB276">
        <f t="shared" si="807"/>
        <v>-1</v>
      </c>
      <c r="CC276">
        <f t="shared" si="807"/>
        <v>-1</v>
      </c>
      <c r="CD276">
        <f t="shared" si="807"/>
        <v>-1</v>
      </c>
      <c r="CE276">
        <f t="shared" si="807"/>
        <v>-1</v>
      </c>
      <c r="CF276">
        <f t="shared" si="807"/>
        <v>-1</v>
      </c>
      <c r="CG276">
        <f t="shared" si="807"/>
        <v>-1</v>
      </c>
      <c r="CH276">
        <f t="shared" si="807"/>
        <v>-1</v>
      </c>
      <c r="CI276">
        <f t="shared" si="807"/>
        <v>-1</v>
      </c>
      <c r="CJ276">
        <f t="shared" si="807"/>
        <v>-1</v>
      </c>
      <c r="CK276">
        <f t="shared" si="807"/>
        <v>-1</v>
      </c>
      <c r="CL276">
        <f t="shared" si="807"/>
        <v>-1</v>
      </c>
      <c r="CM276">
        <f t="shared" si="807"/>
        <v>-1</v>
      </c>
      <c r="CN276">
        <f t="shared" si="807"/>
        <v>-1</v>
      </c>
      <c r="CO276">
        <f t="shared" si="807"/>
        <v>-1</v>
      </c>
      <c r="CP276">
        <f t="shared" si="807"/>
        <v>-1</v>
      </c>
      <c r="CQ276">
        <f t="shared" si="807"/>
        <v>-1</v>
      </c>
      <c r="CR276">
        <f t="shared" si="807"/>
        <v>-1</v>
      </c>
      <c r="CS276">
        <f t="shared" si="807"/>
        <v>-1</v>
      </c>
      <c r="CT276">
        <f t="shared" si="807"/>
        <v>-1</v>
      </c>
      <c r="CU276">
        <f t="shared" si="807"/>
        <v>-1</v>
      </c>
      <c r="CV276">
        <f t="shared" si="807"/>
        <v>-1</v>
      </c>
      <c r="CW276">
        <f t="shared" si="807"/>
        <v>-1</v>
      </c>
      <c r="CX276">
        <f t="shared" si="807"/>
        <v>-1</v>
      </c>
      <c r="CY276">
        <f t="shared" si="807"/>
        <v>-1</v>
      </c>
      <c r="CZ276">
        <f t="shared" si="807"/>
        <v>-1</v>
      </c>
      <c r="DA276">
        <f t="shared" si="807"/>
        <v>-1</v>
      </c>
      <c r="DB276">
        <f t="shared" si="807"/>
        <v>-1</v>
      </c>
      <c r="DC276">
        <f t="shared" si="807"/>
        <v>-1</v>
      </c>
      <c r="DD276">
        <f t="shared" si="807"/>
        <v>-1</v>
      </c>
      <c r="DE276">
        <f t="shared" si="807"/>
        <v>-1</v>
      </c>
      <c r="DF276">
        <f t="shared" si="807"/>
        <v>-1</v>
      </c>
      <c r="DG276">
        <f t="shared" si="807"/>
        <v>-1</v>
      </c>
      <c r="DH276">
        <f t="shared" si="807"/>
        <v>-1</v>
      </c>
      <c r="DI276">
        <f t="shared" si="807"/>
        <v>-1</v>
      </c>
      <c r="DJ276">
        <f t="shared" si="807"/>
        <v>-1</v>
      </c>
      <c r="DK276">
        <f t="shared" si="807"/>
        <v>-1</v>
      </c>
      <c r="DL276">
        <f t="shared" si="807"/>
        <v>-1</v>
      </c>
      <c r="DM276">
        <f t="shared" si="807"/>
        <v>-1</v>
      </c>
      <c r="DN276">
        <f t="shared" si="807"/>
        <v>-1</v>
      </c>
      <c r="DO276">
        <f t="shared" si="807"/>
        <v>-1</v>
      </c>
      <c r="DP276">
        <f t="shared" si="807"/>
        <v>-1</v>
      </c>
      <c r="DQ276">
        <f t="shared" si="807"/>
        <v>-1</v>
      </c>
      <c r="DR276">
        <f t="shared" si="807"/>
        <v>-1</v>
      </c>
      <c r="DS276">
        <f t="shared" si="807"/>
        <v>-1</v>
      </c>
      <c r="DT276">
        <f t="shared" si="807"/>
        <v>-1</v>
      </c>
      <c r="DU276">
        <f t="shared" si="807"/>
        <v>-1</v>
      </c>
      <c r="DV276">
        <f t="shared" si="807"/>
        <v>-1</v>
      </c>
      <c r="DW276">
        <f t="shared" si="807"/>
        <v>-1</v>
      </c>
      <c r="DX276">
        <f t="shared" si="807"/>
        <v>-1</v>
      </c>
      <c r="DY276">
        <f t="shared" si="807"/>
        <v>-1</v>
      </c>
      <c r="DZ276">
        <f t="shared" si="807"/>
        <v>-1</v>
      </c>
      <c r="EA276">
        <f t="shared" si="807"/>
        <v>-1</v>
      </c>
      <c r="EB276">
        <f t="shared" ref="EB276:EO276" si="808">IF(OR(EB275=-1,AND(IF(EB$3&lt;$B276,EB275+EB$6,IF(EB$3=$B276,1,""))&gt;$B$1,EB$3&lt;$B276)),-1,IF(EB$3&lt;$B276,EB275+EB$6,IF(EB$3=$B276,1,"")))</f>
        <v>-1</v>
      </c>
      <c r="EC276">
        <f t="shared" si="808"/>
        <v>-1</v>
      </c>
      <c r="ED276">
        <f t="shared" si="808"/>
        <v>-1</v>
      </c>
      <c r="EE276">
        <f t="shared" si="808"/>
        <v>-1</v>
      </c>
      <c r="EF276">
        <f t="shared" si="808"/>
        <v>-1</v>
      </c>
      <c r="EG276">
        <f t="shared" si="808"/>
        <v>-1</v>
      </c>
      <c r="EH276">
        <f t="shared" si="808"/>
        <v>-1</v>
      </c>
      <c r="EI276">
        <f t="shared" si="808"/>
        <v>-1</v>
      </c>
      <c r="EJ276">
        <f t="shared" si="808"/>
        <v>-1</v>
      </c>
      <c r="EK276">
        <f t="shared" si="808"/>
        <v>-1</v>
      </c>
      <c r="EL276">
        <f t="shared" si="808"/>
        <v>-1</v>
      </c>
      <c r="EM276">
        <f t="shared" si="808"/>
        <v>-1</v>
      </c>
      <c r="EN276">
        <f t="shared" si="808"/>
        <v>-1</v>
      </c>
      <c r="EO276">
        <f t="shared" si="808"/>
        <v>-1</v>
      </c>
    </row>
    <row r="277" spans="1:145" x14ac:dyDescent="0.15">
      <c r="A277" t="e">
        <f t="shared" si="772"/>
        <v>#N/A</v>
      </c>
      <c r="B277" s="218">
        <v>269</v>
      </c>
      <c r="C277">
        <f t="shared" si="772"/>
        <v>-1</v>
      </c>
      <c r="D277">
        <f t="shared" ref="D277:BO277" si="809">IF(OR(D276=-1,AND(IF(D$3&lt;$B277,D276+D$6,IF(D$3=$B277,1,""))&gt;$B$1,D$3&lt;$B277)),-1,IF(D$3&lt;$B277,D276+D$6,IF(D$3=$B277,1,"")))</f>
        <v>-1</v>
      </c>
      <c r="E277">
        <f t="shared" si="809"/>
        <v>-1</v>
      </c>
      <c r="F277">
        <f t="shared" si="809"/>
        <v>-1</v>
      </c>
      <c r="G277">
        <f t="shared" si="809"/>
        <v>-1</v>
      </c>
      <c r="H277">
        <f t="shared" si="809"/>
        <v>-1</v>
      </c>
      <c r="I277">
        <f t="shared" si="809"/>
        <v>-1</v>
      </c>
      <c r="J277">
        <f t="shared" si="809"/>
        <v>-1</v>
      </c>
      <c r="K277">
        <f t="shared" si="809"/>
        <v>-1</v>
      </c>
      <c r="L277">
        <f t="shared" si="809"/>
        <v>-1</v>
      </c>
      <c r="M277">
        <f t="shared" si="809"/>
        <v>-1</v>
      </c>
      <c r="N277">
        <f t="shared" si="809"/>
        <v>-1</v>
      </c>
      <c r="O277">
        <f t="shared" si="809"/>
        <v>-1</v>
      </c>
      <c r="P277">
        <f t="shared" si="809"/>
        <v>-1</v>
      </c>
      <c r="Q277">
        <f t="shared" si="809"/>
        <v>-1</v>
      </c>
      <c r="R277">
        <f t="shared" si="809"/>
        <v>-1</v>
      </c>
      <c r="S277">
        <f t="shared" si="809"/>
        <v>-1</v>
      </c>
      <c r="T277">
        <f t="shared" si="809"/>
        <v>-1</v>
      </c>
      <c r="U277">
        <f t="shared" si="809"/>
        <v>-1</v>
      </c>
      <c r="V277">
        <f t="shared" si="809"/>
        <v>-1</v>
      </c>
      <c r="W277">
        <f t="shared" si="809"/>
        <v>-1</v>
      </c>
      <c r="X277">
        <f t="shared" si="809"/>
        <v>-1</v>
      </c>
      <c r="Y277">
        <f t="shared" si="809"/>
        <v>-1</v>
      </c>
      <c r="Z277">
        <f t="shared" si="809"/>
        <v>-1</v>
      </c>
      <c r="AA277">
        <f t="shared" si="809"/>
        <v>-1</v>
      </c>
      <c r="AB277">
        <f t="shared" si="809"/>
        <v>-1</v>
      </c>
      <c r="AC277">
        <f t="shared" si="809"/>
        <v>-1</v>
      </c>
      <c r="AD277">
        <f t="shared" si="809"/>
        <v>-1</v>
      </c>
      <c r="AE277">
        <f t="shared" si="809"/>
        <v>-1</v>
      </c>
      <c r="AF277">
        <f t="shared" si="809"/>
        <v>-1</v>
      </c>
      <c r="AG277">
        <f t="shared" si="809"/>
        <v>-1</v>
      </c>
      <c r="AH277">
        <f t="shared" si="809"/>
        <v>-1</v>
      </c>
      <c r="AI277">
        <f t="shared" si="809"/>
        <v>-1</v>
      </c>
      <c r="AJ277">
        <f t="shared" si="809"/>
        <v>-1</v>
      </c>
      <c r="AK277">
        <f t="shared" si="809"/>
        <v>-1</v>
      </c>
      <c r="AL277">
        <f t="shared" si="809"/>
        <v>-1</v>
      </c>
      <c r="AM277">
        <f t="shared" si="809"/>
        <v>-1</v>
      </c>
      <c r="AN277">
        <f t="shared" si="809"/>
        <v>-1</v>
      </c>
      <c r="AO277">
        <f t="shared" si="809"/>
        <v>-1</v>
      </c>
      <c r="AP277">
        <f t="shared" si="809"/>
        <v>-1</v>
      </c>
      <c r="AQ277">
        <f t="shared" si="809"/>
        <v>-1</v>
      </c>
      <c r="AR277">
        <f t="shared" si="809"/>
        <v>-1</v>
      </c>
      <c r="AS277">
        <f t="shared" si="809"/>
        <v>-1</v>
      </c>
      <c r="AT277">
        <f t="shared" si="809"/>
        <v>-1</v>
      </c>
      <c r="AU277">
        <f t="shared" si="809"/>
        <v>-1</v>
      </c>
      <c r="AV277">
        <f t="shared" si="809"/>
        <v>-1</v>
      </c>
      <c r="AW277">
        <f t="shared" si="809"/>
        <v>-1</v>
      </c>
      <c r="AX277">
        <f t="shared" si="809"/>
        <v>-1</v>
      </c>
      <c r="AY277">
        <f t="shared" si="809"/>
        <v>-1</v>
      </c>
      <c r="AZ277">
        <f t="shared" si="809"/>
        <v>-1</v>
      </c>
      <c r="BA277">
        <f t="shared" si="809"/>
        <v>-1</v>
      </c>
      <c r="BB277">
        <f t="shared" si="809"/>
        <v>-1</v>
      </c>
      <c r="BC277">
        <f t="shared" si="809"/>
        <v>-1</v>
      </c>
      <c r="BD277">
        <f t="shared" si="809"/>
        <v>-1</v>
      </c>
      <c r="BE277">
        <f t="shared" si="809"/>
        <v>-1</v>
      </c>
      <c r="BF277">
        <f t="shared" si="809"/>
        <v>-1</v>
      </c>
      <c r="BG277">
        <f t="shared" si="809"/>
        <v>-1</v>
      </c>
      <c r="BH277">
        <f t="shared" si="809"/>
        <v>-1</v>
      </c>
      <c r="BI277">
        <f t="shared" si="809"/>
        <v>-1</v>
      </c>
      <c r="BJ277">
        <f t="shared" si="809"/>
        <v>-1</v>
      </c>
      <c r="BK277">
        <f t="shared" si="809"/>
        <v>-1</v>
      </c>
      <c r="BL277">
        <f t="shared" si="809"/>
        <v>-1</v>
      </c>
      <c r="BM277">
        <f t="shared" si="809"/>
        <v>-1</v>
      </c>
      <c r="BN277">
        <f t="shared" si="809"/>
        <v>-1</v>
      </c>
      <c r="BO277">
        <f t="shared" si="809"/>
        <v>-1</v>
      </c>
      <c r="BP277">
        <f t="shared" ref="BP277:EA277" si="810">IF(OR(BP276=-1,AND(IF(BP$3&lt;$B277,BP276+BP$6,IF(BP$3=$B277,1,""))&gt;$B$1,BP$3&lt;$B277)),-1,IF(BP$3&lt;$B277,BP276+BP$6,IF(BP$3=$B277,1,"")))</f>
        <v>-1</v>
      </c>
      <c r="BQ277">
        <f t="shared" si="810"/>
        <v>-1</v>
      </c>
      <c r="BR277">
        <f t="shared" si="810"/>
        <v>-1</v>
      </c>
      <c r="BS277">
        <f t="shared" si="810"/>
        <v>-1</v>
      </c>
      <c r="BT277">
        <f t="shared" si="810"/>
        <v>-1</v>
      </c>
      <c r="BU277">
        <f t="shared" si="810"/>
        <v>-1</v>
      </c>
      <c r="BV277">
        <f t="shared" si="810"/>
        <v>-1</v>
      </c>
      <c r="BW277">
        <f t="shared" si="810"/>
        <v>-1</v>
      </c>
      <c r="BX277">
        <f t="shared" si="810"/>
        <v>-1</v>
      </c>
      <c r="BY277">
        <f t="shared" si="810"/>
        <v>-1</v>
      </c>
      <c r="BZ277">
        <f t="shared" si="810"/>
        <v>-1</v>
      </c>
      <c r="CA277">
        <f t="shared" si="810"/>
        <v>-1</v>
      </c>
      <c r="CB277">
        <f t="shared" si="810"/>
        <v>-1</v>
      </c>
      <c r="CC277">
        <f t="shared" si="810"/>
        <v>-1</v>
      </c>
      <c r="CD277">
        <f t="shared" si="810"/>
        <v>-1</v>
      </c>
      <c r="CE277">
        <f t="shared" si="810"/>
        <v>-1</v>
      </c>
      <c r="CF277">
        <f t="shared" si="810"/>
        <v>-1</v>
      </c>
      <c r="CG277">
        <f t="shared" si="810"/>
        <v>-1</v>
      </c>
      <c r="CH277">
        <f t="shared" si="810"/>
        <v>-1</v>
      </c>
      <c r="CI277">
        <f t="shared" si="810"/>
        <v>-1</v>
      </c>
      <c r="CJ277">
        <f t="shared" si="810"/>
        <v>-1</v>
      </c>
      <c r="CK277">
        <f t="shared" si="810"/>
        <v>-1</v>
      </c>
      <c r="CL277">
        <f t="shared" si="810"/>
        <v>-1</v>
      </c>
      <c r="CM277">
        <f t="shared" si="810"/>
        <v>-1</v>
      </c>
      <c r="CN277">
        <f t="shared" si="810"/>
        <v>-1</v>
      </c>
      <c r="CO277">
        <f t="shared" si="810"/>
        <v>-1</v>
      </c>
      <c r="CP277">
        <f t="shared" si="810"/>
        <v>-1</v>
      </c>
      <c r="CQ277">
        <f t="shared" si="810"/>
        <v>-1</v>
      </c>
      <c r="CR277">
        <f t="shared" si="810"/>
        <v>-1</v>
      </c>
      <c r="CS277">
        <f t="shared" si="810"/>
        <v>-1</v>
      </c>
      <c r="CT277">
        <f t="shared" si="810"/>
        <v>-1</v>
      </c>
      <c r="CU277">
        <f t="shared" si="810"/>
        <v>-1</v>
      </c>
      <c r="CV277">
        <f t="shared" si="810"/>
        <v>-1</v>
      </c>
      <c r="CW277">
        <f t="shared" si="810"/>
        <v>-1</v>
      </c>
      <c r="CX277">
        <f t="shared" si="810"/>
        <v>-1</v>
      </c>
      <c r="CY277">
        <f t="shared" si="810"/>
        <v>-1</v>
      </c>
      <c r="CZ277">
        <f t="shared" si="810"/>
        <v>-1</v>
      </c>
      <c r="DA277">
        <f t="shared" si="810"/>
        <v>-1</v>
      </c>
      <c r="DB277">
        <f t="shared" si="810"/>
        <v>-1</v>
      </c>
      <c r="DC277">
        <f t="shared" si="810"/>
        <v>-1</v>
      </c>
      <c r="DD277">
        <f t="shared" si="810"/>
        <v>-1</v>
      </c>
      <c r="DE277">
        <f t="shared" si="810"/>
        <v>-1</v>
      </c>
      <c r="DF277">
        <f t="shared" si="810"/>
        <v>-1</v>
      </c>
      <c r="DG277">
        <f t="shared" si="810"/>
        <v>-1</v>
      </c>
      <c r="DH277">
        <f t="shared" si="810"/>
        <v>-1</v>
      </c>
      <c r="DI277">
        <f t="shared" si="810"/>
        <v>-1</v>
      </c>
      <c r="DJ277">
        <f t="shared" si="810"/>
        <v>-1</v>
      </c>
      <c r="DK277">
        <f t="shared" si="810"/>
        <v>-1</v>
      </c>
      <c r="DL277">
        <f t="shared" si="810"/>
        <v>-1</v>
      </c>
      <c r="DM277">
        <f t="shared" si="810"/>
        <v>-1</v>
      </c>
      <c r="DN277">
        <f t="shared" si="810"/>
        <v>-1</v>
      </c>
      <c r="DO277">
        <f t="shared" si="810"/>
        <v>-1</v>
      </c>
      <c r="DP277">
        <f t="shared" si="810"/>
        <v>-1</v>
      </c>
      <c r="DQ277">
        <f t="shared" si="810"/>
        <v>-1</v>
      </c>
      <c r="DR277">
        <f t="shared" si="810"/>
        <v>-1</v>
      </c>
      <c r="DS277">
        <f t="shared" si="810"/>
        <v>-1</v>
      </c>
      <c r="DT277">
        <f t="shared" si="810"/>
        <v>-1</v>
      </c>
      <c r="DU277">
        <f t="shared" si="810"/>
        <v>-1</v>
      </c>
      <c r="DV277">
        <f t="shared" si="810"/>
        <v>-1</v>
      </c>
      <c r="DW277">
        <f t="shared" si="810"/>
        <v>-1</v>
      </c>
      <c r="DX277">
        <f t="shared" si="810"/>
        <v>-1</v>
      </c>
      <c r="DY277">
        <f t="shared" si="810"/>
        <v>-1</v>
      </c>
      <c r="DZ277">
        <f t="shared" si="810"/>
        <v>-1</v>
      </c>
      <c r="EA277">
        <f t="shared" si="810"/>
        <v>-1</v>
      </c>
      <c r="EB277">
        <f t="shared" ref="EB277:EO277" si="811">IF(OR(EB276=-1,AND(IF(EB$3&lt;$B277,EB276+EB$6,IF(EB$3=$B277,1,""))&gt;$B$1,EB$3&lt;$B277)),-1,IF(EB$3&lt;$B277,EB276+EB$6,IF(EB$3=$B277,1,"")))</f>
        <v>-1</v>
      </c>
      <c r="EC277">
        <f t="shared" si="811"/>
        <v>-1</v>
      </c>
      <c r="ED277">
        <f t="shared" si="811"/>
        <v>-1</v>
      </c>
      <c r="EE277">
        <f t="shared" si="811"/>
        <v>-1</v>
      </c>
      <c r="EF277">
        <f t="shared" si="811"/>
        <v>-1</v>
      </c>
      <c r="EG277">
        <f t="shared" si="811"/>
        <v>-1</v>
      </c>
      <c r="EH277">
        <f t="shared" si="811"/>
        <v>-1</v>
      </c>
      <c r="EI277">
        <f t="shared" si="811"/>
        <v>-1</v>
      </c>
      <c r="EJ277">
        <f t="shared" si="811"/>
        <v>-1</v>
      </c>
      <c r="EK277">
        <f t="shared" si="811"/>
        <v>-1</v>
      </c>
      <c r="EL277">
        <f t="shared" si="811"/>
        <v>-1</v>
      </c>
      <c r="EM277">
        <f t="shared" si="811"/>
        <v>-1</v>
      </c>
      <c r="EN277">
        <f t="shared" si="811"/>
        <v>-1</v>
      </c>
      <c r="EO277">
        <f t="shared" si="811"/>
        <v>-1</v>
      </c>
    </row>
    <row r="278" spans="1:145" x14ac:dyDescent="0.15">
      <c r="A278" t="e">
        <f t="shared" si="772"/>
        <v>#N/A</v>
      </c>
      <c r="B278" s="218">
        <v>270</v>
      </c>
      <c r="C278">
        <f t="shared" si="772"/>
        <v>-1</v>
      </c>
      <c r="D278">
        <f t="shared" ref="D278:BO278" si="812">IF(OR(D277=-1,AND(IF(D$3&lt;$B278,D277+D$6,IF(D$3=$B278,1,""))&gt;$B$1,D$3&lt;$B278)),-1,IF(D$3&lt;$B278,D277+D$6,IF(D$3=$B278,1,"")))</f>
        <v>-1</v>
      </c>
      <c r="E278">
        <f t="shared" si="812"/>
        <v>-1</v>
      </c>
      <c r="F278">
        <f t="shared" si="812"/>
        <v>-1</v>
      </c>
      <c r="G278">
        <f t="shared" si="812"/>
        <v>-1</v>
      </c>
      <c r="H278">
        <f t="shared" si="812"/>
        <v>-1</v>
      </c>
      <c r="I278">
        <f t="shared" si="812"/>
        <v>-1</v>
      </c>
      <c r="J278">
        <f t="shared" si="812"/>
        <v>-1</v>
      </c>
      <c r="K278">
        <f t="shared" si="812"/>
        <v>-1</v>
      </c>
      <c r="L278">
        <f t="shared" si="812"/>
        <v>-1</v>
      </c>
      <c r="M278">
        <f t="shared" si="812"/>
        <v>-1</v>
      </c>
      <c r="N278">
        <f t="shared" si="812"/>
        <v>-1</v>
      </c>
      <c r="O278">
        <f t="shared" si="812"/>
        <v>-1</v>
      </c>
      <c r="P278">
        <f t="shared" si="812"/>
        <v>-1</v>
      </c>
      <c r="Q278">
        <f t="shared" si="812"/>
        <v>-1</v>
      </c>
      <c r="R278">
        <f t="shared" si="812"/>
        <v>-1</v>
      </c>
      <c r="S278">
        <f t="shared" si="812"/>
        <v>-1</v>
      </c>
      <c r="T278">
        <f t="shared" si="812"/>
        <v>-1</v>
      </c>
      <c r="U278">
        <f t="shared" si="812"/>
        <v>-1</v>
      </c>
      <c r="V278">
        <f t="shared" si="812"/>
        <v>-1</v>
      </c>
      <c r="W278">
        <f t="shared" si="812"/>
        <v>-1</v>
      </c>
      <c r="X278">
        <f t="shared" si="812"/>
        <v>-1</v>
      </c>
      <c r="Y278">
        <f t="shared" si="812"/>
        <v>-1</v>
      </c>
      <c r="Z278">
        <f t="shared" si="812"/>
        <v>-1</v>
      </c>
      <c r="AA278">
        <f t="shared" si="812"/>
        <v>-1</v>
      </c>
      <c r="AB278">
        <f t="shared" si="812"/>
        <v>-1</v>
      </c>
      <c r="AC278">
        <f t="shared" si="812"/>
        <v>-1</v>
      </c>
      <c r="AD278">
        <f t="shared" si="812"/>
        <v>-1</v>
      </c>
      <c r="AE278">
        <f t="shared" si="812"/>
        <v>-1</v>
      </c>
      <c r="AF278">
        <f t="shared" si="812"/>
        <v>-1</v>
      </c>
      <c r="AG278">
        <f t="shared" si="812"/>
        <v>-1</v>
      </c>
      <c r="AH278">
        <f t="shared" si="812"/>
        <v>-1</v>
      </c>
      <c r="AI278">
        <f t="shared" si="812"/>
        <v>-1</v>
      </c>
      <c r="AJ278">
        <f t="shared" si="812"/>
        <v>-1</v>
      </c>
      <c r="AK278">
        <f t="shared" si="812"/>
        <v>-1</v>
      </c>
      <c r="AL278">
        <f t="shared" si="812"/>
        <v>-1</v>
      </c>
      <c r="AM278">
        <f t="shared" si="812"/>
        <v>-1</v>
      </c>
      <c r="AN278">
        <f t="shared" si="812"/>
        <v>-1</v>
      </c>
      <c r="AO278">
        <f t="shared" si="812"/>
        <v>-1</v>
      </c>
      <c r="AP278">
        <f t="shared" si="812"/>
        <v>-1</v>
      </c>
      <c r="AQ278">
        <f t="shared" si="812"/>
        <v>-1</v>
      </c>
      <c r="AR278">
        <f t="shared" si="812"/>
        <v>-1</v>
      </c>
      <c r="AS278">
        <f t="shared" si="812"/>
        <v>-1</v>
      </c>
      <c r="AT278">
        <f t="shared" si="812"/>
        <v>-1</v>
      </c>
      <c r="AU278">
        <f t="shared" si="812"/>
        <v>-1</v>
      </c>
      <c r="AV278">
        <f t="shared" si="812"/>
        <v>-1</v>
      </c>
      <c r="AW278">
        <f t="shared" si="812"/>
        <v>-1</v>
      </c>
      <c r="AX278">
        <f t="shared" si="812"/>
        <v>-1</v>
      </c>
      <c r="AY278">
        <f t="shared" si="812"/>
        <v>-1</v>
      </c>
      <c r="AZ278">
        <f t="shared" si="812"/>
        <v>-1</v>
      </c>
      <c r="BA278">
        <f t="shared" si="812"/>
        <v>-1</v>
      </c>
      <c r="BB278">
        <f t="shared" si="812"/>
        <v>-1</v>
      </c>
      <c r="BC278">
        <f t="shared" si="812"/>
        <v>-1</v>
      </c>
      <c r="BD278">
        <f t="shared" si="812"/>
        <v>-1</v>
      </c>
      <c r="BE278">
        <f t="shared" si="812"/>
        <v>-1</v>
      </c>
      <c r="BF278">
        <f t="shared" si="812"/>
        <v>-1</v>
      </c>
      <c r="BG278">
        <f t="shared" si="812"/>
        <v>-1</v>
      </c>
      <c r="BH278">
        <f t="shared" si="812"/>
        <v>-1</v>
      </c>
      <c r="BI278">
        <f t="shared" si="812"/>
        <v>-1</v>
      </c>
      <c r="BJ278">
        <f t="shared" si="812"/>
        <v>-1</v>
      </c>
      <c r="BK278">
        <f t="shared" si="812"/>
        <v>-1</v>
      </c>
      <c r="BL278">
        <f t="shared" si="812"/>
        <v>-1</v>
      </c>
      <c r="BM278">
        <f t="shared" si="812"/>
        <v>-1</v>
      </c>
      <c r="BN278">
        <f t="shared" si="812"/>
        <v>-1</v>
      </c>
      <c r="BO278">
        <f t="shared" si="812"/>
        <v>-1</v>
      </c>
      <c r="BP278">
        <f t="shared" ref="BP278:EA278" si="813">IF(OR(BP277=-1,AND(IF(BP$3&lt;$B278,BP277+BP$6,IF(BP$3=$B278,1,""))&gt;$B$1,BP$3&lt;$B278)),-1,IF(BP$3&lt;$B278,BP277+BP$6,IF(BP$3=$B278,1,"")))</f>
        <v>-1</v>
      </c>
      <c r="BQ278">
        <f t="shared" si="813"/>
        <v>-1</v>
      </c>
      <c r="BR278">
        <f t="shared" si="813"/>
        <v>-1</v>
      </c>
      <c r="BS278">
        <f t="shared" si="813"/>
        <v>-1</v>
      </c>
      <c r="BT278">
        <f t="shared" si="813"/>
        <v>-1</v>
      </c>
      <c r="BU278">
        <f t="shared" si="813"/>
        <v>-1</v>
      </c>
      <c r="BV278">
        <f t="shared" si="813"/>
        <v>-1</v>
      </c>
      <c r="BW278">
        <f t="shared" si="813"/>
        <v>-1</v>
      </c>
      <c r="BX278">
        <f t="shared" si="813"/>
        <v>-1</v>
      </c>
      <c r="BY278">
        <f t="shared" si="813"/>
        <v>-1</v>
      </c>
      <c r="BZ278">
        <f t="shared" si="813"/>
        <v>-1</v>
      </c>
      <c r="CA278">
        <f t="shared" si="813"/>
        <v>-1</v>
      </c>
      <c r="CB278">
        <f t="shared" si="813"/>
        <v>-1</v>
      </c>
      <c r="CC278">
        <f t="shared" si="813"/>
        <v>-1</v>
      </c>
      <c r="CD278">
        <f t="shared" si="813"/>
        <v>-1</v>
      </c>
      <c r="CE278">
        <f t="shared" si="813"/>
        <v>-1</v>
      </c>
      <c r="CF278">
        <f t="shared" si="813"/>
        <v>-1</v>
      </c>
      <c r="CG278">
        <f t="shared" si="813"/>
        <v>-1</v>
      </c>
      <c r="CH278">
        <f t="shared" si="813"/>
        <v>-1</v>
      </c>
      <c r="CI278">
        <f t="shared" si="813"/>
        <v>-1</v>
      </c>
      <c r="CJ278">
        <f t="shared" si="813"/>
        <v>-1</v>
      </c>
      <c r="CK278">
        <f t="shared" si="813"/>
        <v>-1</v>
      </c>
      <c r="CL278">
        <f t="shared" si="813"/>
        <v>-1</v>
      </c>
      <c r="CM278">
        <f t="shared" si="813"/>
        <v>-1</v>
      </c>
      <c r="CN278">
        <f t="shared" si="813"/>
        <v>-1</v>
      </c>
      <c r="CO278">
        <f t="shared" si="813"/>
        <v>-1</v>
      </c>
      <c r="CP278">
        <f t="shared" si="813"/>
        <v>-1</v>
      </c>
      <c r="CQ278">
        <f t="shared" si="813"/>
        <v>-1</v>
      </c>
      <c r="CR278">
        <f t="shared" si="813"/>
        <v>-1</v>
      </c>
      <c r="CS278">
        <f t="shared" si="813"/>
        <v>-1</v>
      </c>
      <c r="CT278">
        <f t="shared" si="813"/>
        <v>-1</v>
      </c>
      <c r="CU278">
        <f t="shared" si="813"/>
        <v>-1</v>
      </c>
      <c r="CV278">
        <f t="shared" si="813"/>
        <v>-1</v>
      </c>
      <c r="CW278">
        <f t="shared" si="813"/>
        <v>-1</v>
      </c>
      <c r="CX278">
        <f t="shared" si="813"/>
        <v>-1</v>
      </c>
      <c r="CY278">
        <f t="shared" si="813"/>
        <v>-1</v>
      </c>
      <c r="CZ278">
        <f t="shared" si="813"/>
        <v>-1</v>
      </c>
      <c r="DA278">
        <f t="shared" si="813"/>
        <v>-1</v>
      </c>
      <c r="DB278">
        <f t="shared" si="813"/>
        <v>-1</v>
      </c>
      <c r="DC278">
        <f t="shared" si="813"/>
        <v>-1</v>
      </c>
      <c r="DD278">
        <f t="shared" si="813"/>
        <v>-1</v>
      </c>
      <c r="DE278">
        <f t="shared" si="813"/>
        <v>-1</v>
      </c>
      <c r="DF278">
        <f t="shared" si="813"/>
        <v>-1</v>
      </c>
      <c r="DG278">
        <f t="shared" si="813"/>
        <v>-1</v>
      </c>
      <c r="DH278">
        <f t="shared" si="813"/>
        <v>-1</v>
      </c>
      <c r="DI278">
        <f t="shared" si="813"/>
        <v>-1</v>
      </c>
      <c r="DJ278">
        <f t="shared" si="813"/>
        <v>-1</v>
      </c>
      <c r="DK278">
        <f t="shared" si="813"/>
        <v>-1</v>
      </c>
      <c r="DL278">
        <f t="shared" si="813"/>
        <v>-1</v>
      </c>
      <c r="DM278">
        <f t="shared" si="813"/>
        <v>-1</v>
      </c>
      <c r="DN278">
        <f t="shared" si="813"/>
        <v>-1</v>
      </c>
      <c r="DO278">
        <f t="shared" si="813"/>
        <v>-1</v>
      </c>
      <c r="DP278">
        <f t="shared" si="813"/>
        <v>-1</v>
      </c>
      <c r="DQ278">
        <f t="shared" si="813"/>
        <v>-1</v>
      </c>
      <c r="DR278">
        <f t="shared" si="813"/>
        <v>-1</v>
      </c>
      <c r="DS278">
        <f t="shared" si="813"/>
        <v>-1</v>
      </c>
      <c r="DT278">
        <f t="shared" si="813"/>
        <v>-1</v>
      </c>
      <c r="DU278">
        <f t="shared" si="813"/>
        <v>-1</v>
      </c>
      <c r="DV278">
        <f t="shared" si="813"/>
        <v>-1</v>
      </c>
      <c r="DW278">
        <f t="shared" si="813"/>
        <v>-1</v>
      </c>
      <c r="DX278">
        <f t="shared" si="813"/>
        <v>-1</v>
      </c>
      <c r="DY278">
        <f t="shared" si="813"/>
        <v>-1</v>
      </c>
      <c r="DZ278">
        <f t="shared" si="813"/>
        <v>-1</v>
      </c>
      <c r="EA278">
        <f t="shared" si="813"/>
        <v>-1</v>
      </c>
      <c r="EB278">
        <f t="shared" ref="EB278:EO278" si="814">IF(OR(EB277=-1,AND(IF(EB$3&lt;$B278,EB277+EB$6,IF(EB$3=$B278,1,""))&gt;$B$1,EB$3&lt;$B278)),-1,IF(EB$3&lt;$B278,EB277+EB$6,IF(EB$3=$B278,1,"")))</f>
        <v>-1</v>
      </c>
      <c r="EC278">
        <f t="shared" si="814"/>
        <v>-1</v>
      </c>
      <c r="ED278">
        <f t="shared" si="814"/>
        <v>-1</v>
      </c>
      <c r="EE278">
        <f t="shared" si="814"/>
        <v>-1</v>
      </c>
      <c r="EF278">
        <f t="shared" si="814"/>
        <v>-1</v>
      </c>
      <c r="EG278">
        <f t="shared" si="814"/>
        <v>-1</v>
      </c>
      <c r="EH278">
        <f t="shared" si="814"/>
        <v>-1</v>
      </c>
      <c r="EI278">
        <f t="shared" si="814"/>
        <v>-1</v>
      </c>
      <c r="EJ278">
        <f t="shared" si="814"/>
        <v>-1</v>
      </c>
      <c r="EK278">
        <f t="shared" si="814"/>
        <v>-1</v>
      </c>
      <c r="EL278">
        <f t="shared" si="814"/>
        <v>-1</v>
      </c>
      <c r="EM278">
        <f t="shared" si="814"/>
        <v>-1</v>
      </c>
      <c r="EN278">
        <f t="shared" si="814"/>
        <v>-1</v>
      </c>
      <c r="EO278">
        <f t="shared" si="814"/>
        <v>-1</v>
      </c>
    </row>
    <row r="279" spans="1:145" x14ac:dyDescent="0.15">
      <c r="A279" t="e">
        <f t="shared" si="772"/>
        <v>#N/A</v>
      </c>
      <c r="B279" s="218">
        <v>271</v>
      </c>
      <c r="C279">
        <f t="shared" si="772"/>
        <v>-1</v>
      </c>
      <c r="D279">
        <f t="shared" ref="D279:BO279" si="815">IF(OR(D278=-1,AND(IF(D$3&lt;$B279,D278+D$6,IF(D$3=$B279,1,""))&gt;$B$1,D$3&lt;$B279)),-1,IF(D$3&lt;$B279,D278+D$6,IF(D$3=$B279,1,"")))</f>
        <v>-1</v>
      </c>
      <c r="E279">
        <f t="shared" si="815"/>
        <v>-1</v>
      </c>
      <c r="F279">
        <f t="shared" si="815"/>
        <v>-1</v>
      </c>
      <c r="G279">
        <f t="shared" si="815"/>
        <v>-1</v>
      </c>
      <c r="H279">
        <f t="shared" si="815"/>
        <v>-1</v>
      </c>
      <c r="I279">
        <f t="shared" si="815"/>
        <v>-1</v>
      </c>
      <c r="J279">
        <f t="shared" si="815"/>
        <v>-1</v>
      </c>
      <c r="K279">
        <f t="shared" si="815"/>
        <v>-1</v>
      </c>
      <c r="L279">
        <f t="shared" si="815"/>
        <v>-1</v>
      </c>
      <c r="M279">
        <f t="shared" si="815"/>
        <v>-1</v>
      </c>
      <c r="N279">
        <f t="shared" si="815"/>
        <v>-1</v>
      </c>
      <c r="O279">
        <f t="shared" si="815"/>
        <v>-1</v>
      </c>
      <c r="P279">
        <f t="shared" si="815"/>
        <v>-1</v>
      </c>
      <c r="Q279">
        <f t="shared" si="815"/>
        <v>-1</v>
      </c>
      <c r="R279">
        <f t="shared" si="815"/>
        <v>-1</v>
      </c>
      <c r="S279">
        <f t="shared" si="815"/>
        <v>-1</v>
      </c>
      <c r="T279">
        <f t="shared" si="815"/>
        <v>-1</v>
      </c>
      <c r="U279">
        <f t="shared" si="815"/>
        <v>-1</v>
      </c>
      <c r="V279">
        <f t="shared" si="815"/>
        <v>-1</v>
      </c>
      <c r="W279">
        <f t="shared" si="815"/>
        <v>-1</v>
      </c>
      <c r="X279">
        <f t="shared" si="815"/>
        <v>-1</v>
      </c>
      <c r="Y279">
        <f t="shared" si="815"/>
        <v>-1</v>
      </c>
      <c r="Z279">
        <f t="shared" si="815"/>
        <v>-1</v>
      </c>
      <c r="AA279">
        <f t="shared" si="815"/>
        <v>-1</v>
      </c>
      <c r="AB279">
        <f t="shared" si="815"/>
        <v>-1</v>
      </c>
      <c r="AC279">
        <f t="shared" si="815"/>
        <v>-1</v>
      </c>
      <c r="AD279">
        <f t="shared" si="815"/>
        <v>-1</v>
      </c>
      <c r="AE279">
        <f t="shared" si="815"/>
        <v>-1</v>
      </c>
      <c r="AF279">
        <f t="shared" si="815"/>
        <v>-1</v>
      </c>
      <c r="AG279">
        <f t="shared" si="815"/>
        <v>-1</v>
      </c>
      <c r="AH279">
        <f t="shared" si="815"/>
        <v>-1</v>
      </c>
      <c r="AI279">
        <f t="shared" si="815"/>
        <v>-1</v>
      </c>
      <c r="AJ279">
        <f t="shared" si="815"/>
        <v>-1</v>
      </c>
      <c r="AK279">
        <f t="shared" si="815"/>
        <v>-1</v>
      </c>
      <c r="AL279">
        <f t="shared" si="815"/>
        <v>-1</v>
      </c>
      <c r="AM279">
        <f t="shared" si="815"/>
        <v>-1</v>
      </c>
      <c r="AN279">
        <f t="shared" si="815"/>
        <v>-1</v>
      </c>
      <c r="AO279">
        <f t="shared" si="815"/>
        <v>-1</v>
      </c>
      <c r="AP279">
        <f t="shared" si="815"/>
        <v>-1</v>
      </c>
      <c r="AQ279">
        <f t="shared" si="815"/>
        <v>-1</v>
      </c>
      <c r="AR279">
        <f t="shared" si="815"/>
        <v>-1</v>
      </c>
      <c r="AS279">
        <f t="shared" si="815"/>
        <v>-1</v>
      </c>
      <c r="AT279">
        <f t="shared" si="815"/>
        <v>-1</v>
      </c>
      <c r="AU279">
        <f t="shared" si="815"/>
        <v>-1</v>
      </c>
      <c r="AV279">
        <f t="shared" si="815"/>
        <v>-1</v>
      </c>
      <c r="AW279">
        <f t="shared" si="815"/>
        <v>-1</v>
      </c>
      <c r="AX279">
        <f t="shared" si="815"/>
        <v>-1</v>
      </c>
      <c r="AY279">
        <f t="shared" si="815"/>
        <v>-1</v>
      </c>
      <c r="AZ279">
        <f t="shared" si="815"/>
        <v>-1</v>
      </c>
      <c r="BA279">
        <f t="shared" si="815"/>
        <v>-1</v>
      </c>
      <c r="BB279">
        <f t="shared" si="815"/>
        <v>-1</v>
      </c>
      <c r="BC279">
        <f t="shared" si="815"/>
        <v>-1</v>
      </c>
      <c r="BD279">
        <f t="shared" si="815"/>
        <v>-1</v>
      </c>
      <c r="BE279">
        <f t="shared" si="815"/>
        <v>-1</v>
      </c>
      <c r="BF279">
        <f t="shared" si="815"/>
        <v>-1</v>
      </c>
      <c r="BG279">
        <f t="shared" si="815"/>
        <v>-1</v>
      </c>
      <c r="BH279">
        <f t="shared" si="815"/>
        <v>-1</v>
      </c>
      <c r="BI279">
        <f t="shared" si="815"/>
        <v>-1</v>
      </c>
      <c r="BJ279">
        <f t="shared" si="815"/>
        <v>-1</v>
      </c>
      <c r="BK279">
        <f t="shared" si="815"/>
        <v>-1</v>
      </c>
      <c r="BL279">
        <f t="shared" si="815"/>
        <v>-1</v>
      </c>
      <c r="BM279">
        <f t="shared" si="815"/>
        <v>-1</v>
      </c>
      <c r="BN279">
        <f t="shared" si="815"/>
        <v>-1</v>
      </c>
      <c r="BO279">
        <f t="shared" si="815"/>
        <v>-1</v>
      </c>
      <c r="BP279">
        <f t="shared" ref="BP279:EA279" si="816">IF(OR(BP278=-1,AND(IF(BP$3&lt;$B279,BP278+BP$6,IF(BP$3=$B279,1,""))&gt;$B$1,BP$3&lt;$B279)),-1,IF(BP$3&lt;$B279,BP278+BP$6,IF(BP$3=$B279,1,"")))</f>
        <v>-1</v>
      </c>
      <c r="BQ279">
        <f t="shared" si="816"/>
        <v>-1</v>
      </c>
      <c r="BR279">
        <f t="shared" si="816"/>
        <v>-1</v>
      </c>
      <c r="BS279">
        <f t="shared" si="816"/>
        <v>-1</v>
      </c>
      <c r="BT279">
        <f t="shared" si="816"/>
        <v>-1</v>
      </c>
      <c r="BU279">
        <f t="shared" si="816"/>
        <v>-1</v>
      </c>
      <c r="BV279">
        <f t="shared" si="816"/>
        <v>-1</v>
      </c>
      <c r="BW279">
        <f t="shared" si="816"/>
        <v>-1</v>
      </c>
      <c r="BX279">
        <f t="shared" si="816"/>
        <v>-1</v>
      </c>
      <c r="BY279">
        <f t="shared" si="816"/>
        <v>-1</v>
      </c>
      <c r="BZ279">
        <f t="shared" si="816"/>
        <v>-1</v>
      </c>
      <c r="CA279">
        <f t="shared" si="816"/>
        <v>-1</v>
      </c>
      <c r="CB279">
        <f t="shared" si="816"/>
        <v>-1</v>
      </c>
      <c r="CC279">
        <f t="shared" si="816"/>
        <v>-1</v>
      </c>
      <c r="CD279">
        <f t="shared" si="816"/>
        <v>-1</v>
      </c>
      <c r="CE279">
        <f t="shared" si="816"/>
        <v>-1</v>
      </c>
      <c r="CF279">
        <f t="shared" si="816"/>
        <v>-1</v>
      </c>
      <c r="CG279">
        <f t="shared" si="816"/>
        <v>-1</v>
      </c>
      <c r="CH279">
        <f t="shared" si="816"/>
        <v>-1</v>
      </c>
      <c r="CI279">
        <f t="shared" si="816"/>
        <v>-1</v>
      </c>
      <c r="CJ279">
        <f t="shared" si="816"/>
        <v>-1</v>
      </c>
      <c r="CK279">
        <f t="shared" si="816"/>
        <v>-1</v>
      </c>
      <c r="CL279">
        <f t="shared" si="816"/>
        <v>-1</v>
      </c>
      <c r="CM279">
        <f t="shared" si="816"/>
        <v>-1</v>
      </c>
      <c r="CN279">
        <f t="shared" si="816"/>
        <v>-1</v>
      </c>
      <c r="CO279">
        <f t="shared" si="816"/>
        <v>-1</v>
      </c>
      <c r="CP279">
        <f t="shared" si="816"/>
        <v>-1</v>
      </c>
      <c r="CQ279">
        <f t="shared" si="816"/>
        <v>-1</v>
      </c>
      <c r="CR279">
        <f t="shared" si="816"/>
        <v>-1</v>
      </c>
      <c r="CS279">
        <f t="shared" si="816"/>
        <v>-1</v>
      </c>
      <c r="CT279">
        <f t="shared" si="816"/>
        <v>-1</v>
      </c>
      <c r="CU279">
        <f t="shared" si="816"/>
        <v>-1</v>
      </c>
      <c r="CV279">
        <f t="shared" si="816"/>
        <v>-1</v>
      </c>
      <c r="CW279">
        <f t="shared" si="816"/>
        <v>-1</v>
      </c>
      <c r="CX279">
        <f t="shared" si="816"/>
        <v>-1</v>
      </c>
      <c r="CY279">
        <f t="shared" si="816"/>
        <v>-1</v>
      </c>
      <c r="CZ279">
        <f t="shared" si="816"/>
        <v>-1</v>
      </c>
      <c r="DA279">
        <f t="shared" si="816"/>
        <v>-1</v>
      </c>
      <c r="DB279">
        <f t="shared" si="816"/>
        <v>-1</v>
      </c>
      <c r="DC279">
        <f t="shared" si="816"/>
        <v>-1</v>
      </c>
      <c r="DD279">
        <f t="shared" si="816"/>
        <v>-1</v>
      </c>
      <c r="DE279">
        <f t="shared" si="816"/>
        <v>-1</v>
      </c>
      <c r="DF279">
        <f t="shared" si="816"/>
        <v>-1</v>
      </c>
      <c r="DG279">
        <f t="shared" si="816"/>
        <v>-1</v>
      </c>
      <c r="DH279">
        <f t="shared" si="816"/>
        <v>-1</v>
      </c>
      <c r="DI279">
        <f t="shared" si="816"/>
        <v>-1</v>
      </c>
      <c r="DJ279">
        <f t="shared" si="816"/>
        <v>-1</v>
      </c>
      <c r="DK279">
        <f t="shared" si="816"/>
        <v>-1</v>
      </c>
      <c r="DL279">
        <f t="shared" si="816"/>
        <v>-1</v>
      </c>
      <c r="DM279">
        <f t="shared" si="816"/>
        <v>-1</v>
      </c>
      <c r="DN279">
        <f t="shared" si="816"/>
        <v>-1</v>
      </c>
      <c r="DO279">
        <f t="shared" si="816"/>
        <v>-1</v>
      </c>
      <c r="DP279">
        <f t="shared" si="816"/>
        <v>-1</v>
      </c>
      <c r="DQ279">
        <f t="shared" si="816"/>
        <v>-1</v>
      </c>
      <c r="DR279">
        <f t="shared" si="816"/>
        <v>-1</v>
      </c>
      <c r="DS279">
        <f t="shared" si="816"/>
        <v>-1</v>
      </c>
      <c r="DT279">
        <f t="shared" si="816"/>
        <v>-1</v>
      </c>
      <c r="DU279">
        <f t="shared" si="816"/>
        <v>-1</v>
      </c>
      <c r="DV279">
        <f t="shared" si="816"/>
        <v>-1</v>
      </c>
      <c r="DW279">
        <f t="shared" si="816"/>
        <v>-1</v>
      </c>
      <c r="DX279">
        <f t="shared" si="816"/>
        <v>-1</v>
      </c>
      <c r="DY279">
        <f t="shared" si="816"/>
        <v>-1</v>
      </c>
      <c r="DZ279">
        <f t="shared" si="816"/>
        <v>-1</v>
      </c>
      <c r="EA279">
        <f t="shared" si="816"/>
        <v>-1</v>
      </c>
      <c r="EB279">
        <f t="shared" ref="EB279:EO279" si="817">IF(OR(EB278=-1,AND(IF(EB$3&lt;$B279,EB278+EB$6,IF(EB$3=$B279,1,""))&gt;$B$1,EB$3&lt;$B279)),-1,IF(EB$3&lt;$B279,EB278+EB$6,IF(EB$3=$B279,1,"")))</f>
        <v>-1</v>
      </c>
      <c r="EC279">
        <f t="shared" si="817"/>
        <v>-1</v>
      </c>
      <c r="ED279">
        <f t="shared" si="817"/>
        <v>-1</v>
      </c>
      <c r="EE279">
        <f t="shared" si="817"/>
        <v>-1</v>
      </c>
      <c r="EF279">
        <f t="shared" si="817"/>
        <v>-1</v>
      </c>
      <c r="EG279">
        <f t="shared" si="817"/>
        <v>-1</v>
      </c>
      <c r="EH279">
        <f t="shared" si="817"/>
        <v>-1</v>
      </c>
      <c r="EI279">
        <f t="shared" si="817"/>
        <v>-1</v>
      </c>
      <c r="EJ279">
        <f t="shared" si="817"/>
        <v>-1</v>
      </c>
      <c r="EK279">
        <f t="shared" si="817"/>
        <v>-1</v>
      </c>
      <c r="EL279">
        <f t="shared" si="817"/>
        <v>-1</v>
      </c>
      <c r="EM279">
        <f t="shared" si="817"/>
        <v>-1</v>
      </c>
      <c r="EN279">
        <f t="shared" si="817"/>
        <v>-1</v>
      </c>
      <c r="EO279">
        <f t="shared" si="817"/>
        <v>-1</v>
      </c>
    </row>
    <row r="280" spans="1:145" x14ac:dyDescent="0.15">
      <c r="A280" t="e">
        <f t="shared" si="772"/>
        <v>#N/A</v>
      </c>
      <c r="B280" s="218">
        <v>272</v>
      </c>
      <c r="C280">
        <f t="shared" si="772"/>
        <v>-1</v>
      </c>
      <c r="D280">
        <f t="shared" ref="D280:BO280" si="818">IF(OR(D279=-1,AND(IF(D$3&lt;$B280,D279+D$6,IF(D$3=$B280,1,""))&gt;$B$1,D$3&lt;$B280)),-1,IF(D$3&lt;$B280,D279+D$6,IF(D$3=$B280,1,"")))</f>
        <v>-1</v>
      </c>
      <c r="E280">
        <f t="shared" si="818"/>
        <v>-1</v>
      </c>
      <c r="F280">
        <f t="shared" si="818"/>
        <v>-1</v>
      </c>
      <c r="G280">
        <f t="shared" si="818"/>
        <v>-1</v>
      </c>
      <c r="H280">
        <f t="shared" si="818"/>
        <v>-1</v>
      </c>
      <c r="I280">
        <f t="shared" si="818"/>
        <v>-1</v>
      </c>
      <c r="J280">
        <f t="shared" si="818"/>
        <v>-1</v>
      </c>
      <c r="K280">
        <f t="shared" si="818"/>
        <v>-1</v>
      </c>
      <c r="L280">
        <f t="shared" si="818"/>
        <v>-1</v>
      </c>
      <c r="M280">
        <f t="shared" si="818"/>
        <v>-1</v>
      </c>
      <c r="N280">
        <f t="shared" si="818"/>
        <v>-1</v>
      </c>
      <c r="O280">
        <f t="shared" si="818"/>
        <v>-1</v>
      </c>
      <c r="P280">
        <f t="shared" si="818"/>
        <v>-1</v>
      </c>
      <c r="Q280">
        <f t="shared" si="818"/>
        <v>-1</v>
      </c>
      <c r="R280">
        <f t="shared" si="818"/>
        <v>-1</v>
      </c>
      <c r="S280">
        <f t="shared" si="818"/>
        <v>-1</v>
      </c>
      <c r="T280">
        <f t="shared" si="818"/>
        <v>-1</v>
      </c>
      <c r="U280">
        <f t="shared" si="818"/>
        <v>-1</v>
      </c>
      <c r="V280">
        <f t="shared" si="818"/>
        <v>-1</v>
      </c>
      <c r="W280">
        <f t="shared" si="818"/>
        <v>-1</v>
      </c>
      <c r="X280">
        <f t="shared" si="818"/>
        <v>-1</v>
      </c>
      <c r="Y280">
        <f t="shared" si="818"/>
        <v>-1</v>
      </c>
      <c r="Z280">
        <f t="shared" si="818"/>
        <v>-1</v>
      </c>
      <c r="AA280">
        <f t="shared" si="818"/>
        <v>-1</v>
      </c>
      <c r="AB280">
        <f t="shared" si="818"/>
        <v>-1</v>
      </c>
      <c r="AC280">
        <f t="shared" si="818"/>
        <v>-1</v>
      </c>
      <c r="AD280">
        <f t="shared" si="818"/>
        <v>-1</v>
      </c>
      <c r="AE280">
        <f t="shared" si="818"/>
        <v>-1</v>
      </c>
      <c r="AF280">
        <f t="shared" si="818"/>
        <v>-1</v>
      </c>
      <c r="AG280">
        <f t="shared" si="818"/>
        <v>-1</v>
      </c>
      <c r="AH280">
        <f t="shared" si="818"/>
        <v>-1</v>
      </c>
      <c r="AI280">
        <f t="shared" si="818"/>
        <v>-1</v>
      </c>
      <c r="AJ280">
        <f t="shared" si="818"/>
        <v>-1</v>
      </c>
      <c r="AK280">
        <f t="shared" si="818"/>
        <v>-1</v>
      </c>
      <c r="AL280">
        <f t="shared" si="818"/>
        <v>-1</v>
      </c>
      <c r="AM280">
        <f t="shared" si="818"/>
        <v>-1</v>
      </c>
      <c r="AN280">
        <f t="shared" si="818"/>
        <v>-1</v>
      </c>
      <c r="AO280">
        <f t="shared" si="818"/>
        <v>-1</v>
      </c>
      <c r="AP280">
        <f t="shared" si="818"/>
        <v>-1</v>
      </c>
      <c r="AQ280">
        <f t="shared" si="818"/>
        <v>-1</v>
      </c>
      <c r="AR280">
        <f t="shared" si="818"/>
        <v>-1</v>
      </c>
      <c r="AS280">
        <f t="shared" si="818"/>
        <v>-1</v>
      </c>
      <c r="AT280">
        <f t="shared" si="818"/>
        <v>-1</v>
      </c>
      <c r="AU280">
        <f t="shared" si="818"/>
        <v>-1</v>
      </c>
      <c r="AV280">
        <f t="shared" si="818"/>
        <v>-1</v>
      </c>
      <c r="AW280">
        <f t="shared" si="818"/>
        <v>-1</v>
      </c>
      <c r="AX280">
        <f t="shared" si="818"/>
        <v>-1</v>
      </c>
      <c r="AY280">
        <f t="shared" si="818"/>
        <v>-1</v>
      </c>
      <c r="AZ280">
        <f t="shared" si="818"/>
        <v>-1</v>
      </c>
      <c r="BA280">
        <f t="shared" si="818"/>
        <v>-1</v>
      </c>
      <c r="BB280">
        <f t="shared" si="818"/>
        <v>-1</v>
      </c>
      <c r="BC280">
        <f t="shared" si="818"/>
        <v>-1</v>
      </c>
      <c r="BD280">
        <f t="shared" si="818"/>
        <v>-1</v>
      </c>
      <c r="BE280">
        <f t="shared" si="818"/>
        <v>-1</v>
      </c>
      <c r="BF280">
        <f t="shared" si="818"/>
        <v>-1</v>
      </c>
      <c r="BG280">
        <f t="shared" si="818"/>
        <v>-1</v>
      </c>
      <c r="BH280">
        <f t="shared" si="818"/>
        <v>-1</v>
      </c>
      <c r="BI280">
        <f t="shared" si="818"/>
        <v>-1</v>
      </c>
      <c r="BJ280">
        <f t="shared" si="818"/>
        <v>-1</v>
      </c>
      <c r="BK280">
        <f t="shared" si="818"/>
        <v>-1</v>
      </c>
      <c r="BL280">
        <f t="shared" si="818"/>
        <v>-1</v>
      </c>
      <c r="BM280">
        <f t="shared" si="818"/>
        <v>-1</v>
      </c>
      <c r="BN280">
        <f t="shared" si="818"/>
        <v>-1</v>
      </c>
      <c r="BO280">
        <f t="shared" si="818"/>
        <v>-1</v>
      </c>
      <c r="BP280">
        <f t="shared" ref="BP280:EA280" si="819">IF(OR(BP279=-1,AND(IF(BP$3&lt;$B280,BP279+BP$6,IF(BP$3=$B280,1,""))&gt;$B$1,BP$3&lt;$B280)),-1,IF(BP$3&lt;$B280,BP279+BP$6,IF(BP$3=$B280,1,"")))</f>
        <v>-1</v>
      </c>
      <c r="BQ280">
        <f t="shared" si="819"/>
        <v>-1</v>
      </c>
      <c r="BR280">
        <f t="shared" si="819"/>
        <v>-1</v>
      </c>
      <c r="BS280">
        <f t="shared" si="819"/>
        <v>-1</v>
      </c>
      <c r="BT280">
        <f t="shared" si="819"/>
        <v>-1</v>
      </c>
      <c r="BU280">
        <f t="shared" si="819"/>
        <v>-1</v>
      </c>
      <c r="BV280">
        <f t="shared" si="819"/>
        <v>-1</v>
      </c>
      <c r="BW280">
        <f t="shared" si="819"/>
        <v>-1</v>
      </c>
      <c r="BX280">
        <f t="shared" si="819"/>
        <v>-1</v>
      </c>
      <c r="BY280">
        <f t="shared" si="819"/>
        <v>-1</v>
      </c>
      <c r="BZ280">
        <f t="shared" si="819"/>
        <v>-1</v>
      </c>
      <c r="CA280">
        <f t="shared" si="819"/>
        <v>-1</v>
      </c>
      <c r="CB280">
        <f t="shared" si="819"/>
        <v>-1</v>
      </c>
      <c r="CC280">
        <f t="shared" si="819"/>
        <v>-1</v>
      </c>
      <c r="CD280">
        <f t="shared" si="819"/>
        <v>-1</v>
      </c>
      <c r="CE280">
        <f t="shared" si="819"/>
        <v>-1</v>
      </c>
      <c r="CF280">
        <f t="shared" si="819"/>
        <v>-1</v>
      </c>
      <c r="CG280">
        <f t="shared" si="819"/>
        <v>-1</v>
      </c>
      <c r="CH280">
        <f t="shared" si="819"/>
        <v>-1</v>
      </c>
      <c r="CI280">
        <f t="shared" si="819"/>
        <v>-1</v>
      </c>
      <c r="CJ280">
        <f t="shared" si="819"/>
        <v>-1</v>
      </c>
      <c r="CK280">
        <f t="shared" si="819"/>
        <v>-1</v>
      </c>
      <c r="CL280">
        <f t="shared" si="819"/>
        <v>-1</v>
      </c>
      <c r="CM280">
        <f t="shared" si="819"/>
        <v>-1</v>
      </c>
      <c r="CN280">
        <f t="shared" si="819"/>
        <v>-1</v>
      </c>
      <c r="CO280">
        <f t="shared" si="819"/>
        <v>-1</v>
      </c>
      <c r="CP280">
        <f t="shared" si="819"/>
        <v>-1</v>
      </c>
      <c r="CQ280">
        <f t="shared" si="819"/>
        <v>-1</v>
      </c>
      <c r="CR280">
        <f t="shared" si="819"/>
        <v>-1</v>
      </c>
      <c r="CS280">
        <f t="shared" si="819"/>
        <v>-1</v>
      </c>
      <c r="CT280">
        <f t="shared" si="819"/>
        <v>-1</v>
      </c>
      <c r="CU280">
        <f t="shared" si="819"/>
        <v>-1</v>
      </c>
      <c r="CV280">
        <f t="shared" si="819"/>
        <v>-1</v>
      </c>
      <c r="CW280">
        <f t="shared" si="819"/>
        <v>-1</v>
      </c>
      <c r="CX280">
        <f t="shared" si="819"/>
        <v>-1</v>
      </c>
      <c r="CY280">
        <f t="shared" si="819"/>
        <v>-1</v>
      </c>
      <c r="CZ280">
        <f t="shared" si="819"/>
        <v>-1</v>
      </c>
      <c r="DA280">
        <f t="shared" si="819"/>
        <v>-1</v>
      </c>
      <c r="DB280">
        <f t="shared" si="819"/>
        <v>-1</v>
      </c>
      <c r="DC280">
        <f t="shared" si="819"/>
        <v>-1</v>
      </c>
      <c r="DD280">
        <f t="shared" si="819"/>
        <v>-1</v>
      </c>
      <c r="DE280">
        <f t="shared" si="819"/>
        <v>-1</v>
      </c>
      <c r="DF280">
        <f t="shared" si="819"/>
        <v>-1</v>
      </c>
      <c r="DG280">
        <f t="shared" si="819"/>
        <v>-1</v>
      </c>
      <c r="DH280">
        <f t="shared" si="819"/>
        <v>-1</v>
      </c>
      <c r="DI280">
        <f t="shared" si="819"/>
        <v>-1</v>
      </c>
      <c r="DJ280">
        <f t="shared" si="819"/>
        <v>-1</v>
      </c>
      <c r="DK280">
        <f t="shared" si="819"/>
        <v>-1</v>
      </c>
      <c r="DL280">
        <f t="shared" si="819"/>
        <v>-1</v>
      </c>
      <c r="DM280">
        <f t="shared" si="819"/>
        <v>-1</v>
      </c>
      <c r="DN280">
        <f t="shared" si="819"/>
        <v>-1</v>
      </c>
      <c r="DO280">
        <f t="shared" si="819"/>
        <v>-1</v>
      </c>
      <c r="DP280">
        <f t="shared" si="819"/>
        <v>-1</v>
      </c>
      <c r="DQ280">
        <f t="shared" si="819"/>
        <v>-1</v>
      </c>
      <c r="DR280">
        <f t="shared" si="819"/>
        <v>-1</v>
      </c>
      <c r="DS280">
        <f t="shared" si="819"/>
        <v>-1</v>
      </c>
      <c r="DT280">
        <f t="shared" si="819"/>
        <v>-1</v>
      </c>
      <c r="DU280">
        <f t="shared" si="819"/>
        <v>-1</v>
      </c>
      <c r="DV280">
        <f t="shared" si="819"/>
        <v>-1</v>
      </c>
      <c r="DW280">
        <f t="shared" si="819"/>
        <v>-1</v>
      </c>
      <c r="DX280">
        <f t="shared" si="819"/>
        <v>-1</v>
      </c>
      <c r="DY280">
        <f t="shared" si="819"/>
        <v>-1</v>
      </c>
      <c r="DZ280">
        <f t="shared" si="819"/>
        <v>-1</v>
      </c>
      <c r="EA280">
        <f t="shared" si="819"/>
        <v>-1</v>
      </c>
      <c r="EB280">
        <f t="shared" ref="EB280:EO280" si="820">IF(OR(EB279=-1,AND(IF(EB$3&lt;$B280,EB279+EB$6,IF(EB$3=$B280,1,""))&gt;$B$1,EB$3&lt;$B280)),-1,IF(EB$3&lt;$B280,EB279+EB$6,IF(EB$3=$B280,1,"")))</f>
        <v>-1</v>
      </c>
      <c r="EC280">
        <f t="shared" si="820"/>
        <v>-1</v>
      </c>
      <c r="ED280">
        <f t="shared" si="820"/>
        <v>-1</v>
      </c>
      <c r="EE280">
        <f t="shared" si="820"/>
        <v>-1</v>
      </c>
      <c r="EF280">
        <f t="shared" si="820"/>
        <v>-1</v>
      </c>
      <c r="EG280">
        <f t="shared" si="820"/>
        <v>-1</v>
      </c>
      <c r="EH280">
        <f t="shared" si="820"/>
        <v>-1</v>
      </c>
      <c r="EI280">
        <f t="shared" si="820"/>
        <v>-1</v>
      </c>
      <c r="EJ280">
        <f t="shared" si="820"/>
        <v>-1</v>
      </c>
      <c r="EK280">
        <f t="shared" si="820"/>
        <v>-1</v>
      </c>
      <c r="EL280">
        <f t="shared" si="820"/>
        <v>-1</v>
      </c>
      <c r="EM280">
        <f t="shared" si="820"/>
        <v>-1</v>
      </c>
      <c r="EN280">
        <f t="shared" si="820"/>
        <v>-1</v>
      </c>
      <c r="EO280">
        <f t="shared" si="820"/>
        <v>-1</v>
      </c>
    </row>
    <row r="281" spans="1:145" x14ac:dyDescent="0.15">
      <c r="A281" t="e">
        <f t="shared" si="772"/>
        <v>#N/A</v>
      </c>
      <c r="B281" s="218">
        <v>273</v>
      </c>
      <c r="C281">
        <f t="shared" si="772"/>
        <v>-1</v>
      </c>
      <c r="D281">
        <f t="shared" ref="D281:BO281" si="821">IF(OR(D280=-1,AND(IF(D$3&lt;$B281,D280+D$6,IF(D$3=$B281,1,""))&gt;$B$1,D$3&lt;$B281)),-1,IF(D$3&lt;$B281,D280+D$6,IF(D$3=$B281,1,"")))</f>
        <v>-1</v>
      </c>
      <c r="E281">
        <f t="shared" si="821"/>
        <v>-1</v>
      </c>
      <c r="F281">
        <f t="shared" si="821"/>
        <v>-1</v>
      </c>
      <c r="G281">
        <f t="shared" si="821"/>
        <v>-1</v>
      </c>
      <c r="H281">
        <f t="shared" si="821"/>
        <v>-1</v>
      </c>
      <c r="I281">
        <f t="shared" si="821"/>
        <v>-1</v>
      </c>
      <c r="J281">
        <f t="shared" si="821"/>
        <v>-1</v>
      </c>
      <c r="K281">
        <f t="shared" si="821"/>
        <v>-1</v>
      </c>
      <c r="L281">
        <f t="shared" si="821"/>
        <v>-1</v>
      </c>
      <c r="M281">
        <f t="shared" si="821"/>
        <v>-1</v>
      </c>
      <c r="N281">
        <f t="shared" si="821"/>
        <v>-1</v>
      </c>
      <c r="O281">
        <f t="shared" si="821"/>
        <v>-1</v>
      </c>
      <c r="P281">
        <f t="shared" si="821"/>
        <v>-1</v>
      </c>
      <c r="Q281">
        <f t="shared" si="821"/>
        <v>-1</v>
      </c>
      <c r="R281">
        <f t="shared" si="821"/>
        <v>-1</v>
      </c>
      <c r="S281">
        <f t="shared" si="821"/>
        <v>-1</v>
      </c>
      <c r="T281">
        <f t="shared" si="821"/>
        <v>-1</v>
      </c>
      <c r="U281">
        <f t="shared" si="821"/>
        <v>-1</v>
      </c>
      <c r="V281">
        <f t="shared" si="821"/>
        <v>-1</v>
      </c>
      <c r="W281">
        <f t="shared" si="821"/>
        <v>-1</v>
      </c>
      <c r="X281">
        <f t="shared" si="821"/>
        <v>-1</v>
      </c>
      <c r="Y281">
        <f t="shared" si="821"/>
        <v>-1</v>
      </c>
      <c r="Z281">
        <f t="shared" si="821"/>
        <v>-1</v>
      </c>
      <c r="AA281">
        <f t="shared" si="821"/>
        <v>-1</v>
      </c>
      <c r="AB281">
        <f t="shared" si="821"/>
        <v>-1</v>
      </c>
      <c r="AC281">
        <f t="shared" si="821"/>
        <v>-1</v>
      </c>
      <c r="AD281">
        <f t="shared" si="821"/>
        <v>-1</v>
      </c>
      <c r="AE281">
        <f t="shared" si="821"/>
        <v>-1</v>
      </c>
      <c r="AF281">
        <f t="shared" si="821"/>
        <v>-1</v>
      </c>
      <c r="AG281">
        <f t="shared" si="821"/>
        <v>-1</v>
      </c>
      <c r="AH281">
        <f t="shared" si="821"/>
        <v>-1</v>
      </c>
      <c r="AI281">
        <f t="shared" si="821"/>
        <v>-1</v>
      </c>
      <c r="AJ281">
        <f t="shared" si="821"/>
        <v>-1</v>
      </c>
      <c r="AK281">
        <f t="shared" si="821"/>
        <v>-1</v>
      </c>
      <c r="AL281">
        <f t="shared" si="821"/>
        <v>-1</v>
      </c>
      <c r="AM281">
        <f t="shared" si="821"/>
        <v>-1</v>
      </c>
      <c r="AN281">
        <f t="shared" si="821"/>
        <v>-1</v>
      </c>
      <c r="AO281">
        <f t="shared" si="821"/>
        <v>-1</v>
      </c>
      <c r="AP281">
        <f t="shared" si="821"/>
        <v>-1</v>
      </c>
      <c r="AQ281">
        <f t="shared" si="821"/>
        <v>-1</v>
      </c>
      <c r="AR281">
        <f t="shared" si="821"/>
        <v>-1</v>
      </c>
      <c r="AS281">
        <f t="shared" si="821"/>
        <v>-1</v>
      </c>
      <c r="AT281">
        <f t="shared" si="821"/>
        <v>-1</v>
      </c>
      <c r="AU281">
        <f t="shared" si="821"/>
        <v>-1</v>
      </c>
      <c r="AV281">
        <f t="shared" si="821"/>
        <v>-1</v>
      </c>
      <c r="AW281">
        <f t="shared" si="821"/>
        <v>-1</v>
      </c>
      <c r="AX281">
        <f t="shared" si="821"/>
        <v>-1</v>
      </c>
      <c r="AY281">
        <f t="shared" si="821"/>
        <v>-1</v>
      </c>
      <c r="AZ281">
        <f t="shared" si="821"/>
        <v>-1</v>
      </c>
      <c r="BA281">
        <f t="shared" si="821"/>
        <v>-1</v>
      </c>
      <c r="BB281">
        <f t="shared" si="821"/>
        <v>-1</v>
      </c>
      <c r="BC281">
        <f t="shared" si="821"/>
        <v>-1</v>
      </c>
      <c r="BD281">
        <f t="shared" si="821"/>
        <v>-1</v>
      </c>
      <c r="BE281">
        <f t="shared" si="821"/>
        <v>-1</v>
      </c>
      <c r="BF281">
        <f t="shared" si="821"/>
        <v>-1</v>
      </c>
      <c r="BG281">
        <f t="shared" si="821"/>
        <v>-1</v>
      </c>
      <c r="BH281">
        <f t="shared" si="821"/>
        <v>-1</v>
      </c>
      <c r="BI281">
        <f t="shared" si="821"/>
        <v>-1</v>
      </c>
      <c r="BJ281">
        <f t="shared" si="821"/>
        <v>-1</v>
      </c>
      <c r="BK281">
        <f t="shared" si="821"/>
        <v>-1</v>
      </c>
      <c r="BL281">
        <f t="shared" si="821"/>
        <v>-1</v>
      </c>
      <c r="BM281">
        <f t="shared" si="821"/>
        <v>-1</v>
      </c>
      <c r="BN281">
        <f t="shared" si="821"/>
        <v>-1</v>
      </c>
      <c r="BO281">
        <f t="shared" si="821"/>
        <v>-1</v>
      </c>
      <c r="BP281">
        <f t="shared" ref="BP281:EA281" si="822">IF(OR(BP280=-1,AND(IF(BP$3&lt;$B281,BP280+BP$6,IF(BP$3=$B281,1,""))&gt;$B$1,BP$3&lt;$B281)),-1,IF(BP$3&lt;$B281,BP280+BP$6,IF(BP$3=$B281,1,"")))</f>
        <v>-1</v>
      </c>
      <c r="BQ281">
        <f t="shared" si="822"/>
        <v>-1</v>
      </c>
      <c r="BR281">
        <f t="shared" si="822"/>
        <v>-1</v>
      </c>
      <c r="BS281">
        <f t="shared" si="822"/>
        <v>-1</v>
      </c>
      <c r="BT281">
        <f t="shared" si="822"/>
        <v>-1</v>
      </c>
      <c r="BU281">
        <f t="shared" si="822"/>
        <v>-1</v>
      </c>
      <c r="BV281">
        <f t="shared" si="822"/>
        <v>-1</v>
      </c>
      <c r="BW281">
        <f t="shared" si="822"/>
        <v>-1</v>
      </c>
      <c r="BX281">
        <f t="shared" si="822"/>
        <v>-1</v>
      </c>
      <c r="BY281">
        <f t="shared" si="822"/>
        <v>-1</v>
      </c>
      <c r="BZ281">
        <f t="shared" si="822"/>
        <v>-1</v>
      </c>
      <c r="CA281">
        <f t="shared" si="822"/>
        <v>-1</v>
      </c>
      <c r="CB281">
        <f t="shared" si="822"/>
        <v>-1</v>
      </c>
      <c r="CC281">
        <f t="shared" si="822"/>
        <v>-1</v>
      </c>
      <c r="CD281">
        <f t="shared" si="822"/>
        <v>-1</v>
      </c>
      <c r="CE281">
        <f t="shared" si="822"/>
        <v>-1</v>
      </c>
      <c r="CF281">
        <f t="shared" si="822"/>
        <v>-1</v>
      </c>
      <c r="CG281">
        <f t="shared" si="822"/>
        <v>-1</v>
      </c>
      <c r="CH281">
        <f t="shared" si="822"/>
        <v>-1</v>
      </c>
      <c r="CI281">
        <f t="shared" si="822"/>
        <v>-1</v>
      </c>
      <c r="CJ281">
        <f t="shared" si="822"/>
        <v>-1</v>
      </c>
      <c r="CK281">
        <f t="shared" si="822"/>
        <v>-1</v>
      </c>
      <c r="CL281">
        <f t="shared" si="822"/>
        <v>-1</v>
      </c>
      <c r="CM281">
        <f t="shared" si="822"/>
        <v>-1</v>
      </c>
      <c r="CN281">
        <f t="shared" si="822"/>
        <v>-1</v>
      </c>
      <c r="CO281">
        <f t="shared" si="822"/>
        <v>-1</v>
      </c>
      <c r="CP281">
        <f t="shared" si="822"/>
        <v>-1</v>
      </c>
      <c r="CQ281">
        <f t="shared" si="822"/>
        <v>-1</v>
      </c>
      <c r="CR281">
        <f t="shared" si="822"/>
        <v>-1</v>
      </c>
      <c r="CS281">
        <f t="shared" si="822"/>
        <v>-1</v>
      </c>
      <c r="CT281">
        <f t="shared" si="822"/>
        <v>-1</v>
      </c>
      <c r="CU281">
        <f t="shared" si="822"/>
        <v>-1</v>
      </c>
      <c r="CV281">
        <f t="shared" si="822"/>
        <v>-1</v>
      </c>
      <c r="CW281">
        <f t="shared" si="822"/>
        <v>-1</v>
      </c>
      <c r="CX281">
        <f t="shared" si="822"/>
        <v>-1</v>
      </c>
      <c r="CY281">
        <f t="shared" si="822"/>
        <v>-1</v>
      </c>
      <c r="CZ281">
        <f t="shared" si="822"/>
        <v>-1</v>
      </c>
      <c r="DA281">
        <f t="shared" si="822"/>
        <v>-1</v>
      </c>
      <c r="DB281">
        <f t="shared" si="822"/>
        <v>-1</v>
      </c>
      <c r="DC281">
        <f t="shared" si="822"/>
        <v>-1</v>
      </c>
      <c r="DD281">
        <f t="shared" si="822"/>
        <v>-1</v>
      </c>
      <c r="DE281">
        <f t="shared" si="822"/>
        <v>-1</v>
      </c>
      <c r="DF281">
        <f t="shared" si="822"/>
        <v>-1</v>
      </c>
      <c r="DG281">
        <f t="shared" si="822"/>
        <v>-1</v>
      </c>
      <c r="DH281">
        <f t="shared" si="822"/>
        <v>-1</v>
      </c>
      <c r="DI281">
        <f t="shared" si="822"/>
        <v>-1</v>
      </c>
      <c r="DJ281">
        <f t="shared" si="822"/>
        <v>-1</v>
      </c>
      <c r="DK281">
        <f t="shared" si="822"/>
        <v>-1</v>
      </c>
      <c r="DL281">
        <f t="shared" si="822"/>
        <v>-1</v>
      </c>
      <c r="DM281">
        <f t="shared" si="822"/>
        <v>-1</v>
      </c>
      <c r="DN281">
        <f t="shared" si="822"/>
        <v>-1</v>
      </c>
      <c r="DO281">
        <f t="shared" si="822"/>
        <v>-1</v>
      </c>
      <c r="DP281">
        <f t="shared" si="822"/>
        <v>-1</v>
      </c>
      <c r="DQ281">
        <f t="shared" si="822"/>
        <v>-1</v>
      </c>
      <c r="DR281">
        <f t="shared" si="822"/>
        <v>-1</v>
      </c>
      <c r="DS281">
        <f t="shared" si="822"/>
        <v>-1</v>
      </c>
      <c r="DT281">
        <f t="shared" si="822"/>
        <v>-1</v>
      </c>
      <c r="DU281">
        <f t="shared" si="822"/>
        <v>-1</v>
      </c>
      <c r="DV281">
        <f t="shared" si="822"/>
        <v>-1</v>
      </c>
      <c r="DW281">
        <f t="shared" si="822"/>
        <v>-1</v>
      </c>
      <c r="DX281">
        <f t="shared" si="822"/>
        <v>-1</v>
      </c>
      <c r="DY281">
        <f t="shared" si="822"/>
        <v>-1</v>
      </c>
      <c r="DZ281">
        <f t="shared" si="822"/>
        <v>-1</v>
      </c>
      <c r="EA281">
        <f t="shared" si="822"/>
        <v>-1</v>
      </c>
      <c r="EB281">
        <f t="shared" ref="EB281:EO281" si="823">IF(OR(EB280=-1,AND(IF(EB$3&lt;$B281,EB280+EB$6,IF(EB$3=$B281,1,""))&gt;$B$1,EB$3&lt;$B281)),-1,IF(EB$3&lt;$B281,EB280+EB$6,IF(EB$3=$B281,1,"")))</f>
        <v>-1</v>
      </c>
      <c r="EC281">
        <f t="shared" si="823"/>
        <v>-1</v>
      </c>
      <c r="ED281">
        <f t="shared" si="823"/>
        <v>-1</v>
      </c>
      <c r="EE281">
        <f t="shared" si="823"/>
        <v>-1</v>
      </c>
      <c r="EF281">
        <f t="shared" si="823"/>
        <v>-1</v>
      </c>
      <c r="EG281">
        <f t="shared" si="823"/>
        <v>-1</v>
      </c>
      <c r="EH281">
        <f t="shared" si="823"/>
        <v>-1</v>
      </c>
      <c r="EI281">
        <f t="shared" si="823"/>
        <v>-1</v>
      </c>
      <c r="EJ281">
        <f t="shared" si="823"/>
        <v>-1</v>
      </c>
      <c r="EK281">
        <f t="shared" si="823"/>
        <v>-1</v>
      </c>
      <c r="EL281">
        <f t="shared" si="823"/>
        <v>-1</v>
      </c>
      <c r="EM281">
        <f t="shared" si="823"/>
        <v>-1</v>
      </c>
      <c r="EN281">
        <f t="shared" si="823"/>
        <v>-1</v>
      </c>
      <c r="EO281">
        <f t="shared" si="823"/>
        <v>-1</v>
      </c>
    </row>
    <row r="282" spans="1:145" x14ac:dyDescent="0.15">
      <c r="A282" t="e">
        <f t="shared" si="772"/>
        <v>#N/A</v>
      </c>
      <c r="B282" s="218">
        <v>274</v>
      </c>
      <c r="C282">
        <f t="shared" si="772"/>
        <v>-1</v>
      </c>
      <c r="D282">
        <f t="shared" ref="D282:BO282" si="824">IF(OR(D281=-1,AND(IF(D$3&lt;$B282,D281+D$6,IF(D$3=$B282,1,""))&gt;$B$1,D$3&lt;$B282)),-1,IF(D$3&lt;$B282,D281+D$6,IF(D$3=$B282,1,"")))</f>
        <v>-1</v>
      </c>
      <c r="E282">
        <f t="shared" si="824"/>
        <v>-1</v>
      </c>
      <c r="F282">
        <f t="shared" si="824"/>
        <v>-1</v>
      </c>
      <c r="G282">
        <f t="shared" si="824"/>
        <v>-1</v>
      </c>
      <c r="H282">
        <f t="shared" si="824"/>
        <v>-1</v>
      </c>
      <c r="I282">
        <f t="shared" si="824"/>
        <v>-1</v>
      </c>
      <c r="J282">
        <f t="shared" si="824"/>
        <v>-1</v>
      </c>
      <c r="K282">
        <f t="shared" si="824"/>
        <v>-1</v>
      </c>
      <c r="L282">
        <f t="shared" si="824"/>
        <v>-1</v>
      </c>
      <c r="M282">
        <f t="shared" si="824"/>
        <v>-1</v>
      </c>
      <c r="N282">
        <f t="shared" si="824"/>
        <v>-1</v>
      </c>
      <c r="O282">
        <f t="shared" si="824"/>
        <v>-1</v>
      </c>
      <c r="P282">
        <f t="shared" si="824"/>
        <v>-1</v>
      </c>
      <c r="Q282">
        <f t="shared" si="824"/>
        <v>-1</v>
      </c>
      <c r="R282">
        <f t="shared" si="824"/>
        <v>-1</v>
      </c>
      <c r="S282">
        <f t="shared" si="824"/>
        <v>-1</v>
      </c>
      <c r="T282">
        <f t="shared" si="824"/>
        <v>-1</v>
      </c>
      <c r="U282">
        <f t="shared" si="824"/>
        <v>-1</v>
      </c>
      <c r="V282">
        <f t="shared" si="824"/>
        <v>-1</v>
      </c>
      <c r="W282">
        <f t="shared" si="824"/>
        <v>-1</v>
      </c>
      <c r="X282">
        <f t="shared" si="824"/>
        <v>-1</v>
      </c>
      <c r="Y282">
        <f t="shared" si="824"/>
        <v>-1</v>
      </c>
      <c r="Z282">
        <f t="shared" si="824"/>
        <v>-1</v>
      </c>
      <c r="AA282">
        <f t="shared" si="824"/>
        <v>-1</v>
      </c>
      <c r="AB282">
        <f t="shared" si="824"/>
        <v>-1</v>
      </c>
      <c r="AC282">
        <f t="shared" si="824"/>
        <v>-1</v>
      </c>
      <c r="AD282">
        <f t="shared" si="824"/>
        <v>-1</v>
      </c>
      <c r="AE282">
        <f t="shared" si="824"/>
        <v>-1</v>
      </c>
      <c r="AF282">
        <f t="shared" si="824"/>
        <v>-1</v>
      </c>
      <c r="AG282">
        <f t="shared" si="824"/>
        <v>-1</v>
      </c>
      <c r="AH282">
        <f t="shared" si="824"/>
        <v>-1</v>
      </c>
      <c r="AI282">
        <f t="shared" si="824"/>
        <v>-1</v>
      </c>
      <c r="AJ282">
        <f t="shared" si="824"/>
        <v>-1</v>
      </c>
      <c r="AK282">
        <f t="shared" si="824"/>
        <v>-1</v>
      </c>
      <c r="AL282">
        <f t="shared" si="824"/>
        <v>-1</v>
      </c>
      <c r="AM282">
        <f t="shared" si="824"/>
        <v>-1</v>
      </c>
      <c r="AN282">
        <f t="shared" si="824"/>
        <v>-1</v>
      </c>
      <c r="AO282">
        <f t="shared" si="824"/>
        <v>-1</v>
      </c>
      <c r="AP282">
        <f t="shared" si="824"/>
        <v>-1</v>
      </c>
      <c r="AQ282">
        <f t="shared" si="824"/>
        <v>-1</v>
      </c>
      <c r="AR282">
        <f t="shared" si="824"/>
        <v>-1</v>
      </c>
      <c r="AS282">
        <f t="shared" si="824"/>
        <v>-1</v>
      </c>
      <c r="AT282">
        <f t="shared" si="824"/>
        <v>-1</v>
      </c>
      <c r="AU282">
        <f t="shared" si="824"/>
        <v>-1</v>
      </c>
      <c r="AV282">
        <f t="shared" si="824"/>
        <v>-1</v>
      </c>
      <c r="AW282">
        <f t="shared" si="824"/>
        <v>-1</v>
      </c>
      <c r="AX282">
        <f t="shared" si="824"/>
        <v>-1</v>
      </c>
      <c r="AY282">
        <f t="shared" si="824"/>
        <v>-1</v>
      </c>
      <c r="AZ282">
        <f t="shared" si="824"/>
        <v>-1</v>
      </c>
      <c r="BA282">
        <f t="shared" si="824"/>
        <v>-1</v>
      </c>
      <c r="BB282">
        <f t="shared" si="824"/>
        <v>-1</v>
      </c>
      <c r="BC282">
        <f t="shared" si="824"/>
        <v>-1</v>
      </c>
      <c r="BD282">
        <f t="shared" si="824"/>
        <v>-1</v>
      </c>
      <c r="BE282">
        <f t="shared" si="824"/>
        <v>-1</v>
      </c>
      <c r="BF282">
        <f t="shared" si="824"/>
        <v>-1</v>
      </c>
      <c r="BG282">
        <f t="shared" si="824"/>
        <v>-1</v>
      </c>
      <c r="BH282">
        <f t="shared" si="824"/>
        <v>-1</v>
      </c>
      <c r="BI282">
        <f t="shared" si="824"/>
        <v>-1</v>
      </c>
      <c r="BJ282">
        <f t="shared" si="824"/>
        <v>-1</v>
      </c>
      <c r="BK282">
        <f t="shared" si="824"/>
        <v>-1</v>
      </c>
      <c r="BL282">
        <f t="shared" si="824"/>
        <v>-1</v>
      </c>
      <c r="BM282">
        <f t="shared" si="824"/>
        <v>-1</v>
      </c>
      <c r="BN282">
        <f t="shared" si="824"/>
        <v>-1</v>
      </c>
      <c r="BO282">
        <f t="shared" si="824"/>
        <v>-1</v>
      </c>
      <c r="BP282">
        <f t="shared" ref="BP282:EA282" si="825">IF(OR(BP281=-1,AND(IF(BP$3&lt;$B282,BP281+BP$6,IF(BP$3=$B282,1,""))&gt;$B$1,BP$3&lt;$B282)),-1,IF(BP$3&lt;$B282,BP281+BP$6,IF(BP$3=$B282,1,"")))</f>
        <v>-1</v>
      </c>
      <c r="BQ282">
        <f t="shared" si="825"/>
        <v>-1</v>
      </c>
      <c r="BR282">
        <f t="shared" si="825"/>
        <v>-1</v>
      </c>
      <c r="BS282">
        <f t="shared" si="825"/>
        <v>-1</v>
      </c>
      <c r="BT282">
        <f t="shared" si="825"/>
        <v>-1</v>
      </c>
      <c r="BU282">
        <f t="shared" si="825"/>
        <v>-1</v>
      </c>
      <c r="BV282">
        <f t="shared" si="825"/>
        <v>-1</v>
      </c>
      <c r="BW282">
        <f t="shared" si="825"/>
        <v>-1</v>
      </c>
      <c r="BX282">
        <f t="shared" si="825"/>
        <v>-1</v>
      </c>
      <c r="BY282">
        <f t="shared" si="825"/>
        <v>-1</v>
      </c>
      <c r="BZ282">
        <f t="shared" si="825"/>
        <v>-1</v>
      </c>
      <c r="CA282">
        <f t="shared" si="825"/>
        <v>-1</v>
      </c>
      <c r="CB282">
        <f t="shared" si="825"/>
        <v>-1</v>
      </c>
      <c r="CC282">
        <f t="shared" si="825"/>
        <v>-1</v>
      </c>
      <c r="CD282">
        <f t="shared" si="825"/>
        <v>-1</v>
      </c>
      <c r="CE282">
        <f t="shared" si="825"/>
        <v>-1</v>
      </c>
      <c r="CF282">
        <f t="shared" si="825"/>
        <v>-1</v>
      </c>
      <c r="CG282">
        <f t="shared" si="825"/>
        <v>-1</v>
      </c>
      <c r="CH282">
        <f t="shared" si="825"/>
        <v>-1</v>
      </c>
      <c r="CI282">
        <f t="shared" si="825"/>
        <v>-1</v>
      </c>
      <c r="CJ282">
        <f t="shared" si="825"/>
        <v>-1</v>
      </c>
      <c r="CK282">
        <f t="shared" si="825"/>
        <v>-1</v>
      </c>
      <c r="CL282">
        <f t="shared" si="825"/>
        <v>-1</v>
      </c>
      <c r="CM282">
        <f t="shared" si="825"/>
        <v>-1</v>
      </c>
      <c r="CN282">
        <f t="shared" si="825"/>
        <v>-1</v>
      </c>
      <c r="CO282">
        <f t="shared" si="825"/>
        <v>-1</v>
      </c>
      <c r="CP282">
        <f t="shared" si="825"/>
        <v>-1</v>
      </c>
      <c r="CQ282">
        <f t="shared" si="825"/>
        <v>-1</v>
      </c>
      <c r="CR282">
        <f t="shared" si="825"/>
        <v>-1</v>
      </c>
      <c r="CS282">
        <f t="shared" si="825"/>
        <v>-1</v>
      </c>
      <c r="CT282">
        <f t="shared" si="825"/>
        <v>-1</v>
      </c>
      <c r="CU282">
        <f t="shared" si="825"/>
        <v>-1</v>
      </c>
      <c r="CV282">
        <f t="shared" si="825"/>
        <v>-1</v>
      </c>
      <c r="CW282">
        <f t="shared" si="825"/>
        <v>-1</v>
      </c>
      <c r="CX282">
        <f t="shared" si="825"/>
        <v>-1</v>
      </c>
      <c r="CY282">
        <f t="shared" si="825"/>
        <v>-1</v>
      </c>
      <c r="CZ282">
        <f t="shared" si="825"/>
        <v>-1</v>
      </c>
      <c r="DA282">
        <f t="shared" si="825"/>
        <v>-1</v>
      </c>
      <c r="DB282">
        <f t="shared" si="825"/>
        <v>-1</v>
      </c>
      <c r="DC282">
        <f t="shared" si="825"/>
        <v>-1</v>
      </c>
      <c r="DD282">
        <f t="shared" si="825"/>
        <v>-1</v>
      </c>
      <c r="DE282">
        <f t="shared" si="825"/>
        <v>-1</v>
      </c>
      <c r="DF282">
        <f t="shared" si="825"/>
        <v>-1</v>
      </c>
      <c r="DG282">
        <f t="shared" si="825"/>
        <v>-1</v>
      </c>
      <c r="DH282">
        <f t="shared" si="825"/>
        <v>-1</v>
      </c>
      <c r="DI282">
        <f t="shared" si="825"/>
        <v>-1</v>
      </c>
      <c r="DJ282">
        <f t="shared" si="825"/>
        <v>-1</v>
      </c>
      <c r="DK282">
        <f t="shared" si="825"/>
        <v>-1</v>
      </c>
      <c r="DL282">
        <f t="shared" si="825"/>
        <v>-1</v>
      </c>
      <c r="DM282">
        <f t="shared" si="825"/>
        <v>-1</v>
      </c>
      <c r="DN282">
        <f t="shared" si="825"/>
        <v>-1</v>
      </c>
      <c r="DO282">
        <f t="shared" si="825"/>
        <v>-1</v>
      </c>
      <c r="DP282">
        <f t="shared" si="825"/>
        <v>-1</v>
      </c>
      <c r="DQ282">
        <f t="shared" si="825"/>
        <v>-1</v>
      </c>
      <c r="DR282">
        <f t="shared" si="825"/>
        <v>-1</v>
      </c>
      <c r="DS282">
        <f t="shared" si="825"/>
        <v>-1</v>
      </c>
      <c r="DT282">
        <f t="shared" si="825"/>
        <v>-1</v>
      </c>
      <c r="DU282">
        <f t="shared" si="825"/>
        <v>-1</v>
      </c>
      <c r="DV282">
        <f t="shared" si="825"/>
        <v>-1</v>
      </c>
      <c r="DW282">
        <f t="shared" si="825"/>
        <v>-1</v>
      </c>
      <c r="DX282">
        <f t="shared" si="825"/>
        <v>-1</v>
      </c>
      <c r="DY282">
        <f t="shared" si="825"/>
        <v>-1</v>
      </c>
      <c r="DZ282">
        <f t="shared" si="825"/>
        <v>-1</v>
      </c>
      <c r="EA282">
        <f t="shared" si="825"/>
        <v>-1</v>
      </c>
      <c r="EB282">
        <f t="shared" ref="EB282:EO282" si="826">IF(OR(EB281=-1,AND(IF(EB$3&lt;$B282,EB281+EB$6,IF(EB$3=$B282,1,""))&gt;$B$1,EB$3&lt;$B282)),-1,IF(EB$3&lt;$B282,EB281+EB$6,IF(EB$3=$B282,1,"")))</f>
        <v>-1</v>
      </c>
      <c r="EC282">
        <f t="shared" si="826"/>
        <v>-1</v>
      </c>
      <c r="ED282">
        <f t="shared" si="826"/>
        <v>-1</v>
      </c>
      <c r="EE282">
        <f t="shared" si="826"/>
        <v>-1</v>
      </c>
      <c r="EF282">
        <f t="shared" si="826"/>
        <v>-1</v>
      </c>
      <c r="EG282">
        <f t="shared" si="826"/>
        <v>-1</v>
      </c>
      <c r="EH282">
        <f t="shared" si="826"/>
        <v>-1</v>
      </c>
      <c r="EI282">
        <f t="shared" si="826"/>
        <v>-1</v>
      </c>
      <c r="EJ282">
        <f t="shared" si="826"/>
        <v>-1</v>
      </c>
      <c r="EK282">
        <f t="shared" si="826"/>
        <v>-1</v>
      </c>
      <c r="EL282">
        <f t="shared" si="826"/>
        <v>-1</v>
      </c>
      <c r="EM282">
        <f t="shared" si="826"/>
        <v>-1</v>
      </c>
      <c r="EN282">
        <f t="shared" si="826"/>
        <v>-1</v>
      </c>
      <c r="EO282">
        <f t="shared" si="826"/>
        <v>-1</v>
      </c>
    </row>
    <row r="283" spans="1:145" x14ac:dyDescent="0.15">
      <c r="A283" t="e">
        <f t="shared" si="772"/>
        <v>#N/A</v>
      </c>
      <c r="B283" s="218">
        <v>275</v>
      </c>
      <c r="C283">
        <f t="shared" si="772"/>
        <v>-1</v>
      </c>
      <c r="D283">
        <f t="shared" ref="D283:BO283" si="827">IF(OR(D282=-1,AND(IF(D$3&lt;$B283,D282+D$6,IF(D$3=$B283,1,""))&gt;$B$1,D$3&lt;$B283)),-1,IF(D$3&lt;$B283,D282+D$6,IF(D$3=$B283,1,"")))</f>
        <v>-1</v>
      </c>
      <c r="E283">
        <f t="shared" si="827"/>
        <v>-1</v>
      </c>
      <c r="F283">
        <f t="shared" si="827"/>
        <v>-1</v>
      </c>
      <c r="G283">
        <f t="shared" si="827"/>
        <v>-1</v>
      </c>
      <c r="H283">
        <f t="shared" si="827"/>
        <v>-1</v>
      </c>
      <c r="I283">
        <f t="shared" si="827"/>
        <v>-1</v>
      </c>
      <c r="J283">
        <f t="shared" si="827"/>
        <v>-1</v>
      </c>
      <c r="K283">
        <f t="shared" si="827"/>
        <v>-1</v>
      </c>
      <c r="L283">
        <f t="shared" si="827"/>
        <v>-1</v>
      </c>
      <c r="M283">
        <f t="shared" si="827"/>
        <v>-1</v>
      </c>
      <c r="N283">
        <f t="shared" si="827"/>
        <v>-1</v>
      </c>
      <c r="O283">
        <f t="shared" si="827"/>
        <v>-1</v>
      </c>
      <c r="P283">
        <f t="shared" si="827"/>
        <v>-1</v>
      </c>
      <c r="Q283">
        <f t="shared" si="827"/>
        <v>-1</v>
      </c>
      <c r="R283">
        <f t="shared" si="827"/>
        <v>-1</v>
      </c>
      <c r="S283">
        <f t="shared" si="827"/>
        <v>-1</v>
      </c>
      <c r="T283">
        <f t="shared" si="827"/>
        <v>-1</v>
      </c>
      <c r="U283">
        <f t="shared" si="827"/>
        <v>-1</v>
      </c>
      <c r="V283">
        <f t="shared" si="827"/>
        <v>-1</v>
      </c>
      <c r="W283">
        <f t="shared" si="827"/>
        <v>-1</v>
      </c>
      <c r="X283">
        <f t="shared" si="827"/>
        <v>-1</v>
      </c>
      <c r="Y283">
        <f t="shared" si="827"/>
        <v>-1</v>
      </c>
      <c r="Z283">
        <f t="shared" si="827"/>
        <v>-1</v>
      </c>
      <c r="AA283">
        <f t="shared" si="827"/>
        <v>-1</v>
      </c>
      <c r="AB283">
        <f t="shared" si="827"/>
        <v>-1</v>
      </c>
      <c r="AC283">
        <f t="shared" si="827"/>
        <v>-1</v>
      </c>
      <c r="AD283">
        <f t="shared" si="827"/>
        <v>-1</v>
      </c>
      <c r="AE283">
        <f t="shared" si="827"/>
        <v>-1</v>
      </c>
      <c r="AF283">
        <f t="shared" si="827"/>
        <v>-1</v>
      </c>
      <c r="AG283">
        <f t="shared" si="827"/>
        <v>-1</v>
      </c>
      <c r="AH283">
        <f t="shared" si="827"/>
        <v>-1</v>
      </c>
      <c r="AI283">
        <f t="shared" si="827"/>
        <v>-1</v>
      </c>
      <c r="AJ283">
        <f t="shared" si="827"/>
        <v>-1</v>
      </c>
      <c r="AK283">
        <f t="shared" si="827"/>
        <v>-1</v>
      </c>
      <c r="AL283">
        <f t="shared" si="827"/>
        <v>-1</v>
      </c>
      <c r="AM283">
        <f t="shared" si="827"/>
        <v>-1</v>
      </c>
      <c r="AN283">
        <f t="shared" si="827"/>
        <v>-1</v>
      </c>
      <c r="AO283">
        <f t="shared" si="827"/>
        <v>-1</v>
      </c>
      <c r="AP283">
        <f t="shared" si="827"/>
        <v>-1</v>
      </c>
      <c r="AQ283">
        <f t="shared" si="827"/>
        <v>-1</v>
      </c>
      <c r="AR283">
        <f t="shared" si="827"/>
        <v>-1</v>
      </c>
      <c r="AS283">
        <f t="shared" si="827"/>
        <v>-1</v>
      </c>
      <c r="AT283">
        <f t="shared" si="827"/>
        <v>-1</v>
      </c>
      <c r="AU283">
        <f t="shared" si="827"/>
        <v>-1</v>
      </c>
      <c r="AV283">
        <f t="shared" si="827"/>
        <v>-1</v>
      </c>
      <c r="AW283">
        <f t="shared" si="827"/>
        <v>-1</v>
      </c>
      <c r="AX283">
        <f t="shared" si="827"/>
        <v>-1</v>
      </c>
      <c r="AY283">
        <f t="shared" si="827"/>
        <v>-1</v>
      </c>
      <c r="AZ283">
        <f t="shared" si="827"/>
        <v>-1</v>
      </c>
      <c r="BA283">
        <f t="shared" si="827"/>
        <v>-1</v>
      </c>
      <c r="BB283">
        <f t="shared" si="827"/>
        <v>-1</v>
      </c>
      <c r="BC283">
        <f t="shared" si="827"/>
        <v>-1</v>
      </c>
      <c r="BD283">
        <f t="shared" si="827"/>
        <v>-1</v>
      </c>
      <c r="BE283">
        <f t="shared" si="827"/>
        <v>-1</v>
      </c>
      <c r="BF283">
        <f t="shared" si="827"/>
        <v>-1</v>
      </c>
      <c r="BG283">
        <f t="shared" si="827"/>
        <v>-1</v>
      </c>
      <c r="BH283">
        <f t="shared" si="827"/>
        <v>-1</v>
      </c>
      <c r="BI283">
        <f t="shared" si="827"/>
        <v>-1</v>
      </c>
      <c r="BJ283">
        <f t="shared" si="827"/>
        <v>-1</v>
      </c>
      <c r="BK283">
        <f t="shared" si="827"/>
        <v>-1</v>
      </c>
      <c r="BL283">
        <f t="shared" si="827"/>
        <v>-1</v>
      </c>
      <c r="BM283">
        <f t="shared" si="827"/>
        <v>-1</v>
      </c>
      <c r="BN283">
        <f t="shared" si="827"/>
        <v>-1</v>
      </c>
      <c r="BO283">
        <f t="shared" si="827"/>
        <v>-1</v>
      </c>
      <c r="BP283">
        <f t="shared" ref="BP283:EA283" si="828">IF(OR(BP282=-1,AND(IF(BP$3&lt;$B283,BP282+BP$6,IF(BP$3=$B283,1,""))&gt;$B$1,BP$3&lt;$B283)),-1,IF(BP$3&lt;$B283,BP282+BP$6,IF(BP$3=$B283,1,"")))</f>
        <v>-1</v>
      </c>
      <c r="BQ283">
        <f t="shared" si="828"/>
        <v>-1</v>
      </c>
      <c r="BR283">
        <f t="shared" si="828"/>
        <v>-1</v>
      </c>
      <c r="BS283">
        <f t="shared" si="828"/>
        <v>-1</v>
      </c>
      <c r="BT283">
        <f t="shared" si="828"/>
        <v>-1</v>
      </c>
      <c r="BU283">
        <f t="shared" si="828"/>
        <v>-1</v>
      </c>
      <c r="BV283">
        <f t="shared" si="828"/>
        <v>-1</v>
      </c>
      <c r="BW283">
        <f t="shared" si="828"/>
        <v>-1</v>
      </c>
      <c r="BX283">
        <f t="shared" si="828"/>
        <v>-1</v>
      </c>
      <c r="BY283">
        <f t="shared" si="828"/>
        <v>-1</v>
      </c>
      <c r="BZ283">
        <f t="shared" si="828"/>
        <v>-1</v>
      </c>
      <c r="CA283">
        <f t="shared" si="828"/>
        <v>-1</v>
      </c>
      <c r="CB283">
        <f t="shared" si="828"/>
        <v>-1</v>
      </c>
      <c r="CC283">
        <f t="shared" si="828"/>
        <v>-1</v>
      </c>
      <c r="CD283">
        <f t="shared" si="828"/>
        <v>-1</v>
      </c>
      <c r="CE283">
        <f t="shared" si="828"/>
        <v>-1</v>
      </c>
      <c r="CF283">
        <f t="shared" si="828"/>
        <v>-1</v>
      </c>
      <c r="CG283">
        <f t="shared" si="828"/>
        <v>-1</v>
      </c>
      <c r="CH283">
        <f t="shared" si="828"/>
        <v>-1</v>
      </c>
      <c r="CI283">
        <f t="shared" si="828"/>
        <v>-1</v>
      </c>
      <c r="CJ283">
        <f t="shared" si="828"/>
        <v>-1</v>
      </c>
      <c r="CK283">
        <f t="shared" si="828"/>
        <v>-1</v>
      </c>
      <c r="CL283">
        <f t="shared" si="828"/>
        <v>-1</v>
      </c>
      <c r="CM283">
        <f t="shared" si="828"/>
        <v>-1</v>
      </c>
      <c r="CN283">
        <f t="shared" si="828"/>
        <v>-1</v>
      </c>
      <c r="CO283">
        <f t="shared" si="828"/>
        <v>-1</v>
      </c>
      <c r="CP283">
        <f t="shared" si="828"/>
        <v>-1</v>
      </c>
      <c r="CQ283">
        <f t="shared" si="828"/>
        <v>-1</v>
      </c>
      <c r="CR283">
        <f t="shared" si="828"/>
        <v>-1</v>
      </c>
      <c r="CS283">
        <f t="shared" si="828"/>
        <v>-1</v>
      </c>
      <c r="CT283">
        <f t="shared" si="828"/>
        <v>-1</v>
      </c>
      <c r="CU283">
        <f t="shared" si="828"/>
        <v>-1</v>
      </c>
      <c r="CV283">
        <f t="shared" si="828"/>
        <v>-1</v>
      </c>
      <c r="CW283">
        <f t="shared" si="828"/>
        <v>-1</v>
      </c>
      <c r="CX283">
        <f t="shared" si="828"/>
        <v>-1</v>
      </c>
      <c r="CY283">
        <f t="shared" si="828"/>
        <v>-1</v>
      </c>
      <c r="CZ283">
        <f t="shared" si="828"/>
        <v>-1</v>
      </c>
      <c r="DA283">
        <f t="shared" si="828"/>
        <v>-1</v>
      </c>
      <c r="DB283">
        <f t="shared" si="828"/>
        <v>-1</v>
      </c>
      <c r="DC283">
        <f t="shared" si="828"/>
        <v>-1</v>
      </c>
      <c r="DD283">
        <f t="shared" si="828"/>
        <v>-1</v>
      </c>
      <c r="DE283">
        <f t="shared" si="828"/>
        <v>-1</v>
      </c>
      <c r="DF283">
        <f t="shared" si="828"/>
        <v>-1</v>
      </c>
      <c r="DG283">
        <f t="shared" si="828"/>
        <v>-1</v>
      </c>
      <c r="DH283">
        <f t="shared" si="828"/>
        <v>-1</v>
      </c>
      <c r="DI283">
        <f t="shared" si="828"/>
        <v>-1</v>
      </c>
      <c r="DJ283">
        <f t="shared" si="828"/>
        <v>-1</v>
      </c>
      <c r="DK283">
        <f t="shared" si="828"/>
        <v>-1</v>
      </c>
      <c r="DL283">
        <f t="shared" si="828"/>
        <v>-1</v>
      </c>
      <c r="DM283">
        <f t="shared" si="828"/>
        <v>-1</v>
      </c>
      <c r="DN283">
        <f t="shared" si="828"/>
        <v>-1</v>
      </c>
      <c r="DO283">
        <f t="shared" si="828"/>
        <v>-1</v>
      </c>
      <c r="DP283">
        <f t="shared" si="828"/>
        <v>-1</v>
      </c>
      <c r="DQ283">
        <f t="shared" si="828"/>
        <v>-1</v>
      </c>
      <c r="DR283">
        <f t="shared" si="828"/>
        <v>-1</v>
      </c>
      <c r="DS283">
        <f t="shared" si="828"/>
        <v>-1</v>
      </c>
      <c r="DT283">
        <f t="shared" si="828"/>
        <v>-1</v>
      </c>
      <c r="DU283">
        <f t="shared" si="828"/>
        <v>-1</v>
      </c>
      <c r="DV283">
        <f t="shared" si="828"/>
        <v>-1</v>
      </c>
      <c r="DW283">
        <f t="shared" si="828"/>
        <v>-1</v>
      </c>
      <c r="DX283">
        <f t="shared" si="828"/>
        <v>-1</v>
      </c>
      <c r="DY283">
        <f t="shared" si="828"/>
        <v>-1</v>
      </c>
      <c r="DZ283">
        <f t="shared" si="828"/>
        <v>-1</v>
      </c>
      <c r="EA283">
        <f t="shared" si="828"/>
        <v>-1</v>
      </c>
      <c r="EB283">
        <f t="shared" ref="EB283:EO283" si="829">IF(OR(EB282=-1,AND(IF(EB$3&lt;$B283,EB282+EB$6,IF(EB$3=$B283,1,""))&gt;$B$1,EB$3&lt;$B283)),-1,IF(EB$3&lt;$B283,EB282+EB$6,IF(EB$3=$B283,1,"")))</f>
        <v>-1</v>
      </c>
      <c r="EC283">
        <f t="shared" si="829"/>
        <v>-1</v>
      </c>
      <c r="ED283">
        <f t="shared" si="829"/>
        <v>-1</v>
      </c>
      <c r="EE283">
        <f t="shared" si="829"/>
        <v>-1</v>
      </c>
      <c r="EF283">
        <f t="shared" si="829"/>
        <v>-1</v>
      </c>
      <c r="EG283">
        <f t="shared" si="829"/>
        <v>-1</v>
      </c>
      <c r="EH283">
        <f t="shared" si="829"/>
        <v>-1</v>
      </c>
      <c r="EI283">
        <f t="shared" si="829"/>
        <v>-1</v>
      </c>
      <c r="EJ283">
        <f t="shared" si="829"/>
        <v>-1</v>
      </c>
      <c r="EK283">
        <f t="shared" si="829"/>
        <v>-1</v>
      </c>
      <c r="EL283">
        <f t="shared" si="829"/>
        <v>-1</v>
      </c>
      <c r="EM283">
        <f t="shared" si="829"/>
        <v>-1</v>
      </c>
      <c r="EN283">
        <f t="shared" si="829"/>
        <v>-1</v>
      </c>
      <c r="EO283">
        <f t="shared" si="829"/>
        <v>-1</v>
      </c>
    </row>
    <row r="284" spans="1:145" x14ac:dyDescent="0.15">
      <c r="A284" t="e">
        <f t="shared" si="772"/>
        <v>#N/A</v>
      </c>
      <c r="B284" s="218">
        <v>276</v>
      </c>
      <c r="C284">
        <f t="shared" si="772"/>
        <v>-1</v>
      </c>
      <c r="D284">
        <f t="shared" ref="D284:BO284" si="830">IF(OR(D283=-1,AND(IF(D$3&lt;$B284,D283+D$6,IF(D$3=$B284,1,""))&gt;$B$1,D$3&lt;$B284)),-1,IF(D$3&lt;$B284,D283+D$6,IF(D$3=$B284,1,"")))</f>
        <v>-1</v>
      </c>
      <c r="E284">
        <f t="shared" si="830"/>
        <v>-1</v>
      </c>
      <c r="F284">
        <f t="shared" si="830"/>
        <v>-1</v>
      </c>
      <c r="G284">
        <f t="shared" si="830"/>
        <v>-1</v>
      </c>
      <c r="H284">
        <f t="shared" si="830"/>
        <v>-1</v>
      </c>
      <c r="I284">
        <f t="shared" si="830"/>
        <v>-1</v>
      </c>
      <c r="J284">
        <f t="shared" si="830"/>
        <v>-1</v>
      </c>
      <c r="K284">
        <f t="shared" si="830"/>
        <v>-1</v>
      </c>
      <c r="L284">
        <f t="shared" si="830"/>
        <v>-1</v>
      </c>
      <c r="M284">
        <f t="shared" si="830"/>
        <v>-1</v>
      </c>
      <c r="N284">
        <f t="shared" si="830"/>
        <v>-1</v>
      </c>
      <c r="O284">
        <f t="shared" si="830"/>
        <v>-1</v>
      </c>
      <c r="P284">
        <f t="shared" si="830"/>
        <v>-1</v>
      </c>
      <c r="Q284">
        <f t="shared" si="830"/>
        <v>-1</v>
      </c>
      <c r="R284">
        <f t="shared" si="830"/>
        <v>-1</v>
      </c>
      <c r="S284">
        <f t="shared" si="830"/>
        <v>-1</v>
      </c>
      <c r="T284">
        <f t="shared" si="830"/>
        <v>-1</v>
      </c>
      <c r="U284">
        <f t="shared" si="830"/>
        <v>-1</v>
      </c>
      <c r="V284">
        <f t="shared" si="830"/>
        <v>-1</v>
      </c>
      <c r="W284">
        <f t="shared" si="830"/>
        <v>-1</v>
      </c>
      <c r="X284">
        <f t="shared" si="830"/>
        <v>-1</v>
      </c>
      <c r="Y284">
        <f t="shared" si="830"/>
        <v>-1</v>
      </c>
      <c r="Z284">
        <f t="shared" si="830"/>
        <v>-1</v>
      </c>
      <c r="AA284">
        <f t="shared" si="830"/>
        <v>-1</v>
      </c>
      <c r="AB284">
        <f t="shared" si="830"/>
        <v>-1</v>
      </c>
      <c r="AC284">
        <f t="shared" si="830"/>
        <v>-1</v>
      </c>
      <c r="AD284">
        <f t="shared" si="830"/>
        <v>-1</v>
      </c>
      <c r="AE284">
        <f t="shared" si="830"/>
        <v>-1</v>
      </c>
      <c r="AF284">
        <f t="shared" si="830"/>
        <v>-1</v>
      </c>
      <c r="AG284">
        <f t="shared" si="830"/>
        <v>-1</v>
      </c>
      <c r="AH284">
        <f t="shared" si="830"/>
        <v>-1</v>
      </c>
      <c r="AI284">
        <f t="shared" si="830"/>
        <v>-1</v>
      </c>
      <c r="AJ284">
        <f t="shared" si="830"/>
        <v>-1</v>
      </c>
      <c r="AK284">
        <f t="shared" si="830"/>
        <v>-1</v>
      </c>
      <c r="AL284">
        <f t="shared" si="830"/>
        <v>-1</v>
      </c>
      <c r="AM284">
        <f t="shared" si="830"/>
        <v>-1</v>
      </c>
      <c r="AN284">
        <f t="shared" si="830"/>
        <v>-1</v>
      </c>
      <c r="AO284">
        <f t="shared" si="830"/>
        <v>-1</v>
      </c>
      <c r="AP284">
        <f t="shared" si="830"/>
        <v>-1</v>
      </c>
      <c r="AQ284">
        <f t="shared" si="830"/>
        <v>-1</v>
      </c>
      <c r="AR284">
        <f t="shared" si="830"/>
        <v>-1</v>
      </c>
      <c r="AS284">
        <f t="shared" si="830"/>
        <v>-1</v>
      </c>
      <c r="AT284">
        <f t="shared" si="830"/>
        <v>-1</v>
      </c>
      <c r="AU284">
        <f t="shared" si="830"/>
        <v>-1</v>
      </c>
      <c r="AV284">
        <f t="shared" si="830"/>
        <v>-1</v>
      </c>
      <c r="AW284">
        <f t="shared" si="830"/>
        <v>-1</v>
      </c>
      <c r="AX284">
        <f t="shared" si="830"/>
        <v>-1</v>
      </c>
      <c r="AY284">
        <f t="shared" si="830"/>
        <v>-1</v>
      </c>
      <c r="AZ284">
        <f t="shared" si="830"/>
        <v>-1</v>
      </c>
      <c r="BA284">
        <f t="shared" si="830"/>
        <v>-1</v>
      </c>
      <c r="BB284">
        <f t="shared" si="830"/>
        <v>-1</v>
      </c>
      <c r="BC284">
        <f t="shared" si="830"/>
        <v>-1</v>
      </c>
      <c r="BD284">
        <f t="shared" si="830"/>
        <v>-1</v>
      </c>
      <c r="BE284">
        <f t="shared" si="830"/>
        <v>-1</v>
      </c>
      <c r="BF284">
        <f t="shared" si="830"/>
        <v>-1</v>
      </c>
      <c r="BG284">
        <f t="shared" si="830"/>
        <v>-1</v>
      </c>
      <c r="BH284">
        <f t="shared" si="830"/>
        <v>-1</v>
      </c>
      <c r="BI284">
        <f t="shared" si="830"/>
        <v>-1</v>
      </c>
      <c r="BJ284">
        <f t="shared" si="830"/>
        <v>-1</v>
      </c>
      <c r="BK284">
        <f t="shared" si="830"/>
        <v>-1</v>
      </c>
      <c r="BL284">
        <f t="shared" si="830"/>
        <v>-1</v>
      </c>
      <c r="BM284">
        <f t="shared" si="830"/>
        <v>-1</v>
      </c>
      <c r="BN284">
        <f t="shared" si="830"/>
        <v>-1</v>
      </c>
      <c r="BO284">
        <f t="shared" si="830"/>
        <v>-1</v>
      </c>
      <c r="BP284">
        <f t="shared" ref="BP284:EA284" si="831">IF(OR(BP283=-1,AND(IF(BP$3&lt;$B284,BP283+BP$6,IF(BP$3=$B284,1,""))&gt;$B$1,BP$3&lt;$B284)),-1,IF(BP$3&lt;$B284,BP283+BP$6,IF(BP$3=$B284,1,"")))</f>
        <v>-1</v>
      </c>
      <c r="BQ284">
        <f t="shared" si="831"/>
        <v>-1</v>
      </c>
      <c r="BR284">
        <f t="shared" si="831"/>
        <v>-1</v>
      </c>
      <c r="BS284">
        <f t="shared" si="831"/>
        <v>-1</v>
      </c>
      <c r="BT284">
        <f t="shared" si="831"/>
        <v>-1</v>
      </c>
      <c r="BU284">
        <f t="shared" si="831"/>
        <v>-1</v>
      </c>
      <c r="BV284">
        <f t="shared" si="831"/>
        <v>-1</v>
      </c>
      <c r="BW284">
        <f t="shared" si="831"/>
        <v>-1</v>
      </c>
      <c r="BX284">
        <f t="shared" si="831"/>
        <v>-1</v>
      </c>
      <c r="BY284">
        <f t="shared" si="831"/>
        <v>-1</v>
      </c>
      <c r="BZ284">
        <f t="shared" si="831"/>
        <v>-1</v>
      </c>
      <c r="CA284">
        <f t="shared" si="831"/>
        <v>-1</v>
      </c>
      <c r="CB284">
        <f t="shared" si="831"/>
        <v>-1</v>
      </c>
      <c r="CC284">
        <f t="shared" si="831"/>
        <v>-1</v>
      </c>
      <c r="CD284">
        <f t="shared" si="831"/>
        <v>-1</v>
      </c>
      <c r="CE284">
        <f t="shared" si="831"/>
        <v>-1</v>
      </c>
      <c r="CF284">
        <f t="shared" si="831"/>
        <v>-1</v>
      </c>
      <c r="CG284">
        <f t="shared" si="831"/>
        <v>-1</v>
      </c>
      <c r="CH284">
        <f t="shared" si="831"/>
        <v>-1</v>
      </c>
      <c r="CI284">
        <f t="shared" si="831"/>
        <v>-1</v>
      </c>
      <c r="CJ284">
        <f t="shared" si="831"/>
        <v>-1</v>
      </c>
      <c r="CK284">
        <f t="shared" si="831"/>
        <v>-1</v>
      </c>
      <c r="CL284">
        <f t="shared" si="831"/>
        <v>-1</v>
      </c>
      <c r="CM284">
        <f t="shared" si="831"/>
        <v>-1</v>
      </c>
      <c r="CN284">
        <f t="shared" si="831"/>
        <v>-1</v>
      </c>
      <c r="CO284">
        <f t="shared" si="831"/>
        <v>-1</v>
      </c>
      <c r="CP284">
        <f t="shared" si="831"/>
        <v>-1</v>
      </c>
      <c r="CQ284">
        <f t="shared" si="831"/>
        <v>-1</v>
      </c>
      <c r="CR284">
        <f t="shared" si="831"/>
        <v>-1</v>
      </c>
      <c r="CS284">
        <f t="shared" si="831"/>
        <v>-1</v>
      </c>
      <c r="CT284">
        <f t="shared" si="831"/>
        <v>-1</v>
      </c>
      <c r="CU284">
        <f t="shared" si="831"/>
        <v>-1</v>
      </c>
      <c r="CV284">
        <f t="shared" si="831"/>
        <v>-1</v>
      </c>
      <c r="CW284">
        <f t="shared" si="831"/>
        <v>-1</v>
      </c>
      <c r="CX284">
        <f t="shared" si="831"/>
        <v>-1</v>
      </c>
      <c r="CY284">
        <f t="shared" si="831"/>
        <v>-1</v>
      </c>
      <c r="CZ284">
        <f t="shared" si="831"/>
        <v>-1</v>
      </c>
      <c r="DA284">
        <f t="shared" si="831"/>
        <v>-1</v>
      </c>
      <c r="DB284">
        <f t="shared" si="831"/>
        <v>-1</v>
      </c>
      <c r="DC284">
        <f t="shared" si="831"/>
        <v>-1</v>
      </c>
      <c r="DD284">
        <f t="shared" si="831"/>
        <v>-1</v>
      </c>
      <c r="DE284">
        <f t="shared" si="831"/>
        <v>-1</v>
      </c>
      <c r="DF284">
        <f t="shared" si="831"/>
        <v>-1</v>
      </c>
      <c r="DG284">
        <f t="shared" si="831"/>
        <v>-1</v>
      </c>
      <c r="DH284">
        <f t="shared" si="831"/>
        <v>-1</v>
      </c>
      <c r="DI284">
        <f t="shared" si="831"/>
        <v>-1</v>
      </c>
      <c r="DJ284">
        <f t="shared" si="831"/>
        <v>-1</v>
      </c>
      <c r="DK284">
        <f t="shared" si="831"/>
        <v>-1</v>
      </c>
      <c r="DL284">
        <f t="shared" si="831"/>
        <v>-1</v>
      </c>
      <c r="DM284">
        <f t="shared" si="831"/>
        <v>-1</v>
      </c>
      <c r="DN284">
        <f t="shared" si="831"/>
        <v>-1</v>
      </c>
      <c r="DO284">
        <f t="shared" si="831"/>
        <v>-1</v>
      </c>
      <c r="DP284">
        <f t="shared" si="831"/>
        <v>-1</v>
      </c>
      <c r="DQ284">
        <f t="shared" si="831"/>
        <v>-1</v>
      </c>
      <c r="DR284">
        <f t="shared" si="831"/>
        <v>-1</v>
      </c>
      <c r="DS284">
        <f t="shared" si="831"/>
        <v>-1</v>
      </c>
      <c r="DT284">
        <f t="shared" si="831"/>
        <v>-1</v>
      </c>
      <c r="DU284">
        <f t="shared" si="831"/>
        <v>-1</v>
      </c>
      <c r="DV284">
        <f t="shared" si="831"/>
        <v>-1</v>
      </c>
      <c r="DW284">
        <f t="shared" si="831"/>
        <v>-1</v>
      </c>
      <c r="DX284">
        <f t="shared" si="831"/>
        <v>-1</v>
      </c>
      <c r="DY284">
        <f t="shared" si="831"/>
        <v>-1</v>
      </c>
      <c r="DZ284">
        <f t="shared" si="831"/>
        <v>-1</v>
      </c>
      <c r="EA284">
        <f t="shared" si="831"/>
        <v>-1</v>
      </c>
      <c r="EB284">
        <f t="shared" ref="EB284:EO284" si="832">IF(OR(EB283=-1,AND(IF(EB$3&lt;$B284,EB283+EB$6,IF(EB$3=$B284,1,""))&gt;$B$1,EB$3&lt;$B284)),-1,IF(EB$3&lt;$B284,EB283+EB$6,IF(EB$3=$B284,1,"")))</f>
        <v>-1</v>
      </c>
      <c r="EC284">
        <f t="shared" si="832"/>
        <v>-1</v>
      </c>
      <c r="ED284">
        <f t="shared" si="832"/>
        <v>-1</v>
      </c>
      <c r="EE284">
        <f t="shared" si="832"/>
        <v>-1</v>
      </c>
      <c r="EF284">
        <f t="shared" si="832"/>
        <v>-1</v>
      </c>
      <c r="EG284">
        <f t="shared" si="832"/>
        <v>-1</v>
      </c>
      <c r="EH284">
        <f t="shared" si="832"/>
        <v>-1</v>
      </c>
      <c r="EI284">
        <f t="shared" si="832"/>
        <v>-1</v>
      </c>
      <c r="EJ284">
        <f t="shared" si="832"/>
        <v>-1</v>
      </c>
      <c r="EK284">
        <f t="shared" si="832"/>
        <v>-1</v>
      </c>
      <c r="EL284">
        <f t="shared" si="832"/>
        <v>-1</v>
      </c>
      <c r="EM284">
        <f t="shared" si="832"/>
        <v>-1</v>
      </c>
      <c r="EN284">
        <f t="shared" si="832"/>
        <v>-1</v>
      </c>
      <c r="EO284">
        <f t="shared" si="832"/>
        <v>-1</v>
      </c>
    </row>
    <row r="285" spans="1:145" x14ac:dyDescent="0.15">
      <c r="A285" t="e">
        <f t="shared" si="772"/>
        <v>#N/A</v>
      </c>
      <c r="B285" s="218">
        <v>277</v>
      </c>
      <c r="C285">
        <f t="shared" si="772"/>
        <v>-1</v>
      </c>
      <c r="D285">
        <f t="shared" ref="D285:BO285" si="833">IF(OR(D284=-1,AND(IF(D$3&lt;$B285,D284+D$6,IF(D$3=$B285,1,""))&gt;$B$1,D$3&lt;$B285)),-1,IF(D$3&lt;$B285,D284+D$6,IF(D$3=$B285,1,"")))</f>
        <v>-1</v>
      </c>
      <c r="E285">
        <f t="shared" si="833"/>
        <v>-1</v>
      </c>
      <c r="F285">
        <f t="shared" si="833"/>
        <v>-1</v>
      </c>
      <c r="G285">
        <f t="shared" si="833"/>
        <v>-1</v>
      </c>
      <c r="H285">
        <f t="shared" si="833"/>
        <v>-1</v>
      </c>
      <c r="I285">
        <f t="shared" si="833"/>
        <v>-1</v>
      </c>
      <c r="J285">
        <f t="shared" si="833"/>
        <v>-1</v>
      </c>
      <c r="K285">
        <f t="shared" si="833"/>
        <v>-1</v>
      </c>
      <c r="L285">
        <f t="shared" si="833"/>
        <v>-1</v>
      </c>
      <c r="M285">
        <f t="shared" si="833"/>
        <v>-1</v>
      </c>
      <c r="N285">
        <f t="shared" si="833"/>
        <v>-1</v>
      </c>
      <c r="O285">
        <f t="shared" si="833"/>
        <v>-1</v>
      </c>
      <c r="P285">
        <f t="shared" si="833"/>
        <v>-1</v>
      </c>
      <c r="Q285">
        <f t="shared" si="833"/>
        <v>-1</v>
      </c>
      <c r="R285">
        <f t="shared" si="833"/>
        <v>-1</v>
      </c>
      <c r="S285">
        <f t="shared" si="833"/>
        <v>-1</v>
      </c>
      <c r="T285">
        <f t="shared" si="833"/>
        <v>-1</v>
      </c>
      <c r="U285">
        <f t="shared" si="833"/>
        <v>-1</v>
      </c>
      <c r="V285">
        <f t="shared" si="833"/>
        <v>-1</v>
      </c>
      <c r="W285">
        <f t="shared" si="833"/>
        <v>-1</v>
      </c>
      <c r="X285">
        <f t="shared" si="833"/>
        <v>-1</v>
      </c>
      <c r="Y285">
        <f t="shared" si="833"/>
        <v>-1</v>
      </c>
      <c r="Z285">
        <f t="shared" si="833"/>
        <v>-1</v>
      </c>
      <c r="AA285">
        <f t="shared" si="833"/>
        <v>-1</v>
      </c>
      <c r="AB285">
        <f t="shared" si="833"/>
        <v>-1</v>
      </c>
      <c r="AC285">
        <f t="shared" si="833"/>
        <v>-1</v>
      </c>
      <c r="AD285">
        <f t="shared" si="833"/>
        <v>-1</v>
      </c>
      <c r="AE285">
        <f t="shared" si="833"/>
        <v>-1</v>
      </c>
      <c r="AF285">
        <f t="shared" si="833"/>
        <v>-1</v>
      </c>
      <c r="AG285">
        <f t="shared" si="833"/>
        <v>-1</v>
      </c>
      <c r="AH285">
        <f t="shared" si="833"/>
        <v>-1</v>
      </c>
      <c r="AI285">
        <f t="shared" si="833"/>
        <v>-1</v>
      </c>
      <c r="AJ285">
        <f t="shared" si="833"/>
        <v>-1</v>
      </c>
      <c r="AK285">
        <f t="shared" si="833"/>
        <v>-1</v>
      </c>
      <c r="AL285">
        <f t="shared" si="833"/>
        <v>-1</v>
      </c>
      <c r="AM285">
        <f t="shared" si="833"/>
        <v>-1</v>
      </c>
      <c r="AN285">
        <f t="shared" si="833"/>
        <v>-1</v>
      </c>
      <c r="AO285">
        <f t="shared" si="833"/>
        <v>-1</v>
      </c>
      <c r="AP285">
        <f t="shared" si="833"/>
        <v>-1</v>
      </c>
      <c r="AQ285">
        <f t="shared" si="833"/>
        <v>-1</v>
      </c>
      <c r="AR285">
        <f t="shared" si="833"/>
        <v>-1</v>
      </c>
      <c r="AS285">
        <f t="shared" si="833"/>
        <v>-1</v>
      </c>
      <c r="AT285">
        <f t="shared" si="833"/>
        <v>-1</v>
      </c>
      <c r="AU285">
        <f t="shared" si="833"/>
        <v>-1</v>
      </c>
      <c r="AV285">
        <f t="shared" si="833"/>
        <v>-1</v>
      </c>
      <c r="AW285">
        <f t="shared" si="833"/>
        <v>-1</v>
      </c>
      <c r="AX285">
        <f t="shared" si="833"/>
        <v>-1</v>
      </c>
      <c r="AY285">
        <f t="shared" si="833"/>
        <v>-1</v>
      </c>
      <c r="AZ285">
        <f t="shared" si="833"/>
        <v>-1</v>
      </c>
      <c r="BA285">
        <f t="shared" si="833"/>
        <v>-1</v>
      </c>
      <c r="BB285">
        <f t="shared" si="833"/>
        <v>-1</v>
      </c>
      <c r="BC285">
        <f t="shared" si="833"/>
        <v>-1</v>
      </c>
      <c r="BD285">
        <f t="shared" si="833"/>
        <v>-1</v>
      </c>
      <c r="BE285">
        <f t="shared" si="833"/>
        <v>-1</v>
      </c>
      <c r="BF285">
        <f t="shared" si="833"/>
        <v>-1</v>
      </c>
      <c r="BG285">
        <f t="shared" si="833"/>
        <v>-1</v>
      </c>
      <c r="BH285">
        <f t="shared" si="833"/>
        <v>-1</v>
      </c>
      <c r="BI285">
        <f t="shared" si="833"/>
        <v>-1</v>
      </c>
      <c r="BJ285">
        <f t="shared" si="833"/>
        <v>-1</v>
      </c>
      <c r="BK285">
        <f t="shared" si="833"/>
        <v>-1</v>
      </c>
      <c r="BL285">
        <f t="shared" si="833"/>
        <v>-1</v>
      </c>
      <c r="BM285">
        <f t="shared" si="833"/>
        <v>-1</v>
      </c>
      <c r="BN285">
        <f t="shared" si="833"/>
        <v>-1</v>
      </c>
      <c r="BO285">
        <f t="shared" si="833"/>
        <v>-1</v>
      </c>
      <c r="BP285">
        <f t="shared" ref="BP285:EA285" si="834">IF(OR(BP284=-1,AND(IF(BP$3&lt;$B285,BP284+BP$6,IF(BP$3=$B285,1,""))&gt;$B$1,BP$3&lt;$B285)),-1,IF(BP$3&lt;$B285,BP284+BP$6,IF(BP$3=$B285,1,"")))</f>
        <v>-1</v>
      </c>
      <c r="BQ285">
        <f t="shared" si="834"/>
        <v>-1</v>
      </c>
      <c r="BR285">
        <f t="shared" si="834"/>
        <v>-1</v>
      </c>
      <c r="BS285">
        <f t="shared" si="834"/>
        <v>-1</v>
      </c>
      <c r="BT285">
        <f t="shared" si="834"/>
        <v>-1</v>
      </c>
      <c r="BU285">
        <f t="shared" si="834"/>
        <v>-1</v>
      </c>
      <c r="BV285">
        <f t="shared" si="834"/>
        <v>-1</v>
      </c>
      <c r="BW285">
        <f t="shared" si="834"/>
        <v>-1</v>
      </c>
      <c r="BX285">
        <f t="shared" si="834"/>
        <v>-1</v>
      </c>
      <c r="BY285">
        <f t="shared" si="834"/>
        <v>-1</v>
      </c>
      <c r="BZ285">
        <f t="shared" si="834"/>
        <v>-1</v>
      </c>
      <c r="CA285">
        <f t="shared" si="834"/>
        <v>-1</v>
      </c>
      <c r="CB285">
        <f t="shared" si="834"/>
        <v>-1</v>
      </c>
      <c r="CC285">
        <f t="shared" si="834"/>
        <v>-1</v>
      </c>
      <c r="CD285">
        <f t="shared" si="834"/>
        <v>-1</v>
      </c>
      <c r="CE285">
        <f t="shared" si="834"/>
        <v>-1</v>
      </c>
      <c r="CF285">
        <f t="shared" si="834"/>
        <v>-1</v>
      </c>
      <c r="CG285">
        <f t="shared" si="834"/>
        <v>-1</v>
      </c>
      <c r="CH285">
        <f t="shared" si="834"/>
        <v>-1</v>
      </c>
      <c r="CI285">
        <f t="shared" si="834"/>
        <v>-1</v>
      </c>
      <c r="CJ285">
        <f t="shared" si="834"/>
        <v>-1</v>
      </c>
      <c r="CK285">
        <f t="shared" si="834"/>
        <v>-1</v>
      </c>
      <c r="CL285">
        <f t="shared" si="834"/>
        <v>-1</v>
      </c>
      <c r="CM285">
        <f t="shared" si="834"/>
        <v>-1</v>
      </c>
      <c r="CN285">
        <f t="shared" si="834"/>
        <v>-1</v>
      </c>
      <c r="CO285">
        <f t="shared" si="834"/>
        <v>-1</v>
      </c>
      <c r="CP285">
        <f t="shared" si="834"/>
        <v>-1</v>
      </c>
      <c r="CQ285">
        <f t="shared" si="834"/>
        <v>-1</v>
      </c>
      <c r="CR285">
        <f t="shared" si="834"/>
        <v>-1</v>
      </c>
      <c r="CS285">
        <f t="shared" si="834"/>
        <v>-1</v>
      </c>
      <c r="CT285">
        <f t="shared" si="834"/>
        <v>-1</v>
      </c>
      <c r="CU285">
        <f t="shared" si="834"/>
        <v>-1</v>
      </c>
      <c r="CV285">
        <f t="shared" si="834"/>
        <v>-1</v>
      </c>
      <c r="CW285">
        <f t="shared" si="834"/>
        <v>-1</v>
      </c>
      <c r="CX285">
        <f t="shared" si="834"/>
        <v>-1</v>
      </c>
      <c r="CY285">
        <f t="shared" si="834"/>
        <v>-1</v>
      </c>
      <c r="CZ285">
        <f t="shared" si="834"/>
        <v>-1</v>
      </c>
      <c r="DA285">
        <f t="shared" si="834"/>
        <v>-1</v>
      </c>
      <c r="DB285">
        <f t="shared" si="834"/>
        <v>-1</v>
      </c>
      <c r="DC285">
        <f t="shared" si="834"/>
        <v>-1</v>
      </c>
      <c r="DD285">
        <f t="shared" si="834"/>
        <v>-1</v>
      </c>
      <c r="DE285">
        <f t="shared" si="834"/>
        <v>-1</v>
      </c>
      <c r="DF285">
        <f t="shared" si="834"/>
        <v>-1</v>
      </c>
      <c r="DG285">
        <f t="shared" si="834"/>
        <v>-1</v>
      </c>
      <c r="DH285">
        <f t="shared" si="834"/>
        <v>-1</v>
      </c>
      <c r="DI285">
        <f t="shared" si="834"/>
        <v>-1</v>
      </c>
      <c r="DJ285">
        <f t="shared" si="834"/>
        <v>-1</v>
      </c>
      <c r="DK285">
        <f t="shared" si="834"/>
        <v>-1</v>
      </c>
      <c r="DL285">
        <f t="shared" si="834"/>
        <v>-1</v>
      </c>
      <c r="DM285">
        <f t="shared" si="834"/>
        <v>-1</v>
      </c>
      <c r="DN285">
        <f t="shared" si="834"/>
        <v>-1</v>
      </c>
      <c r="DO285">
        <f t="shared" si="834"/>
        <v>-1</v>
      </c>
      <c r="DP285">
        <f t="shared" si="834"/>
        <v>-1</v>
      </c>
      <c r="DQ285">
        <f t="shared" si="834"/>
        <v>-1</v>
      </c>
      <c r="DR285">
        <f t="shared" si="834"/>
        <v>-1</v>
      </c>
      <c r="DS285">
        <f t="shared" si="834"/>
        <v>-1</v>
      </c>
      <c r="DT285">
        <f t="shared" si="834"/>
        <v>-1</v>
      </c>
      <c r="DU285">
        <f t="shared" si="834"/>
        <v>-1</v>
      </c>
      <c r="DV285">
        <f t="shared" si="834"/>
        <v>-1</v>
      </c>
      <c r="DW285">
        <f t="shared" si="834"/>
        <v>-1</v>
      </c>
      <c r="DX285">
        <f t="shared" si="834"/>
        <v>-1</v>
      </c>
      <c r="DY285">
        <f t="shared" si="834"/>
        <v>-1</v>
      </c>
      <c r="DZ285">
        <f t="shared" si="834"/>
        <v>-1</v>
      </c>
      <c r="EA285">
        <f t="shared" si="834"/>
        <v>-1</v>
      </c>
      <c r="EB285">
        <f t="shared" ref="EB285:EO285" si="835">IF(OR(EB284=-1,AND(IF(EB$3&lt;$B285,EB284+EB$6,IF(EB$3=$B285,1,""))&gt;$B$1,EB$3&lt;$B285)),-1,IF(EB$3&lt;$B285,EB284+EB$6,IF(EB$3=$B285,1,"")))</f>
        <v>-1</v>
      </c>
      <c r="EC285">
        <f t="shared" si="835"/>
        <v>-1</v>
      </c>
      <c r="ED285">
        <f t="shared" si="835"/>
        <v>-1</v>
      </c>
      <c r="EE285">
        <f t="shared" si="835"/>
        <v>-1</v>
      </c>
      <c r="EF285">
        <f t="shared" si="835"/>
        <v>-1</v>
      </c>
      <c r="EG285">
        <f t="shared" si="835"/>
        <v>-1</v>
      </c>
      <c r="EH285">
        <f t="shared" si="835"/>
        <v>-1</v>
      </c>
      <c r="EI285">
        <f t="shared" si="835"/>
        <v>-1</v>
      </c>
      <c r="EJ285">
        <f t="shared" si="835"/>
        <v>-1</v>
      </c>
      <c r="EK285">
        <f t="shared" si="835"/>
        <v>-1</v>
      </c>
      <c r="EL285">
        <f t="shared" si="835"/>
        <v>-1</v>
      </c>
      <c r="EM285">
        <f t="shared" si="835"/>
        <v>-1</v>
      </c>
      <c r="EN285">
        <f t="shared" si="835"/>
        <v>-1</v>
      </c>
      <c r="EO285">
        <f t="shared" si="835"/>
        <v>-1</v>
      </c>
    </row>
    <row r="286" spans="1:145" x14ac:dyDescent="0.15">
      <c r="A286" t="e">
        <f t="shared" si="772"/>
        <v>#N/A</v>
      </c>
      <c r="B286" s="218">
        <v>278</v>
      </c>
      <c r="C286">
        <f t="shared" si="772"/>
        <v>-1</v>
      </c>
      <c r="D286">
        <f t="shared" ref="D286:BO286" si="836">IF(OR(D285=-1,AND(IF(D$3&lt;$B286,D285+D$6,IF(D$3=$B286,1,""))&gt;$B$1,D$3&lt;$B286)),-1,IF(D$3&lt;$B286,D285+D$6,IF(D$3=$B286,1,"")))</f>
        <v>-1</v>
      </c>
      <c r="E286">
        <f t="shared" si="836"/>
        <v>-1</v>
      </c>
      <c r="F286">
        <f t="shared" si="836"/>
        <v>-1</v>
      </c>
      <c r="G286">
        <f t="shared" si="836"/>
        <v>-1</v>
      </c>
      <c r="H286">
        <f t="shared" si="836"/>
        <v>-1</v>
      </c>
      <c r="I286">
        <f t="shared" si="836"/>
        <v>-1</v>
      </c>
      <c r="J286">
        <f t="shared" si="836"/>
        <v>-1</v>
      </c>
      <c r="K286">
        <f t="shared" si="836"/>
        <v>-1</v>
      </c>
      <c r="L286">
        <f t="shared" si="836"/>
        <v>-1</v>
      </c>
      <c r="M286">
        <f t="shared" si="836"/>
        <v>-1</v>
      </c>
      <c r="N286">
        <f t="shared" si="836"/>
        <v>-1</v>
      </c>
      <c r="O286">
        <f t="shared" si="836"/>
        <v>-1</v>
      </c>
      <c r="P286">
        <f t="shared" si="836"/>
        <v>-1</v>
      </c>
      <c r="Q286">
        <f t="shared" si="836"/>
        <v>-1</v>
      </c>
      <c r="R286">
        <f t="shared" si="836"/>
        <v>-1</v>
      </c>
      <c r="S286">
        <f t="shared" si="836"/>
        <v>-1</v>
      </c>
      <c r="T286">
        <f t="shared" si="836"/>
        <v>-1</v>
      </c>
      <c r="U286">
        <f t="shared" si="836"/>
        <v>-1</v>
      </c>
      <c r="V286">
        <f t="shared" si="836"/>
        <v>-1</v>
      </c>
      <c r="W286">
        <f t="shared" si="836"/>
        <v>-1</v>
      </c>
      <c r="X286">
        <f t="shared" si="836"/>
        <v>-1</v>
      </c>
      <c r="Y286">
        <f t="shared" si="836"/>
        <v>-1</v>
      </c>
      <c r="Z286">
        <f t="shared" si="836"/>
        <v>-1</v>
      </c>
      <c r="AA286">
        <f t="shared" si="836"/>
        <v>-1</v>
      </c>
      <c r="AB286">
        <f t="shared" si="836"/>
        <v>-1</v>
      </c>
      <c r="AC286">
        <f t="shared" si="836"/>
        <v>-1</v>
      </c>
      <c r="AD286">
        <f t="shared" si="836"/>
        <v>-1</v>
      </c>
      <c r="AE286">
        <f t="shared" si="836"/>
        <v>-1</v>
      </c>
      <c r="AF286">
        <f t="shared" si="836"/>
        <v>-1</v>
      </c>
      <c r="AG286">
        <f t="shared" si="836"/>
        <v>-1</v>
      </c>
      <c r="AH286">
        <f t="shared" si="836"/>
        <v>-1</v>
      </c>
      <c r="AI286">
        <f t="shared" si="836"/>
        <v>-1</v>
      </c>
      <c r="AJ286">
        <f t="shared" si="836"/>
        <v>-1</v>
      </c>
      <c r="AK286">
        <f t="shared" si="836"/>
        <v>-1</v>
      </c>
      <c r="AL286">
        <f t="shared" si="836"/>
        <v>-1</v>
      </c>
      <c r="AM286">
        <f t="shared" si="836"/>
        <v>-1</v>
      </c>
      <c r="AN286">
        <f t="shared" si="836"/>
        <v>-1</v>
      </c>
      <c r="AO286">
        <f t="shared" si="836"/>
        <v>-1</v>
      </c>
      <c r="AP286">
        <f t="shared" si="836"/>
        <v>-1</v>
      </c>
      <c r="AQ286">
        <f t="shared" si="836"/>
        <v>-1</v>
      </c>
      <c r="AR286">
        <f t="shared" si="836"/>
        <v>-1</v>
      </c>
      <c r="AS286">
        <f t="shared" si="836"/>
        <v>-1</v>
      </c>
      <c r="AT286">
        <f t="shared" si="836"/>
        <v>-1</v>
      </c>
      <c r="AU286">
        <f t="shared" si="836"/>
        <v>-1</v>
      </c>
      <c r="AV286">
        <f t="shared" si="836"/>
        <v>-1</v>
      </c>
      <c r="AW286">
        <f t="shared" si="836"/>
        <v>-1</v>
      </c>
      <c r="AX286">
        <f t="shared" si="836"/>
        <v>-1</v>
      </c>
      <c r="AY286">
        <f t="shared" si="836"/>
        <v>-1</v>
      </c>
      <c r="AZ286">
        <f t="shared" si="836"/>
        <v>-1</v>
      </c>
      <c r="BA286">
        <f t="shared" si="836"/>
        <v>-1</v>
      </c>
      <c r="BB286">
        <f t="shared" si="836"/>
        <v>-1</v>
      </c>
      <c r="BC286">
        <f t="shared" si="836"/>
        <v>-1</v>
      </c>
      <c r="BD286">
        <f t="shared" si="836"/>
        <v>-1</v>
      </c>
      <c r="BE286">
        <f t="shared" si="836"/>
        <v>-1</v>
      </c>
      <c r="BF286">
        <f t="shared" si="836"/>
        <v>-1</v>
      </c>
      <c r="BG286">
        <f t="shared" si="836"/>
        <v>-1</v>
      </c>
      <c r="BH286">
        <f t="shared" si="836"/>
        <v>-1</v>
      </c>
      <c r="BI286">
        <f t="shared" si="836"/>
        <v>-1</v>
      </c>
      <c r="BJ286">
        <f t="shared" si="836"/>
        <v>-1</v>
      </c>
      <c r="BK286">
        <f t="shared" si="836"/>
        <v>-1</v>
      </c>
      <c r="BL286">
        <f t="shared" si="836"/>
        <v>-1</v>
      </c>
      <c r="BM286">
        <f t="shared" si="836"/>
        <v>-1</v>
      </c>
      <c r="BN286">
        <f t="shared" si="836"/>
        <v>-1</v>
      </c>
      <c r="BO286">
        <f t="shared" si="836"/>
        <v>-1</v>
      </c>
      <c r="BP286">
        <f t="shared" ref="BP286:EA286" si="837">IF(OR(BP285=-1,AND(IF(BP$3&lt;$B286,BP285+BP$6,IF(BP$3=$B286,1,""))&gt;$B$1,BP$3&lt;$B286)),-1,IF(BP$3&lt;$B286,BP285+BP$6,IF(BP$3=$B286,1,"")))</f>
        <v>-1</v>
      </c>
      <c r="BQ286">
        <f t="shared" si="837"/>
        <v>-1</v>
      </c>
      <c r="BR286">
        <f t="shared" si="837"/>
        <v>-1</v>
      </c>
      <c r="BS286">
        <f t="shared" si="837"/>
        <v>-1</v>
      </c>
      <c r="BT286">
        <f t="shared" si="837"/>
        <v>-1</v>
      </c>
      <c r="BU286">
        <f t="shared" si="837"/>
        <v>-1</v>
      </c>
      <c r="BV286">
        <f t="shared" si="837"/>
        <v>-1</v>
      </c>
      <c r="BW286">
        <f t="shared" si="837"/>
        <v>-1</v>
      </c>
      <c r="BX286">
        <f t="shared" si="837"/>
        <v>-1</v>
      </c>
      <c r="BY286">
        <f t="shared" si="837"/>
        <v>-1</v>
      </c>
      <c r="BZ286">
        <f t="shared" si="837"/>
        <v>-1</v>
      </c>
      <c r="CA286">
        <f t="shared" si="837"/>
        <v>-1</v>
      </c>
      <c r="CB286">
        <f t="shared" si="837"/>
        <v>-1</v>
      </c>
      <c r="CC286">
        <f t="shared" si="837"/>
        <v>-1</v>
      </c>
      <c r="CD286">
        <f t="shared" si="837"/>
        <v>-1</v>
      </c>
      <c r="CE286">
        <f t="shared" si="837"/>
        <v>-1</v>
      </c>
      <c r="CF286">
        <f t="shared" si="837"/>
        <v>-1</v>
      </c>
      <c r="CG286">
        <f t="shared" si="837"/>
        <v>-1</v>
      </c>
      <c r="CH286">
        <f t="shared" si="837"/>
        <v>-1</v>
      </c>
      <c r="CI286">
        <f t="shared" si="837"/>
        <v>-1</v>
      </c>
      <c r="CJ286">
        <f t="shared" si="837"/>
        <v>-1</v>
      </c>
      <c r="CK286">
        <f t="shared" si="837"/>
        <v>-1</v>
      </c>
      <c r="CL286">
        <f t="shared" si="837"/>
        <v>-1</v>
      </c>
      <c r="CM286">
        <f t="shared" si="837"/>
        <v>-1</v>
      </c>
      <c r="CN286">
        <f t="shared" si="837"/>
        <v>-1</v>
      </c>
      <c r="CO286">
        <f t="shared" si="837"/>
        <v>-1</v>
      </c>
      <c r="CP286">
        <f t="shared" si="837"/>
        <v>-1</v>
      </c>
      <c r="CQ286">
        <f t="shared" si="837"/>
        <v>-1</v>
      </c>
      <c r="CR286">
        <f t="shared" si="837"/>
        <v>-1</v>
      </c>
      <c r="CS286">
        <f t="shared" si="837"/>
        <v>-1</v>
      </c>
      <c r="CT286">
        <f t="shared" si="837"/>
        <v>-1</v>
      </c>
      <c r="CU286">
        <f t="shared" si="837"/>
        <v>-1</v>
      </c>
      <c r="CV286">
        <f t="shared" si="837"/>
        <v>-1</v>
      </c>
      <c r="CW286">
        <f t="shared" si="837"/>
        <v>-1</v>
      </c>
      <c r="CX286">
        <f t="shared" si="837"/>
        <v>-1</v>
      </c>
      <c r="CY286">
        <f t="shared" si="837"/>
        <v>-1</v>
      </c>
      <c r="CZ286">
        <f t="shared" si="837"/>
        <v>-1</v>
      </c>
      <c r="DA286">
        <f t="shared" si="837"/>
        <v>-1</v>
      </c>
      <c r="DB286">
        <f t="shared" si="837"/>
        <v>-1</v>
      </c>
      <c r="DC286">
        <f t="shared" si="837"/>
        <v>-1</v>
      </c>
      <c r="DD286">
        <f t="shared" si="837"/>
        <v>-1</v>
      </c>
      <c r="DE286">
        <f t="shared" si="837"/>
        <v>-1</v>
      </c>
      <c r="DF286">
        <f t="shared" si="837"/>
        <v>-1</v>
      </c>
      <c r="DG286">
        <f t="shared" si="837"/>
        <v>-1</v>
      </c>
      <c r="DH286">
        <f t="shared" si="837"/>
        <v>-1</v>
      </c>
      <c r="DI286">
        <f t="shared" si="837"/>
        <v>-1</v>
      </c>
      <c r="DJ286">
        <f t="shared" si="837"/>
        <v>-1</v>
      </c>
      <c r="DK286">
        <f t="shared" si="837"/>
        <v>-1</v>
      </c>
      <c r="DL286">
        <f t="shared" si="837"/>
        <v>-1</v>
      </c>
      <c r="DM286">
        <f t="shared" si="837"/>
        <v>-1</v>
      </c>
      <c r="DN286">
        <f t="shared" si="837"/>
        <v>-1</v>
      </c>
      <c r="DO286">
        <f t="shared" si="837"/>
        <v>-1</v>
      </c>
      <c r="DP286">
        <f t="shared" si="837"/>
        <v>-1</v>
      </c>
      <c r="DQ286">
        <f t="shared" si="837"/>
        <v>-1</v>
      </c>
      <c r="DR286">
        <f t="shared" si="837"/>
        <v>-1</v>
      </c>
      <c r="DS286">
        <f t="shared" si="837"/>
        <v>-1</v>
      </c>
      <c r="DT286">
        <f t="shared" si="837"/>
        <v>-1</v>
      </c>
      <c r="DU286">
        <f t="shared" si="837"/>
        <v>-1</v>
      </c>
      <c r="DV286">
        <f t="shared" si="837"/>
        <v>-1</v>
      </c>
      <c r="DW286">
        <f t="shared" si="837"/>
        <v>-1</v>
      </c>
      <c r="DX286">
        <f t="shared" si="837"/>
        <v>-1</v>
      </c>
      <c r="DY286">
        <f t="shared" si="837"/>
        <v>-1</v>
      </c>
      <c r="DZ286">
        <f t="shared" si="837"/>
        <v>-1</v>
      </c>
      <c r="EA286">
        <f t="shared" si="837"/>
        <v>-1</v>
      </c>
      <c r="EB286">
        <f t="shared" ref="EB286:EO286" si="838">IF(OR(EB285=-1,AND(IF(EB$3&lt;$B286,EB285+EB$6,IF(EB$3=$B286,1,""))&gt;$B$1,EB$3&lt;$B286)),-1,IF(EB$3&lt;$B286,EB285+EB$6,IF(EB$3=$B286,1,"")))</f>
        <v>-1</v>
      </c>
      <c r="EC286">
        <f t="shared" si="838"/>
        <v>-1</v>
      </c>
      <c r="ED286">
        <f t="shared" si="838"/>
        <v>-1</v>
      </c>
      <c r="EE286">
        <f t="shared" si="838"/>
        <v>-1</v>
      </c>
      <c r="EF286">
        <f t="shared" si="838"/>
        <v>-1</v>
      </c>
      <c r="EG286">
        <f t="shared" si="838"/>
        <v>-1</v>
      </c>
      <c r="EH286">
        <f t="shared" si="838"/>
        <v>-1</v>
      </c>
      <c r="EI286">
        <f t="shared" si="838"/>
        <v>-1</v>
      </c>
      <c r="EJ286">
        <f t="shared" si="838"/>
        <v>-1</v>
      </c>
      <c r="EK286">
        <f t="shared" si="838"/>
        <v>-1</v>
      </c>
      <c r="EL286">
        <f t="shared" si="838"/>
        <v>-1</v>
      </c>
      <c r="EM286">
        <f t="shared" si="838"/>
        <v>-1</v>
      </c>
      <c r="EN286">
        <f t="shared" si="838"/>
        <v>-1</v>
      </c>
      <c r="EO286">
        <f t="shared" si="838"/>
        <v>-1</v>
      </c>
    </row>
    <row r="287" spans="1:145" x14ac:dyDescent="0.15">
      <c r="A287" t="e">
        <f t="shared" si="772"/>
        <v>#N/A</v>
      </c>
      <c r="B287" s="218">
        <v>279</v>
      </c>
      <c r="C287">
        <f t="shared" si="772"/>
        <v>-1</v>
      </c>
      <c r="D287">
        <f t="shared" ref="D287:BO287" si="839">IF(OR(D286=-1,AND(IF(D$3&lt;$B287,D286+D$6,IF(D$3=$B287,1,""))&gt;$B$1,D$3&lt;$B287)),-1,IF(D$3&lt;$B287,D286+D$6,IF(D$3=$B287,1,"")))</f>
        <v>-1</v>
      </c>
      <c r="E287">
        <f t="shared" si="839"/>
        <v>-1</v>
      </c>
      <c r="F287">
        <f t="shared" si="839"/>
        <v>-1</v>
      </c>
      <c r="G287">
        <f t="shared" si="839"/>
        <v>-1</v>
      </c>
      <c r="H287">
        <f t="shared" si="839"/>
        <v>-1</v>
      </c>
      <c r="I287">
        <f t="shared" si="839"/>
        <v>-1</v>
      </c>
      <c r="J287">
        <f t="shared" si="839"/>
        <v>-1</v>
      </c>
      <c r="K287">
        <f t="shared" si="839"/>
        <v>-1</v>
      </c>
      <c r="L287">
        <f t="shared" si="839"/>
        <v>-1</v>
      </c>
      <c r="M287">
        <f t="shared" si="839"/>
        <v>-1</v>
      </c>
      <c r="N287">
        <f t="shared" si="839"/>
        <v>-1</v>
      </c>
      <c r="O287">
        <f t="shared" si="839"/>
        <v>-1</v>
      </c>
      <c r="P287">
        <f t="shared" si="839"/>
        <v>-1</v>
      </c>
      <c r="Q287">
        <f t="shared" si="839"/>
        <v>-1</v>
      </c>
      <c r="R287">
        <f t="shared" si="839"/>
        <v>-1</v>
      </c>
      <c r="S287">
        <f t="shared" si="839"/>
        <v>-1</v>
      </c>
      <c r="T287">
        <f t="shared" si="839"/>
        <v>-1</v>
      </c>
      <c r="U287">
        <f t="shared" si="839"/>
        <v>-1</v>
      </c>
      <c r="V287">
        <f t="shared" si="839"/>
        <v>-1</v>
      </c>
      <c r="W287">
        <f t="shared" si="839"/>
        <v>-1</v>
      </c>
      <c r="X287">
        <f t="shared" si="839"/>
        <v>-1</v>
      </c>
      <c r="Y287">
        <f t="shared" si="839"/>
        <v>-1</v>
      </c>
      <c r="Z287">
        <f t="shared" si="839"/>
        <v>-1</v>
      </c>
      <c r="AA287">
        <f t="shared" si="839"/>
        <v>-1</v>
      </c>
      <c r="AB287">
        <f t="shared" si="839"/>
        <v>-1</v>
      </c>
      <c r="AC287">
        <f t="shared" si="839"/>
        <v>-1</v>
      </c>
      <c r="AD287">
        <f t="shared" si="839"/>
        <v>-1</v>
      </c>
      <c r="AE287">
        <f t="shared" si="839"/>
        <v>-1</v>
      </c>
      <c r="AF287">
        <f t="shared" si="839"/>
        <v>-1</v>
      </c>
      <c r="AG287">
        <f t="shared" si="839"/>
        <v>-1</v>
      </c>
      <c r="AH287">
        <f t="shared" si="839"/>
        <v>-1</v>
      </c>
      <c r="AI287">
        <f t="shared" si="839"/>
        <v>-1</v>
      </c>
      <c r="AJ287">
        <f t="shared" si="839"/>
        <v>-1</v>
      </c>
      <c r="AK287">
        <f t="shared" si="839"/>
        <v>-1</v>
      </c>
      <c r="AL287">
        <f t="shared" si="839"/>
        <v>-1</v>
      </c>
      <c r="AM287">
        <f t="shared" si="839"/>
        <v>-1</v>
      </c>
      <c r="AN287">
        <f t="shared" si="839"/>
        <v>-1</v>
      </c>
      <c r="AO287">
        <f t="shared" si="839"/>
        <v>-1</v>
      </c>
      <c r="AP287">
        <f t="shared" si="839"/>
        <v>-1</v>
      </c>
      <c r="AQ287">
        <f t="shared" si="839"/>
        <v>-1</v>
      </c>
      <c r="AR287">
        <f t="shared" si="839"/>
        <v>-1</v>
      </c>
      <c r="AS287">
        <f t="shared" si="839"/>
        <v>-1</v>
      </c>
      <c r="AT287">
        <f t="shared" si="839"/>
        <v>-1</v>
      </c>
      <c r="AU287">
        <f t="shared" si="839"/>
        <v>-1</v>
      </c>
      <c r="AV287">
        <f t="shared" si="839"/>
        <v>-1</v>
      </c>
      <c r="AW287">
        <f t="shared" si="839"/>
        <v>-1</v>
      </c>
      <c r="AX287">
        <f t="shared" si="839"/>
        <v>-1</v>
      </c>
      <c r="AY287">
        <f t="shared" si="839"/>
        <v>-1</v>
      </c>
      <c r="AZ287">
        <f t="shared" si="839"/>
        <v>-1</v>
      </c>
      <c r="BA287">
        <f t="shared" si="839"/>
        <v>-1</v>
      </c>
      <c r="BB287">
        <f t="shared" si="839"/>
        <v>-1</v>
      </c>
      <c r="BC287">
        <f t="shared" si="839"/>
        <v>-1</v>
      </c>
      <c r="BD287">
        <f t="shared" si="839"/>
        <v>-1</v>
      </c>
      <c r="BE287">
        <f t="shared" si="839"/>
        <v>-1</v>
      </c>
      <c r="BF287">
        <f t="shared" si="839"/>
        <v>-1</v>
      </c>
      <c r="BG287">
        <f t="shared" si="839"/>
        <v>-1</v>
      </c>
      <c r="BH287">
        <f t="shared" si="839"/>
        <v>-1</v>
      </c>
      <c r="BI287">
        <f t="shared" si="839"/>
        <v>-1</v>
      </c>
      <c r="BJ287">
        <f t="shared" si="839"/>
        <v>-1</v>
      </c>
      <c r="BK287">
        <f t="shared" si="839"/>
        <v>-1</v>
      </c>
      <c r="BL287">
        <f t="shared" si="839"/>
        <v>-1</v>
      </c>
      <c r="BM287">
        <f t="shared" si="839"/>
        <v>-1</v>
      </c>
      <c r="BN287">
        <f t="shared" si="839"/>
        <v>-1</v>
      </c>
      <c r="BO287">
        <f t="shared" si="839"/>
        <v>-1</v>
      </c>
      <c r="BP287">
        <f t="shared" ref="BP287:EA287" si="840">IF(OR(BP286=-1,AND(IF(BP$3&lt;$B287,BP286+BP$6,IF(BP$3=$B287,1,""))&gt;$B$1,BP$3&lt;$B287)),-1,IF(BP$3&lt;$B287,BP286+BP$6,IF(BP$3=$B287,1,"")))</f>
        <v>-1</v>
      </c>
      <c r="BQ287">
        <f t="shared" si="840"/>
        <v>-1</v>
      </c>
      <c r="BR287">
        <f t="shared" si="840"/>
        <v>-1</v>
      </c>
      <c r="BS287">
        <f t="shared" si="840"/>
        <v>-1</v>
      </c>
      <c r="BT287">
        <f t="shared" si="840"/>
        <v>-1</v>
      </c>
      <c r="BU287">
        <f t="shared" si="840"/>
        <v>-1</v>
      </c>
      <c r="BV287">
        <f t="shared" si="840"/>
        <v>-1</v>
      </c>
      <c r="BW287">
        <f t="shared" si="840"/>
        <v>-1</v>
      </c>
      <c r="BX287">
        <f t="shared" si="840"/>
        <v>-1</v>
      </c>
      <c r="BY287">
        <f t="shared" si="840"/>
        <v>-1</v>
      </c>
      <c r="BZ287">
        <f t="shared" si="840"/>
        <v>-1</v>
      </c>
      <c r="CA287">
        <f t="shared" si="840"/>
        <v>-1</v>
      </c>
      <c r="CB287">
        <f t="shared" si="840"/>
        <v>-1</v>
      </c>
      <c r="CC287">
        <f t="shared" si="840"/>
        <v>-1</v>
      </c>
      <c r="CD287">
        <f t="shared" si="840"/>
        <v>-1</v>
      </c>
      <c r="CE287">
        <f t="shared" si="840"/>
        <v>-1</v>
      </c>
      <c r="CF287">
        <f t="shared" si="840"/>
        <v>-1</v>
      </c>
      <c r="CG287">
        <f t="shared" si="840"/>
        <v>-1</v>
      </c>
      <c r="CH287">
        <f t="shared" si="840"/>
        <v>-1</v>
      </c>
      <c r="CI287">
        <f t="shared" si="840"/>
        <v>-1</v>
      </c>
      <c r="CJ287">
        <f t="shared" si="840"/>
        <v>-1</v>
      </c>
      <c r="CK287">
        <f t="shared" si="840"/>
        <v>-1</v>
      </c>
      <c r="CL287">
        <f t="shared" si="840"/>
        <v>-1</v>
      </c>
      <c r="CM287">
        <f t="shared" si="840"/>
        <v>-1</v>
      </c>
      <c r="CN287">
        <f t="shared" si="840"/>
        <v>-1</v>
      </c>
      <c r="CO287">
        <f t="shared" si="840"/>
        <v>-1</v>
      </c>
      <c r="CP287">
        <f t="shared" si="840"/>
        <v>-1</v>
      </c>
      <c r="CQ287">
        <f t="shared" si="840"/>
        <v>-1</v>
      </c>
      <c r="CR287">
        <f t="shared" si="840"/>
        <v>-1</v>
      </c>
      <c r="CS287">
        <f t="shared" si="840"/>
        <v>-1</v>
      </c>
      <c r="CT287">
        <f t="shared" si="840"/>
        <v>-1</v>
      </c>
      <c r="CU287">
        <f t="shared" si="840"/>
        <v>-1</v>
      </c>
      <c r="CV287">
        <f t="shared" si="840"/>
        <v>-1</v>
      </c>
      <c r="CW287">
        <f t="shared" si="840"/>
        <v>-1</v>
      </c>
      <c r="CX287">
        <f t="shared" si="840"/>
        <v>-1</v>
      </c>
      <c r="CY287">
        <f t="shared" si="840"/>
        <v>-1</v>
      </c>
      <c r="CZ287">
        <f t="shared" si="840"/>
        <v>-1</v>
      </c>
      <c r="DA287">
        <f t="shared" si="840"/>
        <v>-1</v>
      </c>
      <c r="DB287">
        <f t="shared" si="840"/>
        <v>-1</v>
      </c>
      <c r="DC287">
        <f t="shared" si="840"/>
        <v>-1</v>
      </c>
      <c r="DD287">
        <f t="shared" si="840"/>
        <v>-1</v>
      </c>
      <c r="DE287">
        <f t="shared" si="840"/>
        <v>-1</v>
      </c>
      <c r="DF287">
        <f t="shared" si="840"/>
        <v>-1</v>
      </c>
      <c r="DG287">
        <f t="shared" si="840"/>
        <v>-1</v>
      </c>
      <c r="DH287">
        <f t="shared" si="840"/>
        <v>-1</v>
      </c>
      <c r="DI287">
        <f t="shared" si="840"/>
        <v>-1</v>
      </c>
      <c r="DJ287">
        <f t="shared" si="840"/>
        <v>-1</v>
      </c>
      <c r="DK287">
        <f t="shared" si="840"/>
        <v>-1</v>
      </c>
      <c r="DL287">
        <f t="shared" si="840"/>
        <v>-1</v>
      </c>
      <c r="DM287">
        <f t="shared" si="840"/>
        <v>-1</v>
      </c>
      <c r="DN287">
        <f t="shared" si="840"/>
        <v>-1</v>
      </c>
      <c r="DO287">
        <f t="shared" si="840"/>
        <v>-1</v>
      </c>
      <c r="DP287">
        <f t="shared" si="840"/>
        <v>-1</v>
      </c>
      <c r="DQ287">
        <f t="shared" si="840"/>
        <v>-1</v>
      </c>
      <c r="DR287">
        <f t="shared" si="840"/>
        <v>-1</v>
      </c>
      <c r="DS287">
        <f t="shared" si="840"/>
        <v>-1</v>
      </c>
      <c r="DT287">
        <f t="shared" si="840"/>
        <v>-1</v>
      </c>
      <c r="DU287">
        <f t="shared" si="840"/>
        <v>-1</v>
      </c>
      <c r="DV287">
        <f t="shared" si="840"/>
        <v>-1</v>
      </c>
      <c r="DW287">
        <f t="shared" si="840"/>
        <v>-1</v>
      </c>
      <c r="DX287">
        <f t="shared" si="840"/>
        <v>-1</v>
      </c>
      <c r="DY287">
        <f t="shared" si="840"/>
        <v>-1</v>
      </c>
      <c r="DZ287">
        <f t="shared" si="840"/>
        <v>-1</v>
      </c>
      <c r="EA287">
        <f t="shared" si="840"/>
        <v>-1</v>
      </c>
      <c r="EB287">
        <f t="shared" ref="EB287:EO287" si="841">IF(OR(EB286=-1,AND(IF(EB$3&lt;$B287,EB286+EB$6,IF(EB$3=$B287,1,""))&gt;$B$1,EB$3&lt;$B287)),-1,IF(EB$3&lt;$B287,EB286+EB$6,IF(EB$3=$B287,1,"")))</f>
        <v>-1</v>
      </c>
      <c r="EC287">
        <f t="shared" si="841"/>
        <v>-1</v>
      </c>
      <c r="ED287">
        <f t="shared" si="841"/>
        <v>-1</v>
      </c>
      <c r="EE287">
        <f t="shared" si="841"/>
        <v>-1</v>
      </c>
      <c r="EF287">
        <f t="shared" si="841"/>
        <v>-1</v>
      </c>
      <c r="EG287">
        <f t="shared" si="841"/>
        <v>-1</v>
      </c>
      <c r="EH287">
        <f t="shared" si="841"/>
        <v>-1</v>
      </c>
      <c r="EI287">
        <f t="shared" si="841"/>
        <v>-1</v>
      </c>
      <c r="EJ287">
        <f t="shared" si="841"/>
        <v>-1</v>
      </c>
      <c r="EK287">
        <f t="shared" si="841"/>
        <v>-1</v>
      </c>
      <c r="EL287">
        <f t="shared" si="841"/>
        <v>-1</v>
      </c>
      <c r="EM287">
        <f t="shared" si="841"/>
        <v>-1</v>
      </c>
      <c r="EN287">
        <f t="shared" si="841"/>
        <v>-1</v>
      </c>
      <c r="EO287">
        <f t="shared" si="841"/>
        <v>-1</v>
      </c>
    </row>
    <row r="288" spans="1:145" x14ac:dyDescent="0.15">
      <c r="A288" t="e">
        <f t="shared" si="772"/>
        <v>#N/A</v>
      </c>
      <c r="B288" s="218">
        <v>280</v>
      </c>
      <c r="C288">
        <f t="shared" si="772"/>
        <v>-1</v>
      </c>
      <c r="D288">
        <f t="shared" ref="D288:BO288" si="842">IF(OR(D287=-1,AND(IF(D$3&lt;$B288,D287+D$6,IF(D$3=$B288,1,""))&gt;$B$1,D$3&lt;$B288)),-1,IF(D$3&lt;$B288,D287+D$6,IF(D$3=$B288,1,"")))</f>
        <v>-1</v>
      </c>
      <c r="E288">
        <f t="shared" si="842"/>
        <v>-1</v>
      </c>
      <c r="F288">
        <f t="shared" si="842"/>
        <v>-1</v>
      </c>
      <c r="G288">
        <f t="shared" si="842"/>
        <v>-1</v>
      </c>
      <c r="H288">
        <f t="shared" si="842"/>
        <v>-1</v>
      </c>
      <c r="I288">
        <f t="shared" si="842"/>
        <v>-1</v>
      </c>
      <c r="J288">
        <f t="shared" si="842"/>
        <v>-1</v>
      </c>
      <c r="K288">
        <f t="shared" si="842"/>
        <v>-1</v>
      </c>
      <c r="L288">
        <f t="shared" si="842"/>
        <v>-1</v>
      </c>
      <c r="M288">
        <f t="shared" si="842"/>
        <v>-1</v>
      </c>
      <c r="N288">
        <f t="shared" si="842"/>
        <v>-1</v>
      </c>
      <c r="O288">
        <f t="shared" si="842"/>
        <v>-1</v>
      </c>
      <c r="P288">
        <f t="shared" si="842"/>
        <v>-1</v>
      </c>
      <c r="Q288">
        <f t="shared" si="842"/>
        <v>-1</v>
      </c>
      <c r="R288">
        <f t="shared" si="842"/>
        <v>-1</v>
      </c>
      <c r="S288">
        <f t="shared" si="842"/>
        <v>-1</v>
      </c>
      <c r="T288">
        <f t="shared" si="842"/>
        <v>-1</v>
      </c>
      <c r="U288">
        <f t="shared" si="842"/>
        <v>-1</v>
      </c>
      <c r="V288">
        <f t="shared" si="842"/>
        <v>-1</v>
      </c>
      <c r="W288">
        <f t="shared" si="842"/>
        <v>-1</v>
      </c>
      <c r="X288">
        <f t="shared" si="842"/>
        <v>-1</v>
      </c>
      <c r="Y288">
        <f t="shared" si="842"/>
        <v>-1</v>
      </c>
      <c r="Z288">
        <f t="shared" si="842"/>
        <v>-1</v>
      </c>
      <c r="AA288">
        <f t="shared" si="842"/>
        <v>-1</v>
      </c>
      <c r="AB288">
        <f t="shared" si="842"/>
        <v>-1</v>
      </c>
      <c r="AC288">
        <f t="shared" si="842"/>
        <v>-1</v>
      </c>
      <c r="AD288">
        <f t="shared" si="842"/>
        <v>-1</v>
      </c>
      <c r="AE288">
        <f t="shared" si="842"/>
        <v>-1</v>
      </c>
      <c r="AF288">
        <f t="shared" si="842"/>
        <v>-1</v>
      </c>
      <c r="AG288">
        <f t="shared" si="842"/>
        <v>-1</v>
      </c>
      <c r="AH288">
        <f t="shared" si="842"/>
        <v>-1</v>
      </c>
      <c r="AI288">
        <f t="shared" si="842"/>
        <v>-1</v>
      </c>
      <c r="AJ288">
        <f t="shared" si="842"/>
        <v>-1</v>
      </c>
      <c r="AK288">
        <f t="shared" si="842"/>
        <v>-1</v>
      </c>
      <c r="AL288">
        <f t="shared" si="842"/>
        <v>-1</v>
      </c>
      <c r="AM288">
        <f t="shared" si="842"/>
        <v>-1</v>
      </c>
      <c r="AN288">
        <f t="shared" si="842"/>
        <v>-1</v>
      </c>
      <c r="AO288">
        <f t="shared" si="842"/>
        <v>-1</v>
      </c>
      <c r="AP288">
        <f t="shared" si="842"/>
        <v>-1</v>
      </c>
      <c r="AQ288">
        <f t="shared" si="842"/>
        <v>-1</v>
      </c>
      <c r="AR288">
        <f t="shared" si="842"/>
        <v>-1</v>
      </c>
      <c r="AS288">
        <f t="shared" si="842"/>
        <v>-1</v>
      </c>
      <c r="AT288">
        <f t="shared" si="842"/>
        <v>-1</v>
      </c>
      <c r="AU288">
        <f t="shared" si="842"/>
        <v>-1</v>
      </c>
      <c r="AV288">
        <f t="shared" si="842"/>
        <v>-1</v>
      </c>
      <c r="AW288">
        <f t="shared" si="842"/>
        <v>-1</v>
      </c>
      <c r="AX288">
        <f t="shared" si="842"/>
        <v>-1</v>
      </c>
      <c r="AY288">
        <f t="shared" si="842"/>
        <v>-1</v>
      </c>
      <c r="AZ288">
        <f t="shared" si="842"/>
        <v>-1</v>
      </c>
      <c r="BA288">
        <f t="shared" si="842"/>
        <v>-1</v>
      </c>
      <c r="BB288">
        <f t="shared" si="842"/>
        <v>-1</v>
      </c>
      <c r="BC288">
        <f t="shared" si="842"/>
        <v>-1</v>
      </c>
      <c r="BD288">
        <f t="shared" si="842"/>
        <v>-1</v>
      </c>
      <c r="BE288">
        <f t="shared" si="842"/>
        <v>-1</v>
      </c>
      <c r="BF288">
        <f t="shared" si="842"/>
        <v>-1</v>
      </c>
      <c r="BG288">
        <f t="shared" si="842"/>
        <v>-1</v>
      </c>
      <c r="BH288">
        <f t="shared" si="842"/>
        <v>-1</v>
      </c>
      <c r="BI288">
        <f t="shared" si="842"/>
        <v>-1</v>
      </c>
      <c r="BJ288">
        <f t="shared" si="842"/>
        <v>-1</v>
      </c>
      <c r="BK288">
        <f t="shared" si="842"/>
        <v>-1</v>
      </c>
      <c r="BL288">
        <f t="shared" si="842"/>
        <v>-1</v>
      </c>
      <c r="BM288">
        <f t="shared" si="842"/>
        <v>-1</v>
      </c>
      <c r="BN288">
        <f t="shared" si="842"/>
        <v>-1</v>
      </c>
      <c r="BO288">
        <f t="shared" si="842"/>
        <v>-1</v>
      </c>
      <c r="BP288">
        <f t="shared" ref="BP288:EA288" si="843">IF(OR(BP287=-1,AND(IF(BP$3&lt;$B288,BP287+BP$6,IF(BP$3=$B288,1,""))&gt;$B$1,BP$3&lt;$B288)),-1,IF(BP$3&lt;$B288,BP287+BP$6,IF(BP$3=$B288,1,"")))</f>
        <v>-1</v>
      </c>
      <c r="BQ288">
        <f t="shared" si="843"/>
        <v>-1</v>
      </c>
      <c r="BR288">
        <f t="shared" si="843"/>
        <v>-1</v>
      </c>
      <c r="BS288">
        <f t="shared" si="843"/>
        <v>-1</v>
      </c>
      <c r="BT288">
        <f t="shared" si="843"/>
        <v>-1</v>
      </c>
      <c r="BU288">
        <f t="shared" si="843"/>
        <v>-1</v>
      </c>
      <c r="BV288">
        <f t="shared" si="843"/>
        <v>-1</v>
      </c>
      <c r="BW288">
        <f t="shared" si="843"/>
        <v>-1</v>
      </c>
      <c r="BX288">
        <f t="shared" si="843"/>
        <v>-1</v>
      </c>
      <c r="BY288">
        <f t="shared" si="843"/>
        <v>-1</v>
      </c>
      <c r="BZ288">
        <f t="shared" si="843"/>
        <v>-1</v>
      </c>
      <c r="CA288">
        <f t="shared" si="843"/>
        <v>-1</v>
      </c>
      <c r="CB288">
        <f t="shared" si="843"/>
        <v>-1</v>
      </c>
      <c r="CC288">
        <f t="shared" si="843"/>
        <v>-1</v>
      </c>
      <c r="CD288">
        <f t="shared" si="843"/>
        <v>-1</v>
      </c>
      <c r="CE288">
        <f t="shared" si="843"/>
        <v>-1</v>
      </c>
      <c r="CF288">
        <f t="shared" si="843"/>
        <v>-1</v>
      </c>
      <c r="CG288">
        <f t="shared" si="843"/>
        <v>-1</v>
      </c>
      <c r="CH288">
        <f t="shared" si="843"/>
        <v>-1</v>
      </c>
      <c r="CI288">
        <f t="shared" si="843"/>
        <v>-1</v>
      </c>
      <c r="CJ288">
        <f t="shared" si="843"/>
        <v>-1</v>
      </c>
      <c r="CK288">
        <f t="shared" si="843"/>
        <v>-1</v>
      </c>
      <c r="CL288">
        <f t="shared" si="843"/>
        <v>-1</v>
      </c>
      <c r="CM288">
        <f t="shared" si="843"/>
        <v>-1</v>
      </c>
      <c r="CN288">
        <f t="shared" si="843"/>
        <v>-1</v>
      </c>
      <c r="CO288">
        <f t="shared" si="843"/>
        <v>-1</v>
      </c>
      <c r="CP288">
        <f t="shared" si="843"/>
        <v>-1</v>
      </c>
      <c r="CQ288">
        <f t="shared" si="843"/>
        <v>-1</v>
      </c>
      <c r="CR288">
        <f t="shared" si="843"/>
        <v>-1</v>
      </c>
      <c r="CS288">
        <f t="shared" si="843"/>
        <v>-1</v>
      </c>
      <c r="CT288">
        <f t="shared" si="843"/>
        <v>-1</v>
      </c>
      <c r="CU288">
        <f t="shared" si="843"/>
        <v>-1</v>
      </c>
      <c r="CV288">
        <f t="shared" si="843"/>
        <v>-1</v>
      </c>
      <c r="CW288">
        <f t="shared" si="843"/>
        <v>-1</v>
      </c>
      <c r="CX288">
        <f t="shared" si="843"/>
        <v>-1</v>
      </c>
      <c r="CY288">
        <f t="shared" si="843"/>
        <v>-1</v>
      </c>
      <c r="CZ288">
        <f t="shared" si="843"/>
        <v>-1</v>
      </c>
      <c r="DA288">
        <f t="shared" si="843"/>
        <v>-1</v>
      </c>
      <c r="DB288">
        <f t="shared" si="843"/>
        <v>-1</v>
      </c>
      <c r="DC288">
        <f t="shared" si="843"/>
        <v>-1</v>
      </c>
      <c r="DD288">
        <f t="shared" si="843"/>
        <v>-1</v>
      </c>
      <c r="DE288">
        <f t="shared" si="843"/>
        <v>-1</v>
      </c>
      <c r="DF288">
        <f t="shared" si="843"/>
        <v>-1</v>
      </c>
      <c r="DG288">
        <f t="shared" si="843"/>
        <v>-1</v>
      </c>
      <c r="DH288">
        <f t="shared" si="843"/>
        <v>-1</v>
      </c>
      <c r="DI288">
        <f t="shared" si="843"/>
        <v>-1</v>
      </c>
      <c r="DJ288">
        <f t="shared" si="843"/>
        <v>-1</v>
      </c>
      <c r="DK288">
        <f t="shared" si="843"/>
        <v>-1</v>
      </c>
      <c r="DL288">
        <f t="shared" si="843"/>
        <v>-1</v>
      </c>
      <c r="DM288">
        <f t="shared" si="843"/>
        <v>-1</v>
      </c>
      <c r="DN288">
        <f t="shared" si="843"/>
        <v>-1</v>
      </c>
      <c r="DO288">
        <f t="shared" si="843"/>
        <v>-1</v>
      </c>
      <c r="DP288">
        <f t="shared" si="843"/>
        <v>-1</v>
      </c>
      <c r="DQ288">
        <f t="shared" si="843"/>
        <v>-1</v>
      </c>
      <c r="DR288">
        <f t="shared" si="843"/>
        <v>-1</v>
      </c>
      <c r="DS288">
        <f t="shared" si="843"/>
        <v>-1</v>
      </c>
      <c r="DT288">
        <f t="shared" si="843"/>
        <v>-1</v>
      </c>
      <c r="DU288">
        <f t="shared" si="843"/>
        <v>-1</v>
      </c>
      <c r="DV288">
        <f t="shared" si="843"/>
        <v>-1</v>
      </c>
      <c r="DW288">
        <f t="shared" si="843"/>
        <v>-1</v>
      </c>
      <c r="DX288">
        <f t="shared" si="843"/>
        <v>-1</v>
      </c>
      <c r="DY288">
        <f t="shared" si="843"/>
        <v>-1</v>
      </c>
      <c r="DZ288">
        <f t="shared" si="843"/>
        <v>-1</v>
      </c>
      <c r="EA288">
        <f t="shared" si="843"/>
        <v>-1</v>
      </c>
      <c r="EB288">
        <f t="shared" ref="EB288:EO288" si="844">IF(OR(EB287=-1,AND(IF(EB$3&lt;$B288,EB287+EB$6,IF(EB$3=$B288,1,""))&gt;$B$1,EB$3&lt;$B288)),-1,IF(EB$3&lt;$B288,EB287+EB$6,IF(EB$3=$B288,1,"")))</f>
        <v>-1</v>
      </c>
      <c r="EC288">
        <f t="shared" si="844"/>
        <v>-1</v>
      </c>
      <c r="ED288">
        <f t="shared" si="844"/>
        <v>-1</v>
      </c>
      <c r="EE288">
        <f t="shared" si="844"/>
        <v>-1</v>
      </c>
      <c r="EF288">
        <f t="shared" si="844"/>
        <v>-1</v>
      </c>
      <c r="EG288">
        <f t="shared" si="844"/>
        <v>-1</v>
      </c>
      <c r="EH288">
        <f t="shared" si="844"/>
        <v>-1</v>
      </c>
      <c r="EI288">
        <f t="shared" si="844"/>
        <v>-1</v>
      </c>
      <c r="EJ288">
        <f t="shared" si="844"/>
        <v>-1</v>
      </c>
      <c r="EK288">
        <f t="shared" si="844"/>
        <v>-1</v>
      </c>
      <c r="EL288">
        <f t="shared" si="844"/>
        <v>-1</v>
      </c>
      <c r="EM288">
        <f t="shared" si="844"/>
        <v>-1</v>
      </c>
      <c r="EN288">
        <f t="shared" si="844"/>
        <v>-1</v>
      </c>
      <c r="EO288">
        <f t="shared" si="844"/>
        <v>-1</v>
      </c>
    </row>
    <row r="289" spans="1:145" x14ac:dyDescent="0.15">
      <c r="A289" t="e">
        <f t="shared" si="772"/>
        <v>#N/A</v>
      </c>
      <c r="B289" s="218">
        <v>281</v>
      </c>
      <c r="C289">
        <f t="shared" si="772"/>
        <v>-1</v>
      </c>
      <c r="D289">
        <f t="shared" ref="D289:BO289" si="845">IF(OR(D288=-1,AND(IF(D$3&lt;$B289,D288+D$6,IF(D$3=$B289,1,""))&gt;$B$1,D$3&lt;$B289)),-1,IF(D$3&lt;$B289,D288+D$6,IF(D$3=$B289,1,"")))</f>
        <v>-1</v>
      </c>
      <c r="E289">
        <f t="shared" si="845"/>
        <v>-1</v>
      </c>
      <c r="F289">
        <f t="shared" si="845"/>
        <v>-1</v>
      </c>
      <c r="G289">
        <f t="shared" si="845"/>
        <v>-1</v>
      </c>
      <c r="H289">
        <f t="shared" si="845"/>
        <v>-1</v>
      </c>
      <c r="I289">
        <f t="shared" si="845"/>
        <v>-1</v>
      </c>
      <c r="J289">
        <f t="shared" si="845"/>
        <v>-1</v>
      </c>
      <c r="K289">
        <f t="shared" si="845"/>
        <v>-1</v>
      </c>
      <c r="L289">
        <f t="shared" si="845"/>
        <v>-1</v>
      </c>
      <c r="M289">
        <f t="shared" si="845"/>
        <v>-1</v>
      </c>
      <c r="N289">
        <f t="shared" si="845"/>
        <v>-1</v>
      </c>
      <c r="O289">
        <f t="shared" si="845"/>
        <v>-1</v>
      </c>
      <c r="P289">
        <f t="shared" si="845"/>
        <v>-1</v>
      </c>
      <c r="Q289">
        <f t="shared" si="845"/>
        <v>-1</v>
      </c>
      <c r="R289">
        <f t="shared" si="845"/>
        <v>-1</v>
      </c>
      <c r="S289">
        <f t="shared" si="845"/>
        <v>-1</v>
      </c>
      <c r="T289">
        <f t="shared" si="845"/>
        <v>-1</v>
      </c>
      <c r="U289">
        <f t="shared" si="845"/>
        <v>-1</v>
      </c>
      <c r="V289">
        <f t="shared" si="845"/>
        <v>-1</v>
      </c>
      <c r="W289">
        <f t="shared" si="845"/>
        <v>-1</v>
      </c>
      <c r="X289">
        <f t="shared" si="845"/>
        <v>-1</v>
      </c>
      <c r="Y289">
        <f t="shared" si="845"/>
        <v>-1</v>
      </c>
      <c r="Z289">
        <f t="shared" si="845"/>
        <v>-1</v>
      </c>
      <c r="AA289">
        <f t="shared" si="845"/>
        <v>-1</v>
      </c>
      <c r="AB289">
        <f t="shared" si="845"/>
        <v>-1</v>
      </c>
      <c r="AC289">
        <f t="shared" si="845"/>
        <v>-1</v>
      </c>
      <c r="AD289">
        <f t="shared" si="845"/>
        <v>-1</v>
      </c>
      <c r="AE289">
        <f t="shared" si="845"/>
        <v>-1</v>
      </c>
      <c r="AF289">
        <f t="shared" si="845"/>
        <v>-1</v>
      </c>
      <c r="AG289">
        <f t="shared" si="845"/>
        <v>-1</v>
      </c>
      <c r="AH289">
        <f t="shared" si="845"/>
        <v>-1</v>
      </c>
      <c r="AI289">
        <f t="shared" si="845"/>
        <v>-1</v>
      </c>
      <c r="AJ289">
        <f t="shared" si="845"/>
        <v>-1</v>
      </c>
      <c r="AK289">
        <f t="shared" si="845"/>
        <v>-1</v>
      </c>
      <c r="AL289">
        <f t="shared" si="845"/>
        <v>-1</v>
      </c>
      <c r="AM289">
        <f t="shared" si="845"/>
        <v>-1</v>
      </c>
      <c r="AN289">
        <f t="shared" si="845"/>
        <v>-1</v>
      </c>
      <c r="AO289">
        <f t="shared" si="845"/>
        <v>-1</v>
      </c>
      <c r="AP289">
        <f t="shared" si="845"/>
        <v>-1</v>
      </c>
      <c r="AQ289">
        <f t="shared" si="845"/>
        <v>-1</v>
      </c>
      <c r="AR289">
        <f t="shared" si="845"/>
        <v>-1</v>
      </c>
      <c r="AS289">
        <f t="shared" si="845"/>
        <v>-1</v>
      </c>
      <c r="AT289">
        <f t="shared" si="845"/>
        <v>-1</v>
      </c>
      <c r="AU289">
        <f t="shared" si="845"/>
        <v>-1</v>
      </c>
      <c r="AV289">
        <f t="shared" si="845"/>
        <v>-1</v>
      </c>
      <c r="AW289">
        <f t="shared" si="845"/>
        <v>-1</v>
      </c>
      <c r="AX289">
        <f t="shared" si="845"/>
        <v>-1</v>
      </c>
      <c r="AY289">
        <f t="shared" si="845"/>
        <v>-1</v>
      </c>
      <c r="AZ289">
        <f t="shared" si="845"/>
        <v>-1</v>
      </c>
      <c r="BA289">
        <f t="shared" si="845"/>
        <v>-1</v>
      </c>
      <c r="BB289">
        <f t="shared" si="845"/>
        <v>-1</v>
      </c>
      <c r="BC289">
        <f t="shared" si="845"/>
        <v>-1</v>
      </c>
      <c r="BD289">
        <f t="shared" si="845"/>
        <v>-1</v>
      </c>
      <c r="BE289">
        <f t="shared" si="845"/>
        <v>-1</v>
      </c>
      <c r="BF289">
        <f t="shared" si="845"/>
        <v>-1</v>
      </c>
      <c r="BG289">
        <f t="shared" si="845"/>
        <v>-1</v>
      </c>
      <c r="BH289">
        <f t="shared" si="845"/>
        <v>-1</v>
      </c>
      <c r="BI289">
        <f t="shared" si="845"/>
        <v>-1</v>
      </c>
      <c r="BJ289">
        <f t="shared" si="845"/>
        <v>-1</v>
      </c>
      <c r="BK289">
        <f t="shared" si="845"/>
        <v>-1</v>
      </c>
      <c r="BL289">
        <f t="shared" si="845"/>
        <v>-1</v>
      </c>
      <c r="BM289">
        <f t="shared" si="845"/>
        <v>-1</v>
      </c>
      <c r="BN289">
        <f t="shared" si="845"/>
        <v>-1</v>
      </c>
      <c r="BO289">
        <f t="shared" si="845"/>
        <v>-1</v>
      </c>
      <c r="BP289">
        <f t="shared" ref="BP289:EA289" si="846">IF(OR(BP288=-1,AND(IF(BP$3&lt;$B289,BP288+BP$6,IF(BP$3=$B289,1,""))&gt;$B$1,BP$3&lt;$B289)),-1,IF(BP$3&lt;$B289,BP288+BP$6,IF(BP$3=$B289,1,"")))</f>
        <v>-1</v>
      </c>
      <c r="BQ289">
        <f t="shared" si="846"/>
        <v>-1</v>
      </c>
      <c r="BR289">
        <f t="shared" si="846"/>
        <v>-1</v>
      </c>
      <c r="BS289">
        <f t="shared" si="846"/>
        <v>-1</v>
      </c>
      <c r="BT289">
        <f t="shared" si="846"/>
        <v>-1</v>
      </c>
      <c r="BU289">
        <f t="shared" si="846"/>
        <v>-1</v>
      </c>
      <c r="BV289">
        <f t="shared" si="846"/>
        <v>-1</v>
      </c>
      <c r="BW289">
        <f t="shared" si="846"/>
        <v>-1</v>
      </c>
      <c r="BX289">
        <f t="shared" si="846"/>
        <v>-1</v>
      </c>
      <c r="BY289">
        <f t="shared" si="846"/>
        <v>-1</v>
      </c>
      <c r="BZ289">
        <f t="shared" si="846"/>
        <v>-1</v>
      </c>
      <c r="CA289">
        <f t="shared" si="846"/>
        <v>-1</v>
      </c>
      <c r="CB289">
        <f t="shared" si="846"/>
        <v>-1</v>
      </c>
      <c r="CC289">
        <f t="shared" si="846"/>
        <v>-1</v>
      </c>
      <c r="CD289">
        <f t="shared" si="846"/>
        <v>-1</v>
      </c>
      <c r="CE289">
        <f t="shared" si="846"/>
        <v>-1</v>
      </c>
      <c r="CF289">
        <f t="shared" si="846"/>
        <v>-1</v>
      </c>
      <c r="CG289">
        <f t="shared" si="846"/>
        <v>-1</v>
      </c>
      <c r="CH289">
        <f t="shared" si="846"/>
        <v>-1</v>
      </c>
      <c r="CI289">
        <f t="shared" si="846"/>
        <v>-1</v>
      </c>
      <c r="CJ289">
        <f t="shared" si="846"/>
        <v>-1</v>
      </c>
      <c r="CK289">
        <f t="shared" si="846"/>
        <v>-1</v>
      </c>
      <c r="CL289">
        <f t="shared" si="846"/>
        <v>-1</v>
      </c>
      <c r="CM289">
        <f t="shared" si="846"/>
        <v>-1</v>
      </c>
      <c r="CN289">
        <f t="shared" si="846"/>
        <v>-1</v>
      </c>
      <c r="CO289">
        <f t="shared" si="846"/>
        <v>-1</v>
      </c>
      <c r="CP289">
        <f t="shared" si="846"/>
        <v>-1</v>
      </c>
      <c r="CQ289">
        <f t="shared" si="846"/>
        <v>-1</v>
      </c>
      <c r="CR289">
        <f t="shared" si="846"/>
        <v>-1</v>
      </c>
      <c r="CS289">
        <f t="shared" si="846"/>
        <v>-1</v>
      </c>
      <c r="CT289">
        <f t="shared" si="846"/>
        <v>-1</v>
      </c>
      <c r="CU289">
        <f t="shared" si="846"/>
        <v>-1</v>
      </c>
      <c r="CV289">
        <f t="shared" si="846"/>
        <v>-1</v>
      </c>
      <c r="CW289">
        <f t="shared" si="846"/>
        <v>-1</v>
      </c>
      <c r="CX289">
        <f t="shared" si="846"/>
        <v>-1</v>
      </c>
      <c r="CY289">
        <f t="shared" si="846"/>
        <v>-1</v>
      </c>
      <c r="CZ289">
        <f t="shared" si="846"/>
        <v>-1</v>
      </c>
      <c r="DA289">
        <f t="shared" si="846"/>
        <v>-1</v>
      </c>
      <c r="DB289">
        <f t="shared" si="846"/>
        <v>-1</v>
      </c>
      <c r="DC289">
        <f t="shared" si="846"/>
        <v>-1</v>
      </c>
      <c r="DD289">
        <f t="shared" si="846"/>
        <v>-1</v>
      </c>
      <c r="DE289">
        <f t="shared" si="846"/>
        <v>-1</v>
      </c>
      <c r="DF289">
        <f t="shared" si="846"/>
        <v>-1</v>
      </c>
      <c r="DG289">
        <f t="shared" si="846"/>
        <v>-1</v>
      </c>
      <c r="DH289">
        <f t="shared" si="846"/>
        <v>-1</v>
      </c>
      <c r="DI289">
        <f t="shared" si="846"/>
        <v>-1</v>
      </c>
      <c r="DJ289">
        <f t="shared" si="846"/>
        <v>-1</v>
      </c>
      <c r="DK289">
        <f t="shared" si="846"/>
        <v>-1</v>
      </c>
      <c r="DL289">
        <f t="shared" si="846"/>
        <v>-1</v>
      </c>
      <c r="DM289">
        <f t="shared" si="846"/>
        <v>-1</v>
      </c>
      <c r="DN289">
        <f t="shared" si="846"/>
        <v>-1</v>
      </c>
      <c r="DO289">
        <f t="shared" si="846"/>
        <v>-1</v>
      </c>
      <c r="DP289">
        <f t="shared" si="846"/>
        <v>-1</v>
      </c>
      <c r="DQ289">
        <f t="shared" si="846"/>
        <v>-1</v>
      </c>
      <c r="DR289">
        <f t="shared" si="846"/>
        <v>-1</v>
      </c>
      <c r="DS289">
        <f t="shared" si="846"/>
        <v>-1</v>
      </c>
      <c r="DT289">
        <f t="shared" si="846"/>
        <v>-1</v>
      </c>
      <c r="DU289">
        <f t="shared" si="846"/>
        <v>-1</v>
      </c>
      <c r="DV289">
        <f t="shared" si="846"/>
        <v>-1</v>
      </c>
      <c r="DW289">
        <f t="shared" si="846"/>
        <v>-1</v>
      </c>
      <c r="DX289">
        <f t="shared" si="846"/>
        <v>-1</v>
      </c>
      <c r="DY289">
        <f t="shared" si="846"/>
        <v>-1</v>
      </c>
      <c r="DZ289">
        <f t="shared" si="846"/>
        <v>-1</v>
      </c>
      <c r="EA289">
        <f t="shared" si="846"/>
        <v>-1</v>
      </c>
      <c r="EB289">
        <f t="shared" ref="EB289:EO289" si="847">IF(OR(EB288=-1,AND(IF(EB$3&lt;$B289,EB288+EB$6,IF(EB$3=$B289,1,""))&gt;$B$1,EB$3&lt;$B289)),-1,IF(EB$3&lt;$B289,EB288+EB$6,IF(EB$3=$B289,1,"")))</f>
        <v>-1</v>
      </c>
      <c r="EC289">
        <f t="shared" si="847"/>
        <v>-1</v>
      </c>
      <c r="ED289">
        <f t="shared" si="847"/>
        <v>-1</v>
      </c>
      <c r="EE289">
        <f t="shared" si="847"/>
        <v>-1</v>
      </c>
      <c r="EF289">
        <f t="shared" si="847"/>
        <v>-1</v>
      </c>
      <c r="EG289">
        <f t="shared" si="847"/>
        <v>-1</v>
      </c>
      <c r="EH289">
        <f t="shared" si="847"/>
        <v>-1</v>
      </c>
      <c r="EI289">
        <f t="shared" si="847"/>
        <v>-1</v>
      </c>
      <c r="EJ289">
        <f t="shared" si="847"/>
        <v>-1</v>
      </c>
      <c r="EK289">
        <f t="shared" si="847"/>
        <v>-1</v>
      </c>
      <c r="EL289">
        <f t="shared" si="847"/>
        <v>-1</v>
      </c>
      <c r="EM289">
        <f t="shared" si="847"/>
        <v>-1</v>
      </c>
      <c r="EN289">
        <f t="shared" si="847"/>
        <v>-1</v>
      </c>
      <c r="EO289">
        <f t="shared" si="847"/>
        <v>-1</v>
      </c>
    </row>
    <row r="290" spans="1:145" x14ac:dyDescent="0.15">
      <c r="A290" t="e">
        <f t="shared" si="772"/>
        <v>#N/A</v>
      </c>
      <c r="B290" s="218">
        <v>282</v>
      </c>
      <c r="C290">
        <f t="shared" si="772"/>
        <v>-1</v>
      </c>
      <c r="D290">
        <f t="shared" ref="D290:BO290" si="848">IF(OR(D289=-1,AND(IF(D$3&lt;$B290,D289+D$6,IF(D$3=$B290,1,""))&gt;$B$1,D$3&lt;$B290)),-1,IF(D$3&lt;$B290,D289+D$6,IF(D$3=$B290,1,"")))</f>
        <v>-1</v>
      </c>
      <c r="E290">
        <f t="shared" si="848"/>
        <v>-1</v>
      </c>
      <c r="F290">
        <f t="shared" si="848"/>
        <v>-1</v>
      </c>
      <c r="G290">
        <f t="shared" si="848"/>
        <v>-1</v>
      </c>
      <c r="H290">
        <f t="shared" si="848"/>
        <v>-1</v>
      </c>
      <c r="I290">
        <f t="shared" si="848"/>
        <v>-1</v>
      </c>
      <c r="J290">
        <f t="shared" si="848"/>
        <v>-1</v>
      </c>
      <c r="K290">
        <f t="shared" si="848"/>
        <v>-1</v>
      </c>
      <c r="L290">
        <f t="shared" si="848"/>
        <v>-1</v>
      </c>
      <c r="M290">
        <f t="shared" si="848"/>
        <v>-1</v>
      </c>
      <c r="N290">
        <f t="shared" si="848"/>
        <v>-1</v>
      </c>
      <c r="O290">
        <f t="shared" si="848"/>
        <v>-1</v>
      </c>
      <c r="P290">
        <f t="shared" si="848"/>
        <v>-1</v>
      </c>
      <c r="Q290">
        <f t="shared" si="848"/>
        <v>-1</v>
      </c>
      <c r="R290">
        <f t="shared" si="848"/>
        <v>-1</v>
      </c>
      <c r="S290">
        <f t="shared" si="848"/>
        <v>-1</v>
      </c>
      <c r="T290">
        <f t="shared" si="848"/>
        <v>-1</v>
      </c>
      <c r="U290">
        <f t="shared" si="848"/>
        <v>-1</v>
      </c>
      <c r="V290">
        <f t="shared" si="848"/>
        <v>-1</v>
      </c>
      <c r="W290">
        <f t="shared" si="848"/>
        <v>-1</v>
      </c>
      <c r="X290">
        <f t="shared" si="848"/>
        <v>-1</v>
      </c>
      <c r="Y290">
        <f t="shared" si="848"/>
        <v>-1</v>
      </c>
      <c r="Z290">
        <f t="shared" si="848"/>
        <v>-1</v>
      </c>
      <c r="AA290">
        <f t="shared" si="848"/>
        <v>-1</v>
      </c>
      <c r="AB290">
        <f t="shared" si="848"/>
        <v>-1</v>
      </c>
      <c r="AC290">
        <f t="shared" si="848"/>
        <v>-1</v>
      </c>
      <c r="AD290">
        <f t="shared" si="848"/>
        <v>-1</v>
      </c>
      <c r="AE290">
        <f t="shared" si="848"/>
        <v>-1</v>
      </c>
      <c r="AF290">
        <f t="shared" si="848"/>
        <v>-1</v>
      </c>
      <c r="AG290">
        <f t="shared" si="848"/>
        <v>-1</v>
      </c>
      <c r="AH290">
        <f t="shared" si="848"/>
        <v>-1</v>
      </c>
      <c r="AI290">
        <f t="shared" si="848"/>
        <v>-1</v>
      </c>
      <c r="AJ290">
        <f t="shared" si="848"/>
        <v>-1</v>
      </c>
      <c r="AK290">
        <f t="shared" si="848"/>
        <v>-1</v>
      </c>
      <c r="AL290">
        <f t="shared" si="848"/>
        <v>-1</v>
      </c>
      <c r="AM290">
        <f t="shared" si="848"/>
        <v>-1</v>
      </c>
      <c r="AN290">
        <f t="shared" si="848"/>
        <v>-1</v>
      </c>
      <c r="AO290">
        <f t="shared" si="848"/>
        <v>-1</v>
      </c>
      <c r="AP290">
        <f t="shared" si="848"/>
        <v>-1</v>
      </c>
      <c r="AQ290">
        <f t="shared" si="848"/>
        <v>-1</v>
      </c>
      <c r="AR290">
        <f t="shared" si="848"/>
        <v>-1</v>
      </c>
      <c r="AS290">
        <f t="shared" si="848"/>
        <v>-1</v>
      </c>
      <c r="AT290">
        <f t="shared" si="848"/>
        <v>-1</v>
      </c>
      <c r="AU290">
        <f t="shared" si="848"/>
        <v>-1</v>
      </c>
      <c r="AV290">
        <f t="shared" si="848"/>
        <v>-1</v>
      </c>
      <c r="AW290">
        <f t="shared" si="848"/>
        <v>-1</v>
      </c>
      <c r="AX290">
        <f t="shared" si="848"/>
        <v>-1</v>
      </c>
      <c r="AY290">
        <f t="shared" si="848"/>
        <v>-1</v>
      </c>
      <c r="AZ290">
        <f t="shared" si="848"/>
        <v>-1</v>
      </c>
      <c r="BA290">
        <f t="shared" si="848"/>
        <v>-1</v>
      </c>
      <c r="BB290">
        <f t="shared" si="848"/>
        <v>-1</v>
      </c>
      <c r="BC290">
        <f t="shared" si="848"/>
        <v>-1</v>
      </c>
      <c r="BD290">
        <f t="shared" si="848"/>
        <v>-1</v>
      </c>
      <c r="BE290">
        <f t="shared" si="848"/>
        <v>-1</v>
      </c>
      <c r="BF290">
        <f t="shared" si="848"/>
        <v>-1</v>
      </c>
      <c r="BG290">
        <f t="shared" si="848"/>
        <v>-1</v>
      </c>
      <c r="BH290">
        <f t="shared" si="848"/>
        <v>-1</v>
      </c>
      <c r="BI290">
        <f t="shared" si="848"/>
        <v>-1</v>
      </c>
      <c r="BJ290">
        <f t="shared" si="848"/>
        <v>-1</v>
      </c>
      <c r="BK290">
        <f t="shared" si="848"/>
        <v>-1</v>
      </c>
      <c r="BL290">
        <f t="shared" si="848"/>
        <v>-1</v>
      </c>
      <c r="BM290">
        <f t="shared" si="848"/>
        <v>-1</v>
      </c>
      <c r="BN290">
        <f t="shared" si="848"/>
        <v>-1</v>
      </c>
      <c r="BO290">
        <f t="shared" si="848"/>
        <v>-1</v>
      </c>
      <c r="BP290">
        <f t="shared" ref="BP290:EA290" si="849">IF(OR(BP289=-1,AND(IF(BP$3&lt;$B290,BP289+BP$6,IF(BP$3=$B290,1,""))&gt;$B$1,BP$3&lt;$B290)),-1,IF(BP$3&lt;$B290,BP289+BP$6,IF(BP$3=$B290,1,"")))</f>
        <v>-1</v>
      </c>
      <c r="BQ290">
        <f t="shared" si="849"/>
        <v>-1</v>
      </c>
      <c r="BR290">
        <f t="shared" si="849"/>
        <v>-1</v>
      </c>
      <c r="BS290">
        <f t="shared" si="849"/>
        <v>-1</v>
      </c>
      <c r="BT290">
        <f t="shared" si="849"/>
        <v>-1</v>
      </c>
      <c r="BU290">
        <f t="shared" si="849"/>
        <v>-1</v>
      </c>
      <c r="BV290">
        <f t="shared" si="849"/>
        <v>-1</v>
      </c>
      <c r="BW290">
        <f t="shared" si="849"/>
        <v>-1</v>
      </c>
      <c r="BX290">
        <f t="shared" si="849"/>
        <v>-1</v>
      </c>
      <c r="BY290">
        <f t="shared" si="849"/>
        <v>-1</v>
      </c>
      <c r="BZ290">
        <f t="shared" si="849"/>
        <v>-1</v>
      </c>
      <c r="CA290">
        <f t="shared" si="849"/>
        <v>-1</v>
      </c>
      <c r="CB290">
        <f t="shared" si="849"/>
        <v>-1</v>
      </c>
      <c r="CC290">
        <f t="shared" si="849"/>
        <v>-1</v>
      </c>
      <c r="CD290">
        <f t="shared" si="849"/>
        <v>-1</v>
      </c>
      <c r="CE290">
        <f t="shared" si="849"/>
        <v>-1</v>
      </c>
      <c r="CF290">
        <f t="shared" si="849"/>
        <v>-1</v>
      </c>
      <c r="CG290">
        <f t="shared" si="849"/>
        <v>-1</v>
      </c>
      <c r="CH290">
        <f t="shared" si="849"/>
        <v>-1</v>
      </c>
      <c r="CI290">
        <f t="shared" si="849"/>
        <v>-1</v>
      </c>
      <c r="CJ290">
        <f t="shared" si="849"/>
        <v>-1</v>
      </c>
      <c r="CK290">
        <f t="shared" si="849"/>
        <v>-1</v>
      </c>
      <c r="CL290">
        <f t="shared" si="849"/>
        <v>-1</v>
      </c>
      <c r="CM290">
        <f t="shared" si="849"/>
        <v>-1</v>
      </c>
      <c r="CN290">
        <f t="shared" si="849"/>
        <v>-1</v>
      </c>
      <c r="CO290">
        <f t="shared" si="849"/>
        <v>-1</v>
      </c>
      <c r="CP290">
        <f t="shared" si="849"/>
        <v>-1</v>
      </c>
      <c r="CQ290">
        <f t="shared" si="849"/>
        <v>-1</v>
      </c>
      <c r="CR290">
        <f t="shared" si="849"/>
        <v>-1</v>
      </c>
      <c r="CS290">
        <f t="shared" si="849"/>
        <v>-1</v>
      </c>
      <c r="CT290">
        <f t="shared" si="849"/>
        <v>-1</v>
      </c>
      <c r="CU290">
        <f t="shared" si="849"/>
        <v>-1</v>
      </c>
      <c r="CV290">
        <f t="shared" si="849"/>
        <v>-1</v>
      </c>
      <c r="CW290">
        <f t="shared" si="849"/>
        <v>-1</v>
      </c>
      <c r="CX290">
        <f t="shared" si="849"/>
        <v>-1</v>
      </c>
      <c r="CY290">
        <f t="shared" si="849"/>
        <v>-1</v>
      </c>
      <c r="CZ290">
        <f t="shared" si="849"/>
        <v>-1</v>
      </c>
      <c r="DA290">
        <f t="shared" si="849"/>
        <v>-1</v>
      </c>
      <c r="DB290">
        <f t="shared" si="849"/>
        <v>-1</v>
      </c>
      <c r="DC290">
        <f t="shared" si="849"/>
        <v>-1</v>
      </c>
      <c r="DD290">
        <f t="shared" si="849"/>
        <v>-1</v>
      </c>
      <c r="DE290">
        <f t="shared" si="849"/>
        <v>-1</v>
      </c>
      <c r="DF290">
        <f t="shared" si="849"/>
        <v>-1</v>
      </c>
      <c r="DG290">
        <f t="shared" si="849"/>
        <v>-1</v>
      </c>
      <c r="DH290">
        <f t="shared" si="849"/>
        <v>-1</v>
      </c>
      <c r="DI290">
        <f t="shared" si="849"/>
        <v>-1</v>
      </c>
      <c r="DJ290">
        <f t="shared" si="849"/>
        <v>-1</v>
      </c>
      <c r="DK290">
        <f t="shared" si="849"/>
        <v>-1</v>
      </c>
      <c r="DL290">
        <f t="shared" si="849"/>
        <v>-1</v>
      </c>
      <c r="DM290">
        <f t="shared" si="849"/>
        <v>-1</v>
      </c>
      <c r="DN290">
        <f t="shared" si="849"/>
        <v>-1</v>
      </c>
      <c r="DO290">
        <f t="shared" si="849"/>
        <v>-1</v>
      </c>
      <c r="DP290">
        <f t="shared" si="849"/>
        <v>-1</v>
      </c>
      <c r="DQ290">
        <f t="shared" si="849"/>
        <v>-1</v>
      </c>
      <c r="DR290">
        <f t="shared" si="849"/>
        <v>-1</v>
      </c>
      <c r="DS290">
        <f t="shared" si="849"/>
        <v>-1</v>
      </c>
      <c r="DT290">
        <f t="shared" si="849"/>
        <v>-1</v>
      </c>
      <c r="DU290">
        <f t="shared" si="849"/>
        <v>-1</v>
      </c>
      <c r="DV290">
        <f t="shared" si="849"/>
        <v>-1</v>
      </c>
      <c r="DW290">
        <f t="shared" si="849"/>
        <v>-1</v>
      </c>
      <c r="DX290">
        <f t="shared" si="849"/>
        <v>-1</v>
      </c>
      <c r="DY290">
        <f t="shared" si="849"/>
        <v>-1</v>
      </c>
      <c r="DZ290">
        <f t="shared" si="849"/>
        <v>-1</v>
      </c>
      <c r="EA290">
        <f t="shared" si="849"/>
        <v>-1</v>
      </c>
      <c r="EB290">
        <f t="shared" ref="EB290:EO290" si="850">IF(OR(EB289=-1,AND(IF(EB$3&lt;$B290,EB289+EB$6,IF(EB$3=$B290,1,""))&gt;$B$1,EB$3&lt;$B290)),-1,IF(EB$3&lt;$B290,EB289+EB$6,IF(EB$3=$B290,1,"")))</f>
        <v>-1</v>
      </c>
      <c r="EC290">
        <f t="shared" si="850"/>
        <v>-1</v>
      </c>
      <c r="ED290">
        <f t="shared" si="850"/>
        <v>-1</v>
      </c>
      <c r="EE290">
        <f t="shared" si="850"/>
        <v>-1</v>
      </c>
      <c r="EF290">
        <f t="shared" si="850"/>
        <v>-1</v>
      </c>
      <c r="EG290">
        <f t="shared" si="850"/>
        <v>-1</v>
      </c>
      <c r="EH290">
        <f t="shared" si="850"/>
        <v>-1</v>
      </c>
      <c r="EI290">
        <f t="shared" si="850"/>
        <v>-1</v>
      </c>
      <c r="EJ290">
        <f t="shared" si="850"/>
        <v>-1</v>
      </c>
      <c r="EK290">
        <f t="shared" si="850"/>
        <v>-1</v>
      </c>
      <c r="EL290">
        <f t="shared" si="850"/>
        <v>-1</v>
      </c>
      <c r="EM290">
        <f t="shared" si="850"/>
        <v>-1</v>
      </c>
      <c r="EN290">
        <f t="shared" si="850"/>
        <v>-1</v>
      </c>
      <c r="EO290">
        <f t="shared" si="850"/>
        <v>-1</v>
      </c>
    </row>
    <row r="291" spans="1:145" x14ac:dyDescent="0.15">
      <c r="A291" t="e">
        <f t="shared" si="772"/>
        <v>#N/A</v>
      </c>
      <c r="B291" s="218">
        <v>283</v>
      </c>
      <c r="C291">
        <f t="shared" si="772"/>
        <v>-1</v>
      </c>
      <c r="D291">
        <f t="shared" ref="D291:BO291" si="851">IF(OR(D290=-1,AND(IF(D$3&lt;$B291,D290+D$6,IF(D$3=$B291,1,""))&gt;$B$1,D$3&lt;$B291)),-1,IF(D$3&lt;$B291,D290+D$6,IF(D$3=$B291,1,"")))</f>
        <v>-1</v>
      </c>
      <c r="E291">
        <f t="shared" si="851"/>
        <v>-1</v>
      </c>
      <c r="F291">
        <f t="shared" si="851"/>
        <v>-1</v>
      </c>
      <c r="G291">
        <f t="shared" si="851"/>
        <v>-1</v>
      </c>
      <c r="H291">
        <f t="shared" si="851"/>
        <v>-1</v>
      </c>
      <c r="I291">
        <f t="shared" si="851"/>
        <v>-1</v>
      </c>
      <c r="J291">
        <f t="shared" si="851"/>
        <v>-1</v>
      </c>
      <c r="K291">
        <f t="shared" si="851"/>
        <v>-1</v>
      </c>
      <c r="L291">
        <f t="shared" si="851"/>
        <v>-1</v>
      </c>
      <c r="M291">
        <f t="shared" si="851"/>
        <v>-1</v>
      </c>
      <c r="N291">
        <f t="shared" si="851"/>
        <v>-1</v>
      </c>
      <c r="O291">
        <f t="shared" si="851"/>
        <v>-1</v>
      </c>
      <c r="P291">
        <f t="shared" si="851"/>
        <v>-1</v>
      </c>
      <c r="Q291">
        <f t="shared" si="851"/>
        <v>-1</v>
      </c>
      <c r="R291">
        <f t="shared" si="851"/>
        <v>-1</v>
      </c>
      <c r="S291">
        <f t="shared" si="851"/>
        <v>-1</v>
      </c>
      <c r="T291">
        <f t="shared" si="851"/>
        <v>-1</v>
      </c>
      <c r="U291">
        <f t="shared" si="851"/>
        <v>-1</v>
      </c>
      <c r="V291">
        <f t="shared" si="851"/>
        <v>-1</v>
      </c>
      <c r="W291">
        <f t="shared" si="851"/>
        <v>-1</v>
      </c>
      <c r="X291">
        <f t="shared" si="851"/>
        <v>-1</v>
      </c>
      <c r="Y291">
        <f t="shared" si="851"/>
        <v>-1</v>
      </c>
      <c r="Z291">
        <f t="shared" si="851"/>
        <v>-1</v>
      </c>
      <c r="AA291">
        <f t="shared" si="851"/>
        <v>-1</v>
      </c>
      <c r="AB291">
        <f t="shared" si="851"/>
        <v>-1</v>
      </c>
      <c r="AC291">
        <f t="shared" si="851"/>
        <v>-1</v>
      </c>
      <c r="AD291">
        <f t="shared" si="851"/>
        <v>-1</v>
      </c>
      <c r="AE291">
        <f t="shared" si="851"/>
        <v>-1</v>
      </c>
      <c r="AF291">
        <f t="shared" si="851"/>
        <v>-1</v>
      </c>
      <c r="AG291">
        <f t="shared" si="851"/>
        <v>-1</v>
      </c>
      <c r="AH291">
        <f t="shared" si="851"/>
        <v>-1</v>
      </c>
      <c r="AI291">
        <f t="shared" si="851"/>
        <v>-1</v>
      </c>
      <c r="AJ291">
        <f t="shared" si="851"/>
        <v>-1</v>
      </c>
      <c r="AK291">
        <f t="shared" si="851"/>
        <v>-1</v>
      </c>
      <c r="AL291">
        <f t="shared" si="851"/>
        <v>-1</v>
      </c>
      <c r="AM291">
        <f t="shared" si="851"/>
        <v>-1</v>
      </c>
      <c r="AN291">
        <f t="shared" si="851"/>
        <v>-1</v>
      </c>
      <c r="AO291">
        <f t="shared" si="851"/>
        <v>-1</v>
      </c>
      <c r="AP291">
        <f t="shared" si="851"/>
        <v>-1</v>
      </c>
      <c r="AQ291">
        <f t="shared" si="851"/>
        <v>-1</v>
      </c>
      <c r="AR291">
        <f t="shared" si="851"/>
        <v>-1</v>
      </c>
      <c r="AS291">
        <f t="shared" si="851"/>
        <v>-1</v>
      </c>
      <c r="AT291">
        <f t="shared" si="851"/>
        <v>-1</v>
      </c>
      <c r="AU291">
        <f t="shared" si="851"/>
        <v>-1</v>
      </c>
      <c r="AV291">
        <f t="shared" si="851"/>
        <v>-1</v>
      </c>
      <c r="AW291">
        <f t="shared" si="851"/>
        <v>-1</v>
      </c>
      <c r="AX291">
        <f t="shared" si="851"/>
        <v>-1</v>
      </c>
      <c r="AY291">
        <f t="shared" si="851"/>
        <v>-1</v>
      </c>
      <c r="AZ291">
        <f t="shared" si="851"/>
        <v>-1</v>
      </c>
      <c r="BA291">
        <f t="shared" si="851"/>
        <v>-1</v>
      </c>
      <c r="BB291">
        <f t="shared" si="851"/>
        <v>-1</v>
      </c>
      <c r="BC291">
        <f t="shared" si="851"/>
        <v>-1</v>
      </c>
      <c r="BD291">
        <f t="shared" si="851"/>
        <v>-1</v>
      </c>
      <c r="BE291">
        <f t="shared" si="851"/>
        <v>-1</v>
      </c>
      <c r="BF291">
        <f t="shared" si="851"/>
        <v>-1</v>
      </c>
      <c r="BG291">
        <f t="shared" si="851"/>
        <v>-1</v>
      </c>
      <c r="BH291">
        <f t="shared" si="851"/>
        <v>-1</v>
      </c>
      <c r="BI291">
        <f t="shared" si="851"/>
        <v>-1</v>
      </c>
      <c r="BJ291">
        <f t="shared" si="851"/>
        <v>-1</v>
      </c>
      <c r="BK291">
        <f t="shared" si="851"/>
        <v>-1</v>
      </c>
      <c r="BL291">
        <f t="shared" si="851"/>
        <v>-1</v>
      </c>
      <c r="BM291">
        <f t="shared" si="851"/>
        <v>-1</v>
      </c>
      <c r="BN291">
        <f t="shared" si="851"/>
        <v>-1</v>
      </c>
      <c r="BO291">
        <f t="shared" si="851"/>
        <v>-1</v>
      </c>
      <c r="BP291">
        <f t="shared" ref="BP291:EA291" si="852">IF(OR(BP290=-1,AND(IF(BP$3&lt;$B291,BP290+BP$6,IF(BP$3=$B291,1,""))&gt;$B$1,BP$3&lt;$B291)),-1,IF(BP$3&lt;$B291,BP290+BP$6,IF(BP$3=$B291,1,"")))</f>
        <v>-1</v>
      </c>
      <c r="BQ291">
        <f t="shared" si="852"/>
        <v>-1</v>
      </c>
      <c r="BR291">
        <f t="shared" si="852"/>
        <v>-1</v>
      </c>
      <c r="BS291">
        <f t="shared" si="852"/>
        <v>-1</v>
      </c>
      <c r="BT291">
        <f t="shared" si="852"/>
        <v>-1</v>
      </c>
      <c r="BU291">
        <f t="shared" si="852"/>
        <v>-1</v>
      </c>
      <c r="BV291">
        <f t="shared" si="852"/>
        <v>-1</v>
      </c>
      <c r="BW291">
        <f t="shared" si="852"/>
        <v>-1</v>
      </c>
      <c r="BX291">
        <f t="shared" si="852"/>
        <v>-1</v>
      </c>
      <c r="BY291">
        <f t="shared" si="852"/>
        <v>-1</v>
      </c>
      <c r="BZ291">
        <f t="shared" si="852"/>
        <v>-1</v>
      </c>
      <c r="CA291">
        <f t="shared" si="852"/>
        <v>-1</v>
      </c>
      <c r="CB291">
        <f t="shared" si="852"/>
        <v>-1</v>
      </c>
      <c r="CC291">
        <f t="shared" si="852"/>
        <v>-1</v>
      </c>
      <c r="CD291">
        <f t="shared" si="852"/>
        <v>-1</v>
      </c>
      <c r="CE291">
        <f t="shared" si="852"/>
        <v>-1</v>
      </c>
      <c r="CF291">
        <f t="shared" si="852"/>
        <v>-1</v>
      </c>
      <c r="CG291">
        <f t="shared" si="852"/>
        <v>-1</v>
      </c>
      <c r="CH291">
        <f t="shared" si="852"/>
        <v>-1</v>
      </c>
      <c r="CI291">
        <f t="shared" si="852"/>
        <v>-1</v>
      </c>
      <c r="CJ291">
        <f t="shared" si="852"/>
        <v>-1</v>
      </c>
      <c r="CK291">
        <f t="shared" si="852"/>
        <v>-1</v>
      </c>
      <c r="CL291">
        <f t="shared" si="852"/>
        <v>-1</v>
      </c>
      <c r="CM291">
        <f t="shared" si="852"/>
        <v>-1</v>
      </c>
      <c r="CN291">
        <f t="shared" si="852"/>
        <v>-1</v>
      </c>
      <c r="CO291">
        <f t="shared" si="852"/>
        <v>-1</v>
      </c>
      <c r="CP291">
        <f t="shared" si="852"/>
        <v>-1</v>
      </c>
      <c r="CQ291">
        <f t="shared" si="852"/>
        <v>-1</v>
      </c>
      <c r="CR291">
        <f t="shared" si="852"/>
        <v>-1</v>
      </c>
      <c r="CS291">
        <f t="shared" si="852"/>
        <v>-1</v>
      </c>
      <c r="CT291">
        <f t="shared" si="852"/>
        <v>-1</v>
      </c>
      <c r="CU291">
        <f t="shared" si="852"/>
        <v>-1</v>
      </c>
      <c r="CV291">
        <f t="shared" si="852"/>
        <v>-1</v>
      </c>
      <c r="CW291">
        <f t="shared" si="852"/>
        <v>-1</v>
      </c>
      <c r="CX291">
        <f t="shared" si="852"/>
        <v>-1</v>
      </c>
      <c r="CY291">
        <f t="shared" si="852"/>
        <v>-1</v>
      </c>
      <c r="CZ291">
        <f t="shared" si="852"/>
        <v>-1</v>
      </c>
      <c r="DA291">
        <f t="shared" si="852"/>
        <v>-1</v>
      </c>
      <c r="DB291">
        <f t="shared" si="852"/>
        <v>-1</v>
      </c>
      <c r="DC291">
        <f t="shared" si="852"/>
        <v>-1</v>
      </c>
      <c r="DD291">
        <f t="shared" si="852"/>
        <v>-1</v>
      </c>
      <c r="DE291">
        <f t="shared" si="852"/>
        <v>-1</v>
      </c>
      <c r="DF291">
        <f t="shared" si="852"/>
        <v>-1</v>
      </c>
      <c r="DG291">
        <f t="shared" si="852"/>
        <v>-1</v>
      </c>
      <c r="DH291">
        <f t="shared" si="852"/>
        <v>-1</v>
      </c>
      <c r="DI291">
        <f t="shared" si="852"/>
        <v>-1</v>
      </c>
      <c r="DJ291">
        <f t="shared" si="852"/>
        <v>-1</v>
      </c>
      <c r="DK291">
        <f t="shared" si="852"/>
        <v>-1</v>
      </c>
      <c r="DL291">
        <f t="shared" si="852"/>
        <v>-1</v>
      </c>
      <c r="DM291">
        <f t="shared" si="852"/>
        <v>-1</v>
      </c>
      <c r="DN291">
        <f t="shared" si="852"/>
        <v>-1</v>
      </c>
      <c r="DO291">
        <f t="shared" si="852"/>
        <v>-1</v>
      </c>
      <c r="DP291">
        <f t="shared" si="852"/>
        <v>-1</v>
      </c>
      <c r="DQ291">
        <f t="shared" si="852"/>
        <v>-1</v>
      </c>
      <c r="DR291">
        <f t="shared" si="852"/>
        <v>-1</v>
      </c>
      <c r="DS291">
        <f t="shared" si="852"/>
        <v>-1</v>
      </c>
      <c r="DT291">
        <f t="shared" si="852"/>
        <v>-1</v>
      </c>
      <c r="DU291">
        <f t="shared" si="852"/>
        <v>-1</v>
      </c>
      <c r="DV291">
        <f t="shared" si="852"/>
        <v>-1</v>
      </c>
      <c r="DW291">
        <f t="shared" si="852"/>
        <v>-1</v>
      </c>
      <c r="DX291">
        <f t="shared" si="852"/>
        <v>-1</v>
      </c>
      <c r="DY291">
        <f t="shared" si="852"/>
        <v>-1</v>
      </c>
      <c r="DZ291">
        <f t="shared" si="852"/>
        <v>-1</v>
      </c>
      <c r="EA291">
        <f t="shared" si="852"/>
        <v>-1</v>
      </c>
      <c r="EB291">
        <f t="shared" ref="EB291:EO291" si="853">IF(OR(EB290=-1,AND(IF(EB$3&lt;$B291,EB290+EB$6,IF(EB$3=$B291,1,""))&gt;$B$1,EB$3&lt;$B291)),-1,IF(EB$3&lt;$B291,EB290+EB$6,IF(EB$3=$B291,1,"")))</f>
        <v>-1</v>
      </c>
      <c r="EC291">
        <f t="shared" si="853"/>
        <v>-1</v>
      </c>
      <c r="ED291">
        <f t="shared" si="853"/>
        <v>-1</v>
      </c>
      <c r="EE291">
        <f t="shared" si="853"/>
        <v>-1</v>
      </c>
      <c r="EF291">
        <f t="shared" si="853"/>
        <v>-1</v>
      </c>
      <c r="EG291">
        <f t="shared" si="853"/>
        <v>-1</v>
      </c>
      <c r="EH291">
        <f t="shared" si="853"/>
        <v>-1</v>
      </c>
      <c r="EI291">
        <f t="shared" si="853"/>
        <v>-1</v>
      </c>
      <c r="EJ291">
        <f t="shared" si="853"/>
        <v>-1</v>
      </c>
      <c r="EK291">
        <f t="shared" si="853"/>
        <v>-1</v>
      </c>
      <c r="EL291">
        <f t="shared" si="853"/>
        <v>-1</v>
      </c>
      <c r="EM291">
        <f t="shared" si="853"/>
        <v>-1</v>
      </c>
      <c r="EN291">
        <f t="shared" si="853"/>
        <v>-1</v>
      </c>
      <c r="EO291">
        <f t="shared" si="853"/>
        <v>-1</v>
      </c>
    </row>
    <row r="292" spans="1:145" x14ac:dyDescent="0.15">
      <c r="A292" t="e">
        <f t="shared" si="772"/>
        <v>#N/A</v>
      </c>
      <c r="B292" s="218">
        <v>284</v>
      </c>
      <c r="C292">
        <f t="shared" si="772"/>
        <v>-1</v>
      </c>
      <c r="D292">
        <f t="shared" ref="D292:BO292" si="854">IF(OR(D291=-1,AND(IF(D$3&lt;$B292,D291+D$6,IF(D$3=$B292,1,""))&gt;$B$1,D$3&lt;$B292)),-1,IF(D$3&lt;$B292,D291+D$6,IF(D$3=$B292,1,"")))</f>
        <v>-1</v>
      </c>
      <c r="E292">
        <f t="shared" si="854"/>
        <v>-1</v>
      </c>
      <c r="F292">
        <f t="shared" si="854"/>
        <v>-1</v>
      </c>
      <c r="G292">
        <f t="shared" si="854"/>
        <v>-1</v>
      </c>
      <c r="H292">
        <f t="shared" si="854"/>
        <v>-1</v>
      </c>
      <c r="I292">
        <f t="shared" si="854"/>
        <v>-1</v>
      </c>
      <c r="J292">
        <f t="shared" si="854"/>
        <v>-1</v>
      </c>
      <c r="K292">
        <f t="shared" si="854"/>
        <v>-1</v>
      </c>
      <c r="L292">
        <f t="shared" si="854"/>
        <v>-1</v>
      </c>
      <c r="M292">
        <f t="shared" si="854"/>
        <v>-1</v>
      </c>
      <c r="N292">
        <f t="shared" si="854"/>
        <v>-1</v>
      </c>
      <c r="O292">
        <f t="shared" si="854"/>
        <v>-1</v>
      </c>
      <c r="P292">
        <f t="shared" si="854"/>
        <v>-1</v>
      </c>
      <c r="Q292">
        <f t="shared" si="854"/>
        <v>-1</v>
      </c>
      <c r="R292">
        <f t="shared" si="854"/>
        <v>-1</v>
      </c>
      <c r="S292">
        <f t="shared" si="854"/>
        <v>-1</v>
      </c>
      <c r="T292">
        <f t="shared" si="854"/>
        <v>-1</v>
      </c>
      <c r="U292">
        <f t="shared" si="854"/>
        <v>-1</v>
      </c>
      <c r="V292">
        <f t="shared" si="854"/>
        <v>-1</v>
      </c>
      <c r="W292">
        <f t="shared" si="854"/>
        <v>-1</v>
      </c>
      <c r="X292">
        <f t="shared" si="854"/>
        <v>-1</v>
      </c>
      <c r="Y292">
        <f t="shared" si="854"/>
        <v>-1</v>
      </c>
      <c r="Z292">
        <f t="shared" si="854"/>
        <v>-1</v>
      </c>
      <c r="AA292">
        <f t="shared" si="854"/>
        <v>-1</v>
      </c>
      <c r="AB292">
        <f t="shared" si="854"/>
        <v>-1</v>
      </c>
      <c r="AC292">
        <f t="shared" si="854"/>
        <v>-1</v>
      </c>
      <c r="AD292">
        <f t="shared" si="854"/>
        <v>-1</v>
      </c>
      <c r="AE292">
        <f t="shared" si="854"/>
        <v>-1</v>
      </c>
      <c r="AF292">
        <f t="shared" si="854"/>
        <v>-1</v>
      </c>
      <c r="AG292">
        <f t="shared" si="854"/>
        <v>-1</v>
      </c>
      <c r="AH292">
        <f t="shared" si="854"/>
        <v>-1</v>
      </c>
      <c r="AI292">
        <f t="shared" si="854"/>
        <v>-1</v>
      </c>
      <c r="AJ292">
        <f t="shared" si="854"/>
        <v>-1</v>
      </c>
      <c r="AK292">
        <f t="shared" si="854"/>
        <v>-1</v>
      </c>
      <c r="AL292">
        <f t="shared" si="854"/>
        <v>-1</v>
      </c>
      <c r="AM292">
        <f t="shared" si="854"/>
        <v>-1</v>
      </c>
      <c r="AN292">
        <f t="shared" si="854"/>
        <v>-1</v>
      </c>
      <c r="AO292">
        <f t="shared" si="854"/>
        <v>-1</v>
      </c>
      <c r="AP292">
        <f t="shared" si="854"/>
        <v>-1</v>
      </c>
      <c r="AQ292">
        <f t="shared" si="854"/>
        <v>-1</v>
      </c>
      <c r="AR292">
        <f t="shared" si="854"/>
        <v>-1</v>
      </c>
      <c r="AS292">
        <f t="shared" si="854"/>
        <v>-1</v>
      </c>
      <c r="AT292">
        <f t="shared" si="854"/>
        <v>-1</v>
      </c>
      <c r="AU292">
        <f t="shared" si="854"/>
        <v>-1</v>
      </c>
      <c r="AV292">
        <f t="shared" si="854"/>
        <v>-1</v>
      </c>
      <c r="AW292">
        <f t="shared" si="854"/>
        <v>-1</v>
      </c>
      <c r="AX292">
        <f t="shared" si="854"/>
        <v>-1</v>
      </c>
      <c r="AY292">
        <f t="shared" si="854"/>
        <v>-1</v>
      </c>
      <c r="AZ292">
        <f t="shared" si="854"/>
        <v>-1</v>
      </c>
      <c r="BA292">
        <f t="shared" si="854"/>
        <v>-1</v>
      </c>
      <c r="BB292">
        <f t="shared" si="854"/>
        <v>-1</v>
      </c>
      <c r="BC292">
        <f t="shared" si="854"/>
        <v>-1</v>
      </c>
      <c r="BD292">
        <f t="shared" si="854"/>
        <v>-1</v>
      </c>
      <c r="BE292">
        <f t="shared" si="854"/>
        <v>-1</v>
      </c>
      <c r="BF292">
        <f t="shared" si="854"/>
        <v>-1</v>
      </c>
      <c r="BG292">
        <f t="shared" si="854"/>
        <v>-1</v>
      </c>
      <c r="BH292">
        <f t="shared" si="854"/>
        <v>-1</v>
      </c>
      <c r="BI292">
        <f t="shared" si="854"/>
        <v>-1</v>
      </c>
      <c r="BJ292">
        <f t="shared" si="854"/>
        <v>-1</v>
      </c>
      <c r="BK292">
        <f t="shared" si="854"/>
        <v>-1</v>
      </c>
      <c r="BL292">
        <f t="shared" si="854"/>
        <v>-1</v>
      </c>
      <c r="BM292">
        <f t="shared" si="854"/>
        <v>-1</v>
      </c>
      <c r="BN292">
        <f t="shared" si="854"/>
        <v>-1</v>
      </c>
      <c r="BO292">
        <f t="shared" si="854"/>
        <v>-1</v>
      </c>
      <c r="BP292">
        <f t="shared" ref="BP292:EA292" si="855">IF(OR(BP291=-1,AND(IF(BP$3&lt;$B292,BP291+BP$6,IF(BP$3=$B292,1,""))&gt;$B$1,BP$3&lt;$B292)),-1,IF(BP$3&lt;$B292,BP291+BP$6,IF(BP$3=$B292,1,"")))</f>
        <v>-1</v>
      </c>
      <c r="BQ292">
        <f t="shared" si="855"/>
        <v>-1</v>
      </c>
      <c r="BR292">
        <f t="shared" si="855"/>
        <v>-1</v>
      </c>
      <c r="BS292">
        <f t="shared" si="855"/>
        <v>-1</v>
      </c>
      <c r="BT292">
        <f t="shared" si="855"/>
        <v>-1</v>
      </c>
      <c r="BU292">
        <f t="shared" si="855"/>
        <v>-1</v>
      </c>
      <c r="BV292">
        <f t="shared" si="855"/>
        <v>-1</v>
      </c>
      <c r="BW292">
        <f t="shared" si="855"/>
        <v>-1</v>
      </c>
      <c r="BX292">
        <f t="shared" si="855"/>
        <v>-1</v>
      </c>
      <c r="BY292">
        <f t="shared" si="855"/>
        <v>-1</v>
      </c>
      <c r="BZ292">
        <f t="shared" si="855"/>
        <v>-1</v>
      </c>
      <c r="CA292">
        <f t="shared" si="855"/>
        <v>-1</v>
      </c>
      <c r="CB292">
        <f t="shared" si="855"/>
        <v>-1</v>
      </c>
      <c r="CC292">
        <f t="shared" si="855"/>
        <v>-1</v>
      </c>
      <c r="CD292">
        <f t="shared" si="855"/>
        <v>-1</v>
      </c>
      <c r="CE292">
        <f t="shared" si="855"/>
        <v>-1</v>
      </c>
      <c r="CF292">
        <f t="shared" si="855"/>
        <v>-1</v>
      </c>
      <c r="CG292">
        <f t="shared" si="855"/>
        <v>-1</v>
      </c>
      <c r="CH292">
        <f t="shared" si="855"/>
        <v>-1</v>
      </c>
      <c r="CI292">
        <f t="shared" si="855"/>
        <v>-1</v>
      </c>
      <c r="CJ292">
        <f t="shared" si="855"/>
        <v>-1</v>
      </c>
      <c r="CK292">
        <f t="shared" si="855"/>
        <v>-1</v>
      </c>
      <c r="CL292">
        <f t="shared" si="855"/>
        <v>-1</v>
      </c>
      <c r="CM292">
        <f t="shared" si="855"/>
        <v>-1</v>
      </c>
      <c r="CN292">
        <f t="shared" si="855"/>
        <v>-1</v>
      </c>
      <c r="CO292">
        <f t="shared" si="855"/>
        <v>-1</v>
      </c>
      <c r="CP292">
        <f t="shared" si="855"/>
        <v>-1</v>
      </c>
      <c r="CQ292">
        <f t="shared" si="855"/>
        <v>-1</v>
      </c>
      <c r="CR292">
        <f t="shared" si="855"/>
        <v>-1</v>
      </c>
      <c r="CS292">
        <f t="shared" si="855"/>
        <v>-1</v>
      </c>
      <c r="CT292">
        <f t="shared" si="855"/>
        <v>-1</v>
      </c>
      <c r="CU292">
        <f t="shared" si="855"/>
        <v>-1</v>
      </c>
      <c r="CV292">
        <f t="shared" si="855"/>
        <v>-1</v>
      </c>
      <c r="CW292">
        <f t="shared" si="855"/>
        <v>-1</v>
      </c>
      <c r="CX292">
        <f t="shared" si="855"/>
        <v>-1</v>
      </c>
      <c r="CY292">
        <f t="shared" si="855"/>
        <v>-1</v>
      </c>
      <c r="CZ292">
        <f t="shared" si="855"/>
        <v>-1</v>
      </c>
      <c r="DA292">
        <f t="shared" si="855"/>
        <v>-1</v>
      </c>
      <c r="DB292">
        <f t="shared" si="855"/>
        <v>-1</v>
      </c>
      <c r="DC292">
        <f t="shared" si="855"/>
        <v>-1</v>
      </c>
      <c r="DD292">
        <f t="shared" si="855"/>
        <v>-1</v>
      </c>
      <c r="DE292">
        <f t="shared" si="855"/>
        <v>-1</v>
      </c>
      <c r="DF292">
        <f t="shared" si="855"/>
        <v>-1</v>
      </c>
      <c r="DG292">
        <f t="shared" si="855"/>
        <v>-1</v>
      </c>
      <c r="DH292">
        <f t="shared" si="855"/>
        <v>-1</v>
      </c>
      <c r="DI292">
        <f t="shared" si="855"/>
        <v>-1</v>
      </c>
      <c r="DJ292">
        <f t="shared" si="855"/>
        <v>-1</v>
      </c>
      <c r="DK292">
        <f t="shared" si="855"/>
        <v>-1</v>
      </c>
      <c r="DL292">
        <f t="shared" si="855"/>
        <v>-1</v>
      </c>
      <c r="DM292">
        <f t="shared" si="855"/>
        <v>-1</v>
      </c>
      <c r="DN292">
        <f t="shared" si="855"/>
        <v>-1</v>
      </c>
      <c r="DO292">
        <f t="shared" si="855"/>
        <v>-1</v>
      </c>
      <c r="DP292">
        <f t="shared" si="855"/>
        <v>-1</v>
      </c>
      <c r="DQ292">
        <f t="shared" si="855"/>
        <v>-1</v>
      </c>
      <c r="DR292">
        <f t="shared" si="855"/>
        <v>-1</v>
      </c>
      <c r="DS292">
        <f t="shared" si="855"/>
        <v>-1</v>
      </c>
      <c r="DT292">
        <f t="shared" si="855"/>
        <v>-1</v>
      </c>
      <c r="DU292">
        <f t="shared" si="855"/>
        <v>-1</v>
      </c>
      <c r="DV292">
        <f t="shared" si="855"/>
        <v>-1</v>
      </c>
      <c r="DW292">
        <f t="shared" si="855"/>
        <v>-1</v>
      </c>
      <c r="DX292">
        <f t="shared" si="855"/>
        <v>-1</v>
      </c>
      <c r="DY292">
        <f t="shared" si="855"/>
        <v>-1</v>
      </c>
      <c r="DZ292">
        <f t="shared" si="855"/>
        <v>-1</v>
      </c>
      <c r="EA292">
        <f t="shared" si="855"/>
        <v>-1</v>
      </c>
      <c r="EB292">
        <f t="shared" ref="EB292:EO292" si="856">IF(OR(EB291=-1,AND(IF(EB$3&lt;$B292,EB291+EB$6,IF(EB$3=$B292,1,""))&gt;$B$1,EB$3&lt;$B292)),-1,IF(EB$3&lt;$B292,EB291+EB$6,IF(EB$3=$B292,1,"")))</f>
        <v>-1</v>
      </c>
      <c r="EC292">
        <f t="shared" si="856"/>
        <v>-1</v>
      </c>
      <c r="ED292">
        <f t="shared" si="856"/>
        <v>-1</v>
      </c>
      <c r="EE292">
        <f t="shared" si="856"/>
        <v>-1</v>
      </c>
      <c r="EF292">
        <f t="shared" si="856"/>
        <v>-1</v>
      </c>
      <c r="EG292">
        <f t="shared" si="856"/>
        <v>-1</v>
      </c>
      <c r="EH292">
        <f t="shared" si="856"/>
        <v>-1</v>
      </c>
      <c r="EI292">
        <f t="shared" si="856"/>
        <v>-1</v>
      </c>
      <c r="EJ292">
        <f t="shared" si="856"/>
        <v>-1</v>
      </c>
      <c r="EK292">
        <f t="shared" si="856"/>
        <v>-1</v>
      </c>
      <c r="EL292">
        <f t="shared" si="856"/>
        <v>-1</v>
      </c>
      <c r="EM292">
        <f t="shared" si="856"/>
        <v>-1</v>
      </c>
      <c r="EN292">
        <f t="shared" si="856"/>
        <v>-1</v>
      </c>
      <c r="EO292">
        <f t="shared" si="856"/>
        <v>-1</v>
      </c>
    </row>
    <row r="293" spans="1:145" x14ac:dyDescent="0.15">
      <c r="A293" t="e">
        <f t="shared" si="772"/>
        <v>#N/A</v>
      </c>
      <c r="B293" s="218">
        <v>285</v>
      </c>
      <c r="C293">
        <f t="shared" si="772"/>
        <v>-1</v>
      </c>
      <c r="D293">
        <f t="shared" ref="D293:BO293" si="857">IF(OR(D292=-1,AND(IF(D$3&lt;$B293,D292+D$6,IF(D$3=$B293,1,""))&gt;$B$1,D$3&lt;$B293)),-1,IF(D$3&lt;$B293,D292+D$6,IF(D$3=$B293,1,"")))</f>
        <v>-1</v>
      </c>
      <c r="E293">
        <f t="shared" si="857"/>
        <v>-1</v>
      </c>
      <c r="F293">
        <f t="shared" si="857"/>
        <v>-1</v>
      </c>
      <c r="G293">
        <f t="shared" si="857"/>
        <v>-1</v>
      </c>
      <c r="H293">
        <f t="shared" si="857"/>
        <v>-1</v>
      </c>
      <c r="I293">
        <f t="shared" si="857"/>
        <v>-1</v>
      </c>
      <c r="J293">
        <f t="shared" si="857"/>
        <v>-1</v>
      </c>
      <c r="K293">
        <f t="shared" si="857"/>
        <v>-1</v>
      </c>
      <c r="L293">
        <f t="shared" si="857"/>
        <v>-1</v>
      </c>
      <c r="M293">
        <f t="shared" si="857"/>
        <v>-1</v>
      </c>
      <c r="N293">
        <f t="shared" si="857"/>
        <v>-1</v>
      </c>
      <c r="O293">
        <f t="shared" si="857"/>
        <v>-1</v>
      </c>
      <c r="P293">
        <f t="shared" si="857"/>
        <v>-1</v>
      </c>
      <c r="Q293">
        <f t="shared" si="857"/>
        <v>-1</v>
      </c>
      <c r="R293">
        <f t="shared" si="857"/>
        <v>-1</v>
      </c>
      <c r="S293">
        <f t="shared" si="857"/>
        <v>-1</v>
      </c>
      <c r="T293">
        <f t="shared" si="857"/>
        <v>-1</v>
      </c>
      <c r="U293">
        <f t="shared" si="857"/>
        <v>-1</v>
      </c>
      <c r="V293">
        <f t="shared" si="857"/>
        <v>-1</v>
      </c>
      <c r="W293">
        <f t="shared" si="857"/>
        <v>-1</v>
      </c>
      <c r="X293">
        <f t="shared" si="857"/>
        <v>-1</v>
      </c>
      <c r="Y293">
        <f t="shared" si="857"/>
        <v>-1</v>
      </c>
      <c r="Z293">
        <f t="shared" si="857"/>
        <v>-1</v>
      </c>
      <c r="AA293">
        <f t="shared" si="857"/>
        <v>-1</v>
      </c>
      <c r="AB293">
        <f t="shared" si="857"/>
        <v>-1</v>
      </c>
      <c r="AC293">
        <f t="shared" si="857"/>
        <v>-1</v>
      </c>
      <c r="AD293">
        <f t="shared" si="857"/>
        <v>-1</v>
      </c>
      <c r="AE293">
        <f t="shared" si="857"/>
        <v>-1</v>
      </c>
      <c r="AF293">
        <f t="shared" si="857"/>
        <v>-1</v>
      </c>
      <c r="AG293">
        <f t="shared" si="857"/>
        <v>-1</v>
      </c>
      <c r="AH293">
        <f t="shared" si="857"/>
        <v>-1</v>
      </c>
      <c r="AI293">
        <f t="shared" si="857"/>
        <v>-1</v>
      </c>
      <c r="AJ293">
        <f t="shared" si="857"/>
        <v>-1</v>
      </c>
      <c r="AK293">
        <f t="shared" si="857"/>
        <v>-1</v>
      </c>
      <c r="AL293">
        <f t="shared" si="857"/>
        <v>-1</v>
      </c>
      <c r="AM293">
        <f t="shared" si="857"/>
        <v>-1</v>
      </c>
      <c r="AN293">
        <f t="shared" si="857"/>
        <v>-1</v>
      </c>
      <c r="AO293">
        <f t="shared" si="857"/>
        <v>-1</v>
      </c>
      <c r="AP293">
        <f t="shared" si="857"/>
        <v>-1</v>
      </c>
      <c r="AQ293">
        <f t="shared" si="857"/>
        <v>-1</v>
      </c>
      <c r="AR293">
        <f t="shared" si="857"/>
        <v>-1</v>
      </c>
      <c r="AS293">
        <f t="shared" si="857"/>
        <v>-1</v>
      </c>
      <c r="AT293">
        <f t="shared" si="857"/>
        <v>-1</v>
      </c>
      <c r="AU293">
        <f t="shared" si="857"/>
        <v>-1</v>
      </c>
      <c r="AV293">
        <f t="shared" si="857"/>
        <v>-1</v>
      </c>
      <c r="AW293">
        <f t="shared" si="857"/>
        <v>-1</v>
      </c>
      <c r="AX293">
        <f t="shared" si="857"/>
        <v>-1</v>
      </c>
      <c r="AY293">
        <f t="shared" si="857"/>
        <v>-1</v>
      </c>
      <c r="AZ293">
        <f t="shared" si="857"/>
        <v>-1</v>
      </c>
      <c r="BA293">
        <f t="shared" si="857"/>
        <v>-1</v>
      </c>
      <c r="BB293">
        <f t="shared" si="857"/>
        <v>-1</v>
      </c>
      <c r="BC293">
        <f t="shared" si="857"/>
        <v>-1</v>
      </c>
      <c r="BD293">
        <f t="shared" si="857"/>
        <v>-1</v>
      </c>
      <c r="BE293">
        <f t="shared" si="857"/>
        <v>-1</v>
      </c>
      <c r="BF293">
        <f t="shared" si="857"/>
        <v>-1</v>
      </c>
      <c r="BG293">
        <f t="shared" si="857"/>
        <v>-1</v>
      </c>
      <c r="BH293">
        <f t="shared" si="857"/>
        <v>-1</v>
      </c>
      <c r="BI293">
        <f t="shared" si="857"/>
        <v>-1</v>
      </c>
      <c r="BJ293">
        <f t="shared" si="857"/>
        <v>-1</v>
      </c>
      <c r="BK293">
        <f t="shared" si="857"/>
        <v>-1</v>
      </c>
      <c r="BL293">
        <f t="shared" si="857"/>
        <v>-1</v>
      </c>
      <c r="BM293">
        <f t="shared" si="857"/>
        <v>-1</v>
      </c>
      <c r="BN293">
        <f t="shared" si="857"/>
        <v>-1</v>
      </c>
      <c r="BO293">
        <f t="shared" si="857"/>
        <v>-1</v>
      </c>
      <c r="BP293">
        <f t="shared" ref="BP293:EA293" si="858">IF(OR(BP292=-1,AND(IF(BP$3&lt;$B293,BP292+BP$6,IF(BP$3=$B293,1,""))&gt;$B$1,BP$3&lt;$B293)),-1,IF(BP$3&lt;$B293,BP292+BP$6,IF(BP$3=$B293,1,"")))</f>
        <v>-1</v>
      </c>
      <c r="BQ293">
        <f t="shared" si="858"/>
        <v>-1</v>
      </c>
      <c r="BR293">
        <f t="shared" si="858"/>
        <v>-1</v>
      </c>
      <c r="BS293">
        <f t="shared" si="858"/>
        <v>-1</v>
      </c>
      <c r="BT293">
        <f t="shared" si="858"/>
        <v>-1</v>
      </c>
      <c r="BU293">
        <f t="shared" si="858"/>
        <v>-1</v>
      </c>
      <c r="BV293">
        <f t="shared" si="858"/>
        <v>-1</v>
      </c>
      <c r="BW293">
        <f t="shared" si="858"/>
        <v>-1</v>
      </c>
      <c r="BX293">
        <f t="shared" si="858"/>
        <v>-1</v>
      </c>
      <c r="BY293">
        <f t="shared" si="858"/>
        <v>-1</v>
      </c>
      <c r="BZ293">
        <f t="shared" si="858"/>
        <v>-1</v>
      </c>
      <c r="CA293">
        <f t="shared" si="858"/>
        <v>-1</v>
      </c>
      <c r="CB293">
        <f t="shared" si="858"/>
        <v>-1</v>
      </c>
      <c r="CC293">
        <f t="shared" si="858"/>
        <v>-1</v>
      </c>
      <c r="CD293">
        <f t="shared" si="858"/>
        <v>-1</v>
      </c>
      <c r="CE293">
        <f t="shared" si="858"/>
        <v>-1</v>
      </c>
      <c r="CF293">
        <f t="shared" si="858"/>
        <v>-1</v>
      </c>
      <c r="CG293">
        <f t="shared" si="858"/>
        <v>-1</v>
      </c>
      <c r="CH293">
        <f t="shared" si="858"/>
        <v>-1</v>
      </c>
      <c r="CI293">
        <f t="shared" si="858"/>
        <v>-1</v>
      </c>
      <c r="CJ293">
        <f t="shared" si="858"/>
        <v>-1</v>
      </c>
      <c r="CK293">
        <f t="shared" si="858"/>
        <v>-1</v>
      </c>
      <c r="CL293">
        <f t="shared" si="858"/>
        <v>-1</v>
      </c>
      <c r="CM293">
        <f t="shared" si="858"/>
        <v>-1</v>
      </c>
      <c r="CN293">
        <f t="shared" si="858"/>
        <v>-1</v>
      </c>
      <c r="CO293">
        <f t="shared" si="858"/>
        <v>-1</v>
      </c>
      <c r="CP293">
        <f t="shared" si="858"/>
        <v>-1</v>
      </c>
      <c r="CQ293">
        <f t="shared" si="858"/>
        <v>-1</v>
      </c>
      <c r="CR293">
        <f t="shared" si="858"/>
        <v>-1</v>
      </c>
      <c r="CS293">
        <f t="shared" si="858"/>
        <v>-1</v>
      </c>
      <c r="CT293">
        <f t="shared" si="858"/>
        <v>-1</v>
      </c>
      <c r="CU293">
        <f t="shared" si="858"/>
        <v>-1</v>
      </c>
      <c r="CV293">
        <f t="shared" si="858"/>
        <v>-1</v>
      </c>
      <c r="CW293">
        <f t="shared" si="858"/>
        <v>-1</v>
      </c>
      <c r="CX293">
        <f t="shared" si="858"/>
        <v>-1</v>
      </c>
      <c r="CY293">
        <f t="shared" si="858"/>
        <v>-1</v>
      </c>
      <c r="CZ293">
        <f t="shared" si="858"/>
        <v>-1</v>
      </c>
      <c r="DA293">
        <f t="shared" si="858"/>
        <v>-1</v>
      </c>
      <c r="DB293">
        <f t="shared" si="858"/>
        <v>-1</v>
      </c>
      <c r="DC293">
        <f t="shared" si="858"/>
        <v>-1</v>
      </c>
      <c r="DD293">
        <f t="shared" si="858"/>
        <v>-1</v>
      </c>
      <c r="DE293">
        <f t="shared" si="858"/>
        <v>-1</v>
      </c>
      <c r="DF293">
        <f t="shared" si="858"/>
        <v>-1</v>
      </c>
      <c r="DG293">
        <f t="shared" si="858"/>
        <v>-1</v>
      </c>
      <c r="DH293">
        <f t="shared" si="858"/>
        <v>-1</v>
      </c>
      <c r="DI293">
        <f t="shared" si="858"/>
        <v>-1</v>
      </c>
      <c r="DJ293">
        <f t="shared" si="858"/>
        <v>-1</v>
      </c>
      <c r="DK293">
        <f t="shared" si="858"/>
        <v>-1</v>
      </c>
      <c r="DL293">
        <f t="shared" si="858"/>
        <v>-1</v>
      </c>
      <c r="DM293">
        <f t="shared" si="858"/>
        <v>-1</v>
      </c>
      <c r="DN293">
        <f t="shared" si="858"/>
        <v>-1</v>
      </c>
      <c r="DO293">
        <f t="shared" si="858"/>
        <v>-1</v>
      </c>
      <c r="DP293">
        <f t="shared" si="858"/>
        <v>-1</v>
      </c>
      <c r="DQ293">
        <f t="shared" si="858"/>
        <v>-1</v>
      </c>
      <c r="DR293">
        <f t="shared" si="858"/>
        <v>-1</v>
      </c>
      <c r="DS293">
        <f t="shared" si="858"/>
        <v>-1</v>
      </c>
      <c r="DT293">
        <f t="shared" si="858"/>
        <v>-1</v>
      </c>
      <c r="DU293">
        <f t="shared" si="858"/>
        <v>-1</v>
      </c>
      <c r="DV293">
        <f t="shared" si="858"/>
        <v>-1</v>
      </c>
      <c r="DW293">
        <f t="shared" si="858"/>
        <v>-1</v>
      </c>
      <c r="DX293">
        <f t="shared" si="858"/>
        <v>-1</v>
      </c>
      <c r="DY293">
        <f t="shared" si="858"/>
        <v>-1</v>
      </c>
      <c r="DZ293">
        <f t="shared" si="858"/>
        <v>-1</v>
      </c>
      <c r="EA293">
        <f t="shared" si="858"/>
        <v>-1</v>
      </c>
      <c r="EB293">
        <f t="shared" ref="EB293:EO293" si="859">IF(OR(EB292=-1,AND(IF(EB$3&lt;$B293,EB292+EB$6,IF(EB$3=$B293,1,""))&gt;$B$1,EB$3&lt;$B293)),-1,IF(EB$3&lt;$B293,EB292+EB$6,IF(EB$3=$B293,1,"")))</f>
        <v>-1</v>
      </c>
      <c r="EC293">
        <f t="shared" si="859"/>
        <v>-1</v>
      </c>
      <c r="ED293">
        <f t="shared" si="859"/>
        <v>-1</v>
      </c>
      <c r="EE293">
        <f t="shared" si="859"/>
        <v>-1</v>
      </c>
      <c r="EF293">
        <f t="shared" si="859"/>
        <v>-1</v>
      </c>
      <c r="EG293">
        <f t="shared" si="859"/>
        <v>-1</v>
      </c>
      <c r="EH293">
        <f t="shared" si="859"/>
        <v>-1</v>
      </c>
      <c r="EI293">
        <f t="shared" si="859"/>
        <v>-1</v>
      </c>
      <c r="EJ293">
        <f t="shared" si="859"/>
        <v>-1</v>
      </c>
      <c r="EK293">
        <f t="shared" si="859"/>
        <v>-1</v>
      </c>
      <c r="EL293">
        <f t="shared" si="859"/>
        <v>-1</v>
      </c>
      <c r="EM293">
        <f t="shared" si="859"/>
        <v>-1</v>
      </c>
      <c r="EN293">
        <f t="shared" si="859"/>
        <v>-1</v>
      </c>
      <c r="EO293">
        <f t="shared" si="859"/>
        <v>-1</v>
      </c>
    </row>
    <row r="294" spans="1:145" x14ac:dyDescent="0.15">
      <c r="A294" t="e">
        <f t="shared" si="772"/>
        <v>#N/A</v>
      </c>
      <c r="B294" s="218">
        <v>286</v>
      </c>
      <c r="C294">
        <f t="shared" si="772"/>
        <v>-1</v>
      </c>
      <c r="D294">
        <f t="shared" ref="D294:BO294" si="860">IF(OR(D293=-1,AND(IF(D$3&lt;$B294,D293+D$6,IF(D$3=$B294,1,""))&gt;$B$1,D$3&lt;$B294)),-1,IF(D$3&lt;$B294,D293+D$6,IF(D$3=$B294,1,"")))</f>
        <v>-1</v>
      </c>
      <c r="E294">
        <f t="shared" si="860"/>
        <v>-1</v>
      </c>
      <c r="F294">
        <f t="shared" si="860"/>
        <v>-1</v>
      </c>
      <c r="G294">
        <f t="shared" si="860"/>
        <v>-1</v>
      </c>
      <c r="H294">
        <f t="shared" si="860"/>
        <v>-1</v>
      </c>
      <c r="I294">
        <f t="shared" si="860"/>
        <v>-1</v>
      </c>
      <c r="J294">
        <f t="shared" si="860"/>
        <v>-1</v>
      </c>
      <c r="K294">
        <f t="shared" si="860"/>
        <v>-1</v>
      </c>
      <c r="L294">
        <f t="shared" si="860"/>
        <v>-1</v>
      </c>
      <c r="M294">
        <f t="shared" si="860"/>
        <v>-1</v>
      </c>
      <c r="N294">
        <f t="shared" si="860"/>
        <v>-1</v>
      </c>
      <c r="O294">
        <f t="shared" si="860"/>
        <v>-1</v>
      </c>
      <c r="P294">
        <f t="shared" si="860"/>
        <v>-1</v>
      </c>
      <c r="Q294">
        <f t="shared" si="860"/>
        <v>-1</v>
      </c>
      <c r="R294">
        <f t="shared" si="860"/>
        <v>-1</v>
      </c>
      <c r="S294">
        <f t="shared" si="860"/>
        <v>-1</v>
      </c>
      <c r="T294">
        <f t="shared" si="860"/>
        <v>-1</v>
      </c>
      <c r="U294">
        <f t="shared" si="860"/>
        <v>-1</v>
      </c>
      <c r="V294">
        <f t="shared" si="860"/>
        <v>-1</v>
      </c>
      <c r="W294">
        <f t="shared" si="860"/>
        <v>-1</v>
      </c>
      <c r="X294">
        <f t="shared" si="860"/>
        <v>-1</v>
      </c>
      <c r="Y294">
        <f t="shared" si="860"/>
        <v>-1</v>
      </c>
      <c r="Z294">
        <f t="shared" si="860"/>
        <v>-1</v>
      </c>
      <c r="AA294">
        <f t="shared" si="860"/>
        <v>-1</v>
      </c>
      <c r="AB294">
        <f t="shared" si="860"/>
        <v>-1</v>
      </c>
      <c r="AC294">
        <f t="shared" si="860"/>
        <v>-1</v>
      </c>
      <c r="AD294">
        <f t="shared" si="860"/>
        <v>-1</v>
      </c>
      <c r="AE294">
        <f t="shared" si="860"/>
        <v>-1</v>
      </c>
      <c r="AF294">
        <f t="shared" si="860"/>
        <v>-1</v>
      </c>
      <c r="AG294">
        <f t="shared" si="860"/>
        <v>-1</v>
      </c>
      <c r="AH294">
        <f t="shared" si="860"/>
        <v>-1</v>
      </c>
      <c r="AI294">
        <f t="shared" si="860"/>
        <v>-1</v>
      </c>
      <c r="AJ294">
        <f t="shared" si="860"/>
        <v>-1</v>
      </c>
      <c r="AK294">
        <f t="shared" si="860"/>
        <v>-1</v>
      </c>
      <c r="AL294">
        <f t="shared" si="860"/>
        <v>-1</v>
      </c>
      <c r="AM294">
        <f t="shared" si="860"/>
        <v>-1</v>
      </c>
      <c r="AN294">
        <f t="shared" si="860"/>
        <v>-1</v>
      </c>
      <c r="AO294">
        <f t="shared" si="860"/>
        <v>-1</v>
      </c>
      <c r="AP294">
        <f t="shared" si="860"/>
        <v>-1</v>
      </c>
      <c r="AQ294">
        <f t="shared" si="860"/>
        <v>-1</v>
      </c>
      <c r="AR294">
        <f t="shared" si="860"/>
        <v>-1</v>
      </c>
      <c r="AS294">
        <f t="shared" si="860"/>
        <v>-1</v>
      </c>
      <c r="AT294">
        <f t="shared" si="860"/>
        <v>-1</v>
      </c>
      <c r="AU294">
        <f t="shared" si="860"/>
        <v>-1</v>
      </c>
      <c r="AV294">
        <f t="shared" si="860"/>
        <v>-1</v>
      </c>
      <c r="AW294">
        <f t="shared" si="860"/>
        <v>-1</v>
      </c>
      <c r="AX294">
        <f t="shared" si="860"/>
        <v>-1</v>
      </c>
      <c r="AY294">
        <f t="shared" si="860"/>
        <v>-1</v>
      </c>
      <c r="AZ294">
        <f t="shared" si="860"/>
        <v>-1</v>
      </c>
      <c r="BA294">
        <f t="shared" si="860"/>
        <v>-1</v>
      </c>
      <c r="BB294">
        <f t="shared" si="860"/>
        <v>-1</v>
      </c>
      <c r="BC294">
        <f t="shared" si="860"/>
        <v>-1</v>
      </c>
      <c r="BD294">
        <f t="shared" si="860"/>
        <v>-1</v>
      </c>
      <c r="BE294">
        <f t="shared" si="860"/>
        <v>-1</v>
      </c>
      <c r="BF294">
        <f t="shared" si="860"/>
        <v>-1</v>
      </c>
      <c r="BG294">
        <f t="shared" si="860"/>
        <v>-1</v>
      </c>
      <c r="BH294">
        <f t="shared" si="860"/>
        <v>-1</v>
      </c>
      <c r="BI294">
        <f t="shared" si="860"/>
        <v>-1</v>
      </c>
      <c r="BJ294">
        <f t="shared" si="860"/>
        <v>-1</v>
      </c>
      <c r="BK294">
        <f t="shared" si="860"/>
        <v>-1</v>
      </c>
      <c r="BL294">
        <f t="shared" si="860"/>
        <v>-1</v>
      </c>
      <c r="BM294">
        <f t="shared" si="860"/>
        <v>-1</v>
      </c>
      <c r="BN294">
        <f t="shared" si="860"/>
        <v>-1</v>
      </c>
      <c r="BO294">
        <f t="shared" si="860"/>
        <v>-1</v>
      </c>
      <c r="BP294">
        <f t="shared" ref="BP294:EA294" si="861">IF(OR(BP293=-1,AND(IF(BP$3&lt;$B294,BP293+BP$6,IF(BP$3=$B294,1,""))&gt;$B$1,BP$3&lt;$B294)),-1,IF(BP$3&lt;$B294,BP293+BP$6,IF(BP$3=$B294,1,"")))</f>
        <v>-1</v>
      </c>
      <c r="BQ294">
        <f t="shared" si="861"/>
        <v>-1</v>
      </c>
      <c r="BR294">
        <f t="shared" si="861"/>
        <v>-1</v>
      </c>
      <c r="BS294">
        <f t="shared" si="861"/>
        <v>-1</v>
      </c>
      <c r="BT294">
        <f t="shared" si="861"/>
        <v>-1</v>
      </c>
      <c r="BU294">
        <f t="shared" si="861"/>
        <v>-1</v>
      </c>
      <c r="BV294">
        <f t="shared" si="861"/>
        <v>-1</v>
      </c>
      <c r="BW294">
        <f t="shared" si="861"/>
        <v>-1</v>
      </c>
      <c r="BX294">
        <f t="shared" si="861"/>
        <v>-1</v>
      </c>
      <c r="BY294">
        <f t="shared" si="861"/>
        <v>-1</v>
      </c>
      <c r="BZ294">
        <f t="shared" si="861"/>
        <v>-1</v>
      </c>
      <c r="CA294">
        <f t="shared" si="861"/>
        <v>-1</v>
      </c>
      <c r="CB294">
        <f t="shared" si="861"/>
        <v>-1</v>
      </c>
      <c r="CC294">
        <f t="shared" si="861"/>
        <v>-1</v>
      </c>
      <c r="CD294">
        <f t="shared" si="861"/>
        <v>-1</v>
      </c>
      <c r="CE294">
        <f t="shared" si="861"/>
        <v>-1</v>
      </c>
      <c r="CF294">
        <f t="shared" si="861"/>
        <v>-1</v>
      </c>
      <c r="CG294">
        <f t="shared" si="861"/>
        <v>-1</v>
      </c>
      <c r="CH294">
        <f t="shared" si="861"/>
        <v>-1</v>
      </c>
      <c r="CI294">
        <f t="shared" si="861"/>
        <v>-1</v>
      </c>
      <c r="CJ294">
        <f t="shared" si="861"/>
        <v>-1</v>
      </c>
      <c r="CK294">
        <f t="shared" si="861"/>
        <v>-1</v>
      </c>
      <c r="CL294">
        <f t="shared" si="861"/>
        <v>-1</v>
      </c>
      <c r="CM294">
        <f t="shared" si="861"/>
        <v>-1</v>
      </c>
      <c r="CN294">
        <f t="shared" si="861"/>
        <v>-1</v>
      </c>
      <c r="CO294">
        <f t="shared" si="861"/>
        <v>-1</v>
      </c>
      <c r="CP294">
        <f t="shared" si="861"/>
        <v>-1</v>
      </c>
      <c r="CQ294">
        <f t="shared" si="861"/>
        <v>-1</v>
      </c>
      <c r="CR294">
        <f t="shared" si="861"/>
        <v>-1</v>
      </c>
      <c r="CS294">
        <f t="shared" si="861"/>
        <v>-1</v>
      </c>
      <c r="CT294">
        <f t="shared" si="861"/>
        <v>-1</v>
      </c>
      <c r="CU294">
        <f t="shared" si="861"/>
        <v>-1</v>
      </c>
      <c r="CV294">
        <f t="shared" si="861"/>
        <v>-1</v>
      </c>
      <c r="CW294">
        <f t="shared" si="861"/>
        <v>-1</v>
      </c>
      <c r="CX294">
        <f t="shared" si="861"/>
        <v>-1</v>
      </c>
      <c r="CY294">
        <f t="shared" si="861"/>
        <v>-1</v>
      </c>
      <c r="CZ294">
        <f t="shared" si="861"/>
        <v>-1</v>
      </c>
      <c r="DA294">
        <f t="shared" si="861"/>
        <v>-1</v>
      </c>
      <c r="DB294">
        <f t="shared" si="861"/>
        <v>-1</v>
      </c>
      <c r="DC294">
        <f t="shared" si="861"/>
        <v>-1</v>
      </c>
      <c r="DD294">
        <f t="shared" si="861"/>
        <v>-1</v>
      </c>
      <c r="DE294">
        <f t="shared" si="861"/>
        <v>-1</v>
      </c>
      <c r="DF294">
        <f t="shared" si="861"/>
        <v>-1</v>
      </c>
      <c r="DG294">
        <f t="shared" si="861"/>
        <v>-1</v>
      </c>
      <c r="DH294">
        <f t="shared" si="861"/>
        <v>-1</v>
      </c>
      <c r="DI294">
        <f t="shared" si="861"/>
        <v>-1</v>
      </c>
      <c r="DJ294">
        <f t="shared" si="861"/>
        <v>-1</v>
      </c>
      <c r="DK294">
        <f t="shared" si="861"/>
        <v>-1</v>
      </c>
      <c r="DL294">
        <f t="shared" si="861"/>
        <v>-1</v>
      </c>
      <c r="DM294">
        <f t="shared" si="861"/>
        <v>-1</v>
      </c>
      <c r="DN294">
        <f t="shared" si="861"/>
        <v>-1</v>
      </c>
      <c r="DO294">
        <f t="shared" si="861"/>
        <v>-1</v>
      </c>
      <c r="DP294">
        <f t="shared" si="861"/>
        <v>-1</v>
      </c>
      <c r="DQ294">
        <f t="shared" si="861"/>
        <v>-1</v>
      </c>
      <c r="DR294">
        <f t="shared" si="861"/>
        <v>-1</v>
      </c>
      <c r="DS294">
        <f t="shared" si="861"/>
        <v>-1</v>
      </c>
      <c r="DT294">
        <f t="shared" si="861"/>
        <v>-1</v>
      </c>
      <c r="DU294">
        <f t="shared" si="861"/>
        <v>-1</v>
      </c>
      <c r="DV294">
        <f t="shared" si="861"/>
        <v>-1</v>
      </c>
      <c r="DW294">
        <f t="shared" si="861"/>
        <v>-1</v>
      </c>
      <c r="DX294">
        <f t="shared" si="861"/>
        <v>-1</v>
      </c>
      <c r="DY294">
        <f t="shared" si="861"/>
        <v>-1</v>
      </c>
      <c r="DZ294">
        <f t="shared" si="861"/>
        <v>-1</v>
      </c>
      <c r="EA294">
        <f t="shared" si="861"/>
        <v>-1</v>
      </c>
      <c r="EB294">
        <f t="shared" ref="EB294:EO294" si="862">IF(OR(EB293=-1,AND(IF(EB$3&lt;$B294,EB293+EB$6,IF(EB$3=$B294,1,""))&gt;$B$1,EB$3&lt;$B294)),-1,IF(EB$3&lt;$B294,EB293+EB$6,IF(EB$3=$B294,1,"")))</f>
        <v>-1</v>
      </c>
      <c r="EC294">
        <f t="shared" si="862"/>
        <v>-1</v>
      </c>
      <c r="ED294">
        <f t="shared" si="862"/>
        <v>-1</v>
      </c>
      <c r="EE294">
        <f t="shared" si="862"/>
        <v>-1</v>
      </c>
      <c r="EF294">
        <f t="shared" si="862"/>
        <v>-1</v>
      </c>
      <c r="EG294">
        <f t="shared" si="862"/>
        <v>-1</v>
      </c>
      <c r="EH294">
        <f t="shared" si="862"/>
        <v>-1</v>
      </c>
      <c r="EI294">
        <f t="shared" si="862"/>
        <v>-1</v>
      </c>
      <c r="EJ294">
        <f t="shared" si="862"/>
        <v>-1</v>
      </c>
      <c r="EK294">
        <f t="shared" si="862"/>
        <v>-1</v>
      </c>
      <c r="EL294">
        <f t="shared" si="862"/>
        <v>-1</v>
      </c>
      <c r="EM294">
        <f t="shared" si="862"/>
        <v>-1</v>
      </c>
      <c r="EN294">
        <f t="shared" si="862"/>
        <v>-1</v>
      </c>
      <c r="EO294">
        <f t="shared" si="862"/>
        <v>-1</v>
      </c>
    </row>
    <row r="295" spans="1:145" x14ac:dyDescent="0.15">
      <c r="A295" t="e">
        <f t="shared" si="772"/>
        <v>#N/A</v>
      </c>
      <c r="B295" s="218">
        <v>287</v>
      </c>
      <c r="C295">
        <f t="shared" si="772"/>
        <v>-1</v>
      </c>
      <c r="D295">
        <f t="shared" ref="D295:BO295" si="863">IF(OR(D294=-1,AND(IF(D$3&lt;$B295,D294+D$6,IF(D$3=$B295,1,""))&gt;$B$1,D$3&lt;$B295)),-1,IF(D$3&lt;$B295,D294+D$6,IF(D$3=$B295,1,"")))</f>
        <v>-1</v>
      </c>
      <c r="E295">
        <f t="shared" si="863"/>
        <v>-1</v>
      </c>
      <c r="F295">
        <f t="shared" si="863"/>
        <v>-1</v>
      </c>
      <c r="G295">
        <f t="shared" si="863"/>
        <v>-1</v>
      </c>
      <c r="H295">
        <f t="shared" si="863"/>
        <v>-1</v>
      </c>
      <c r="I295">
        <f t="shared" si="863"/>
        <v>-1</v>
      </c>
      <c r="J295">
        <f t="shared" si="863"/>
        <v>-1</v>
      </c>
      <c r="K295">
        <f t="shared" si="863"/>
        <v>-1</v>
      </c>
      <c r="L295">
        <f t="shared" si="863"/>
        <v>-1</v>
      </c>
      <c r="M295">
        <f t="shared" si="863"/>
        <v>-1</v>
      </c>
      <c r="N295">
        <f t="shared" si="863"/>
        <v>-1</v>
      </c>
      <c r="O295">
        <f t="shared" si="863"/>
        <v>-1</v>
      </c>
      <c r="P295">
        <f t="shared" si="863"/>
        <v>-1</v>
      </c>
      <c r="Q295">
        <f t="shared" si="863"/>
        <v>-1</v>
      </c>
      <c r="R295">
        <f t="shared" si="863"/>
        <v>-1</v>
      </c>
      <c r="S295">
        <f t="shared" si="863"/>
        <v>-1</v>
      </c>
      <c r="T295">
        <f t="shared" si="863"/>
        <v>-1</v>
      </c>
      <c r="U295">
        <f t="shared" si="863"/>
        <v>-1</v>
      </c>
      <c r="V295">
        <f t="shared" si="863"/>
        <v>-1</v>
      </c>
      <c r="W295">
        <f t="shared" si="863"/>
        <v>-1</v>
      </c>
      <c r="X295">
        <f t="shared" si="863"/>
        <v>-1</v>
      </c>
      <c r="Y295">
        <f t="shared" si="863"/>
        <v>-1</v>
      </c>
      <c r="Z295">
        <f t="shared" si="863"/>
        <v>-1</v>
      </c>
      <c r="AA295">
        <f t="shared" si="863"/>
        <v>-1</v>
      </c>
      <c r="AB295">
        <f t="shared" si="863"/>
        <v>-1</v>
      </c>
      <c r="AC295">
        <f t="shared" si="863"/>
        <v>-1</v>
      </c>
      <c r="AD295">
        <f t="shared" si="863"/>
        <v>-1</v>
      </c>
      <c r="AE295">
        <f t="shared" si="863"/>
        <v>-1</v>
      </c>
      <c r="AF295">
        <f t="shared" si="863"/>
        <v>-1</v>
      </c>
      <c r="AG295">
        <f t="shared" si="863"/>
        <v>-1</v>
      </c>
      <c r="AH295">
        <f t="shared" si="863"/>
        <v>-1</v>
      </c>
      <c r="AI295">
        <f t="shared" si="863"/>
        <v>-1</v>
      </c>
      <c r="AJ295">
        <f t="shared" si="863"/>
        <v>-1</v>
      </c>
      <c r="AK295">
        <f t="shared" si="863"/>
        <v>-1</v>
      </c>
      <c r="AL295">
        <f t="shared" si="863"/>
        <v>-1</v>
      </c>
      <c r="AM295">
        <f t="shared" si="863"/>
        <v>-1</v>
      </c>
      <c r="AN295">
        <f t="shared" si="863"/>
        <v>-1</v>
      </c>
      <c r="AO295">
        <f t="shared" si="863"/>
        <v>-1</v>
      </c>
      <c r="AP295">
        <f t="shared" si="863"/>
        <v>-1</v>
      </c>
      <c r="AQ295">
        <f t="shared" si="863"/>
        <v>-1</v>
      </c>
      <c r="AR295">
        <f t="shared" si="863"/>
        <v>-1</v>
      </c>
      <c r="AS295">
        <f t="shared" si="863"/>
        <v>-1</v>
      </c>
      <c r="AT295">
        <f t="shared" si="863"/>
        <v>-1</v>
      </c>
      <c r="AU295">
        <f t="shared" si="863"/>
        <v>-1</v>
      </c>
      <c r="AV295">
        <f t="shared" si="863"/>
        <v>-1</v>
      </c>
      <c r="AW295">
        <f t="shared" si="863"/>
        <v>-1</v>
      </c>
      <c r="AX295">
        <f t="shared" si="863"/>
        <v>-1</v>
      </c>
      <c r="AY295">
        <f t="shared" si="863"/>
        <v>-1</v>
      </c>
      <c r="AZ295">
        <f t="shared" si="863"/>
        <v>-1</v>
      </c>
      <c r="BA295">
        <f t="shared" si="863"/>
        <v>-1</v>
      </c>
      <c r="BB295">
        <f t="shared" si="863"/>
        <v>-1</v>
      </c>
      <c r="BC295">
        <f t="shared" si="863"/>
        <v>-1</v>
      </c>
      <c r="BD295">
        <f t="shared" si="863"/>
        <v>-1</v>
      </c>
      <c r="BE295">
        <f t="shared" si="863"/>
        <v>-1</v>
      </c>
      <c r="BF295">
        <f t="shared" si="863"/>
        <v>-1</v>
      </c>
      <c r="BG295">
        <f t="shared" si="863"/>
        <v>-1</v>
      </c>
      <c r="BH295">
        <f t="shared" si="863"/>
        <v>-1</v>
      </c>
      <c r="BI295">
        <f t="shared" si="863"/>
        <v>-1</v>
      </c>
      <c r="BJ295">
        <f t="shared" si="863"/>
        <v>-1</v>
      </c>
      <c r="BK295">
        <f t="shared" si="863"/>
        <v>-1</v>
      </c>
      <c r="BL295">
        <f t="shared" si="863"/>
        <v>-1</v>
      </c>
      <c r="BM295">
        <f t="shared" si="863"/>
        <v>-1</v>
      </c>
      <c r="BN295">
        <f t="shared" si="863"/>
        <v>-1</v>
      </c>
      <c r="BO295">
        <f t="shared" si="863"/>
        <v>-1</v>
      </c>
      <c r="BP295">
        <f t="shared" ref="BP295:EA295" si="864">IF(OR(BP294=-1,AND(IF(BP$3&lt;$B295,BP294+BP$6,IF(BP$3=$B295,1,""))&gt;$B$1,BP$3&lt;$B295)),-1,IF(BP$3&lt;$B295,BP294+BP$6,IF(BP$3=$B295,1,"")))</f>
        <v>-1</v>
      </c>
      <c r="BQ295">
        <f t="shared" si="864"/>
        <v>-1</v>
      </c>
      <c r="BR295">
        <f t="shared" si="864"/>
        <v>-1</v>
      </c>
      <c r="BS295">
        <f t="shared" si="864"/>
        <v>-1</v>
      </c>
      <c r="BT295">
        <f t="shared" si="864"/>
        <v>-1</v>
      </c>
      <c r="BU295">
        <f t="shared" si="864"/>
        <v>-1</v>
      </c>
      <c r="BV295">
        <f t="shared" si="864"/>
        <v>-1</v>
      </c>
      <c r="BW295">
        <f t="shared" si="864"/>
        <v>-1</v>
      </c>
      <c r="BX295">
        <f t="shared" si="864"/>
        <v>-1</v>
      </c>
      <c r="BY295">
        <f t="shared" si="864"/>
        <v>-1</v>
      </c>
      <c r="BZ295">
        <f t="shared" si="864"/>
        <v>-1</v>
      </c>
      <c r="CA295">
        <f t="shared" si="864"/>
        <v>-1</v>
      </c>
      <c r="CB295">
        <f t="shared" si="864"/>
        <v>-1</v>
      </c>
      <c r="CC295">
        <f t="shared" si="864"/>
        <v>-1</v>
      </c>
      <c r="CD295">
        <f t="shared" si="864"/>
        <v>-1</v>
      </c>
      <c r="CE295">
        <f t="shared" si="864"/>
        <v>-1</v>
      </c>
      <c r="CF295">
        <f t="shared" si="864"/>
        <v>-1</v>
      </c>
      <c r="CG295">
        <f t="shared" si="864"/>
        <v>-1</v>
      </c>
      <c r="CH295">
        <f t="shared" si="864"/>
        <v>-1</v>
      </c>
      <c r="CI295">
        <f t="shared" si="864"/>
        <v>-1</v>
      </c>
      <c r="CJ295">
        <f t="shared" si="864"/>
        <v>-1</v>
      </c>
      <c r="CK295">
        <f t="shared" si="864"/>
        <v>-1</v>
      </c>
      <c r="CL295">
        <f t="shared" si="864"/>
        <v>-1</v>
      </c>
      <c r="CM295">
        <f t="shared" si="864"/>
        <v>-1</v>
      </c>
      <c r="CN295">
        <f t="shared" si="864"/>
        <v>-1</v>
      </c>
      <c r="CO295">
        <f t="shared" si="864"/>
        <v>-1</v>
      </c>
      <c r="CP295">
        <f t="shared" si="864"/>
        <v>-1</v>
      </c>
      <c r="CQ295">
        <f t="shared" si="864"/>
        <v>-1</v>
      </c>
      <c r="CR295">
        <f t="shared" si="864"/>
        <v>-1</v>
      </c>
      <c r="CS295">
        <f t="shared" si="864"/>
        <v>-1</v>
      </c>
      <c r="CT295">
        <f t="shared" si="864"/>
        <v>-1</v>
      </c>
      <c r="CU295">
        <f t="shared" si="864"/>
        <v>-1</v>
      </c>
      <c r="CV295">
        <f t="shared" si="864"/>
        <v>-1</v>
      </c>
      <c r="CW295">
        <f t="shared" si="864"/>
        <v>-1</v>
      </c>
      <c r="CX295">
        <f t="shared" si="864"/>
        <v>-1</v>
      </c>
      <c r="CY295">
        <f t="shared" si="864"/>
        <v>-1</v>
      </c>
      <c r="CZ295">
        <f t="shared" si="864"/>
        <v>-1</v>
      </c>
      <c r="DA295">
        <f t="shared" si="864"/>
        <v>-1</v>
      </c>
      <c r="DB295">
        <f t="shared" si="864"/>
        <v>-1</v>
      </c>
      <c r="DC295">
        <f t="shared" si="864"/>
        <v>-1</v>
      </c>
      <c r="DD295">
        <f t="shared" si="864"/>
        <v>-1</v>
      </c>
      <c r="DE295">
        <f t="shared" si="864"/>
        <v>-1</v>
      </c>
      <c r="DF295">
        <f t="shared" si="864"/>
        <v>-1</v>
      </c>
      <c r="DG295">
        <f t="shared" si="864"/>
        <v>-1</v>
      </c>
      <c r="DH295">
        <f t="shared" si="864"/>
        <v>-1</v>
      </c>
      <c r="DI295">
        <f t="shared" si="864"/>
        <v>-1</v>
      </c>
      <c r="DJ295">
        <f t="shared" si="864"/>
        <v>-1</v>
      </c>
      <c r="DK295">
        <f t="shared" si="864"/>
        <v>-1</v>
      </c>
      <c r="DL295">
        <f t="shared" si="864"/>
        <v>-1</v>
      </c>
      <c r="DM295">
        <f t="shared" si="864"/>
        <v>-1</v>
      </c>
      <c r="DN295">
        <f t="shared" si="864"/>
        <v>-1</v>
      </c>
      <c r="DO295">
        <f t="shared" si="864"/>
        <v>-1</v>
      </c>
      <c r="DP295">
        <f t="shared" si="864"/>
        <v>-1</v>
      </c>
      <c r="DQ295">
        <f t="shared" si="864"/>
        <v>-1</v>
      </c>
      <c r="DR295">
        <f t="shared" si="864"/>
        <v>-1</v>
      </c>
      <c r="DS295">
        <f t="shared" si="864"/>
        <v>-1</v>
      </c>
      <c r="DT295">
        <f t="shared" si="864"/>
        <v>-1</v>
      </c>
      <c r="DU295">
        <f t="shared" si="864"/>
        <v>-1</v>
      </c>
      <c r="DV295">
        <f t="shared" si="864"/>
        <v>-1</v>
      </c>
      <c r="DW295">
        <f t="shared" si="864"/>
        <v>-1</v>
      </c>
      <c r="DX295">
        <f t="shared" si="864"/>
        <v>-1</v>
      </c>
      <c r="DY295">
        <f t="shared" si="864"/>
        <v>-1</v>
      </c>
      <c r="DZ295">
        <f t="shared" si="864"/>
        <v>-1</v>
      </c>
      <c r="EA295">
        <f t="shared" si="864"/>
        <v>-1</v>
      </c>
      <c r="EB295">
        <f t="shared" ref="EB295:EO295" si="865">IF(OR(EB294=-1,AND(IF(EB$3&lt;$B295,EB294+EB$6,IF(EB$3=$B295,1,""))&gt;$B$1,EB$3&lt;$B295)),-1,IF(EB$3&lt;$B295,EB294+EB$6,IF(EB$3=$B295,1,"")))</f>
        <v>-1</v>
      </c>
      <c r="EC295">
        <f t="shared" si="865"/>
        <v>-1</v>
      </c>
      <c r="ED295">
        <f t="shared" si="865"/>
        <v>-1</v>
      </c>
      <c r="EE295">
        <f t="shared" si="865"/>
        <v>-1</v>
      </c>
      <c r="EF295">
        <f t="shared" si="865"/>
        <v>-1</v>
      </c>
      <c r="EG295">
        <f t="shared" si="865"/>
        <v>-1</v>
      </c>
      <c r="EH295">
        <f t="shared" si="865"/>
        <v>-1</v>
      </c>
      <c r="EI295">
        <f t="shared" si="865"/>
        <v>-1</v>
      </c>
      <c r="EJ295">
        <f t="shared" si="865"/>
        <v>-1</v>
      </c>
      <c r="EK295">
        <f t="shared" si="865"/>
        <v>-1</v>
      </c>
      <c r="EL295">
        <f t="shared" si="865"/>
        <v>-1</v>
      </c>
      <c r="EM295">
        <f t="shared" si="865"/>
        <v>-1</v>
      </c>
      <c r="EN295">
        <f t="shared" si="865"/>
        <v>-1</v>
      </c>
      <c r="EO295">
        <f t="shared" si="865"/>
        <v>-1</v>
      </c>
    </row>
    <row r="296" spans="1:145" x14ac:dyDescent="0.15">
      <c r="A296" t="e">
        <f t="shared" si="772"/>
        <v>#N/A</v>
      </c>
      <c r="B296" s="218">
        <v>288</v>
      </c>
      <c r="C296">
        <f t="shared" si="772"/>
        <v>-1</v>
      </c>
      <c r="D296">
        <f t="shared" ref="D296:BO296" si="866">IF(OR(D295=-1,AND(IF(D$3&lt;$B296,D295+D$6,IF(D$3=$B296,1,""))&gt;$B$1,D$3&lt;$B296)),-1,IF(D$3&lt;$B296,D295+D$6,IF(D$3=$B296,1,"")))</f>
        <v>-1</v>
      </c>
      <c r="E296">
        <f t="shared" si="866"/>
        <v>-1</v>
      </c>
      <c r="F296">
        <f t="shared" si="866"/>
        <v>-1</v>
      </c>
      <c r="G296">
        <f t="shared" si="866"/>
        <v>-1</v>
      </c>
      <c r="H296">
        <f t="shared" si="866"/>
        <v>-1</v>
      </c>
      <c r="I296">
        <f t="shared" si="866"/>
        <v>-1</v>
      </c>
      <c r="J296">
        <f t="shared" si="866"/>
        <v>-1</v>
      </c>
      <c r="K296">
        <f t="shared" si="866"/>
        <v>-1</v>
      </c>
      <c r="L296">
        <f t="shared" si="866"/>
        <v>-1</v>
      </c>
      <c r="M296">
        <f t="shared" si="866"/>
        <v>-1</v>
      </c>
      <c r="N296">
        <f t="shared" si="866"/>
        <v>-1</v>
      </c>
      <c r="O296">
        <f t="shared" si="866"/>
        <v>-1</v>
      </c>
      <c r="P296">
        <f t="shared" si="866"/>
        <v>-1</v>
      </c>
      <c r="Q296">
        <f t="shared" si="866"/>
        <v>-1</v>
      </c>
      <c r="R296">
        <f t="shared" si="866"/>
        <v>-1</v>
      </c>
      <c r="S296">
        <f t="shared" si="866"/>
        <v>-1</v>
      </c>
      <c r="T296">
        <f t="shared" si="866"/>
        <v>-1</v>
      </c>
      <c r="U296">
        <f t="shared" si="866"/>
        <v>-1</v>
      </c>
      <c r="V296">
        <f t="shared" si="866"/>
        <v>-1</v>
      </c>
      <c r="W296">
        <f t="shared" si="866"/>
        <v>-1</v>
      </c>
      <c r="X296">
        <f t="shared" si="866"/>
        <v>-1</v>
      </c>
      <c r="Y296">
        <f t="shared" si="866"/>
        <v>-1</v>
      </c>
      <c r="Z296">
        <f t="shared" si="866"/>
        <v>-1</v>
      </c>
      <c r="AA296">
        <f t="shared" si="866"/>
        <v>-1</v>
      </c>
      <c r="AB296">
        <f t="shared" si="866"/>
        <v>-1</v>
      </c>
      <c r="AC296">
        <f t="shared" si="866"/>
        <v>-1</v>
      </c>
      <c r="AD296">
        <f t="shared" si="866"/>
        <v>-1</v>
      </c>
      <c r="AE296">
        <f t="shared" si="866"/>
        <v>-1</v>
      </c>
      <c r="AF296">
        <f t="shared" si="866"/>
        <v>-1</v>
      </c>
      <c r="AG296">
        <f t="shared" si="866"/>
        <v>-1</v>
      </c>
      <c r="AH296">
        <f t="shared" si="866"/>
        <v>-1</v>
      </c>
      <c r="AI296">
        <f t="shared" si="866"/>
        <v>-1</v>
      </c>
      <c r="AJ296">
        <f t="shared" si="866"/>
        <v>-1</v>
      </c>
      <c r="AK296">
        <f t="shared" si="866"/>
        <v>-1</v>
      </c>
      <c r="AL296">
        <f t="shared" si="866"/>
        <v>-1</v>
      </c>
      <c r="AM296">
        <f t="shared" si="866"/>
        <v>-1</v>
      </c>
      <c r="AN296">
        <f t="shared" si="866"/>
        <v>-1</v>
      </c>
      <c r="AO296">
        <f t="shared" si="866"/>
        <v>-1</v>
      </c>
      <c r="AP296">
        <f t="shared" si="866"/>
        <v>-1</v>
      </c>
      <c r="AQ296">
        <f t="shared" si="866"/>
        <v>-1</v>
      </c>
      <c r="AR296">
        <f t="shared" si="866"/>
        <v>-1</v>
      </c>
      <c r="AS296">
        <f t="shared" si="866"/>
        <v>-1</v>
      </c>
      <c r="AT296">
        <f t="shared" si="866"/>
        <v>-1</v>
      </c>
      <c r="AU296">
        <f t="shared" si="866"/>
        <v>-1</v>
      </c>
      <c r="AV296">
        <f t="shared" si="866"/>
        <v>-1</v>
      </c>
      <c r="AW296">
        <f t="shared" si="866"/>
        <v>-1</v>
      </c>
      <c r="AX296">
        <f t="shared" si="866"/>
        <v>-1</v>
      </c>
      <c r="AY296">
        <f t="shared" si="866"/>
        <v>-1</v>
      </c>
      <c r="AZ296">
        <f t="shared" si="866"/>
        <v>-1</v>
      </c>
      <c r="BA296">
        <f t="shared" si="866"/>
        <v>-1</v>
      </c>
      <c r="BB296">
        <f t="shared" si="866"/>
        <v>-1</v>
      </c>
      <c r="BC296">
        <f t="shared" si="866"/>
        <v>-1</v>
      </c>
      <c r="BD296">
        <f t="shared" si="866"/>
        <v>-1</v>
      </c>
      <c r="BE296">
        <f t="shared" si="866"/>
        <v>-1</v>
      </c>
      <c r="BF296">
        <f t="shared" si="866"/>
        <v>-1</v>
      </c>
      <c r="BG296">
        <f t="shared" si="866"/>
        <v>-1</v>
      </c>
      <c r="BH296">
        <f t="shared" si="866"/>
        <v>-1</v>
      </c>
      <c r="BI296">
        <f t="shared" si="866"/>
        <v>-1</v>
      </c>
      <c r="BJ296">
        <f t="shared" si="866"/>
        <v>-1</v>
      </c>
      <c r="BK296">
        <f t="shared" si="866"/>
        <v>-1</v>
      </c>
      <c r="BL296">
        <f t="shared" si="866"/>
        <v>-1</v>
      </c>
      <c r="BM296">
        <f t="shared" si="866"/>
        <v>-1</v>
      </c>
      <c r="BN296">
        <f t="shared" si="866"/>
        <v>-1</v>
      </c>
      <c r="BO296">
        <f t="shared" si="866"/>
        <v>-1</v>
      </c>
      <c r="BP296">
        <f t="shared" ref="BP296:EA296" si="867">IF(OR(BP295=-1,AND(IF(BP$3&lt;$B296,BP295+BP$6,IF(BP$3=$B296,1,""))&gt;$B$1,BP$3&lt;$B296)),-1,IF(BP$3&lt;$B296,BP295+BP$6,IF(BP$3=$B296,1,"")))</f>
        <v>-1</v>
      </c>
      <c r="BQ296">
        <f t="shared" si="867"/>
        <v>-1</v>
      </c>
      <c r="BR296">
        <f t="shared" si="867"/>
        <v>-1</v>
      </c>
      <c r="BS296">
        <f t="shared" si="867"/>
        <v>-1</v>
      </c>
      <c r="BT296">
        <f t="shared" si="867"/>
        <v>-1</v>
      </c>
      <c r="BU296">
        <f t="shared" si="867"/>
        <v>-1</v>
      </c>
      <c r="BV296">
        <f t="shared" si="867"/>
        <v>-1</v>
      </c>
      <c r="BW296">
        <f t="shared" si="867"/>
        <v>-1</v>
      </c>
      <c r="BX296">
        <f t="shared" si="867"/>
        <v>-1</v>
      </c>
      <c r="BY296">
        <f t="shared" si="867"/>
        <v>-1</v>
      </c>
      <c r="BZ296">
        <f t="shared" si="867"/>
        <v>-1</v>
      </c>
      <c r="CA296">
        <f t="shared" si="867"/>
        <v>-1</v>
      </c>
      <c r="CB296">
        <f t="shared" si="867"/>
        <v>-1</v>
      </c>
      <c r="CC296">
        <f t="shared" si="867"/>
        <v>-1</v>
      </c>
      <c r="CD296">
        <f t="shared" si="867"/>
        <v>-1</v>
      </c>
      <c r="CE296">
        <f t="shared" si="867"/>
        <v>-1</v>
      </c>
      <c r="CF296">
        <f t="shared" si="867"/>
        <v>-1</v>
      </c>
      <c r="CG296">
        <f t="shared" si="867"/>
        <v>-1</v>
      </c>
      <c r="CH296">
        <f t="shared" si="867"/>
        <v>-1</v>
      </c>
      <c r="CI296">
        <f t="shared" si="867"/>
        <v>-1</v>
      </c>
      <c r="CJ296">
        <f t="shared" si="867"/>
        <v>-1</v>
      </c>
      <c r="CK296">
        <f t="shared" si="867"/>
        <v>-1</v>
      </c>
      <c r="CL296">
        <f t="shared" si="867"/>
        <v>-1</v>
      </c>
      <c r="CM296">
        <f t="shared" si="867"/>
        <v>-1</v>
      </c>
      <c r="CN296">
        <f t="shared" si="867"/>
        <v>-1</v>
      </c>
      <c r="CO296">
        <f t="shared" si="867"/>
        <v>-1</v>
      </c>
      <c r="CP296">
        <f t="shared" si="867"/>
        <v>-1</v>
      </c>
      <c r="CQ296">
        <f t="shared" si="867"/>
        <v>-1</v>
      </c>
      <c r="CR296">
        <f t="shared" si="867"/>
        <v>-1</v>
      </c>
      <c r="CS296">
        <f t="shared" si="867"/>
        <v>-1</v>
      </c>
      <c r="CT296">
        <f t="shared" si="867"/>
        <v>-1</v>
      </c>
      <c r="CU296">
        <f t="shared" si="867"/>
        <v>-1</v>
      </c>
      <c r="CV296">
        <f t="shared" si="867"/>
        <v>-1</v>
      </c>
      <c r="CW296">
        <f t="shared" si="867"/>
        <v>-1</v>
      </c>
      <c r="CX296">
        <f t="shared" si="867"/>
        <v>-1</v>
      </c>
      <c r="CY296">
        <f t="shared" si="867"/>
        <v>-1</v>
      </c>
      <c r="CZ296">
        <f t="shared" si="867"/>
        <v>-1</v>
      </c>
      <c r="DA296">
        <f t="shared" si="867"/>
        <v>-1</v>
      </c>
      <c r="DB296">
        <f t="shared" si="867"/>
        <v>-1</v>
      </c>
      <c r="DC296">
        <f t="shared" si="867"/>
        <v>-1</v>
      </c>
      <c r="DD296">
        <f t="shared" si="867"/>
        <v>-1</v>
      </c>
      <c r="DE296">
        <f t="shared" si="867"/>
        <v>-1</v>
      </c>
      <c r="DF296">
        <f t="shared" si="867"/>
        <v>-1</v>
      </c>
      <c r="DG296">
        <f t="shared" si="867"/>
        <v>-1</v>
      </c>
      <c r="DH296">
        <f t="shared" si="867"/>
        <v>-1</v>
      </c>
      <c r="DI296">
        <f t="shared" si="867"/>
        <v>-1</v>
      </c>
      <c r="DJ296">
        <f t="shared" si="867"/>
        <v>-1</v>
      </c>
      <c r="DK296">
        <f t="shared" si="867"/>
        <v>-1</v>
      </c>
      <c r="DL296">
        <f t="shared" si="867"/>
        <v>-1</v>
      </c>
      <c r="DM296">
        <f t="shared" si="867"/>
        <v>-1</v>
      </c>
      <c r="DN296">
        <f t="shared" si="867"/>
        <v>-1</v>
      </c>
      <c r="DO296">
        <f t="shared" si="867"/>
        <v>-1</v>
      </c>
      <c r="DP296">
        <f t="shared" si="867"/>
        <v>-1</v>
      </c>
      <c r="DQ296">
        <f t="shared" si="867"/>
        <v>-1</v>
      </c>
      <c r="DR296">
        <f t="shared" si="867"/>
        <v>-1</v>
      </c>
      <c r="DS296">
        <f t="shared" si="867"/>
        <v>-1</v>
      </c>
      <c r="DT296">
        <f t="shared" si="867"/>
        <v>-1</v>
      </c>
      <c r="DU296">
        <f t="shared" si="867"/>
        <v>-1</v>
      </c>
      <c r="DV296">
        <f t="shared" si="867"/>
        <v>-1</v>
      </c>
      <c r="DW296">
        <f t="shared" si="867"/>
        <v>-1</v>
      </c>
      <c r="DX296">
        <f t="shared" si="867"/>
        <v>-1</v>
      </c>
      <c r="DY296">
        <f t="shared" si="867"/>
        <v>-1</v>
      </c>
      <c r="DZ296">
        <f t="shared" si="867"/>
        <v>-1</v>
      </c>
      <c r="EA296">
        <f t="shared" si="867"/>
        <v>-1</v>
      </c>
      <c r="EB296">
        <f t="shared" ref="EB296:EO296" si="868">IF(OR(EB295=-1,AND(IF(EB$3&lt;$B296,EB295+EB$6,IF(EB$3=$B296,1,""))&gt;$B$1,EB$3&lt;$B296)),-1,IF(EB$3&lt;$B296,EB295+EB$6,IF(EB$3=$B296,1,"")))</f>
        <v>-1</v>
      </c>
      <c r="EC296">
        <f t="shared" si="868"/>
        <v>-1</v>
      </c>
      <c r="ED296">
        <f t="shared" si="868"/>
        <v>-1</v>
      </c>
      <c r="EE296">
        <f t="shared" si="868"/>
        <v>-1</v>
      </c>
      <c r="EF296">
        <f t="shared" si="868"/>
        <v>-1</v>
      </c>
      <c r="EG296">
        <f t="shared" si="868"/>
        <v>-1</v>
      </c>
      <c r="EH296">
        <f t="shared" si="868"/>
        <v>-1</v>
      </c>
      <c r="EI296">
        <f t="shared" si="868"/>
        <v>-1</v>
      </c>
      <c r="EJ296">
        <f t="shared" si="868"/>
        <v>-1</v>
      </c>
      <c r="EK296">
        <f t="shared" si="868"/>
        <v>-1</v>
      </c>
      <c r="EL296">
        <f t="shared" si="868"/>
        <v>-1</v>
      </c>
      <c r="EM296">
        <f t="shared" si="868"/>
        <v>-1</v>
      </c>
      <c r="EN296">
        <f t="shared" si="868"/>
        <v>-1</v>
      </c>
      <c r="EO296">
        <f t="shared" si="868"/>
        <v>-1</v>
      </c>
    </row>
    <row r="297" spans="1:145" x14ac:dyDescent="0.15">
      <c r="A297" t="e">
        <f t="shared" si="772"/>
        <v>#N/A</v>
      </c>
      <c r="B297" s="218">
        <v>289</v>
      </c>
      <c r="C297">
        <f t="shared" si="772"/>
        <v>-1</v>
      </c>
      <c r="D297">
        <f t="shared" ref="D297:BO297" si="869">IF(OR(D296=-1,AND(IF(D$3&lt;$B297,D296+D$6,IF(D$3=$B297,1,""))&gt;$B$1,D$3&lt;$B297)),-1,IF(D$3&lt;$B297,D296+D$6,IF(D$3=$B297,1,"")))</f>
        <v>-1</v>
      </c>
      <c r="E297">
        <f t="shared" si="869"/>
        <v>-1</v>
      </c>
      <c r="F297">
        <f t="shared" si="869"/>
        <v>-1</v>
      </c>
      <c r="G297">
        <f t="shared" si="869"/>
        <v>-1</v>
      </c>
      <c r="H297">
        <f t="shared" si="869"/>
        <v>-1</v>
      </c>
      <c r="I297">
        <f t="shared" si="869"/>
        <v>-1</v>
      </c>
      <c r="J297">
        <f t="shared" si="869"/>
        <v>-1</v>
      </c>
      <c r="K297">
        <f t="shared" si="869"/>
        <v>-1</v>
      </c>
      <c r="L297">
        <f t="shared" si="869"/>
        <v>-1</v>
      </c>
      <c r="M297">
        <f t="shared" si="869"/>
        <v>-1</v>
      </c>
      <c r="N297">
        <f t="shared" si="869"/>
        <v>-1</v>
      </c>
      <c r="O297">
        <f t="shared" si="869"/>
        <v>-1</v>
      </c>
      <c r="P297">
        <f t="shared" si="869"/>
        <v>-1</v>
      </c>
      <c r="Q297">
        <f t="shared" si="869"/>
        <v>-1</v>
      </c>
      <c r="R297">
        <f t="shared" si="869"/>
        <v>-1</v>
      </c>
      <c r="S297">
        <f t="shared" si="869"/>
        <v>-1</v>
      </c>
      <c r="T297">
        <f t="shared" si="869"/>
        <v>-1</v>
      </c>
      <c r="U297">
        <f t="shared" si="869"/>
        <v>-1</v>
      </c>
      <c r="V297">
        <f t="shared" si="869"/>
        <v>-1</v>
      </c>
      <c r="W297">
        <f t="shared" si="869"/>
        <v>-1</v>
      </c>
      <c r="X297">
        <f t="shared" si="869"/>
        <v>-1</v>
      </c>
      <c r="Y297">
        <f t="shared" si="869"/>
        <v>-1</v>
      </c>
      <c r="Z297">
        <f t="shared" si="869"/>
        <v>-1</v>
      </c>
      <c r="AA297">
        <f t="shared" si="869"/>
        <v>-1</v>
      </c>
      <c r="AB297">
        <f t="shared" si="869"/>
        <v>-1</v>
      </c>
      <c r="AC297">
        <f t="shared" si="869"/>
        <v>-1</v>
      </c>
      <c r="AD297">
        <f t="shared" si="869"/>
        <v>-1</v>
      </c>
      <c r="AE297">
        <f t="shared" si="869"/>
        <v>-1</v>
      </c>
      <c r="AF297">
        <f t="shared" si="869"/>
        <v>-1</v>
      </c>
      <c r="AG297">
        <f t="shared" si="869"/>
        <v>-1</v>
      </c>
      <c r="AH297">
        <f t="shared" si="869"/>
        <v>-1</v>
      </c>
      <c r="AI297">
        <f t="shared" si="869"/>
        <v>-1</v>
      </c>
      <c r="AJ297">
        <f t="shared" si="869"/>
        <v>-1</v>
      </c>
      <c r="AK297">
        <f t="shared" si="869"/>
        <v>-1</v>
      </c>
      <c r="AL297">
        <f t="shared" si="869"/>
        <v>-1</v>
      </c>
      <c r="AM297">
        <f t="shared" si="869"/>
        <v>-1</v>
      </c>
      <c r="AN297">
        <f t="shared" si="869"/>
        <v>-1</v>
      </c>
      <c r="AO297">
        <f t="shared" si="869"/>
        <v>-1</v>
      </c>
      <c r="AP297">
        <f t="shared" si="869"/>
        <v>-1</v>
      </c>
      <c r="AQ297">
        <f t="shared" si="869"/>
        <v>-1</v>
      </c>
      <c r="AR297">
        <f t="shared" si="869"/>
        <v>-1</v>
      </c>
      <c r="AS297">
        <f t="shared" si="869"/>
        <v>-1</v>
      </c>
      <c r="AT297">
        <f t="shared" si="869"/>
        <v>-1</v>
      </c>
      <c r="AU297">
        <f t="shared" si="869"/>
        <v>-1</v>
      </c>
      <c r="AV297">
        <f t="shared" si="869"/>
        <v>-1</v>
      </c>
      <c r="AW297">
        <f t="shared" si="869"/>
        <v>-1</v>
      </c>
      <c r="AX297">
        <f t="shared" si="869"/>
        <v>-1</v>
      </c>
      <c r="AY297">
        <f t="shared" si="869"/>
        <v>-1</v>
      </c>
      <c r="AZ297">
        <f t="shared" si="869"/>
        <v>-1</v>
      </c>
      <c r="BA297">
        <f t="shared" si="869"/>
        <v>-1</v>
      </c>
      <c r="BB297">
        <f t="shared" si="869"/>
        <v>-1</v>
      </c>
      <c r="BC297">
        <f t="shared" si="869"/>
        <v>-1</v>
      </c>
      <c r="BD297">
        <f t="shared" si="869"/>
        <v>-1</v>
      </c>
      <c r="BE297">
        <f t="shared" si="869"/>
        <v>-1</v>
      </c>
      <c r="BF297">
        <f t="shared" si="869"/>
        <v>-1</v>
      </c>
      <c r="BG297">
        <f t="shared" si="869"/>
        <v>-1</v>
      </c>
      <c r="BH297">
        <f t="shared" si="869"/>
        <v>-1</v>
      </c>
      <c r="BI297">
        <f t="shared" si="869"/>
        <v>-1</v>
      </c>
      <c r="BJ297">
        <f t="shared" si="869"/>
        <v>-1</v>
      </c>
      <c r="BK297">
        <f t="shared" si="869"/>
        <v>-1</v>
      </c>
      <c r="BL297">
        <f t="shared" si="869"/>
        <v>-1</v>
      </c>
      <c r="BM297">
        <f t="shared" si="869"/>
        <v>-1</v>
      </c>
      <c r="BN297">
        <f t="shared" si="869"/>
        <v>-1</v>
      </c>
      <c r="BO297">
        <f t="shared" si="869"/>
        <v>-1</v>
      </c>
      <c r="BP297">
        <f t="shared" ref="BP297:EA297" si="870">IF(OR(BP296=-1,AND(IF(BP$3&lt;$B297,BP296+BP$6,IF(BP$3=$B297,1,""))&gt;$B$1,BP$3&lt;$B297)),-1,IF(BP$3&lt;$B297,BP296+BP$6,IF(BP$3=$B297,1,"")))</f>
        <v>-1</v>
      </c>
      <c r="BQ297">
        <f t="shared" si="870"/>
        <v>-1</v>
      </c>
      <c r="BR297">
        <f t="shared" si="870"/>
        <v>-1</v>
      </c>
      <c r="BS297">
        <f t="shared" si="870"/>
        <v>-1</v>
      </c>
      <c r="BT297">
        <f t="shared" si="870"/>
        <v>-1</v>
      </c>
      <c r="BU297">
        <f t="shared" si="870"/>
        <v>-1</v>
      </c>
      <c r="BV297">
        <f t="shared" si="870"/>
        <v>-1</v>
      </c>
      <c r="BW297">
        <f t="shared" si="870"/>
        <v>-1</v>
      </c>
      <c r="BX297">
        <f t="shared" si="870"/>
        <v>-1</v>
      </c>
      <c r="BY297">
        <f t="shared" si="870"/>
        <v>-1</v>
      </c>
      <c r="BZ297">
        <f t="shared" si="870"/>
        <v>-1</v>
      </c>
      <c r="CA297">
        <f t="shared" si="870"/>
        <v>-1</v>
      </c>
      <c r="CB297">
        <f t="shared" si="870"/>
        <v>-1</v>
      </c>
      <c r="CC297">
        <f t="shared" si="870"/>
        <v>-1</v>
      </c>
      <c r="CD297">
        <f t="shared" si="870"/>
        <v>-1</v>
      </c>
      <c r="CE297">
        <f t="shared" si="870"/>
        <v>-1</v>
      </c>
      <c r="CF297">
        <f t="shared" si="870"/>
        <v>-1</v>
      </c>
      <c r="CG297">
        <f t="shared" si="870"/>
        <v>-1</v>
      </c>
      <c r="CH297">
        <f t="shared" si="870"/>
        <v>-1</v>
      </c>
      <c r="CI297">
        <f t="shared" si="870"/>
        <v>-1</v>
      </c>
      <c r="CJ297">
        <f t="shared" si="870"/>
        <v>-1</v>
      </c>
      <c r="CK297">
        <f t="shared" si="870"/>
        <v>-1</v>
      </c>
      <c r="CL297">
        <f t="shared" si="870"/>
        <v>-1</v>
      </c>
      <c r="CM297">
        <f t="shared" si="870"/>
        <v>-1</v>
      </c>
      <c r="CN297">
        <f t="shared" si="870"/>
        <v>-1</v>
      </c>
      <c r="CO297">
        <f t="shared" si="870"/>
        <v>-1</v>
      </c>
      <c r="CP297">
        <f t="shared" si="870"/>
        <v>-1</v>
      </c>
      <c r="CQ297">
        <f t="shared" si="870"/>
        <v>-1</v>
      </c>
      <c r="CR297">
        <f t="shared" si="870"/>
        <v>-1</v>
      </c>
      <c r="CS297">
        <f t="shared" si="870"/>
        <v>-1</v>
      </c>
      <c r="CT297">
        <f t="shared" si="870"/>
        <v>-1</v>
      </c>
      <c r="CU297">
        <f t="shared" si="870"/>
        <v>-1</v>
      </c>
      <c r="CV297">
        <f t="shared" si="870"/>
        <v>-1</v>
      </c>
      <c r="CW297">
        <f t="shared" si="870"/>
        <v>-1</v>
      </c>
      <c r="CX297">
        <f t="shared" si="870"/>
        <v>-1</v>
      </c>
      <c r="CY297">
        <f t="shared" si="870"/>
        <v>-1</v>
      </c>
      <c r="CZ297">
        <f t="shared" si="870"/>
        <v>-1</v>
      </c>
      <c r="DA297">
        <f t="shared" si="870"/>
        <v>-1</v>
      </c>
      <c r="DB297">
        <f t="shared" si="870"/>
        <v>-1</v>
      </c>
      <c r="DC297">
        <f t="shared" si="870"/>
        <v>-1</v>
      </c>
      <c r="DD297">
        <f t="shared" si="870"/>
        <v>-1</v>
      </c>
      <c r="DE297">
        <f t="shared" si="870"/>
        <v>-1</v>
      </c>
      <c r="DF297">
        <f t="shared" si="870"/>
        <v>-1</v>
      </c>
      <c r="DG297">
        <f t="shared" si="870"/>
        <v>-1</v>
      </c>
      <c r="DH297">
        <f t="shared" si="870"/>
        <v>-1</v>
      </c>
      <c r="DI297">
        <f t="shared" si="870"/>
        <v>-1</v>
      </c>
      <c r="DJ297">
        <f t="shared" si="870"/>
        <v>-1</v>
      </c>
      <c r="DK297">
        <f t="shared" si="870"/>
        <v>-1</v>
      </c>
      <c r="DL297">
        <f t="shared" si="870"/>
        <v>-1</v>
      </c>
      <c r="DM297">
        <f t="shared" si="870"/>
        <v>-1</v>
      </c>
      <c r="DN297">
        <f t="shared" si="870"/>
        <v>-1</v>
      </c>
      <c r="DO297">
        <f t="shared" si="870"/>
        <v>-1</v>
      </c>
      <c r="DP297">
        <f t="shared" si="870"/>
        <v>-1</v>
      </c>
      <c r="DQ297">
        <f t="shared" si="870"/>
        <v>-1</v>
      </c>
      <c r="DR297">
        <f t="shared" si="870"/>
        <v>-1</v>
      </c>
      <c r="DS297">
        <f t="shared" si="870"/>
        <v>-1</v>
      </c>
      <c r="DT297">
        <f t="shared" si="870"/>
        <v>-1</v>
      </c>
      <c r="DU297">
        <f t="shared" si="870"/>
        <v>-1</v>
      </c>
      <c r="DV297">
        <f t="shared" si="870"/>
        <v>-1</v>
      </c>
      <c r="DW297">
        <f t="shared" si="870"/>
        <v>-1</v>
      </c>
      <c r="DX297">
        <f t="shared" si="870"/>
        <v>-1</v>
      </c>
      <c r="DY297">
        <f t="shared" si="870"/>
        <v>-1</v>
      </c>
      <c r="DZ297">
        <f t="shared" si="870"/>
        <v>-1</v>
      </c>
      <c r="EA297">
        <f t="shared" si="870"/>
        <v>-1</v>
      </c>
      <c r="EB297">
        <f t="shared" ref="EB297:EO297" si="871">IF(OR(EB296=-1,AND(IF(EB$3&lt;$B297,EB296+EB$6,IF(EB$3=$B297,1,""))&gt;$B$1,EB$3&lt;$B297)),-1,IF(EB$3&lt;$B297,EB296+EB$6,IF(EB$3=$B297,1,"")))</f>
        <v>-1</v>
      </c>
      <c r="EC297">
        <f t="shared" si="871"/>
        <v>-1</v>
      </c>
      <c r="ED297">
        <f t="shared" si="871"/>
        <v>-1</v>
      </c>
      <c r="EE297">
        <f t="shared" si="871"/>
        <v>-1</v>
      </c>
      <c r="EF297">
        <f t="shared" si="871"/>
        <v>-1</v>
      </c>
      <c r="EG297">
        <f t="shared" si="871"/>
        <v>-1</v>
      </c>
      <c r="EH297">
        <f t="shared" si="871"/>
        <v>-1</v>
      </c>
      <c r="EI297">
        <f t="shared" si="871"/>
        <v>-1</v>
      </c>
      <c r="EJ297">
        <f t="shared" si="871"/>
        <v>-1</v>
      </c>
      <c r="EK297">
        <f t="shared" si="871"/>
        <v>-1</v>
      </c>
      <c r="EL297">
        <f t="shared" si="871"/>
        <v>-1</v>
      </c>
      <c r="EM297">
        <f t="shared" si="871"/>
        <v>-1</v>
      </c>
      <c r="EN297">
        <f t="shared" si="871"/>
        <v>-1</v>
      </c>
      <c r="EO297">
        <f t="shared" si="871"/>
        <v>-1</v>
      </c>
    </row>
    <row r="298" spans="1:145" x14ac:dyDescent="0.15">
      <c r="A298" t="e">
        <f t="shared" si="772"/>
        <v>#N/A</v>
      </c>
      <c r="B298" s="218">
        <v>290</v>
      </c>
      <c r="C298">
        <f t="shared" si="772"/>
        <v>-1</v>
      </c>
      <c r="D298">
        <f t="shared" ref="D298:BO298" si="872">IF(OR(D297=-1,AND(IF(D$3&lt;$B298,D297+D$6,IF(D$3=$B298,1,""))&gt;$B$1,D$3&lt;$B298)),-1,IF(D$3&lt;$B298,D297+D$6,IF(D$3=$B298,1,"")))</f>
        <v>-1</v>
      </c>
      <c r="E298">
        <f t="shared" si="872"/>
        <v>-1</v>
      </c>
      <c r="F298">
        <f t="shared" si="872"/>
        <v>-1</v>
      </c>
      <c r="G298">
        <f t="shared" si="872"/>
        <v>-1</v>
      </c>
      <c r="H298">
        <f t="shared" si="872"/>
        <v>-1</v>
      </c>
      <c r="I298">
        <f t="shared" si="872"/>
        <v>-1</v>
      </c>
      <c r="J298">
        <f t="shared" si="872"/>
        <v>-1</v>
      </c>
      <c r="K298">
        <f t="shared" si="872"/>
        <v>-1</v>
      </c>
      <c r="L298">
        <f t="shared" si="872"/>
        <v>-1</v>
      </c>
      <c r="M298">
        <f t="shared" si="872"/>
        <v>-1</v>
      </c>
      <c r="N298">
        <f t="shared" si="872"/>
        <v>-1</v>
      </c>
      <c r="O298">
        <f t="shared" si="872"/>
        <v>-1</v>
      </c>
      <c r="P298">
        <f t="shared" si="872"/>
        <v>-1</v>
      </c>
      <c r="Q298">
        <f t="shared" si="872"/>
        <v>-1</v>
      </c>
      <c r="R298">
        <f t="shared" si="872"/>
        <v>-1</v>
      </c>
      <c r="S298">
        <f t="shared" si="872"/>
        <v>-1</v>
      </c>
      <c r="T298">
        <f t="shared" si="872"/>
        <v>-1</v>
      </c>
      <c r="U298">
        <f t="shared" si="872"/>
        <v>-1</v>
      </c>
      <c r="V298">
        <f t="shared" si="872"/>
        <v>-1</v>
      </c>
      <c r="W298">
        <f t="shared" si="872"/>
        <v>-1</v>
      </c>
      <c r="X298">
        <f t="shared" si="872"/>
        <v>-1</v>
      </c>
      <c r="Y298">
        <f t="shared" si="872"/>
        <v>-1</v>
      </c>
      <c r="Z298">
        <f t="shared" si="872"/>
        <v>-1</v>
      </c>
      <c r="AA298">
        <f t="shared" si="872"/>
        <v>-1</v>
      </c>
      <c r="AB298">
        <f t="shared" si="872"/>
        <v>-1</v>
      </c>
      <c r="AC298">
        <f t="shared" si="872"/>
        <v>-1</v>
      </c>
      <c r="AD298">
        <f t="shared" si="872"/>
        <v>-1</v>
      </c>
      <c r="AE298">
        <f t="shared" si="872"/>
        <v>-1</v>
      </c>
      <c r="AF298">
        <f t="shared" si="872"/>
        <v>-1</v>
      </c>
      <c r="AG298">
        <f t="shared" si="872"/>
        <v>-1</v>
      </c>
      <c r="AH298">
        <f t="shared" si="872"/>
        <v>-1</v>
      </c>
      <c r="AI298">
        <f t="shared" si="872"/>
        <v>-1</v>
      </c>
      <c r="AJ298">
        <f t="shared" si="872"/>
        <v>-1</v>
      </c>
      <c r="AK298">
        <f t="shared" si="872"/>
        <v>-1</v>
      </c>
      <c r="AL298">
        <f t="shared" si="872"/>
        <v>-1</v>
      </c>
      <c r="AM298">
        <f t="shared" si="872"/>
        <v>-1</v>
      </c>
      <c r="AN298">
        <f t="shared" si="872"/>
        <v>-1</v>
      </c>
      <c r="AO298">
        <f t="shared" si="872"/>
        <v>-1</v>
      </c>
      <c r="AP298">
        <f t="shared" si="872"/>
        <v>-1</v>
      </c>
      <c r="AQ298">
        <f t="shared" si="872"/>
        <v>-1</v>
      </c>
      <c r="AR298">
        <f t="shared" si="872"/>
        <v>-1</v>
      </c>
      <c r="AS298">
        <f t="shared" si="872"/>
        <v>-1</v>
      </c>
      <c r="AT298">
        <f t="shared" si="872"/>
        <v>-1</v>
      </c>
      <c r="AU298">
        <f t="shared" si="872"/>
        <v>-1</v>
      </c>
      <c r="AV298">
        <f t="shared" si="872"/>
        <v>-1</v>
      </c>
      <c r="AW298">
        <f t="shared" si="872"/>
        <v>-1</v>
      </c>
      <c r="AX298">
        <f t="shared" si="872"/>
        <v>-1</v>
      </c>
      <c r="AY298">
        <f t="shared" si="872"/>
        <v>-1</v>
      </c>
      <c r="AZ298">
        <f t="shared" si="872"/>
        <v>-1</v>
      </c>
      <c r="BA298">
        <f t="shared" si="872"/>
        <v>-1</v>
      </c>
      <c r="BB298">
        <f t="shared" si="872"/>
        <v>-1</v>
      </c>
      <c r="BC298">
        <f t="shared" si="872"/>
        <v>-1</v>
      </c>
      <c r="BD298">
        <f t="shared" si="872"/>
        <v>-1</v>
      </c>
      <c r="BE298">
        <f t="shared" si="872"/>
        <v>-1</v>
      </c>
      <c r="BF298">
        <f t="shared" si="872"/>
        <v>-1</v>
      </c>
      <c r="BG298">
        <f t="shared" si="872"/>
        <v>-1</v>
      </c>
      <c r="BH298">
        <f t="shared" si="872"/>
        <v>-1</v>
      </c>
      <c r="BI298">
        <f t="shared" si="872"/>
        <v>-1</v>
      </c>
      <c r="BJ298">
        <f t="shared" si="872"/>
        <v>-1</v>
      </c>
      <c r="BK298">
        <f t="shared" si="872"/>
        <v>-1</v>
      </c>
      <c r="BL298">
        <f t="shared" si="872"/>
        <v>-1</v>
      </c>
      <c r="BM298">
        <f t="shared" si="872"/>
        <v>-1</v>
      </c>
      <c r="BN298">
        <f t="shared" si="872"/>
        <v>-1</v>
      </c>
      <c r="BO298">
        <f t="shared" si="872"/>
        <v>-1</v>
      </c>
      <c r="BP298">
        <f t="shared" ref="BP298:EA298" si="873">IF(OR(BP297=-1,AND(IF(BP$3&lt;$B298,BP297+BP$6,IF(BP$3=$B298,1,""))&gt;$B$1,BP$3&lt;$B298)),-1,IF(BP$3&lt;$B298,BP297+BP$6,IF(BP$3=$B298,1,"")))</f>
        <v>-1</v>
      </c>
      <c r="BQ298">
        <f t="shared" si="873"/>
        <v>-1</v>
      </c>
      <c r="BR298">
        <f t="shared" si="873"/>
        <v>-1</v>
      </c>
      <c r="BS298">
        <f t="shared" si="873"/>
        <v>-1</v>
      </c>
      <c r="BT298">
        <f t="shared" si="873"/>
        <v>-1</v>
      </c>
      <c r="BU298">
        <f t="shared" si="873"/>
        <v>-1</v>
      </c>
      <c r="BV298">
        <f t="shared" si="873"/>
        <v>-1</v>
      </c>
      <c r="BW298">
        <f t="shared" si="873"/>
        <v>-1</v>
      </c>
      <c r="BX298">
        <f t="shared" si="873"/>
        <v>-1</v>
      </c>
      <c r="BY298">
        <f t="shared" si="873"/>
        <v>-1</v>
      </c>
      <c r="BZ298">
        <f t="shared" si="873"/>
        <v>-1</v>
      </c>
      <c r="CA298">
        <f t="shared" si="873"/>
        <v>-1</v>
      </c>
      <c r="CB298">
        <f t="shared" si="873"/>
        <v>-1</v>
      </c>
      <c r="CC298">
        <f t="shared" si="873"/>
        <v>-1</v>
      </c>
      <c r="CD298">
        <f t="shared" si="873"/>
        <v>-1</v>
      </c>
      <c r="CE298">
        <f t="shared" si="873"/>
        <v>-1</v>
      </c>
      <c r="CF298">
        <f t="shared" si="873"/>
        <v>-1</v>
      </c>
      <c r="CG298">
        <f t="shared" si="873"/>
        <v>-1</v>
      </c>
      <c r="CH298">
        <f t="shared" si="873"/>
        <v>-1</v>
      </c>
      <c r="CI298">
        <f t="shared" si="873"/>
        <v>-1</v>
      </c>
      <c r="CJ298">
        <f t="shared" si="873"/>
        <v>-1</v>
      </c>
      <c r="CK298">
        <f t="shared" si="873"/>
        <v>-1</v>
      </c>
      <c r="CL298">
        <f t="shared" si="873"/>
        <v>-1</v>
      </c>
      <c r="CM298">
        <f t="shared" si="873"/>
        <v>-1</v>
      </c>
      <c r="CN298">
        <f t="shared" si="873"/>
        <v>-1</v>
      </c>
      <c r="CO298">
        <f t="shared" si="873"/>
        <v>-1</v>
      </c>
      <c r="CP298">
        <f t="shared" si="873"/>
        <v>-1</v>
      </c>
      <c r="CQ298">
        <f t="shared" si="873"/>
        <v>-1</v>
      </c>
      <c r="CR298">
        <f t="shared" si="873"/>
        <v>-1</v>
      </c>
      <c r="CS298">
        <f t="shared" si="873"/>
        <v>-1</v>
      </c>
      <c r="CT298">
        <f t="shared" si="873"/>
        <v>-1</v>
      </c>
      <c r="CU298">
        <f t="shared" si="873"/>
        <v>-1</v>
      </c>
      <c r="CV298">
        <f t="shared" si="873"/>
        <v>-1</v>
      </c>
      <c r="CW298">
        <f t="shared" si="873"/>
        <v>-1</v>
      </c>
      <c r="CX298">
        <f t="shared" si="873"/>
        <v>-1</v>
      </c>
      <c r="CY298">
        <f t="shared" si="873"/>
        <v>-1</v>
      </c>
      <c r="CZ298">
        <f t="shared" si="873"/>
        <v>-1</v>
      </c>
      <c r="DA298">
        <f t="shared" si="873"/>
        <v>-1</v>
      </c>
      <c r="DB298">
        <f t="shared" si="873"/>
        <v>-1</v>
      </c>
      <c r="DC298">
        <f t="shared" si="873"/>
        <v>-1</v>
      </c>
      <c r="DD298">
        <f t="shared" si="873"/>
        <v>-1</v>
      </c>
      <c r="DE298">
        <f t="shared" si="873"/>
        <v>-1</v>
      </c>
      <c r="DF298">
        <f t="shared" si="873"/>
        <v>-1</v>
      </c>
      <c r="DG298">
        <f t="shared" si="873"/>
        <v>-1</v>
      </c>
      <c r="DH298">
        <f t="shared" si="873"/>
        <v>-1</v>
      </c>
      <c r="DI298">
        <f t="shared" si="873"/>
        <v>-1</v>
      </c>
      <c r="DJ298">
        <f t="shared" si="873"/>
        <v>-1</v>
      </c>
      <c r="DK298">
        <f t="shared" si="873"/>
        <v>-1</v>
      </c>
      <c r="DL298">
        <f t="shared" si="873"/>
        <v>-1</v>
      </c>
      <c r="DM298">
        <f t="shared" si="873"/>
        <v>-1</v>
      </c>
      <c r="DN298">
        <f t="shared" si="873"/>
        <v>-1</v>
      </c>
      <c r="DO298">
        <f t="shared" si="873"/>
        <v>-1</v>
      </c>
      <c r="DP298">
        <f t="shared" si="873"/>
        <v>-1</v>
      </c>
      <c r="DQ298">
        <f t="shared" si="873"/>
        <v>-1</v>
      </c>
      <c r="DR298">
        <f t="shared" si="873"/>
        <v>-1</v>
      </c>
      <c r="DS298">
        <f t="shared" si="873"/>
        <v>-1</v>
      </c>
      <c r="DT298">
        <f t="shared" si="873"/>
        <v>-1</v>
      </c>
      <c r="DU298">
        <f t="shared" si="873"/>
        <v>-1</v>
      </c>
      <c r="DV298">
        <f t="shared" si="873"/>
        <v>-1</v>
      </c>
      <c r="DW298">
        <f t="shared" si="873"/>
        <v>-1</v>
      </c>
      <c r="DX298">
        <f t="shared" si="873"/>
        <v>-1</v>
      </c>
      <c r="DY298">
        <f t="shared" si="873"/>
        <v>-1</v>
      </c>
      <c r="DZ298">
        <f t="shared" si="873"/>
        <v>-1</v>
      </c>
      <c r="EA298">
        <f t="shared" si="873"/>
        <v>-1</v>
      </c>
      <c r="EB298">
        <f t="shared" ref="EB298:EO298" si="874">IF(OR(EB297=-1,AND(IF(EB$3&lt;$B298,EB297+EB$6,IF(EB$3=$B298,1,""))&gt;$B$1,EB$3&lt;$B298)),-1,IF(EB$3&lt;$B298,EB297+EB$6,IF(EB$3=$B298,1,"")))</f>
        <v>-1</v>
      </c>
      <c r="EC298">
        <f t="shared" si="874"/>
        <v>-1</v>
      </c>
      <c r="ED298">
        <f t="shared" si="874"/>
        <v>-1</v>
      </c>
      <c r="EE298">
        <f t="shared" si="874"/>
        <v>-1</v>
      </c>
      <c r="EF298">
        <f t="shared" si="874"/>
        <v>-1</v>
      </c>
      <c r="EG298">
        <f t="shared" si="874"/>
        <v>-1</v>
      </c>
      <c r="EH298">
        <f t="shared" si="874"/>
        <v>-1</v>
      </c>
      <c r="EI298">
        <f t="shared" si="874"/>
        <v>-1</v>
      </c>
      <c r="EJ298">
        <f t="shared" si="874"/>
        <v>-1</v>
      </c>
      <c r="EK298">
        <f t="shared" si="874"/>
        <v>-1</v>
      </c>
      <c r="EL298">
        <f t="shared" si="874"/>
        <v>-1</v>
      </c>
      <c r="EM298">
        <f t="shared" si="874"/>
        <v>-1</v>
      </c>
      <c r="EN298">
        <f t="shared" si="874"/>
        <v>-1</v>
      </c>
      <c r="EO298">
        <f t="shared" si="874"/>
        <v>-1</v>
      </c>
    </row>
    <row r="299" spans="1:145" x14ac:dyDescent="0.15">
      <c r="A299" t="e">
        <f t="shared" si="772"/>
        <v>#N/A</v>
      </c>
      <c r="B299" s="218">
        <v>291</v>
      </c>
      <c r="C299">
        <f t="shared" si="772"/>
        <v>-1</v>
      </c>
      <c r="D299">
        <f t="shared" ref="D299:BO299" si="875">IF(OR(D298=-1,AND(IF(D$3&lt;$B299,D298+D$6,IF(D$3=$B299,1,""))&gt;$B$1,D$3&lt;$B299)),-1,IF(D$3&lt;$B299,D298+D$6,IF(D$3=$B299,1,"")))</f>
        <v>-1</v>
      </c>
      <c r="E299">
        <f t="shared" si="875"/>
        <v>-1</v>
      </c>
      <c r="F299">
        <f t="shared" si="875"/>
        <v>-1</v>
      </c>
      <c r="G299">
        <f t="shared" si="875"/>
        <v>-1</v>
      </c>
      <c r="H299">
        <f t="shared" si="875"/>
        <v>-1</v>
      </c>
      <c r="I299">
        <f t="shared" si="875"/>
        <v>-1</v>
      </c>
      <c r="J299">
        <f t="shared" si="875"/>
        <v>-1</v>
      </c>
      <c r="K299">
        <f t="shared" si="875"/>
        <v>-1</v>
      </c>
      <c r="L299">
        <f t="shared" si="875"/>
        <v>-1</v>
      </c>
      <c r="M299">
        <f t="shared" si="875"/>
        <v>-1</v>
      </c>
      <c r="N299">
        <f t="shared" si="875"/>
        <v>-1</v>
      </c>
      <c r="O299">
        <f t="shared" si="875"/>
        <v>-1</v>
      </c>
      <c r="P299">
        <f t="shared" si="875"/>
        <v>-1</v>
      </c>
      <c r="Q299">
        <f t="shared" si="875"/>
        <v>-1</v>
      </c>
      <c r="R299">
        <f t="shared" si="875"/>
        <v>-1</v>
      </c>
      <c r="S299">
        <f t="shared" si="875"/>
        <v>-1</v>
      </c>
      <c r="T299">
        <f t="shared" si="875"/>
        <v>-1</v>
      </c>
      <c r="U299">
        <f t="shared" si="875"/>
        <v>-1</v>
      </c>
      <c r="V299">
        <f t="shared" si="875"/>
        <v>-1</v>
      </c>
      <c r="W299">
        <f t="shared" si="875"/>
        <v>-1</v>
      </c>
      <c r="X299">
        <f t="shared" si="875"/>
        <v>-1</v>
      </c>
      <c r="Y299">
        <f t="shared" si="875"/>
        <v>-1</v>
      </c>
      <c r="Z299">
        <f t="shared" si="875"/>
        <v>-1</v>
      </c>
      <c r="AA299">
        <f t="shared" si="875"/>
        <v>-1</v>
      </c>
      <c r="AB299">
        <f t="shared" si="875"/>
        <v>-1</v>
      </c>
      <c r="AC299">
        <f t="shared" si="875"/>
        <v>-1</v>
      </c>
      <c r="AD299">
        <f t="shared" si="875"/>
        <v>-1</v>
      </c>
      <c r="AE299">
        <f t="shared" si="875"/>
        <v>-1</v>
      </c>
      <c r="AF299">
        <f t="shared" si="875"/>
        <v>-1</v>
      </c>
      <c r="AG299">
        <f t="shared" si="875"/>
        <v>-1</v>
      </c>
      <c r="AH299">
        <f t="shared" si="875"/>
        <v>-1</v>
      </c>
      <c r="AI299">
        <f t="shared" si="875"/>
        <v>-1</v>
      </c>
      <c r="AJ299">
        <f t="shared" si="875"/>
        <v>-1</v>
      </c>
      <c r="AK299">
        <f t="shared" si="875"/>
        <v>-1</v>
      </c>
      <c r="AL299">
        <f t="shared" si="875"/>
        <v>-1</v>
      </c>
      <c r="AM299">
        <f t="shared" si="875"/>
        <v>-1</v>
      </c>
      <c r="AN299">
        <f t="shared" si="875"/>
        <v>-1</v>
      </c>
      <c r="AO299">
        <f t="shared" si="875"/>
        <v>-1</v>
      </c>
      <c r="AP299">
        <f t="shared" si="875"/>
        <v>-1</v>
      </c>
      <c r="AQ299">
        <f t="shared" si="875"/>
        <v>-1</v>
      </c>
      <c r="AR299">
        <f t="shared" si="875"/>
        <v>-1</v>
      </c>
      <c r="AS299">
        <f t="shared" si="875"/>
        <v>-1</v>
      </c>
      <c r="AT299">
        <f t="shared" si="875"/>
        <v>-1</v>
      </c>
      <c r="AU299">
        <f t="shared" si="875"/>
        <v>-1</v>
      </c>
      <c r="AV299">
        <f t="shared" si="875"/>
        <v>-1</v>
      </c>
      <c r="AW299">
        <f t="shared" si="875"/>
        <v>-1</v>
      </c>
      <c r="AX299">
        <f t="shared" si="875"/>
        <v>-1</v>
      </c>
      <c r="AY299">
        <f t="shared" si="875"/>
        <v>-1</v>
      </c>
      <c r="AZ299">
        <f t="shared" si="875"/>
        <v>-1</v>
      </c>
      <c r="BA299">
        <f t="shared" si="875"/>
        <v>-1</v>
      </c>
      <c r="BB299">
        <f t="shared" si="875"/>
        <v>-1</v>
      </c>
      <c r="BC299">
        <f t="shared" si="875"/>
        <v>-1</v>
      </c>
      <c r="BD299">
        <f t="shared" si="875"/>
        <v>-1</v>
      </c>
      <c r="BE299">
        <f t="shared" si="875"/>
        <v>-1</v>
      </c>
      <c r="BF299">
        <f t="shared" si="875"/>
        <v>-1</v>
      </c>
      <c r="BG299">
        <f t="shared" si="875"/>
        <v>-1</v>
      </c>
      <c r="BH299">
        <f t="shared" si="875"/>
        <v>-1</v>
      </c>
      <c r="BI299">
        <f t="shared" si="875"/>
        <v>-1</v>
      </c>
      <c r="BJ299">
        <f t="shared" si="875"/>
        <v>-1</v>
      </c>
      <c r="BK299">
        <f t="shared" si="875"/>
        <v>-1</v>
      </c>
      <c r="BL299">
        <f t="shared" si="875"/>
        <v>-1</v>
      </c>
      <c r="BM299">
        <f t="shared" si="875"/>
        <v>-1</v>
      </c>
      <c r="BN299">
        <f t="shared" si="875"/>
        <v>-1</v>
      </c>
      <c r="BO299">
        <f t="shared" si="875"/>
        <v>-1</v>
      </c>
      <c r="BP299">
        <f t="shared" ref="BP299:EA299" si="876">IF(OR(BP298=-1,AND(IF(BP$3&lt;$B299,BP298+BP$6,IF(BP$3=$B299,1,""))&gt;$B$1,BP$3&lt;$B299)),-1,IF(BP$3&lt;$B299,BP298+BP$6,IF(BP$3=$B299,1,"")))</f>
        <v>-1</v>
      </c>
      <c r="BQ299">
        <f t="shared" si="876"/>
        <v>-1</v>
      </c>
      <c r="BR299">
        <f t="shared" si="876"/>
        <v>-1</v>
      </c>
      <c r="BS299">
        <f t="shared" si="876"/>
        <v>-1</v>
      </c>
      <c r="BT299">
        <f t="shared" si="876"/>
        <v>-1</v>
      </c>
      <c r="BU299">
        <f t="shared" si="876"/>
        <v>-1</v>
      </c>
      <c r="BV299">
        <f t="shared" si="876"/>
        <v>-1</v>
      </c>
      <c r="BW299">
        <f t="shared" si="876"/>
        <v>-1</v>
      </c>
      <c r="BX299">
        <f t="shared" si="876"/>
        <v>-1</v>
      </c>
      <c r="BY299">
        <f t="shared" si="876"/>
        <v>-1</v>
      </c>
      <c r="BZ299">
        <f t="shared" si="876"/>
        <v>-1</v>
      </c>
      <c r="CA299">
        <f t="shared" si="876"/>
        <v>-1</v>
      </c>
      <c r="CB299">
        <f t="shared" si="876"/>
        <v>-1</v>
      </c>
      <c r="CC299">
        <f t="shared" si="876"/>
        <v>-1</v>
      </c>
      <c r="CD299">
        <f t="shared" si="876"/>
        <v>-1</v>
      </c>
      <c r="CE299">
        <f t="shared" si="876"/>
        <v>-1</v>
      </c>
      <c r="CF299">
        <f t="shared" si="876"/>
        <v>-1</v>
      </c>
      <c r="CG299">
        <f t="shared" si="876"/>
        <v>-1</v>
      </c>
      <c r="CH299">
        <f t="shared" si="876"/>
        <v>-1</v>
      </c>
      <c r="CI299">
        <f t="shared" si="876"/>
        <v>-1</v>
      </c>
      <c r="CJ299">
        <f t="shared" si="876"/>
        <v>-1</v>
      </c>
      <c r="CK299">
        <f t="shared" si="876"/>
        <v>-1</v>
      </c>
      <c r="CL299">
        <f t="shared" si="876"/>
        <v>-1</v>
      </c>
      <c r="CM299">
        <f t="shared" si="876"/>
        <v>-1</v>
      </c>
      <c r="CN299">
        <f t="shared" si="876"/>
        <v>-1</v>
      </c>
      <c r="CO299">
        <f t="shared" si="876"/>
        <v>-1</v>
      </c>
      <c r="CP299">
        <f t="shared" si="876"/>
        <v>-1</v>
      </c>
      <c r="CQ299">
        <f t="shared" si="876"/>
        <v>-1</v>
      </c>
      <c r="CR299">
        <f t="shared" si="876"/>
        <v>-1</v>
      </c>
      <c r="CS299">
        <f t="shared" si="876"/>
        <v>-1</v>
      </c>
      <c r="CT299">
        <f t="shared" si="876"/>
        <v>-1</v>
      </c>
      <c r="CU299">
        <f t="shared" si="876"/>
        <v>-1</v>
      </c>
      <c r="CV299">
        <f t="shared" si="876"/>
        <v>-1</v>
      </c>
      <c r="CW299">
        <f t="shared" si="876"/>
        <v>-1</v>
      </c>
      <c r="CX299">
        <f t="shared" si="876"/>
        <v>-1</v>
      </c>
      <c r="CY299">
        <f t="shared" si="876"/>
        <v>-1</v>
      </c>
      <c r="CZ299">
        <f t="shared" si="876"/>
        <v>-1</v>
      </c>
      <c r="DA299">
        <f t="shared" si="876"/>
        <v>-1</v>
      </c>
      <c r="DB299">
        <f t="shared" si="876"/>
        <v>-1</v>
      </c>
      <c r="DC299">
        <f t="shared" si="876"/>
        <v>-1</v>
      </c>
      <c r="DD299">
        <f t="shared" si="876"/>
        <v>-1</v>
      </c>
      <c r="DE299">
        <f t="shared" si="876"/>
        <v>-1</v>
      </c>
      <c r="DF299">
        <f t="shared" si="876"/>
        <v>-1</v>
      </c>
      <c r="DG299">
        <f t="shared" si="876"/>
        <v>-1</v>
      </c>
      <c r="DH299">
        <f t="shared" si="876"/>
        <v>-1</v>
      </c>
      <c r="DI299">
        <f t="shared" si="876"/>
        <v>-1</v>
      </c>
      <c r="DJ299">
        <f t="shared" si="876"/>
        <v>-1</v>
      </c>
      <c r="DK299">
        <f t="shared" si="876"/>
        <v>-1</v>
      </c>
      <c r="DL299">
        <f t="shared" si="876"/>
        <v>-1</v>
      </c>
      <c r="DM299">
        <f t="shared" si="876"/>
        <v>-1</v>
      </c>
      <c r="DN299">
        <f t="shared" si="876"/>
        <v>-1</v>
      </c>
      <c r="DO299">
        <f t="shared" si="876"/>
        <v>-1</v>
      </c>
      <c r="DP299">
        <f t="shared" si="876"/>
        <v>-1</v>
      </c>
      <c r="DQ299">
        <f t="shared" si="876"/>
        <v>-1</v>
      </c>
      <c r="DR299">
        <f t="shared" si="876"/>
        <v>-1</v>
      </c>
      <c r="DS299">
        <f t="shared" si="876"/>
        <v>-1</v>
      </c>
      <c r="DT299">
        <f t="shared" si="876"/>
        <v>-1</v>
      </c>
      <c r="DU299">
        <f t="shared" si="876"/>
        <v>-1</v>
      </c>
      <c r="DV299">
        <f t="shared" si="876"/>
        <v>-1</v>
      </c>
      <c r="DW299">
        <f t="shared" si="876"/>
        <v>-1</v>
      </c>
      <c r="DX299">
        <f t="shared" si="876"/>
        <v>-1</v>
      </c>
      <c r="DY299">
        <f t="shared" si="876"/>
        <v>-1</v>
      </c>
      <c r="DZ299">
        <f t="shared" si="876"/>
        <v>-1</v>
      </c>
      <c r="EA299">
        <f t="shared" si="876"/>
        <v>-1</v>
      </c>
      <c r="EB299">
        <f t="shared" ref="EB299:EO299" si="877">IF(OR(EB298=-1,AND(IF(EB$3&lt;$B299,EB298+EB$6,IF(EB$3=$B299,1,""))&gt;$B$1,EB$3&lt;$B299)),-1,IF(EB$3&lt;$B299,EB298+EB$6,IF(EB$3=$B299,1,"")))</f>
        <v>-1</v>
      </c>
      <c r="EC299">
        <f t="shared" si="877"/>
        <v>-1</v>
      </c>
      <c r="ED299">
        <f t="shared" si="877"/>
        <v>-1</v>
      </c>
      <c r="EE299">
        <f t="shared" si="877"/>
        <v>-1</v>
      </c>
      <c r="EF299">
        <f t="shared" si="877"/>
        <v>-1</v>
      </c>
      <c r="EG299">
        <f t="shared" si="877"/>
        <v>-1</v>
      </c>
      <c r="EH299">
        <f t="shared" si="877"/>
        <v>-1</v>
      </c>
      <c r="EI299">
        <f t="shared" si="877"/>
        <v>-1</v>
      </c>
      <c r="EJ299">
        <f t="shared" si="877"/>
        <v>-1</v>
      </c>
      <c r="EK299">
        <f t="shared" si="877"/>
        <v>-1</v>
      </c>
      <c r="EL299">
        <f t="shared" si="877"/>
        <v>-1</v>
      </c>
      <c r="EM299">
        <f t="shared" si="877"/>
        <v>-1</v>
      </c>
      <c r="EN299">
        <f t="shared" si="877"/>
        <v>-1</v>
      </c>
      <c r="EO299">
        <f t="shared" si="877"/>
        <v>-1</v>
      </c>
    </row>
    <row r="300" spans="1:145" x14ac:dyDescent="0.15">
      <c r="A300" t="e">
        <f t="shared" si="772"/>
        <v>#N/A</v>
      </c>
      <c r="B300" s="218">
        <v>292</v>
      </c>
      <c r="C300">
        <f t="shared" si="772"/>
        <v>-1</v>
      </c>
      <c r="D300">
        <f t="shared" ref="D300:BO300" si="878">IF(OR(D299=-1,AND(IF(D$3&lt;$B300,D299+D$6,IF(D$3=$B300,1,""))&gt;$B$1,D$3&lt;$B300)),-1,IF(D$3&lt;$B300,D299+D$6,IF(D$3=$B300,1,"")))</f>
        <v>-1</v>
      </c>
      <c r="E300">
        <f t="shared" si="878"/>
        <v>-1</v>
      </c>
      <c r="F300">
        <f t="shared" si="878"/>
        <v>-1</v>
      </c>
      <c r="G300">
        <f t="shared" si="878"/>
        <v>-1</v>
      </c>
      <c r="H300">
        <f t="shared" si="878"/>
        <v>-1</v>
      </c>
      <c r="I300">
        <f t="shared" si="878"/>
        <v>-1</v>
      </c>
      <c r="J300">
        <f t="shared" si="878"/>
        <v>-1</v>
      </c>
      <c r="K300">
        <f t="shared" si="878"/>
        <v>-1</v>
      </c>
      <c r="L300">
        <f t="shared" si="878"/>
        <v>-1</v>
      </c>
      <c r="M300">
        <f t="shared" si="878"/>
        <v>-1</v>
      </c>
      <c r="N300">
        <f t="shared" si="878"/>
        <v>-1</v>
      </c>
      <c r="O300">
        <f t="shared" si="878"/>
        <v>-1</v>
      </c>
      <c r="P300">
        <f t="shared" si="878"/>
        <v>-1</v>
      </c>
      <c r="Q300">
        <f t="shared" si="878"/>
        <v>-1</v>
      </c>
      <c r="R300">
        <f t="shared" si="878"/>
        <v>-1</v>
      </c>
      <c r="S300">
        <f t="shared" si="878"/>
        <v>-1</v>
      </c>
      <c r="T300">
        <f t="shared" si="878"/>
        <v>-1</v>
      </c>
      <c r="U300">
        <f t="shared" si="878"/>
        <v>-1</v>
      </c>
      <c r="V300">
        <f t="shared" si="878"/>
        <v>-1</v>
      </c>
      <c r="W300">
        <f t="shared" si="878"/>
        <v>-1</v>
      </c>
      <c r="X300">
        <f t="shared" si="878"/>
        <v>-1</v>
      </c>
      <c r="Y300">
        <f t="shared" si="878"/>
        <v>-1</v>
      </c>
      <c r="Z300">
        <f t="shared" si="878"/>
        <v>-1</v>
      </c>
      <c r="AA300">
        <f t="shared" si="878"/>
        <v>-1</v>
      </c>
      <c r="AB300">
        <f t="shared" si="878"/>
        <v>-1</v>
      </c>
      <c r="AC300">
        <f t="shared" si="878"/>
        <v>-1</v>
      </c>
      <c r="AD300">
        <f t="shared" si="878"/>
        <v>-1</v>
      </c>
      <c r="AE300">
        <f t="shared" si="878"/>
        <v>-1</v>
      </c>
      <c r="AF300">
        <f t="shared" si="878"/>
        <v>-1</v>
      </c>
      <c r="AG300">
        <f t="shared" si="878"/>
        <v>-1</v>
      </c>
      <c r="AH300">
        <f t="shared" si="878"/>
        <v>-1</v>
      </c>
      <c r="AI300">
        <f t="shared" si="878"/>
        <v>-1</v>
      </c>
      <c r="AJ300">
        <f t="shared" si="878"/>
        <v>-1</v>
      </c>
      <c r="AK300">
        <f t="shared" si="878"/>
        <v>-1</v>
      </c>
      <c r="AL300">
        <f t="shared" si="878"/>
        <v>-1</v>
      </c>
      <c r="AM300">
        <f t="shared" si="878"/>
        <v>-1</v>
      </c>
      <c r="AN300">
        <f t="shared" si="878"/>
        <v>-1</v>
      </c>
      <c r="AO300">
        <f t="shared" si="878"/>
        <v>-1</v>
      </c>
      <c r="AP300">
        <f t="shared" si="878"/>
        <v>-1</v>
      </c>
      <c r="AQ300">
        <f t="shared" si="878"/>
        <v>-1</v>
      </c>
      <c r="AR300">
        <f t="shared" si="878"/>
        <v>-1</v>
      </c>
      <c r="AS300">
        <f t="shared" si="878"/>
        <v>-1</v>
      </c>
      <c r="AT300">
        <f t="shared" si="878"/>
        <v>-1</v>
      </c>
      <c r="AU300">
        <f t="shared" si="878"/>
        <v>-1</v>
      </c>
      <c r="AV300">
        <f t="shared" si="878"/>
        <v>-1</v>
      </c>
      <c r="AW300">
        <f t="shared" si="878"/>
        <v>-1</v>
      </c>
      <c r="AX300">
        <f t="shared" si="878"/>
        <v>-1</v>
      </c>
      <c r="AY300">
        <f t="shared" si="878"/>
        <v>-1</v>
      </c>
      <c r="AZ300">
        <f t="shared" si="878"/>
        <v>-1</v>
      </c>
      <c r="BA300">
        <f t="shared" si="878"/>
        <v>-1</v>
      </c>
      <c r="BB300">
        <f t="shared" si="878"/>
        <v>-1</v>
      </c>
      <c r="BC300">
        <f t="shared" si="878"/>
        <v>-1</v>
      </c>
      <c r="BD300">
        <f t="shared" si="878"/>
        <v>-1</v>
      </c>
      <c r="BE300">
        <f t="shared" si="878"/>
        <v>-1</v>
      </c>
      <c r="BF300">
        <f t="shared" si="878"/>
        <v>-1</v>
      </c>
      <c r="BG300">
        <f t="shared" si="878"/>
        <v>-1</v>
      </c>
      <c r="BH300">
        <f t="shared" si="878"/>
        <v>-1</v>
      </c>
      <c r="BI300">
        <f t="shared" si="878"/>
        <v>-1</v>
      </c>
      <c r="BJ300">
        <f t="shared" si="878"/>
        <v>-1</v>
      </c>
      <c r="BK300">
        <f t="shared" si="878"/>
        <v>-1</v>
      </c>
      <c r="BL300">
        <f t="shared" si="878"/>
        <v>-1</v>
      </c>
      <c r="BM300">
        <f t="shared" si="878"/>
        <v>-1</v>
      </c>
      <c r="BN300">
        <f t="shared" si="878"/>
        <v>-1</v>
      </c>
      <c r="BO300">
        <f t="shared" si="878"/>
        <v>-1</v>
      </c>
      <c r="BP300">
        <f t="shared" ref="BP300:EA300" si="879">IF(OR(BP299=-1,AND(IF(BP$3&lt;$B300,BP299+BP$6,IF(BP$3=$B300,1,""))&gt;$B$1,BP$3&lt;$B300)),-1,IF(BP$3&lt;$B300,BP299+BP$6,IF(BP$3=$B300,1,"")))</f>
        <v>-1</v>
      </c>
      <c r="BQ300">
        <f t="shared" si="879"/>
        <v>-1</v>
      </c>
      <c r="BR300">
        <f t="shared" si="879"/>
        <v>-1</v>
      </c>
      <c r="BS300">
        <f t="shared" si="879"/>
        <v>-1</v>
      </c>
      <c r="BT300">
        <f t="shared" si="879"/>
        <v>-1</v>
      </c>
      <c r="BU300">
        <f t="shared" si="879"/>
        <v>-1</v>
      </c>
      <c r="BV300">
        <f t="shared" si="879"/>
        <v>-1</v>
      </c>
      <c r="BW300">
        <f t="shared" si="879"/>
        <v>-1</v>
      </c>
      <c r="BX300">
        <f t="shared" si="879"/>
        <v>-1</v>
      </c>
      <c r="BY300">
        <f t="shared" si="879"/>
        <v>-1</v>
      </c>
      <c r="BZ300">
        <f t="shared" si="879"/>
        <v>-1</v>
      </c>
      <c r="CA300">
        <f t="shared" si="879"/>
        <v>-1</v>
      </c>
      <c r="CB300">
        <f t="shared" si="879"/>
        <v>-1</v>
      </c>
      <c r="CC300">
        <f t="shared" si="879"/>
        <v>-1</v>
      </c>
      <c r="CD300">
        <f t="shared" si="879"/>
        <v>-1</v>
      </c>
      <c r="CE300">
        <f t="shared" si="879"/>
        <v>-1</v>
      </c>
      <c r="CF300">
        <f t="shared" si="879"/>
        <v>-1</v>
      </c>
      <c r="CG300">
        <f t="shared" si="879"/>
        <v>-1</v>
      </c>
      <c r="CH300">
        <f t="shared" si="879"/>
        <v>-1</v>
      </c>
      <c r="CI300">
        <f t="shared" si="879"/>
        <v>-1</v>
      </c>
      <c r="CJ300">
        <f t="shared" si="879"/>
        <v>-1</v>
      </c>
      <c r="CK300">
        <f t="shared" si="879"/>
        <v>-1</v>
      </c>
      <c r="CL300">
        <f t="shared" si="879"/>
        <v>-1</v>
      </c>
      <c r="CM300">
        <f t="shared" si="879"/>
        <v>-1</v>
      </c>
      <c r="CN300">
        <f t="shared" si="879"/>
        <v>-1</v>
      </c>
      <c r="CO300">
        <f t="shared" si="879"/>
        <v>-1</v>
      </c>
      <c r="CP300">
        <f t="shared" si="879"/>
        <v>-1</v>
      </c>
      <c r="CQ300">
        <f t="shared" si="879"/>
        <v>-1</v>
      </c>
      <c r="CR300">
        <f t="shared" si="879"/>
        <v>-1</v>
      </c>
      <c r="CS300">
        <f t="shared" si="879"/>
        <v>-1</v>
      </c>
      <c r="CT300">
        <f t="shared" si="879"/>
        <v>-1</v>
      </c>
      <c r="CU300">
        <f t="shared" si="879"/>
        <v>-1</v>
      </c>
      <c r="CV300">
        <f t="shared" si="879"/>
        <v>-1</v>
      </c>
      <c r="CW300">
        <f t="shared" si="879"/>
        <v>-1</v>
      </c>
      <c r="CX300">
        <f t="shared" si="879"/>
        <v>-1</v>
      </c>
      <c r="CY300">
        <f t="shared" si="879"/>
        <v>-1</v>
      </c>
      <c r="CZ300">
        <f t="shared" si="879"/>
        <v>-1</v>
      </c>
      <c r="DA300">
        <f t="shared" si="879"/>
        <v>-1</v>
      </c>
      <c r="DB300">
        <f t="shared" si="879"/>
        <v>-1</v>
      </c>
      <c r="DC300">
        <f t="shared" si="879"/>
        <v>-1</v>
      </c>
      <c r="DD300">
        <f t="shared" si="879"/>
        <v>-1</v>
      </c>
      <c r="DE300">
        <f t="shared" si="879"/>
        <v>-1</v>
      </c>
      <c r="DF300">
        <f t="shared" si="879"/>
        <v>-1</v>
      </c>
      <c r="DG300">
        <f t="shared" si="879"/>
        <v>-1</v>
      </c>
      <c r="DH300">
        <f t="shared" si="879"/>
        <v>-1</v>
      </c>
      <c r="DI300">
        <f t="shared" si="879"/>
        <v>-1</v>
      </c>
      <c r="DJ300">
        <f t="shared" si="879"/>
        <v>-1</v>
      </c>
      <c r="DK300">
        <f t="shared" si="879"/>
        <v>-1</v>
      </c>
      <c r="DL300">
        <f t="shared" si="879"/>
        <v>-1</v>
      </c>
      <c r="DM300">
        <f t="shared" si="879"/>
        <v>-1</v>
      </c>
      <c r="DN300">
        <f t="shared" si="879"/>
        <v>-1</v>
      </c>
      <c r="DO300">
        <f t="shared" si="879"/>
        <v>-1</v>
      </c>
      <c r="DP300">
        <f t="shared" si="879"/>
        <v>-1</v>
      </c>
      <c r="DQ300">
        <f t="shared" si="879"/>
        <v>-1</v>
      </c>
      <c r="DR300">
        <f t="shared" si="879"/>
        <v>-1</v>
      </c>
      <c r="DS300">
        <f t="shared" si="879"/>
        <v>-1</v>
      </c>
      <c r="DT300">
        <f t="shared" si="879"/>
        <v>-1</v>
      </c>
      <c r="DU300">
        <f t="shared" si="879"/>
        <v>-1</v>
      </c>
      <c r="DV300">
        <f t="shared" si="879"/>
        <v>-1</v>
      </c>
      <c r="DW300">
        <f t="shared" si="879"/>
        <v>-1</v>
      </c>
      <c r="DX300">
        <f t="shared" si="879"/>
        <v>-1</v>
      </c>
      <c r="DY300">
        <f t="shared" si="879"/>
        <v>-1</v>
      </c>
      <c r="DZ300">
        <f t="shared" si="879"/>
        <v>-1</v>
      </c>
      <c r="EA300">
        <f t="shared" si="879"/>
        <v>-1</v>
      </c>
      <c r="EB300">
        <f t="shared" ref="EB300:EO300" si="880">IF(OR(EB299=-1,AND(IF(EB$3&lt;$B300,EB299+EB$6,IF(EB$3=$B300,1,""))&gt;$B$1,EB$3&lt;$B300)),-1,IF(EB$3&lt;$B300,EB299+EB$6,IF(EB$3=$B300,1,"")))</f>
        <v>-1</v>
      </c>
      <c r="EC300">
        <f t="shared" si="880"/>
        <v>-1</v>
      </c>
      <c r="ED300">
        <f t="shared" si="880"/>
        <v>-1</v>
      </c>
      <c r="EE300">
        <f t="shared" si="880"/>
        <v>-1</v>
      </c>
      <c r="EF300">
        <f t="shared" si="880"/>
        <v>-1</v>
      </c>
      <c r="EG300">
        <f t="shared" si="880"/>
        <v>-1</v>
      </c>
      <c r="EH300">
        <f t="shared" si="880"/>
        <v>-1</v>
      </c>
      <c r="EI300">
        <f t="shared" si="880"/>
        <v>-1</v>
      </c>
      <c r="EJ300">
        <f t="shared" si="880"/>
        <v>-1</v>
      </c>
      <c r="EK300">
        <f t="shared" si="880"/>
        <v>-1</v>
      </c>
      <c r="EL300">
        <f t="shared" si="880"/>
        <v>-1</v>
      </c>
      <c r="EM300">
        <f t="shared" si="880"/>
        <v>-1</v>
      </c>
      <c r="EN300">
        <f t="shared" si="880"/>
        <v>-1</v>
      </c>
      <c r="EO300">
        <f t="shared" si="880"/>
        <v>-1</v>
      </c>
    </row>
    <row r="301" spans="1:145" x14ac:dyDescent="0.15">
      <c r="A301" t="e">
        <f t="shared" si="772"/>
        <v>#N/A</v>
      </c>
      <c r="B301" s="218">
        <v>293</v>
      </c>
      <c r="C301">
        <f t="shared" si="772"/>
        <v>-1</v>
      </c>
      <c r="D301">
        <f t="shared" ref="D301:BO301" si="881">IF(OR(D300=-1,AND(IF(D$3&lt;$B301,D300+D$6,IF(D$3=$B301,1,""))&gt;$B$1,D$3&lt;$B301)),-1,IF(D$3&lt;$B301,D300+D$6,IF(D$3=$B301,1,"")))</f>
        <v>-1</v>
      </c>
      <c r="E301">
        <f t="shared" si="881"/>
        <v>-1</v>
      </c>
      <c r="F301">
        <f t="shared" si="881"/>
        <v>-1</v>
      </c>
      <c r="G301">
        <f t="shared" si="881"/>
        <v>-1</v>
      </c>
      <c r="H301">
        <f t="shared" si="881"/>
        <v>-1</v>
      </c>
      <c r="I301">
        <f t="shared" si="881"/>
        <v>-1</v>
      </c>
      <c r="J301">
        <f t="shared" si="881"/>
        <v>-1</v>
      </c>
      <c r="K301">
        <f t="shared" si="881"/>
        <v>-1</v>
      </c>
      <c r="L301">
        <f t="shared" si="881"/>
        <v>-1</v>
      </c>
      <c r="M301">
        <f t="shared" si="881"/>
        <v>-1</v>
      </c>
      <c r="N301">
        <f t="shared" si="881"/>
        <v>-1</v>
      </c>
      <c r="O301">
        <f t="shared" si="881"/>
        <v>-1</v>
      </c>
      <c r="P301">
        <f t="shared" si="881"/>
        <v>-1</v>
      </c>
      <c r="Q301">
        <f t="shared" si="881"/>
        <v>-1</v>
      </c>
      <c r="R301">
        <f t="shared" si="881"/>
        <v>-1</v>
      </c>
      <c r="S301">
        <f t="shared" si="881"/>
        <v>-1</v>
      </c>
      <c r="T301">
        <f t="shared" si="881"/>
        <v>-1</v>
      </c>
      <c r="U301">
        <f t="shared" si="881"/>
        <v>-1</v>
      </c>
      <c r="V301">
        <f t="shared" si="881"/>
        <v>-1</v>
      </c>
      <c r="W301">
        <f t="shared" si="881"/>
        <v>-1</v>
      </c>
      <c r="X301">
        <f t="shared" si="881"/>
        <v>-1</v>
      </c>
      <c r="Y301">
        <f t="shared" si="881"/>
        <v>-1</v>
      </c>
      <c r="Z301">
        <f t="shared" si="881"/>
        <v>-1</v>
      </c>
      <c r="AA301">
        <f t="shared" si="881"/>
        <v>-1</v>
      </c>
      <c r="AB301">
        <f t="shared" si="881"/>
        <v>-1</v>
      </c>
      <c r="AC301">
        <f t="shared" si="881"/>
        <v>-1</v>
      </c>
      <c r="AD301">
        <f t="shared" si="881"/>
        <v>-1</v>
      </c>
      <c r="AE301">
        <f t="shared" si="881"/>
        <v>-1</v>
      </c>
      <c r="AF301">
        <f t="shared" si="881"/>
        <v>-1</v>
      </c>
      <c r="AG301">
        <f t="shared" si="881"/>
        <v>-1</v>
      </c>
      <c r="AH301">
        <f t="shared" si="881"/>
        <v>-1</v>
      </c>
      <c r="AI301">
        <f t="shared" si="881"/>
        <v>-1</v>
      </c>
      <c r="AJ301">
        <f t="shared" si="881"/>
        <v>-1</v>
      </c>
      <c r="AK301">
        <f t="shared" si="881"/>
        <v>-1</v>
      </c>
      <c r="AL301">
        <f t="shared" si="881"/>
        <v>-1</v>
      </c>
      <c r="AM301">
        <f t="shared" si="881"/>
        <v>-1</v>
      </c>
      <c r="AN301">
        <f t="shared" si="881"/>
        <v>-1</v>
      </c>
      <c r="AO301">
        <f t="shared" si="881"/>
        <v>-1</v>
      </c>
      <c r="AP301">
        <f t="shared" si="881"/>
        <v>-1</v>
      </c>
      <c r="AQ301">
        <f t="shared" si="881"/>
        <v>-1</v>
      </c>
      <c r="AR301">
        <f t="shared" si="881"/>
        <v>-1</v>
      </c>
      <c r="AS301">
        <f t="shared" si="881"/>
        <v>-1</v>
      </c>
      <c r="AT301">
        <f t="shared" si="881"/>
        <v>-1</v>
      </c>
      <c r="AU301">
        <f t="shared" si="881"/>
        <v>-1</v>
      </c>
      <c r="AV301">
        <f t="shared" si="881"/>
        <v>-1</v>
      </c>
      <c r="AW301">
        <f t="shared" si="881"/>
        <v>-1</v>
      </c>
      <c r="AX301">
        <f t="shared" si="881"/>
        <v>-1</v>
      </c>
      <c r="AY301">
        <f t="shared" si="881"/>
        <v>-1</v>
      </c>
      <c r="AZ301">
        <f t="shared" si="881"/>
        <v>-1</v>
      </c>
      <c r="BA301">
        <f t="shared" si="881"/>
        <v>-1</v>
      </c>
      <c r="BB301">
        <f t="shared" si="881"/>
        <v>-1</v>
      </c>
      <c r="BC301">
        <f t="shared" si="881"/>
        <v>-1</v>
      </c>
      <c r="BD301">
        <f t="shared" si="881"/>
        <v>-1</v>
      </c>
      <c r="BE301">
        <f t="shared" si="881"/>
        <v>-1</v>
      </c>
      <c r="BF301">
        <f t="shared" si="881"/>
        <v>-1</v>
      </c>
      <c r="BG301">
        <f t="shared" si="881"/>
        <v>-1</v>
      </c>
      <c r="BH301">
        <f t="shared" si="881"/>
        <v>-1</v>
      </c>
      <c r="BI301">
        <f t="shared" si="881"/>
        <v>-1</v>
      </c>
      <c r="BJ301">
        <f t="shared" si="881"/>
        <v>-1</v>
      </c>
      <c r="BK301">
        <f t="shared" si="881"/>
        <v>-1</v>
      </c>
      <c r="BL301">
        <f t="shared" si="881"/>
        <v>-1</v>
      </c>
      <c r="BM301">
        <f t="shared" si="881"/>
        <v>-1</v>
      </c>
      <c r="BN301">
        <f t="shared" si="881"/>
        <v>-1</v>
      </c>
      <c r="BO301">
        <f t="shared" si="881"/>
        <v>-1</v>
      </c>
      <c r="BP301">
        <f t="shared" ref="BP301:EA301" si="882">IF(OR(BP300=-1,AND(IF(BP$3&lt;$B301,BP300+BP$6,IF(BP$3=$B301,1,""))&gt;$B$1,BP$3&lt;$B301)),-1,IF(BP$3&lt;$B301,BP300+BP$6,IF(BP$3=$B301,1,"")))</f>
        <v>-1</v>
      </c>
      <c r="BQ301">
        <f t="shared" si="882"/>
        <v>-1</v>
      </c>
      <c r="BR301">
        <f t="shared" si="882"/>
        <v>-1</v>
      </c>
      <c r="BS301">
        <f t="shared" si="882"/>
        <v>-1</v>
      </c>
      <c r="BT301">
        <f t="shared" si="882"/>
        <v>-1</v>
      </c>
      <c r="BU301">
        <f t="shared" si="882"/>
        <v>-1</v>
      </c>
      <c r="BV301">
        <f t="shared" si="882"/>
        <v>-1</v>
      </c>
      <c r="BW301">
        <f t="shared" si="882"/>
        <v>-1</v>
      </c>
      <c r="BX301">
        <f t="shared" si="882"/>
        <v>-1</v>
      </c>
      <c r="BY301">
        <f t="shared" si="882"/>
        <v>-1</v>
      </c>
      <c r="BZ301">
        <f t="shared" si="882"/>
        <v>-1</v>
      </c>
      <c r="CA301">
        <f t="shared" si="882"/>
        <v>-1</v>
      </c>
      <c r="CB301">
        <f t="shared" si="882"/>
        <v>-1</v>
      </c>
      <c r="CC301">
        <f t="shared" si="882"/>
        <v>-1</v>
      </c>
      <c r="CD301">
        <f t="shared" si="882"/>
        <v>-1</v>
      </c>
      <c r="CE301">
        <f t="shared" si="882"/>
        <v>-1</v>
      </c>
      <c r="CF301">
        <f t="shared" si="882"/>
        <v>-1</v>
      </c>
      <c r="CG301">
        <f t="shared" si="882"/>
        <v>-1</v>
      </c>
      <c r="CH301">
        <f t="shared" si="882"/>
        <v>-1</v>
      </c>
      <c r="CI301">
        <f t="shared" si="882"/>
        <v>-1</v>
      </c>
      <c r="CJ301">
        <f t="shared" si="882"/>
        <v>-1</v>
      </c>
      <c r="CK301">
        <f t="shared" si="882"/>
        <v>-1</v>
      </c>
      <c r="CL301">
        <f t="shared" si="882"/>
        <v>-1</v>
      </c>
      <c r="CM301">
        <f t="shared" si="882"/>
        <v>-1</v>
      </c>
      <c r="CN301">
        <f t="shared" si="882"/>
        <v>-1</v>
      </c>
      <c r="CO301">
        <f t="shared" si="882"/>
        <v>-1</v>
      </c>
      <c r="CP301">
        <f t="shared" si="882"/>
        <v>-1</v>
      </c>
      <c r="CQ301">
        <f t="shared" si="882"/>
        <v>-1</v>
      </c>
      <c r="CR301">
        <f t="shared" si="882"/>
        <v>-1</v>
      </c>
      <c r="CS301">
        <f t="shared" si="882"/>
        <v>-1</v>
      </c>
      <c r="CT301">
        <f t="shared" si="882"/>
        <v>-1</v>
      </c>
      <c r="CU301">
        <f t="shared" si="882"/>
        <v>-1</v>
      </c>
      <c r="CV301">
        <f t="shared" si="882"/>
        <v>-1</v>
      </c>
      <c r="CW301">
        <f t="shared" si="882"/>
        <v>-1</v>
      </c>
      <c r="CX301">
        <f t="shared" si="882"/>
        <v>-1</v>
      </c>
      <c r="CY301">
        <f t="shared" si="882"/>
        <v>-1</v>
      </c>
      <c r="CZ301">
        <f t="shared" si="882"/>
        <v>-1</v>
      </c>
      <c r="DA301">
        <f t="shared" si="882"/>
        <v>-1</v>
      </c>
      <c r="DB301">
        <f t="shared" si="882"/>
        <v>-1</v>
      </c>
      <c r="DC301">
        <f t="shared" si="882"/>
        <v>-1</v>
      </c>
      <c r="DD301">
        <f t="shared" si="882"/>
        <v>-1</v>
      </c>
      <c r="DE301">
        <f t="shared" si="882"/>
        <v>-1</v>
      </c>
      <c r="DF301">
        <f t="shared" si="882"/>
        <v>-1</v>
      </c>
      <c r="DG301">
        <f t="shared" si="882"/>
        <v>-1</v>
      </c>
      <c r="DH301">
        <f t="shared" si="882"/>
        <v>-1</v>
      </c>
      <c r="DI301">
        <f t="shared" si="882"/>
        <v>-1</v>
      </c>
      <c r="DJ301">
        <f t="shared" si="882"/>
        <v>-1</v>
      </c>
      <c r="DK301">
        <f t="shared" si="882"/>
        <v>-1</v>
      </c>
      <c r="DL301">
        <f t="shared" si="882"/>
        <v>-1</v>
      </c>
      <c r="DM301">
        <f t="shared" si="882"/>
        <v>-1</v>
      </c>
      <c r="DN301">
        <f t="shared" si="882"/>
        <v>-1</v>
      </c>
      <c r="DO301">
        <f t="shared" si="882"/>
        <v>-1</v>
      </c>
      <c r="DP301">
        <f t="shared" si="882"/>
        <v>-1</v>
      </c>
      <c r="DQ301">
        <f t="shared" si="882"/>
        <v>-1</v>
      </c>
      <c r="DR301">
        <f t="shared" si="882"/>
        <v>-1</v>
      </c>
      <c r="DS301">
        <f t="shared" si="882"/>
        <v>-1</v>
      </c>
      <c r="DT301">
        <f t="shared" si="882"/>
        <v>-1</v>
      </c>
      <c r="DU301">
        <f t="shared" si="882"/>
        <v>-1</v>
      </c>
      <c r="DV301">
        <f t="shared" si="882"/>
        <v>-1</v>
      </c>
      <c r="DW301">
        <f t="shared" si="882"/>
        <v>-1</v>
      </c>
      <c r="DX301">
        <f t="shared" si="882"/>
        <v>-1</v>
      </c>
      <c r="DY301">
        <f t="shared" si="882"/>
        <v>-1</v>
      </c>
      <c r="DZ301">
        <f t="shared" si="882"/>
        <v>-1</v>
      </c>
      <c r="EA301">
        <f t="shared" si="882"/>
        <v>-1</v>
      </c>
      <c r="EB301">
        <f t="shared" ref="EB301:EO301" si="883">IF(OR(EB300=-1,AND(IF(EB$3&lt;$B301,EB300+EB$6,IF(EB$3=$B301,1,""))&gt;$B$1,EB$3&lt;$B301)),-1,IF(EB$3&lt;$B301,EB300+EB$6,IF(EB$3=$B301,1,"")))</f>
        <v>-1</v>
      </c>
      <c r="EC301">
        <f t="shared" si="883"/>
        <v>-1</v>
      </c>
      <c r="ED301">
        <f t="shared" si="883"/>
        <v>-1</v>
      </c>
      <c r="EE301">
        <f t="shared" si="883"/>
        <v>-1</v>
      </c>
      <c r="EF301">
        <f t="shared" si="883"/>
        <v>-1</v>
      </c>
      <c r="EG301">
        <f t="shared" si="883"/>
        <v>-1</v>
      </c>
      <c r="EH301">
        <f t="shared" si="883"/>
        <v>-1</v>
      </c>
      <c r="EI301">
        <f t="shared" si="883"/>
        <v>-1</v>
      </c>
      <c r="EJ301">
        <f t="shared" si="883"/>
        <v>-1</v>
      </c>
      <c r="EK301">
        <f t="shared" si="883"/>
        <v>-1</v>
      </c>
      <c r="EL301">
        <f t="shared" si="883"/>
        <v>-1</v>
      </c>
      <c r="EM301">
        <f t="shared" si="883"/>
        <v>-1</v>
      </c>
      <c r="EN301">
        <f t="shared" si="883"/>
        <v>-1</v>
      </c>
      <c r="EO301">
        <f t="shared" si="883"/>
        <v>-1</v>
      </c>
    </row>
    <row r="302" spans="1:145" x14ac:dyDescent="0.15">
      <c r="A302" t="e">
        <f t="shared" si="772"/>
        <v>#N/A</v>
      </c>
      <c r="B302" s="218">
        <v>294</v>
      </c>
      <c r="C302">
        <f t="shared" si="772"/>
        <v>-1</v>
      </c>
      <c r="D302">
        <f t="shared" ref="D302:BO302" si="884">IF(OR(D301=-1,AND(IF(D$3&lt;$B302,D301+D$6,IF(D$3=$B302,1,""))&gt;$B$1,D$3&lt;$B302)),-1,IF(D$3&lt;$B302,D301+D$6,IF(D$3=$B302,1,"")))</f>
        <v>-1</v>
      </c>
      <c r="E302">
        <f t="shared" si="884"/>
        <v>-1</v>
      </c>
      <c r="F302">
        <f t="shared" si="884"/>
        <v>-1</v>
      </c>
      <c r="G302">
        <f t="shared" si="884"/>
        <v>-1</v>
      </c>
      <c r="H302">
        <f t="shared" si="884"/>
        <v>-1</v>
      </c>
      <c r="I302">
        <f t="shared" si="884"/>
        <v>-1</v>
      </c>
      <c r="J302">
        <f t="shared" si="884"/>
        <v>-1</v>
      </c>
      <c r="K302">
        <f t="shared" si="884"/>
        <v>-1</v>
      </c>
      <c r="L302">
        <f t="shared" si="884"/>
        <v>-1</v>
      </c>
      <c r="M302">
        <f t="shared" si="884"/>
        <v>-1</v>
      </c>
      <c r="N302">
        <f t="shared" si="884"/>
        <v>-1</v>
      </c>
      <c r="O302">
        <f t="shared" si="884"/>
        <v>-1</v>
      </c>
      <c r="P302">
        <f t="shared" si="884"/>
        <v>-1</v>
      </c>
      <c r="Q302">
        <f t="shared" si="884"/>
        <v>-1</v>
      </c>
      <c r="R302">
        <f t="shared" si="884"/>
        <v>-1</v>
      </c>
      <c r="S302">
        <f t="shared" si="884"/>
        <v>-1</v>
      </c>
      <c r="T302">
        <f t="shared" si="884"/>
        <v>-1</v>
      </c>
      <c r="U302">
        <f t="shared" si="884"/>
        <v>-1</v>
      </c>
      <c r="V302">
        <f t="shared" si="884"/>
        <v>-1</v>
      </c>
      <c r="W302">
        <f t="shared" si="884"/>
        <v>-1</v>
      </c>
      <c r="X302">
        <f t="shared" si="884"/>
        <v>-1</v>
      </c>
      <c r="Y302">
        <f t="shared" si="884"/>
        <v>-1</v>
      </c>
      <c r="Z302">
        <f t="shared" si="884"/>
        <v>-1</v>
      </c>
      <c r="AA302">
        <f t="shared" si="884"/>
        <v>-1</v>
      </c>
      <c r="AB302">
        <f t="shared" si="884"/>
        <v>-1</v>
      </c>
      <c r="AC302">
        <f t="shared" si="884"/>
        <v>-1</v>
      </c>
      <c r="AD302">
        <f t="shared" si="884"/>
        <v>-1</v>
      </c>
      <c r="AE302">
        <f t="shared" si="884"/>
        <v>-1</v>
      </c>
      <c r="AF302">
        <f t="shared" si="884"/>
        <v>-1</v>
      </c>
      <c r="AG302">
        <f t="shared" si="884"/>
        <v>-1</v>
      </c>
      <c r="AH302">
        <f t="shared" si="884"/>
        <v>-1</v>
      </c>
      <c r="AI302">
        <f t="shared" si="884"/>
        <v>-1</v>
      </c>
      <c r="AJ302">
        <f t="shared" si="884"/>
        <v>-1</v>
      </c>
      <c r="AK302">
        <f t="shared" si="884"/>
        <v>-1</v>
      </c>
      <c r="AL302">
        <f t="shared" si="884"/>
        <v>-1</v>
      </c>
      <c r="AM302">
        <f t="shared" si="884"/>
        <v>-1</v>
      </c>
      <c r="AN302">
        <f t="shared" si="884"/>
        <v>-1</v>
      </c>
      <c r="AO302">
        <f t="shared" si="884"/>
        <v>-1</v>
      </c>
      <c r="AP302">
        <f t="shared" si="884"/>
        <v>-1</v>
      </c>
      <c r="AQ302">
        <f t="shared" si="884"/>
        <v>-1</v>
      </c>
      <c r="AR302">
        <f t="shared" si="884"/>
        <v>-1</v>
      </c>
      <c r="AS302">
        <f t="shared" si="884"/>
        <v>-1</v>
      </c>
      <c r="AT302">
        <f t="shared" si="884"/>
        <v>-1</v>
      </c>
      <c r="AU302">
        <f t="shared" si="884"/>
        <v>-1</v>
      </c>
      <c r="AV302">
        <f t="shared" si="884"/>
        <v>-1</v>
      </c>
      <c r="AW302">
        <f t="shared" si="884"/>
        <v>-1</v>
      </c>
      <c r="AX302">
        <f t="shared" si="884"/>
        <v>-1</v>
      </c>
      <c r="AY302">
        <f t="shared" si="884"/>
        <v>-1</v>
      </c>
      <c r="AZ302">
        <f t="shared" si="884"/>
        <v>-1</v>
      </c>
      <c r="BA302">
        <f t="shared" si="884"/>
        <v>-1</v>
      </c>
      <c r="BB302">
        <f t="shared" si="884"/>
        <v>-1</v>
      </c>
      <c r="BC302">
        <f t="shared" si="884"/>
        <v>-1</v>
      </c>
      <c r="BD302">
        <f t="shared" si="884"/>
        <v>-1</v>
      </c>
      <c r="BE302">
        <f t="shared" si="884"/>
        <v>-1</v>
      </c>
      <c r="BF302">
        <f t="shared" si="884"/>
        <v>-1</v>
      </c>
      <c r="BG302">
        <f t="shared" si="884"/>
        <v>-1</v>
      </c>
      <c r="BH302">
        <f t="shared" si="884"/>
        <v>-1</v>
      </c>
      <c r="BI302">
        <f t="shared" si="884"/>
        <v>-1</v>
      </c>
      <c r="BJ302">
        <f t="shared" si="884"/>
        <v>-1</v>
      </c>
      <c r="BK302">
        <f t="shared" si="884"/>
        <v>-1</v>
      </c>
      <c r="BL302">
        <f t="shared" si="884"/>
        <v>-1</v>
      </c>
      <c r="BM302">
        <f t="shared" si="884"/>
        <v>-1</v>
      </c>
      <c r="BN302">
        <f t="shared" si="884"/>
        <v>-1</v>
      </c>
      <c r="BO302">
        <f t="shared" si="884"/>
        <v>-1</v>
      </c>
      <c r="BP302">
        <f t="shared" ref="BP302:EA302" si="885">IF(OR(BP301=-1,AND(IF(BP$3&lt;$B302,BP301+BP$6,IF(BP$3=$B302,1,""))&gt;$B$1,BP$3&lt;$B302)),-1,IF(BP$3&lt;$B302,BP301+BP$6,IF(BP$3=$B302,1,"")))</f>
        <v>-1</v>
      </c>
      <c r="BQ302">
        <f t="shared" si="885"/>
        <v>-1</v>
      </c>
      <c r="BR302">
        <f t="shared" si="885"/>
        <v>-1</v>
      </c>
      <c r="BS302">
        <f t="shared" si="885"/>
        <v>-1</v>
      </c>
      <c r="BT302">
        <f t="shared" si="885"/>
        <v>-1</v>
      </c>
      <c r="BU302">
        <f t="shared" si="885"/>
        <v>-1</v>
      </c>
      <c r="BV302">
        <f t="shared" si="885"/>
        <v>-1</v>
      </c>
      <c r="BW302">
        <f t="shared" si="885"/>
        <v>-1</v>
      </c>
      <c r="BX302">
        <f t="shared" si="885"/>
        <v>-1</v>
      </c>
      <c r="BY302">
        <f t="shared" si="885"/>
        <v>-1</v>
      </c>
      <c r="BZ302">
        <f t="shared" si="885"/>
        <v>-1</v>
      </c>
      <c r="CA302">
        <f t="shared" si="885"/>
        <v>-1</v>
      </c>
      <c r="CB302">
        <f t="shared" si="885"/>
        <v>-1</v>
      </c>
      <c r="CC302">
        <f t="shared" si="885"/>
        <v>-1</v>
      </c>
      <c r="CD302">
        <f t="shared" si="885"/>
        <v>-1</v>
      </c>
      <c r="CE302">
        <f t="shared" si="885"/>
        <v>-1</v>
      </c>
      <c r="CF302">
        <f t="shared" si="885"/>
        <v>-1</v>
      </c>
      <c r="CG302">
        <f t="shared" si="885"/>
        <v>-1</v>
      </c>
      <c r="CH302">
        <f t="shared" si="885"/>
        <v>-1</v>
      </c>
      <c r="CI302">
        <f t="shared" si="885"/>
        <v>-1</v>
      </c>
      <c r="CJ302">
        <f t="shared" si="885"/>
        <v>-1</v>
      </c>
      <c r="CK302">
        <f t="shared" si="885"/>
        <v>-1</v>
      </c>
      <c r="CL302">
        <f t="shared" si="885"/>
        <v>-1</v>
      </c>
      <c r="CM302">
        <f t="shared" si="885"/>
        <v>-1</v>
      </c>
      <c r="CN302">
        <f t="shared" si="885"/>
        <v>-1</v>
      </c>
      <c r="CO302">
        <f t="shared" si="885"/>
        <v>-1</v>
      </c>
      <c r="CP302">
        <f t="shared" si="885"/>
        <v>-1</v>
      </c>
      <c r="CQ302">
        <f t="shared" si="885"/>
        <v>-1</v>
      </c>
      <c r="CR302">
        <f t="shared" si="885"/>
        <v>-1</v>
      </c>
      <c r="CS302">
        <f t="shared" si="885"/>
        <v>-1</v>
      </c>
      <c r="CT302">
        <f t="shared" si="885"/>
        <v>-1</v>
      </c>
      <c r="CU302">
        <f t="shared" si="885"/>
        <v>-1</v>
      </c>
      <c r="CV302">
        <f t="shared" si="885"/>
        <v>-1</v>
      </c>
      <c r="CW302">
        <f t="shared" si="885"/>
        <v>-1</v>
      </c>
      <c r="CX302">
        <f t="shared" si="885"/>
        <v>-1</v>
      </c>
      <c r="CY302">
        <f t="shared" si="885"/>
        <v>-1</v>
      </c>
      <c r="CZ302">
        <f t="shared" si="885"/>
        <v>-1</v>
      </c>
      <c r="DA302">
        <f t="shared" si="885"/>
        <v>-1</v>
      </c>
      <c r="DB302">
        <f t="shared" si="885"/>
        <v>-1</v>
      </c>
      <c r="DC302">
        <f t="shared" si="885"/>
        <v>-1</v>
      </c>
      <c r="DD302">
        <f t="shared" si="885"/>
        <v>-1</v>
      </c>
      <c r="DE302">
        <f t="shared" si="885"/>
        <v>-1</v>
      </c>
      <c r="DF302">
        <f t="shared" si="885"/>
        <v>-1</v>
      </c>
      <c r="DG302">
        <f t="shared" si="885"/>
        <v>-1</v>
      </c>
      <c r="DH302">
        <f t="shared" si="885"/>
        <v>-1</v>
      </c>
      <c r="DI302">
        <f t="shared" si="885"/>
        <v>-1</v>
      </c>
      <c r="DJ302">
        <f t="shared" si="885"/>
        <v>-1</v>
      </c>
      <c r="DK302">
        <f t="shared" si="885"/>
        <v>-1</v>
      </c>
      <c r="DL302">
        <f t="shared" si="885"/>
        <v>-1</v>
      </c>
      <c r="DM302">
        <f t="shared" si="885"/>
        <v>-1</v>
      </c>
      <c r="DN302">
        <f t="shared" si="885"/>
        <v>-1</v>
      </c>
      <c r="DO302">
        <f t="shared" si="885"/>
        <v>-1</v>
      </c>
      <c r="DP302">
        <f t="shared" si="885"/>
        <v>-1</v>
      </c>
      <c r="DQ302">
        <f t="shared" si="885"/>
        <v>-1</v>
      </c>
      <c r="DR302">
        <f t="shared" si="885"/>
        <v>-1</v>
      </c>
      <c r="DS302">
        <f t="shared" si="885"/>
        <v>-1</v>
      </c>
      <c r="DT302">
        <f t="shared" si="885"/>
        <v>-1</v>
      </c>
      <c r="DU302">
        <f t="shared" si="885"/>
        <v>-1</v>
      </c>
      <c r="DV302">
        <f t="shared" si="885"/>
        <v>-1</v>
      </c>
      <c r="DW302">
        <f t="shared" si="885"/>
        <v>-1</v>
      </c>
      <c r="DX302">
        <f t="shared" si="885"/>
        <v>-1</v>
      </c>
      <c r="DY302">
        <f t="shared" si="885"/>
        <v>-1</v>
      </c>
      <c r="DZ302">
        <f t="shared" si="885"/>
        <v>-1</v>
      </c>
      <c r="EA302">
        <f t="shared" si="885"/>
        <v>-1</v>
      </c>
      <c r="EB302">
        <f t="shared" ref="EB302:EO302" si="886">IF(OR(EB301=-1,AND(IF(EB$3&lt;$B302,EB301+EB$6,IF(EB$3=$B302,1,""))&gt;$B$1,EB$3&lt;$B302)),-1,IF(EB$3&lt;$B302,EB301+EB$6,IF(EB$3=$B302,1,"")))</f>
        <v>-1</v>
      </c>
      <c r="EC302">
        <f t="shared" si="886"/>
        <v>-1</v>
      </c>
      <c r="ED302">
        <f t="shared" si="886"/>
        <v>-1</v>
      </c>
      <c r="EE302">
        <f t="shared" si="886"/>
        <v>-1</v>
      </c>
      <c r="EF302">
        <f t="shared" si="886"/>
        <v>-1</v>
      </c>
      <c r="EG302">
        <f t="shared" si="886"/>
        <v>-1</v>
      </c>
      <c r="EH302">
        <f t="shared" si="886"/>
        <v>-1</v>
      </c>
      <c r="EI302">
        <f t="shared" si="886"/>
        <v>-1</v>
      </c>
      <c r="EJ302">
        <f t="shared" si="886"/>
        <v>-1</v>
      </c>
      <c r="EK302">
        <f t="shared" si="886"/>
        <v>-1</v>
      </c>
      <c r="EL302">
        <f t="shared" si="886"/>
        <v>-1</v>
      </c>
      <c r="EM302">
        <f t="shared" si="886"/>
        <v>-1</v>
      </c>
      <c r="EN302">
        <f t="shared" si="886"/>
        <v>-1</v>
      </c>
      <c r="EO302">
        <f t="shared" si="886"/>
        <v>-1</v>
      </c>
    </row>
    <row r="303" spans="1:145" x14ac:dyDescent="0.15">
      <c r="A303" t="e">
        <f t="shared" si="772"/>
        <v>#N/A</v>
      </c>
      <c r="B303" s="218">
        <v>295</v>
      </c>
      <c r="C303">
        <f t="shared" si="772"/>
        <v>-1</v>
      </c>
      <c r="D303">
        <f t="shared" ref="D303:BO303" si="887">IF(OR(D302=-1,AND(IF(D$3&lt;$B303,D302+D$6,IF(D$3=$B303,1,""))&gt;$B$1,D$3&lt;$B303)),-1,IF(D$3&lt;$B303,D302+D$6,IF(D$3=$B303,1,"")))</f>
        <v>-1</v>
      </c>
      <c r="E303">
        <f t="shared" si="887"/>
        <v>-1</v>
      </c>
      <c r="F303">
        <f t="shared" si="887"/>
        <v>-1</v>
      </c>
      <c r="G303">
        <f t="shared" si="887"/>
        <v>-1</v>
      </c>
      <c r="H303">
        <f t="shared" si="887"/>
        <v>-1</v>
      </c>
      <c r="I303">
        <f t="shared" si="887"/>
        <v>-1</v>
      </c>
      <c r="J303">
        <f t="shared" si="887"/>
        <v>-1</v>
      </c>
      <c r="K303">
        <f t="shared" si="887"/>
        <v>-1</v>
      </c>
      <c r="L303">
        <f t="shared" si="887"/>
        <v>-1</v>
      </c>
      <c r="M303">
        <f t="shared" si="887"/>
        <v>-1</v>
      </c>
      <c r="N303">
        <f t="shared" si="887"/>
        <v>-1</v>
      </c>
      <c r="O303">
        <f t="shared" si="887"/>
        <v>-1</v>
      </c>
      <c r="P303">
        <f t="shared" si="887"/>
        <v>-1</v>
      </c>
      <c r="Q303">
        <f t="shared" si="887"/>
        <v>-1</v>
      </c>
      <c r="R303">
        <f t="shared" si="887"/>
        <v>-1</v>
      </c>
      <c r="S303">
        <f t="shared" si="887"/>
        <v>-1</v>
      </c>
      <c r="T303">
        <f t="shared" si="887"/>
        <v>-1</v>
      </c>
      <c r="U303">
        <f t="shared" si="887"/>
        <v>-1</v>
      </c>
      <c r="V303">
        <f t="shared" si="887"/>
        <v>-1</v>
      </c>
      <c r="W303">
        <f t="shared" si="887"/>
        <v>-1</v>
      </c>
      <c r="X303">
        <f t="shared" si="887"/>
        <v>-1</v>
      </c>
      <c r="Y303">
        <f t="shared" si="887"/>
        <v>-1</v>
      </c>
      <c r="Z303">
        <f t="shared" si="887"/>
        <v>-1</v>
      </c>
      <c r="AA303">
        <f t="shared" si="887"/>
        <v>-1</v>
      </c>
      <c r="AB303">
        <f t="shared" si="887"/>
        <v>-1</v>
      </c>
      <c r="AC303">
        <f t="shared" si="887"/>
        <v>-1</v>
      </c>
      <c r="AD303">
        <f t="shared" si="887"/>
        <v>-1</v>
      </c>
      <c r="AE303">
        <f t="shared" si="887"/>
        <v>-1</v>
      </c>
      <c r="AF303">
        <f t="shared" si="887"/>
        <v>-1</v>
      </c>
      <c r="AG303">
        <f t="shared" si="887"/>
        <v>-1</v>
      </c>
      <c r="AH303">
        <f t="shared" si="887"/>
        <v>-1</v>
      </c>
      <c r="AI303">
        <f t="shared" si="887"/>
        <v>-1</v>
      </c>
      <c r="AJ303">
        <f t="shared" si="887"/>
        <v>-1</v>
      </c>
      <c r="AK303">
        <f t="shared" si="887"/>
        <v>-1</v>
      </c>
      <c r="AL303">
        <f t="shared" si="887"/>
        <v>-1</v>
      </c>
      <c r="AM303">
        <f t="shared" si="887"/>
        <v>-1</v>
      </c>
      <c r="AN303">
        <f t="shared" si="887"/>
        <v>-1</v>
      </c>
      <c r="AO303">
        <f t="shared" si="887"/>
        <v>-1</v>
      </c>
      <c r="AP303">
        <f t="shared" si="887"/>
        <v>-1</v>
      </c>
      <c r="AQ303">
        <f t="shared" si="887"/>
        <v>-1</v>
      </c>
      <c r="AR303">
        <f t="shared" si="887"/>
        <v>-1</v>
      </c>
      <c r="AS303">
        <f t="shared" si="887"/>
        <v>-1</v>
      </c>
      <c r="AT303">
        <f t="shared" si="887"/>
        <v>-1</v>
      </c>
      <c r="AU303">
        <f t="shared" si="887"/>
        <v>-1</v>
      </c>
      <c r="AV303">
        <f t="shared" si="887"/>
        <v>-1</v>
      </c>
      <c r="AW303">
        <f t="shared" si="887"/>
        <v>-1</v>
      </c>
      <c r="AX303">
        <f t="shared" si="887"/>
        <v>-1</v>
      </c>
      <c r="AY303">
        <f t="shared" si="887"/>
        <v>-1</v>
      </c>
      <c r="AZ303">
        <f t="shared" si="887"/>
        <v>-1</v>
      </c>
      <c r="BA303">
        <f t="shared" si="887"/>
        <v>-1</v>
      </c>
      <c r="BB303">
        <f t="shared" si="887"/>
        <v>-1</v>
      </c>
      <c r="BC303">
        <f t="shared" si="887"/>
        <v>-1</v>
      </c>
      <c r="BD303">
        <f t="shared" si="887"/>
        <v>-1</v>
      </c>
      <c r="BE303">
        <f t="shared" si="887"/>
        <v>-1</v>
      </c>
      <c r="BF303">
        <f t="shared" si="887"/>
        <v>-1</v>
      </c>
      <c r="BG303">
        <f t="shared" si="887"/>
        <v>-1</v>
      </c>
      <c r="BH303">
        <f t="shared" si="887"/>
        <v>-1</v>
      </c>
      <c r="BI303">
        <f t="shared" si="887"/>
        <v>-1</v>
      </c>
      <c r="BJ303">
        <f t="shared" si="887"/>
        <v>-1</v>
      </c>
      <c r="BK303">
        <f t="shared" si="887"/>
        <v>-1</v>
      </c>
      <c r="BL303">
        <f t="shared" si="887"/>
        <v>-1</v>
      </c>
      <c r="BM303">
        <f t="shared" si="887"/>
        <v>-1</v>
      </c>
      <c r="BN303">
        <f t="shared" si="887"/>
        <v>-1</v>
      </c>
      <c r="BO303">
        <f t="shared" si="887"/>
        <v>-1</v>
      </c>
      <c r="BP303">
        <f t="shared" ref="BP303:EA303" si="888">IF(OR(BP302=-1,AND(IF(BP$3&lt;$B303,BP302+BP$6,IF(BP$3=$B303,1,""))&gt;$B$1,BP$3&lt;$B303)),-1,IF(BP$3&lt;$B303,BP302+BP$6,IF(BP$3=$B303,1,"")))</f>
        <v>-1</v>
      </c>
      <c r="BQ303">
        <f t="shared" si="888"/>
        <v>-1</v>
      </c>
      <c r="BR303">
        <f t="shared" si="888"/>
        <v>-1</v>
      </c>
      <c r="BS303">
        <f t="shared" si="888"/>
        <v>-1</v>
      </c>
      <c r="BT303">
        <f t="shared" si="888"/>
        <v>-1</v>
      </c>
      <c r="BU303">
        <f t="shared" si="888"/>
        <v>-1</v>
      </c>
      <c r="BV303">
        <f t="shared" si="888"/>
        <v>-1</v>
      </c>
      <c r="BW303">
        <f t="shared" si="888"/>
        <v>-1</v>
      </c>
      <c r="BX303">
        <f t="shared" si="888"/>
        <v>-1</v>
      </c>
      <c r="BY303">
        <f t="shared" si="888"/>
        <v>-1</v>
      </c>
      <c r="BZ303">
        <f t="shared" si="888"/>
        <v>-1</v>
      </c>
      <c r="CA303">
        <f t="shared" si="888"/>
        <v>-1</v>
      </c>
      <c r="CB303">
        <f t="shared" si="888"/>
        <v>-1</v>
      </c>
      <c r="CC303">
        <f t="shared" si="888"/>
        <v>-1</v>
      </c>
      <c r="CD303">
        <f t="shared" si="888"/>
        <v>-1</v>
      </c>
      <c r="CE303">
        <f t="shared" si="888"/>
        <v>-1</v>
      </c>
      <c r="CF303">
        <f t="shared" si="888"/>
        <v>-1</v>
      </c>
      <c r="CG303">
        <f t="shared" si="888"/>
        <v>-1</v>
      </c>
      <c r="CH303">
        <f t="shared" si="888"/>
        <v>-1</v>
      </c>
      <c r="CI303">
        <f t="shared" si="888"/>
        <v>-1</v>
      </c>
      <c r="CJ303">
        <f t="shared" si="888"/>
        <v>-1</v>
      </c>
      <c r="CK303">
        <f t="shared" si="888"/>
        <v>-1</v>
      </c>
      <c r="CL303">
        <f t="shared" si="888"/>
        <v>-1</v>
      </c>
      <c r="CM303">
        <f t="shared" si="888"/>
        <v>-1</v>
      </c>
      <c r="CN303">
        <f t="shared" si="888"/>
        <v>-1</v>
      </c>
      <c r="CO303">
        <f t="shared" si="888"/>
        <v>-1</v>
      </c>
      <c r="CP303">
        <f t="shared" si="888"/>
        <v>-1</v>
      </c>
      <c r="CQ303">
        <f t="shared" si="888"/>
        <v>-1</v>
      </c>
      <c r="CR303">
        <f t="shared" si="888"/>
        <v>-1</v>
      </c>
      <c r="CS303">
        <f t="shared" si="888"/>
        <v>-1</v>
      </c>
      <c r="CT303">
        <f t="shared" si="888"/>
        <v>-1</v>
      </c>
      <c r="CU303">
        <f t="shared" si="888"/>
        <v>-1</v>
      </c>
      <c r="CV303">
        <f t="shared" si="888"/>
        <v>-1</v>
      </c>
      <c r="CW303">
        <f t="shared" si="888"/>
        <v>-1</v>
      </c>
      <c r="CX303">
        <f t="shared" si="888"/>
        <v>-1</v>
      </c>
      <c r="CY303">
        <f t="shared" si="888"/>
        <v>-1</v>
      </c>
      <c r="CZ303">
        <f t="shared" si="888"/>
        <v>-1</v>
      </c>
      <c r="DA303">
        <f t="shared" si="888"/>
        <v>-1</v>
      </c>
      <c r="DB303">
        <f t="shared" si="888"/>
        <v>-1</v>
      </c>
      <c r="DC303">
        <f t="shared" si="888"/>
        <v>-1</v>
      </c>
      <c r="DD303">
        <f t="shared" si="888"/>
        <v>-1</v>
      </c>
      <c r="DE303">
        <f t="shared" si="888"/>
        <v>-1</v>
      </c>
      <c r="DF303">
        <f t="shared" si="888"/>
        <v>-1</v>
      </c>
      <c r="DG303">
        <f t="shared" si="888"/>
        <v>-1</v>
      </c>
      <c r="DH303">
        <f t="shared" si="888"/>
        <v>-1</v>
      </c>
      <c r="DI303">
        <f t="shared" si="888"/>
        <v>-1</v>
      </c>
      <c r="DJ303">
        <f t="shared" si="888"/>
        <v>-1</v>
      </c>
      <c r="DK303">
        <f t="shared" si="888"/>
        <v>-1</v>
      </c>
      <c r="DL303">
        <f t="shared" si="888"/>
        <v>-1</v>
      </c>
      <c r="DM303">
        <f t="shared" si="888"/>
        <v>-1</v>
      </c>
      <c r="DN303">
        <f t="shared" si="888"/>
        <v>-1</v>
      </c>
      <c r="DO303">
        <f t="shared" si="888"/>
        <v>-1</v>
      </c>
      <c r="DP303">
        <f t="shared" si="888"/>
        <v>-1</v>
      </c>
      <c r="DQ303">
        <f t="shared" si="888"/>
        <v>-1</v>
      </c>
      <c r="DR303">
        <f t="shared" si="888"/>
        <v>-1</v>
      </c>
      <c r="DS303">
        <f t="shared" si="888"/>
        <v>-1</v>
      </c>
      <c r="DT303">
        <f t="shared" si="888"/>
        <v>-1</v>
      </c>
      <c r="DU303">
        <f t="shared" si="888"/>
        <v>-1</v>
      </c>
      <c r="DV303">
        <f t="shared" si="888"/>
        <v>-1</v>
      </c>
      <c r="DW303">
        <f t="shared" si="888"/>
        <v>-1</v>
      </c>
      <c r="DX303">
        <f t="shared" si="888"/>
        <v>-1</v>
      </c>
      <c r="DY303">
        <f t="shared" si="888"/>
        <v>-1</v>
      </c>
      <c r="DZ303">
        <f t="shared" si="888"/>
        <v>-1</v>
      </c>
      <c r="EA303">
        <f t="shared" si="888"/>
        <v>-1</v>
      </c>
      <c r="EB303">
        <f t="shared" ref="EB303:EO303" si="889">IF(OR(EB302=-1,AND(IF(EB$3&lt;$B303,EB302+EB$6,IF(EB$3=$B303,1,""))&gt;$B$1,EB$3&lt;$B303)),-1,IF(EB$3&lt;$B303,EB302+EB$6,IF(EB$3=$B303,1,"")))</f>
        <v>-1</v>
      </c>
      <c r="EC303">
        <f t="shared" si="889"/>
        <v>-1</v>
      </c>
      <c r="ED303">
        <f t="shared" si="889"/>
        <v>-1</v>
      </c>
      <c r="EE303">
        <f t="shared" si="889"/>
        <v>-1</v>
      </c>
      <c r="EF303">
        <f t="shared" si="889"/>
        <v>-1</v>
      </c>
      <c r="EG303">
        <f t="shared" si="889"/>
        <v>-1</v>
      </c>
      <c r="EH303">
        <f t="shared" si="889"/>
        <v>-1</v>
      </c>
      <c r="EI303">
        <f t="shared" si="889"/>
        <v>-1</v>
      </c>
      <c r="EJ303">
        <f t="shared" si="889"/>
        <v>-1</v>
      </c>
      <c r="EK303">
        <f t="shared" si="889"/>
        <v>-1</v>
      </c>
      <c r="EL303">
        <f t="shared" si="889"/>
        <v>-1</v>
      </c>
      <c r="EM303">
        <f t="shared" si="889"/>
        <v>-1</v>
      </c>
      <c r="EN303">
        <f t="shared" si="889"/>
        <v>-1</v>
      </c>
      <c r="EO303">
        <f t="shared" si="889"/>
        <v>-1</v>
      </c>
    </row>
    <row r="304" spans="1:145" x14ac:dyDescent="0.15">
      <c r="A304" t="e">
        <f t="shared" si="772"/>
        <v>#N/A</v>
      </c>
      <c r="B304" s="218">
        <v>296</v>
      </c>
      <c r="C304">
        <f t="shared" si="772"/>
        <v>-1</v>
      </c>
      <c r="D304">
        <f t="shared" ref="D304:BO304" si="890">IF(OR(D303=-1,AND(IF(D$3&lt;$B304,D303+D$6,IF(D$3=$B304,1,""))&gt;$B$1,D$3&lt;$B304)),-1,IF(D$3&lt;$B304,D303+D$6,IF(D$3=$B304,1,"")))</f>
        <v>-1</v>
      </c>
      <c r="E304">
        <f t="shared" si="890"/>
        <v>-1</v>
      </c>
      <c r="F304">
        <f t="shared" si="890"/>
        <v>-1</v>
      </c>
      <c r="G304">
        <f t="shared" si="890"/>
        <v>-1</v>
      </c>
      <c r="H304">
        <f t="shared" si="890"/>
        <v>-1</v>
      </c>
      <c r="I304">
        <f t="shared" si="890"/>
        <v>-1</v>
      </c>
      <c r="J304">
        <f t="shared" si="890"/>
        <v>-1</v>
      </c>
      <c r="K304">
        <f t="shared" si="890"/>
        <v>-1</v>
      </c>
      <c r="L304">
        <f t="shared" si="890"/>
        <v>-1</v>
      </c>
      <c r="M304">
        <f t="shared" si="890"/>
        <v>-1</v>
      </c>
      <c r="N304">
        <f t="shared" si="890"/>
        <v>-1</v>
      </c>
      <c r="O304">
        <f t="shared" si="890"/>
        <v>-1</v>
      </c>
      <c r="P304">
        <f t="shared" si="890"/>
        <v>-1</v>
      </c>
      <c r="Q304">
        <f t="shared" si="890"/>
        <v>-1</v>
      </c>
      <c r="R304">
        <f t="shared" si="890"/>
        <v>-1</v>
      </c>
      <c r="S304">
        <f t="shared" si="890"/>
        <v>-1</v>
      </c>
      <c r="T304">
        <f t="shared" si="890"/>
        <v>-1</v>
      </c>
      <c r="U304">
        <f t="shared" si="890"/>
        <v>-1</v>
      </c>
      <c r="V304">
        <f t="shared" si="890"/>
        <v>-1</v>
      </c>
      <c r="W304">
        <f t="shared" si="890"/>
        <v>-1</v>
      </c>
      <c r="X304">
        <f t="shared" si="890"/>
        <v>-1</v>
      </c>
      <c r="Y304">
        <f t="shared" si="890"/>
        <v>-1</v>
      </c>
      <c r="Z304">
        <f t="shared" si="890"/>
        <v>-1</v>
      </c>
      <c r="AA304">
        <f t="shared" si="890"/>
        <v>-1</v>
      </c>
      <c r="AB304">
        <f t="shared" si="890"/>
        <v>-1</v>
      </c>
      <c r="AC304">
        <f t="shared" si="890"/>
        <v>-1</v>
      </c>
      <c r="AD304">
        <f t="shared" si="890"/>
        <v>-1</v>
      </c>
      <c r="AE304">
        <f t="shared" si="890"/>
        <v>-1</v>
      </c>
      <c r="AF304">
        <f t="shared" si="890"/>
        <v>-1</v>
      </c>
      <c r="AG304">
        <f t="shared" si="890"/>
        <v>-1</v>
      </c>
      <c r="AH304">
        <f t="shared" si="890"/>
        <v>-1</v>
      </c>
      <c r="AI304">
        <f t="shared" si="890"/>
        <v>-1</v>
      </c>
      <c r="AJ304">
        <f t="shared" si="890"/>
        <v>-1</v>
      </c>
      <c r="AK304">
        <f t="shared" si="890"/>
        <v>-1</v>
      </c>
      <c r="AL304">
        <f t="shared" si="890"/>
        <v>-1</v>
      </c>
      <c r="AM304">
        <f t="shared" si="890"/>
        <v>-1</v>
      </c>
      <c r="AN304">
        <f t="shared" si="890"/>
        <v>-1</v>
      </c>
      <c r="AO304">
        <f t="shared" si="890"/>
        <v>-1</v>
      </c>
      <c r="AP304">
        <f t="shared" si="890"/>
        <v>-1</v>
      </c>
      <c r="AQ304">
        <f t="shared" si="890"/>
        <v>-1</v>
      </c>
      <c r="AR304">
        <f t="shared" si="890"/>
        <v>-1</v>
      </c>
      <c r="AS304">
        <f t="shared" si="890"/>
        <v>-1</v>
      </c>
      <c r="AT304">
        <f t="shared" si="890"/>
        <v>-1</v>
      </c>
      <c r="AU304">
        <f t="shared" si="890"/>
        <v>-1</v>
      </c>
      <c r="AV304">
        <f t="shared" si="890"/>
        <v>-1</v>
      </c>
      <c r="AW304">
        <f t="shared" si="890"/>
        <v>-1</v>
      </c>
      <c r="AX304">
        <f t="shared" si="890"/>
        <v>-1</v>
      </c>
      <c r="AY304">
        <f t="shared" si="890"/>
        <v>-1</v>
      </c>
      <c r="AZ304">
        <f t="shared" si="890"/>
        <v>-1</v>
      </c>
      <c r="BA304">
        <f t="shared" si="890"/>
        <v>-1</v>
      </c>
      <c r="BB304">
        <f t="shared" si="890"/>
        <v>-1</v>
      </c>
      <c r="BC304">
        <f t="shared" si="890"/>
        <v>-1</v>
      </c>
      <c r="BD304">
        <f t="shared" si="890"/>
        <v>-1</v>
      </c>
      <c r="BE304">
        <f t="shared" si="890"/>
        <v>-1</v>
      </c>
      <c r="BF304">
        <f t="shared" si="890"/>
        <v>-1</v>
      </c>
      <c r="BG304">
        <f t="shared" si="890"/>
        <v>-1</v>
      </c>
      <c r="BH304">
        <f t="shared" si="890"/>
        <v>-1</v>
      </c>
      <c r="BI304">
        <f t="shared" si="890"/>
        <v>-1</v>
      </c>
      <c r="BJ304">
        <f t="shared" si="890"/>
        <v>-1</v>
      </c>
      <c r="BK304">
        <f t="shared" si="890"/>
        <v>-1</v>
      </c>
      <c r="BL304">
        <f t="shared" si="890"/>
        <v>-1</v>
      </c>
      <c r="BM304">
        <f t="shared" si="890"/>
        <v>-1</v>
      </c>
      <c r="BN304">
        <f t="shared" si="890"/>
        <v>-1</v>
      </c>
      <c r="BO304">
        <f t="shared" si="890"/>
        <v>-1</v>
      </c>
      <c r="BP304">
        <f t="shared" ref="BP304:EA304" si="891">IF(OR(BP303=-1,AND(IF(BP$3&lt;$B304,BP303+BP$6,IF(BP$3=$B304,1,""))&gt;$B$1,BP$3&lt;$B304)),-1,IF(BP$3&lt;$B304,BP303+BP$6,IF(BP$3=$B304,1,"")))</f>
        <v>-1</v>
      </c>
      <c r="BQ304">
        <f t="shared" si="891"/>
        <v>-1</v>
      </c>
      <c r="BR304">
        <f t="shared" si="891"/>
        <v>-1</v>
      </c>
      <c r="BS304">
        <f t="shared" si="891"/>
        <v>-1</v>
      </c>
      <c r="BT304">
        <f t="shared" si="891"/>
        <v>-1</v>
      </c>
      <c r="BU304">
        <f t="shared" si="891"/>
        <v>-1</v>
      </c>
      <c r="BV304">
        <f t="shared" si="891"/>
        <v>-1</v>
      </c>
      <c r="BW304">
        <f t="shared" si="891"/>
        <v>-1</v>
      </c>
      <c r="BX304">
        <f t="shared" si="891"/>
        <v>-1</v>
      </c>
      <c r="BY304">
        <f t="shared" si="891"/>
        <v>-1</v>
      </c>
      <c r="BZ304">
        <f t="shared" si="891"/>
        <v>-1</v>
      </c>
      <c r="CA304">
        <f t="shared" si="891"/>
        <v>-1</v>
      </c>
      <c r="CB304">
        <f t="shared" si="891"/>
        <v>-1</v>
      </c>
      <c r="CC304">
        <f t="shared" si="891"/>
        <v>-1</v>
      </c>
      <c r="CD304">
        <f t="shared" si="891"/>
        <v>-1</v>
      </c>
      <c r="CE304">
        <f t="shared" si="891"/>
        <v>-1</v>
      </c>
      <c r="CF304">
        <f t="shared" si="891"/>
        <v>-1</v>
      </c>
      <c r="CG304">
        <f t="shared" si="891"/>
        <v>-1</v>
      </c>
      <c r="CH304">
        <f t="shared" si="891"/>
        <v>-1</v>
      </c>
      <c r="CI304">
        <f t="shared" si="891"/>
        <v>-1</v>
      </c>
      <c r="CJ304">
        <f t="shared" si="891"/>
        <v>-1</v>
      </c>
      <c r="CK304">
        <f t="shared" si="891"/>
        <v>-1</v>
      </c>
      <c r="CL304">
        <f t="shared" si="891"/>
        <v>-1</v>
      </c>
      <c r="CM304">
        <f t="shared" si="891"/>
        <v>-1</v>
      </c>
      <c r="CN304">
        <f t="shared" si="891"/>
        <v>-1</v>
      </c>
      <c r="CO304">
        <f t="shared" si="891"/>
        <v>-1</v>
      </c>
      <c r="CP304">
        <f t="shared" si="891"/>
        <v>-1</v>
      </c>
      <c r="CQ304">
        <f t="shared" si="891"/>
        <v>-1</v>
      </c>
      <c r="CR304">
        <f t="shared" si="891"/>
        <v>-1</v>
      </c>
      <c r="CS304">
        <f t="shared" si="891"/>
        <v>-1</v>
      </c>
      <c r="CT304">
        <f t="shared" si="891"/>
        <v>-1</v>
      </c>
      <c r="CU304">
        <f t="shared" si="891"/>
        <v>-1</v>
      </c>
      <c r="CV304">
        <f t="shared" si="891"/>
        <v>-1</v>
      </c>
      <c r="CW304">
        <f t="shared" si="891"/>
        <v>-1</v>
      </c>
      <c r="CX304">
        <f t="shared" si="891"/>
        <v>-1</v>
      </c>
      <c r="CY304">
        <f t="shared" si="891"/>
        <v>-1</v>
      </c>
      <c r="CZ304">
        <f t="shared" si="891"/>
        <v>-1</v>
      </c>
      <c r="DA304">
        <f t="shared" si="891"/>
        <v>-1</v>
      </c>
      <c r="DB304">
        <f t="shared" si="891"/>
        <v>-1</v>
      </c>
      <c r="DC304">
        <f t="shared" si="891"/>
        <v>-1</v>
      </c>
      <c r="DD304">
        <f t="shared" si="891"/>
        <v>-1</v>
      </c>
      <c r="DE304">
        <f t="shared" si="891"/>
        <v>-1</v>
      </c>
      <c r="DF304">
        <f t="shared" si="891"/>
        <v>-1</v>
      </c>
      <c r="DG304">
        <f t="shared" si="891"/>
        <v>-1</v>
      </c>
      <c r="DH304">
        <f t="shared" si="891"/>
        <v>-1</v>
      </c>
      <c r="DI304">
        <f t="shared" si="891"/>
        <v>-1</v>
      </c>
      <c r="DJ304">
        <f t="shared" si="891"/>
        <v>-1</v>
      </c>
      <c r="DK304">
        <f t="shared" si="891"/>
        <v>-1</v>
      </c>
      <c r="DL304">
        <f t="shared" si="891"/>
        <v>-1</v>
      </c>
      <c r="DM304">
        <f t="shared" si="891"/>
        <v>-1</v>
      </c>
      <c r="DN304">
        <f t="shared" si="891"/>
        <v>-1</v>
      </c>
      <c r="DO304">
        <f t="shared" si="891"/>
        <v>-1</v>
      </c>
      <c r="DP304">
        <f t="shared" si="891"/>
        <v>-1</v>
      </c>
      <c r="DQ304">
        <f t="shared" si="891"/>
        <v>-1</v>
      </c>
      <c r="DR304">
        <f t="shared" si="891"/>
        <v>-1</v>
      </c>
      <c r="DS304">
        <f t="shared" si="891"/>
        <v>-1</v>
      </c>
      <c r="DT304">
        <f t="shared" si="891"/>
        <v>-1</v>
      </c>
      <c r="DU304">
        <f t="shared" si="891"/>
        <v>-1</v>
      </c>
      <c r="DV304">
        <f t="shared" si="891"/>
        <v>-1</v>
      </c>
      <c r="DW304">
        <f t="shared" si="891"/>
        <v>-1</v>
      </c>
      <c r="DX304">
        <f t="shared" si="891"/>
        <v>-1</v>
      </c>
      <c r="DY304">
        <f t="shared" si="891"/>
        <v>-1</v>
      </c>
      <c r="DZ304">
        <f t="shared" si="891"/>
        <v>-1</v>
      </c>
      <c r="EA304">
        <f t="shared" si="891"/>
        <v>-1</v>
      </c>
      <c r="EB304">
        <f t="shared" ref="EB304:EO304" si="892">IF(OR(EB303=-1,AND(IF(EB$3&lt;$B304,EB303+EB$6,IF(EB$3=$B304,1,""))&gt;$B$1,EB$3&lt;$B304)),-1,IF(EB$3&lt;$B304,EB303+EB$6,IF(EB$3=$B304,1,"")))</f>
        <v>-1</v>
      </c>
      <c r="EC304">
        <f t="shared" si="892"/>
        <v>-1</v>
      </c>
      <c r="ED304">
        <f t="shared" si="892"/>
        <v>-1</v>
      </c>
      <c r="EE304">
        <f t="shared" si="892"/>
        <v>-1</v>
      </c>
      <c r="EF304">
        <f t="shared" si="892"/>
        <v>-1</v>
      </c>
      <c r="EG304">
        <f t="shared" si="892"/>
        <v>-1</v>
      </c>
      <c r="EH304">
        <f t="shared" si="892"/>
        <v>-1</v>
      </c>
      <c r="EI304">
        <f t="shared" si="892"/>
        <v>-1</v>
      </c>
      <c r="EJ304">
        <f t="shared" si="892"/>
        <v>-1</v>
      </c>
      <c r="EK304">
        <f t="shared" si="892"/>
        <v>-1</v>
      </c>
      <c r="EL304">
        <f t="shared" si="892"/>
        <v>-1</v>
      </c>
      <c r="EM304">
        <f t="shared" si="892"/>
        <v>-1</v>
      </c>
      <c r="EN304">
        <f t="shared" si="892"/>
        <v>-1</v>
      </c>
      <c r="EO304">
        <f t="shared" si="892"/>
        <v>-1</v>
      </c>
    </row>
    <row r="305" spans="1:145" x14ac:dyDescent="0.15">
      <c r="A305" t="e">
        <f t="shared" si="772"/>
        <v>#N/A</v>
      </c>
      <c r="B305" s="218">
        <v>297</v>
      </c>
      <c r="C305">
        <f t="shared" si="772"/>
        <v>-1</v>
      </c>
      <c r="D305">
        <f t="shared" ref="D305:BO305" si="893">IF(OR(D304=-1,AND(IF(D$3&lt;$B305,D304+D$6,IF(D$3=$B305,1,""))&gt;$B$1,D$3&lt;$B305)),-1,IF(D$3&lt;$B305,D304+D$6,IF(D$3=$B305,1,"")))</f>
        <v>-1</v>
      </c>
      <c r="E305">
        <f t="shared" si="893"/>
        <v>-1</v>
      </c>
      <c r="F305">
        <f t="shared" si="893"/>
        <v>-1</v>
      </c>
      <c r="G305">
        <f t="shared" si="893"/>
        <v>-1</v>
      </c>
      <c r="H305">
        <f t="shared" si="893"/>
        <v>-1</v>
      </c>
      <c r="I305">
        <f t="shared" si="893"/>
        <v>-1</v>
      </c>
      <c r="J305">
        <f t="shared" si="893"/>
        <v>-1</v>
      </c>
      <c r="K305">
        <f t="shared" si="893"/>
        <v>-1</v>
      </c>
      <c r="L305">
        <f t="shared" si="893"/>
        <v>-1</v>
      </c>
      <c r="M305">
        <f t="shared" si="893"/>
        <v>-1</v>
      </c>
      <c r="N305">
        <f t="shared" si="893"/>
        <v>-1</v>
      </c>
      <c r="O305">
        <f t="shared" si="893"/>
        <v>-1</v>
      </c>
      <c r="P305">
        <f t="shared" si="893"/>
        <v>-1</v>
      </c>
      <c r="Q305">
        <f t="shared" si="893"/>
        <v>-1</v>
      </c>
      <c r="R305">
        <f t="shared" si="893"/>
        <v>-1</v>
      </c>
      <c r="S305">
        <f t="shared" si="893"/>
        <v>-1</v>
      </c>
      <c r="T305">
        <f t="shared" si="893"/>
        <v>-1</v>
      </c>
      <c r="U305">
        <f t="shared" si="893"/>
        <v>-1</v>
      </c>
      <c r="V305">
        <f t="shared" si="893"/>
        <v>-1</v>
      </c>
      <c r="W305">
        <f t="shared" si="893"/>
        <v>-1</v>
      </c>
      <c r="X305">
        <f t="shared" si="893"/>
        <v>-1</v>
      </c>
      <c r="Y305">
        <f t="shared" si="893"/>
        <v>-1</v>
      </c>
      <c r="Z305">
        <f t="shared" si="893"/>
        <v>-1</v>
      </c>
      <c r="AA305">
        <f t="shared" si="893"/>
        <v>-1</v>
      </c>
      <c r="AB305">
        <f t="shared" si="893"/>
        <v>-1</v>
      </c>
      <c r="AC305">
        <f t="shared" si="893"/>
        <v>-1</v>
      </c>
      <c r="AD305">
        <f t="shared" si="893"/>
        <v>-1</v>
      </c>
      <c r="AE305">
        <f t="shared" si="893"/>
        <v>-1</v>
      </c>
      <c r="AF305">
        <f t="shared" si="893"/>
        <v>-1</v>
      </c>
      <c r="AG305">
        <f t="shared" si="893"/>
        <v>-1</v>
      </c>
      <c r="AH305">
        <f t="shared" si="893"/>
        <v>-1</v>
      </c>
      <c r="AI305">
        <f t="shared" si="893"/>
        <v>-1</v>
      </c>
      <c r="AJ305">
        <f t="shared" si="893"/>
        <v>-1</v>
      </c>
      <c r="AK305">
        <f t="shared" si="893"/>
        <v>-1</v>
      </c>
      <c r="AL305">
        <f t="shared" si="893"/>
        <v>-1</v>
      </c>
      <c r="AM305">
        <f t="shared" si="893"/>
        <v>-1</v>
      </c>
      <c r="AN305">
        <f t="shared" si="893"/>
        <v>-1</v>
      </c>
      <c r="AO305">
        <f t="shared" si="893"/>
        <v>-1</v>
      </c>
      <c r="AP305">
        <f t="shared" si="893"/>
        <v>-1</v>
      </c>
      <c r="AQ305">
        <f t="shared" si="893"/>
        <v>-1</v>
      </c>
      <c r="AR305">
        <f t="shared" si="893"/>
        <v>-1</v>
      </c>
      <c r="AS305">
        <f t="shared" si="893"/>
        <v>-1</v>
      </c>
      <c r="AT305">
        <f t="shared" si="893"/>
        <v>-1</v>
      </c>
      <c r="AU305">
        <f t="shared" si="893"/>
        <v>-1</v>
      </c>
      <c r="AV305">
        <f t="shared" si="893"/>
        <v>-1</v>
      </c>
      <c r="AW305">
        <f t="shared" si="893"/>
        <v>-1</v>
      </c>
      <c r="AX305">
        <f t="shared" si="893"/>
        <v>-1</v>
      </c>
      <c r="AY305">
        <f t="shared" si="893"/>
        <v>-1</v>
      </c>
      <c r="AZ305">
        <f t="shared" si="893"/>
        <v>-1</v>
      </c>
      <c r="BA305">
        <f t="shared" si="893"/>
        <v>-1</v>
      </c>
      <c r="BB305">
        <f t="shared" si="893"/>
        <v>-1</v>
      </c>
      <c r="BC305">
        <f t="shared" si="893"/>
        <v>-1</v>
      </c>
      <c r="BD305">
        <f t="shared" si="893"/>
        <v>-1</v>
      </c>
      <c r="BE305">
        <f t="shared" si="893"/>
        <v>-1</v>
      </c>
      <c r="BF305">
        <f t="shared" si="893"/>
        <v>-1</v>
      </c>
      <c r="BG305">
        <f t="shared" si="893"/>
        <v>-1</v>
      </c>
      <c r="BH305">
        <f t="shared" si="893"/>
        <v>-1</v>
      </c>
      <c r="BI305">
        <f t="shared" si="893"/>
        <v>-1</v>
      </c>
      <c r="BJ305">
        <f t="shared" si="893"/>
        <v>-1</v>
      </c>
      <c r="BK305">
        <f t="shared" si="893"/>
        <v>-1</v>
      </c>
      <c r="BL305">
        <f t="shared" si="893"/>
        <v>-1</v>
      </c>
      <c r="BM305">
        <f t="shared" si="893"/>
        <v>-1</v>
      </c>
      <c r="BN305">
        <f t="shared" si="893"/>
        <v>-1</v>
      </c>
      <c r="BO305">
        <f t="shared" si="893"/>
        <v>-1</v>
      </c>
      <c r="BP305">
        <f t="shared" ref="BP305:EA305" si="894">IF(OR(BP304=-1,AND(IF(BP$3&lt;$B305,BP304+BP$6,IF(BP$3=$B305,1,""))&gt;$B$1,BP$3&lt;$B305)),-1,IF(BP$3&lt;$B305,BP304+BP$6,IF(BP$3=$B305,1,"")))</f>
        <v>-1</v>
      </c>
      <c r="BQ305">
        <f t="shared" si="894"/>
        <v>-1</v>
      </c>
      <c r="BR305">
        <f t="shared" si="894"/>
        <v>-1</v>
      </c>
      <c r="BS305">
        <f t="shared" si="894"/>
        <v>-1</v>
      </c>
      <c r="BT305">
        <f t="shared" si="894"/>
        <v>-1</v>
      </c>
      <c r="BU305">
        <f t="shared" si="894"/>
        <v>-1</v>
      </c>
      <c r="BV305">
        <f t="shared" si="894"/>
        <v>-1</v>
      </c>
      <c r="BW305">
        <f t="shared" si="894"/>
        <v>-1</v>
      </c>
      <c r="BX305">
        <f t="shared" si="894"/>
        <v>-1</v>
      </c>
      <c r="BY305">
        <f t="shared" si="894"/>
        <v>-1</v>
      </c>
      <c r="BZ305">
        <f t="shared" si="894"/>
        <v>-1</v>
      </c>
      <c r="CA305">
        <f t="shared" si="894"/>
        <v>-1</v>
      </c>
      <c r="CB305">
        <f t="shared" si="894"/>
        <v>-1</v>
      </c>
      <c r="CC305">
        <f t="shared" si="894"/>
        <v>-1</v>
      </c>
      <c r="CD305">
        <f t="shared" si="894"/>
        <v>-1</v>
      </c>
      <c r="CE305">
        <f t="shared" si="894"/>
        <v>-1</v>
      </c>
      <c r="CF305">
        <f t="shared" si="894"/>
        <v>-1</v>
      </c>
      <c r="CG305">
        <f t="shared" si="894"/>
        <v>-1</v>
      </c>
      <c r="CH305">
        <f t="shared" si="894"/>
        <v>-1</v>
      </c>
      <c r="CI305">
        <f t="shared" si="894"/>
        <v>-1</v>
      </c>
      <c r="CJ305">
        <f t="shared" si="894"/>
        <v>-1</v>
      </c>
      <c r="CK305">
        <f t="shared" si="894"/>
        <v>-1</v>
      </c>
      <c r="CL305">
        <f t="shared" si="894"/>
        <v>-1</v>
      </c>
      <c r="CM305">
        <f t="shared" si="894"/>
        <v>-1</v>
      </c>
      <c r="CN305">
        <f t="shared" si="894"/>
        <v>-1</v>
      </c>
      <c r="CO305">
        <f t="shared" si="894"/>
        <v>-1</v>
      </c>
      <c r="CP305">
        <f t="shared" si="894"/>
        <v>-1</v>
      </c>
      <c r="CQ305">
        <f t="shared" si="894"/>
        <v>-1</v>
      </c>
      <c r="CR305">
        <f t="shared" si="894"/>
        <v>-1</v>
      </c>
      <c r="CS305">
        <f t="shared" si="894"/>
        <v>-1</v>
      </c>
      <c r="CT305">
        <f t="shared" si="894"/>
        <v>-1</v>
      </c>
      <c r="CU305">
        <f t="shared" si="894"/>
        <v>-1</v>
      </c>
      <c r="CV305">
        <f t="shared" si="894"/>
        <v>-1</v>
      </c>
      <c r="CW305">
        <f t="shared" si="894"/>
        <v>-1</v>
      </c>
      <c r="CX305">
        <f t="shared" si="894"/>
        <v>-1</v>
      </c>
      <c r="CY305">
        <f t="shared" si="894"/>
        <v>-1</v>
      </c>
      <c r="CZ305">
        <f t="shared" si="894"/>
        <v>-1</v>
      </c>
      <c r="DA305">
        <f t="shared" si="894"/>
        <v>-1</v>
      </c>
      <c r="DB305">
        <f t="shared" si="894"/>
        <v>-1</v>
      </c>
      <c r="DC305">
        <f t="shared" si="894"/>
        <v>-1</v>
      </c>
      <c r="DD305">
        <f t="shared" si="894"/>
        <v>-1</v>
      </c>
      <c r="DE305">
        <f t="shared" si="894"/>
        <v>-1</v>
      </c>
      <c r="DF305">
        <f t="shared" si="894"/>
        <v>-1</v>
      </c>
      <c r="DG305">
        <f t="shared" si="894"/>
        <v>-1</v>
      </c>
      <c r="DH305">
        <f t="shared" si="894"/>
        <v>-1</v>
      </c>
      <c r="DI305">
        <f t="shared" si="894"/>
        <v>-1</v>
      </c>
      <c r="DJ305">
        <f t="shared" si="894"/>
        <v>-1</v>
      </c>
      <c r="DK305">
        <f t="shared" si="894"/>
        <v>-1</v>
      </c>
      <c r="DL305">
        <f t="shared" si="894"/>
        <v>-1</v>
      </c>
      <c r="DM305">
        <f t="shared" si="894"/>
        <v>-1</v>
      </c>
      <c r="DN305">
        <f t="shared" si="894"/>
        <v>-1</v>
      </c>
      <c r="DO305">
        <f t="shared" si="894"/>
        <v>-1</v>
      </c>
      <c r="DP305">
        <f t="shared" si="894"/>
        <v>-1</v>
      </c>
      <c r="DQ305">
        <f t="shared" si="894"/>
        <v>-1</v>
      </c>
      <c r="DR305">
        <f t="shared" si="894"/>
        <v>-1</v>
      </c>
      <c r="DS305">
        <f t="shared" si="894"/>
        <v>-1</v>
      </c>
      <c r="DT305">
        <f t="shared" si="894"/>
        <v>-1</v>
      </c>
      <c r="DU305">
        <f t="shared" si="894"/>
        <v>-1</v>
      </c>
      <c r="DV305">
        <f t="shared" si="894"/>
        <v>-1</v>
      </c>
      <c r="DW305">
        <f t="shared" si="894"/>
        <v>-1</v>
      </c>
      <c r="DX305">
        <f t="shared" si="894"/>
        <v>-1</v>
      </c>
      <c r="DY305">
        <f t="shared" si="894"/>
        <v>-1</v>
      </c>
      <c r="DZ305">
        <f t="shared" si="894"/>
        <v>-1</v>
      </c>
      <c r="EA305">
        <f t="shared" si="894"/>
        <v>-1</v>
      </c>
      <c r="EB305">
        <f t="shared" ref="EB305:EO305" si="895">IF(OR(EB304=-1,AND(IF(EB$3&lt;$B305,EB304+EB$6,IF(EB$3=$B305,1,""))&gt;$B$1,EB$3&lt;$B305)),-1,IF(EB$3&lt;$B305,EB304+EB$6,IF(EB$3=$B305,1,"")))</f>
        <v>-1</v>
      </c>
      <c r="EC305">
        <f t="shared" si="895"/>
        <v>-1</v>
      </c>
      <c r="ED305">
        <f t="shared" si="895"/>
        <v>-1</v>
      </c>
      <c r="EE305">
        <f t="shared" si="895"/>
        <v>-1</v>
      </c>
      <c r="EF305">
        <f t="shared" si="895"/>
        <v>-1</v>
      </c>
      <c r="EG305">
        <f t="shared" si="895"/>
        <v>-1</v>
      </c>
      <c r="EH305">
        <f t="shared" si="895"/>
        <v>-1</v>
      </c>
      <c r="EI305">
        <f t="shared" si="895"/>
        <v>-1</v>
      </c>
      <c r="EJ305">
        <f t="shared" si="895"/>
        <v>-1</v>
      </c>
      <c r="EK305">
        <f t="shared" si="895"/>
        <v>-1</v>
      </c>
      <c r="EL305">
        <f t="shared" si="895"/>
        <v>-1</v>
      </c>
      <c r="EM305">
        <f t="shared" si="895"/>
        <v>-1</v>
      </c>
      <c r="EN305">
        <f t="shared" si="895"/>
        <v>-1</v>
      </c>
      <c r="EO305">
        <f t="shared" si="895"/>
        <v>-1</v>
      </c>
    </row>
    <row r="306" spans="1:145" x14ac:dyDescent="0.15">
      <c r="A306" t="e">
        <f t="shared" si="772"/>
        <v>#N/A</v>
      </c>
      <c r="B306" s="218">
        <v>298</v>
      </c>
      <c r="C306">
        <f t="shared" si="772"/>
        <v>-1</v>
      </c>
      <c r="D306">
        <f t="shared" ref="D306:BO306" si="896">IF(OR(D305=-1,AND(IF(D$3&lt;$B306,D305+D$6,IF(D$3=$B306,1,""))&gt;$B$1,D$3&lt;$B306)),-1,IF(D$3&lt;$B306,D305+D$6,IF(D$3=$B306,1,"")))</f>
        <v>-1</v>
      </c>
      <c r="E306">
        <f t="shared" si="896"/>
        <v>-1</v>
      </c>
      <c r="F306">
        <f t="shared" si="896"/>
        <v>-1</v>
      </c>
      <c r="G306">
        <f t="shared" si="896"/>
        <v>-1</v>
      </c>
      <c r="H306">
        <f t="shared" si="896"/>
        <v>-1</v>
      </c>
      <c r="I306">
        <f t="shared" si="896"/>
        <v>-1</v>
      </c>
      <c r="J306">
        <f t="shared" si="896"/>
        <v>-1</v>
      </c>
      <c r="K306">
        <f t="shared" si="896"/>
        <v>-1</v>
      </c>
      <c r="L306">
        <f t="shared" si="896"/>
        <v>-1</v>
      </c>
      <c r="M306">
        <f t="shared" si="896"/>
        <v>-1</v>
      </c>
      <c r="N306">
        <f t="shared" si="896"/>
        <v>-1</v>
      </c>
      <c r="O306">
        <f t="shared" si="896"/>
        <v>-1</v>
      </c>
      <c r="P306">
        <f t="shared" si="896"/>
        <v>-1</v>
      </c>
      <c r="Q306">
        <f t="shared" si="896"/>
        <v>-1</v>
      </c>
      <c r="R306">
        <f t="shared" si="896"/>
        <v>-1</v>
      </c>
      <c r="S306">
        <f t="shared" si="896"/>
        <v>-1</v>
      </c>
      <c r="T306">
        <f t="shared" si="896"/>
        <v>-1</v>
      </c>
      <c r="U306">
        <f t="shared" si="896"/>
        <v>-1</v>
      </c>
      <c r="V306">
        <f t="shared" si="896"/>
        <v>-1</v>
      </c>
      <c r="W306">
        <f t="shared" si="896"/>
        <v>-1</v>
      </c>
      <c r="X306">
        <f t="shared" si="896"/>
        <v>-1</v>
      </c>
      <c r="Y306">
        <f t="shared" si="896"/>
        <v>-1</v>
      </c>
      <c r="Z306">
        <f t="shared" si="896"/>
        <v>-1</v>
      </c>
      <c r="AA306">
        <f t="shared" si="896"/>
        <v>-1</v>
      </c>
      <c r="AB306">
        <f t="shared" si="896"/>
        <v>-1</v>
      </c>
      <c r="AC306">
        <f t="shared" si="896"/>
        <v>-1</v>
      </c>
      <c r="AD306">
        <f t="shared" si="896"/>
        <v>-1</v>
      </c>
      <c r="AE306">
        <f t="shared" si="896"/>
        <v>-1</v>
      </c>
      <c r="AF306">
        <f t="shared" si="896"/>
        <v>-1</v>
      </c>
      <c r="AG306">
        <f t="shared" si="896"/>
        <v>-1</v>
      </c>
      <c r="AH306">
        <f t="shared" si="896"/>
        <v>-1</v>
      </c>
      <c r="AI306">
        <f t="shared" si="896"/>
        <v>-1</v>
      </c>
      <c r="AJ306">
        <f t="shared" si="896"/>
        <v>-1</v>
      </c>
      <c r="AK306">
        <f t="shared" si="896"/>
        <v>-1</v>
      </c>
      <c r="AL306">
        <f t="shared" si="896"/>
        <v>-1</v>
      </c>
      <c r="AM306">
        <f t="shared" si="896"/>
        <v>-1</v>
      </c>
      <c r="AN306">
        <f t="shared" si="896"/>
        <v>-1</v>
      </c>
      <c r="AO306">
        <f t="shared" si="896"/>
        <v>-1</v>
      </c>
      <c r="AP306">
        <f t="shared" si="896"/>
        <v>-1</v>
      </c>
      <c r="AQ306">
        <f t="shared" si="896"/>
        <v>-1</v>
      </c>
      <c r="AR306">
        <f t="shared" si="896"/>
        <v>-1</v>
      </c>
      <c r="AS306">
        <f t="shared" si="896"/>
        <v>-1</v>
      </c>
      <c r="AT306">
        <f t="shared" si="896"/>
        <v>-1</v>
      </c>
      <c r="AU306">
        <f t="shared" si="896"/>
        <v>-1</v>
      </c>
      <c r="AV306">
        <f t="shared" si="896"/>
        <v>-1</v>
      </c>
      <c r="AW306">
        <f t="shared" si="896"/>
        <v>-1</v>
      </c>
      <c r="AX306">
        <f t="shared" si="896"/>
        <v>-1</v>
      </c>
      <c r="AY306">
        <f t="shared" si="896"/>
        <v>-1</v>
      </c>
      <c r="AZ306">
        <f t="shared" si="896"/>
        <v>-1</v>
      </c>
      <c r="BA306">
        <f t="shared" si="896"/>
        <v>-1</v>
      </c>
      <c r="BB306">
        <f t="shared" si="896"/>
        <v>-1</v>
      </c>
      <c r="BC306">
        <f t="shared" si="896"/>
        <v>-1</v>
      </c>
      <c r="BD306">
        <f t="shared" si="896"/>
        <v>-1</v>
      </c>
      <c r="BE306">
        <f t="shared" si="896"/>
        <v>-1</v>
      </c>
      <c r="BF306">
        <f t="shared" si="896"/>
        <v>-1</v>
      </c>
      <c r="BG306">
        <f t="shared" si="896"/>
        <v>-1</v>
      </c>
      <c r="BH306">
        <f t="shared" si="896"/>
        <v>-1</v>
      </c>
      <c r="BI306">
        <f t="shared" si="896"/>
        <v>-1</v>
      </c>
      <c r="BJ306">
        <f t="shared" si="896"/>
        <v>-1</v>
      </c>
      <c r="BK306">
        <f t="shared" si="896"/>
        <v>-1</v>
      </c>
      <c r="BL306">
        <f t="shared" si="896"/>
        <v>-1</v>
      </c>
      <c r="BM306">
        <f t="shared" si="896"/>
        <v>-1</v>
      </c>
      <c r="BN306">
        <f t="shared" si="896"/>
        <v>-1</v>
      </c>
      <c r="BO306">
        <f t="shared" si="896"/>
        <v>-1</v>
      </c>
      <c r="BP306">
        <f t="shared" ref="BP306:EA306" si="897">IF(OR(BP305=-1,AND(IF(BP$3&lt;$B306,BP305+BP$6,IF(BP$3=$B306,1,""))&gt;$B$1,BP$3&lt;$B306)),-1,IF(BP$3&lt;$B306,BP305+BP$6,IF(BP$3=$B306,1,"")))</f>
        <v>-1</v>
      </c>
      <c r="BQ306">
        <f t="shared" si="897"/>
        <v>-1</v>
      </c>
      <c r="BR306">
        <f t="shared" si="897"/>
        <v>-1</v>
      </c>
      <c r="BS306">
        <f t="shared" si="897"/>
        <v>-1</v>
      </c>
      <c r="BT306">
        <f t="shared" si="897"/>
        <v>-1</v>
      </c>
      <c r="BU306">
        <f t="shared" si="897"/>
        <v>-1</v>
      </c>
      <c r="BV306">
        <f t="shared" si="897"/>
        <v>-1</v>
      </c>
      <c r="BW306">
        <f t="shared" si="897"/>
        <v>-1</v>
      </c>
      <c r="BX306">
        <f t="shared" si="897"/>
        <v>-1</v>
      </c>
      <c r="BY306">
        <f t="shared" si="897"/>
        <v>-1</v>
      </c>
      <c r="BZ306">
        <f t="shared" si="897"/>
        <v>-1</v>
      </c>
      <c r="CA306">
        <f t="shared" si="897"/>
        <v>-1</v>
      </c>
      <c r="CB306">
        <f t="shared" si="897"/>
        <v>-1</v>
      </c>
      <c r="CC306">
        <f t="shared" si="897"/>
        <v>-1</v>
      </c>
      <c r="CD306">
        <f t="shared" si="897"/>
        <v>-1</v>
      </c>
      <c r="CE306">
        <f t="shared" si="897"/>
        <v>-1</v>
      </c>
      <c r="CF306">
        <f t="shared" si="897"/>
        <v>-1</v>
      </c>
      <c r="CG306">
        <f t="shared" si="897"/>
        <v>-1</v>
      </c>
      <c r="CH306">
        <f t="shared" si="897"/>
        <v>-1</v>
      </c>
      <c r="CI306">
        <f t="shared" si="897"/>
        <v>-1</v>
      </c>
      <c r="CJ306">
        <f t="shared" si="897"/>
        <v>-1</v>
      </c>
      <c r="CK306">
        <f t="shared" si="897"/>
        <v>-1</v>
      </c>
      <c r="CL306">
        <f t="shared" si="897"/>
        <v>-1</v>
      </c>
      <c r="CM306">
        <f t="shared" si="897"/>
        <v>-1</v>
      </c>
      <c r="CN306">
        <f t="shared" si="897"/>
        <v>-1</v>
      </c>
      <c r="CO306">
        <f t="shared" si="897"/>
        <v>-1</v>
      </c>
      <c r="CP306">
        <f t="shared" si="897"/>
        <v>-1</v>
      </c>
      <c r="CQ306">
        <f t="shared" si="897"/>
        <v>-1</v>
      </c>
      <c r="CR306">
        <f t="shared" si="897"/>
        <v>-1</v>
      </c>
      <c r="CS306">
        <f t="shared" si="897"/>
        <v>-1</v>
      </c>
      <c r="CT306">
        <f t="shared" si="897"/>
        <v>-1</v>
      </c>
      <c r="CU306">
        <f t="shared" si="897"/>
        <v>-1</v>
      </c>
      <c r="CV306">
        <f t="shared" si="897"/>
        <v>-1</v>
      </c>
      <c r="CW306">
        <f t="shared" si="897"/>
        <v>-1</v>
      </c>
      <c r="CX306">
        <f t="shared" si="897"/>
        <v>-1</v>
      </c>
      <c r="CY306">
        <f t="shared" si="897"/>
        <v>-1</v>
      </c>
      <c r="CZ306">
        <f t="shared" si="897"/>
        <v>-1</v>
      </c>
      <c r="DA306">
        <f t="shared" si="897"/>
        <v>-1</v>
      </c>
      <c r="DB306">
        <f t="shared" si="897"/>
        <v>-1</v>
      </c>
      <c r="DC306">
        <f t="shared" si="897"/>
        <v>-1</v>
      </c>
      <c r="DD306">
        <f t="shared" si="897"/>
        <v>-1</v>
      </c>
      <c r="DE306">
        <f t="shared" si="897"/>
        <v>-1</v>
      </c>
      <c r="DF306">
        <f t="shared" si="897"/>
        <v>-1</v>
      </c>
      <c r="DG306">
        <f t="shared" si="897"/>
        <v>-1</v>
      </c>
      <c r="DH306">
        <f t="shared" si="897"/>
        <v>-1</v>
      </c>
      <c r="DI306">
        <f t="shared" si="897"/>
        <v>-1</v>
      </c>
      <c r="DJ306">
        <f t="shared" si="897"/>
        <v>-1</v>
      </c>
      <c r="DK306">
        <f t="shared" si="897"/>
        <v>-1</v>
      </c>
      <c r="DL306">
        <f t="shared" si="897"/>
        <v>-1</v>
      </c>
      <c r="DM306">
        <f t="shared" si="897"/>
        <v>-1</v>
      </c>
      <c r="DN306">
        <f t="shared" si="897"/>
        <v>-1</v>
      </c>
      <c r="DO306">
        <f t="shared" si="897"/>
        <v>-1</v>
      </c>
      <c r="DP306">
        <f t="shared" si="897"/>
        <v>-1</v>
      </c>
      <c r="DQ306">
        <f t="shared" si="897"/>
        <v>-1</v>
      </c>
      <c r="DR306">
        <f t="shared" si="897"/>
        <v>-1</v>
      </c>
      <c r="DS306">
        <f t="shared" si="897"/>
        <v>-1</v>
      </c>
      <c r="DT306">
        <f t="shared" si="897"/>
        <v>-1</v>
      </c>
      <c r="DU306">
        <f t="shared" si="897"/>
        <v>-1</v>
      </c>
      <c r="DV306">
        <f t="shared" si="897"/>
        <v>-1</v>
      </c>
      <c r="DW306">
        <f t="shared" si="897"/>
        <v>-1</v>
      </c>
      <c r="DX306">
        <f t="shared" si="897"/>
        <v>-1</v>
      </c>
      <c r="DY306">
        <f t="shared" si="897"/>
        <v>-1</v>
      </c>
      <c r="DZ306">
        <f t="shared" si="897"/>
        <v>-1</v>
      </c>
      <c r="EA306">
        <f t="shared" si="897"/>
        <v>-1</v>
      </c>
      <c r="EB306">
        <f t="shared" ref="EB306:EO306" si="898">IF(OR(EB305=-1,AND(IF(EB$3&lt;$B306,EB305+EB$6,IF(EB$3=$B306,1,""))&gt;$B$1,EB$3&lt;$B306)),-1,IF(EB$3&lt;$B306,EB305+EB$6,IF(EB$3=$B306,1,"")))</f>
        <v>-1</v>
      </c>
      <c r="EC306">
        <f t="shared" si="898"/>
        <v>-1</v>
      </c>
      <c r="ED306">
        <f t="shared" si="898"/>
        <v>-1</v>
      </c>
      <c r="EE306">
        <f t="shared" si="898"/>
        <v>-1</v>
      </c>
      <c r="EF306">
        <f t="shared" si="898"/>
        <v>-1</v>
      </c>
      <c r="EG306">
        <f t="shared" si="898"/>
        <v>-1</v>
      </c>
      <c r="EH306">
        <f t="shared" si="898"/>
        <v>-1</v>
      </c>
      <c r="EI306">
        <f t="shared" si="898"/>
        <v>-1</v>
      </c>
      <c r="EJ306">
        <f t="shared" si="898"/>
        <v>-1</v>
      </c>
      <c r="EK306">
        <f t="shared" si="898"/>
        <v>-1</v>
      </c>
      <c r="EL306">
        <f t="shared" si="898"/>
        <v>-1</v>
      </c>
      <c r="EM306">
        <f t="shared" si="898"/>
        <v>-1</v>
      </c>
      <c r="EN306">
        <f t="shared" si="898"/>
        <v>-1</v>
      </c>
      <c r="EO306">
        <f t="shared" si="898"/>
        <v>-1</v>
      </c>
    </row>
    <row r="307" spans="1:145" x14ac:dyDescent="0.15">
      <c r="A307" t="e">
        <f t="shared" si="772"/>
        <v>#N/A</v>
      </c>
      <c r="B307" s="218">
        <v>299</v>
      </c>
      <c r="C307">
        <f t="shared" si="772"/>
        <v>-1</v>
      </c>
      <c r="D307">
        <f t="shared" ref="D307:BO307" si="899">IF(OR(D306=-1,AND(IF(D$3&lt;$B307,D306+D$6,IF(D$3=$B307,1,""))&gt;$B$1,D$3&lt;$B307)),-1,IF(D$3&lt;$B307,D306+D$6,IF(D$3=$B307,1,"")))</f>
        <v>-1</v>
      </c>
      <c r="E307">
        <f t="shared" si="899"/>
        <v>-1</v>
      </c>
      <c r="F307">
        <f t="shared" si="899"/>
        <v>-1</v>
      </c>
      <c r="G307">
        <f t="shared" si="899"/>
        <v>-1</v>
      </c>
      <c r="H307">
        <f t="shared" si="899"/>
        <v>-1</v>
      </c>
      <c r="I307">
        <f t="shared" si="899"/>
        <v>-1</v>
      </c>
      <c r="J307">
        <f t="shared" si="899"/>
        <v>-1</v>
      </c>
      <c r="K307">
        <f t="shared" si="899"/>
        <v>-1</v>
      </c>
      <c r="L307">
        <f t="shared" si="899"/>
        <v>-1</v>
      </c>
      <c r="M307">
        <f t="shared" si="899"/>
        <v>-1</v>
      </c>
      <c r="N307">
        <f t="shared" si="899"/>
        <v>-1</v>
      </c>
      <c r="O307">
        <f t="shared" si="899"/>
        <v>-1</v>
      </c>
      <c r="P307">
        <f t="shared" si="899"/>
        <v>-1</v>
      </c>
      <c r="Q307">
        <f t="shared" si="899"/>
        <v>-1</v>
      </c>
      <c r="R307">
        <f t="shared" si="899"/>
        <v>-1</v>
      </c>
      <c r="S307">
        <f t="shared" si="899"/>
        <v>-1</v>
      </c>
      <c r="T307">
        <f t="shared" si="899"/>
        <v>-1</v>
      </c>
      <c r="U307">
        <f t="shared" si="899"/>
        <v>-1</v>
      </c>
      <c r="V307">
        <f t="shared" si="899"/>
        <v>-1</v>
      </c>
      <c r="W307">
        <f t="shared" si="899"/>
        <v>-1</v>
      </c>
      <c r="X307">
        <f t="shared" si="899"/>
        <v>-1</v>
      </c>
      <c r="Y307">
        <f t="shared" si="899"/>
        <v>-1</v>
      </c>
      <c r="Z307">
        <f t="shared" si="899"/>
        <v>-1</v>
      </c>
      <c r="AA307">
        <f t="shared" si="899"/>
        <v>-1</v>
      </c>
      <c r="AB307">
        <f t="shared" si="899"/>
        <v>-1</v>
      </c>
      <c r="AC307">
        <f t="shared" si="899"/>
        <v>-1</v>
      </c>
      <c r="AD307">
        <f t="shared" si="899"/>
        <v>-1</v>
      </c>
      <c r="AE307">
        <f t="shared" si="899"/>
        <v>-1</v>
      </c>
      <c r="AF307">
        <f t="shared" si="899"/>
        <v>-1</v>
      </c>
      <c r="AG307">
        <f t="shared" si="899"/>
        <v>-1</v>
      </c>
      <c r="AH307">
        <f t="shared" si="899"/>
        <v>-1</v>
      </c>
      <c r="AI307">
        <f t="shared" si="899"/>
        <v>-1</v>
      </c>
      <c r="AJ307">
        <f t="shared" si="899"/>
        <v>-1</v>
      </c>
      <c r="AK307">
        <f t="shared" si="899"/>
        <v>-1</v>
      </c>
      <c r="AL307">
        <f t="shared" si="899"/>
        <v>-1</v>
      </c>
      <c r="AM307">
        <f t="shared" si="899"/>
        <v>-1</v>
      </c>
      <c r="AN307">
        <f t="shared" si="899"/>
        <v>-1</v>
      </c>
      <c r="AO307">
        <f t="shared" si="899"/>
        <v>-1</v>
      </c>
      <c r="AP307">
        <f t="shared" si="899"/>
        <v>-1</v>
      </c>
      <c r="AQ307">
        <f t="shared" si="899"/>
        <v>-1</v>
      </c>
      <c r="AR307">
        <f t="shared" si="899"/>
        <v>-1</v>
      </c>
      <c r="AS307">
        <f t="shared" si="899"/>
        <v>-1</v>
      </c>
      <c r="AT307">
        <f t="shared" si="899"/>
        <v>-1</v>
      </c>
      <c r="AU307">
        <f t="shared" si="899"/>
        <v>-1</v>
      </c>
      <c r="AV307">
        <f t="shared" si="899"/>
        <v>-1</v>
      </c>
      <c r="AW307">
        <f t="shared" si="899"/>
        <v>-1</v>
      </c>
      <c r="AX307">
        <f t="shared" si="899"/>
        <v>-1</v>
      </c>
      <c r="AY307">
        <f t="shared" si="899"/>
        <v>-1</v>
      </c>
      <c r="AZ307">
        <f t="shared" si="899"/>
        <v>-1</v>
      </c>
      <c r="BA307">
        <f t="shared" si="899"/>
        <v>-1</v>
      </c>
      <c r="BB307">
        <f t="shared" si="899"/>
        <v>-1</v>
      </c>
      <c r="BC307">
        <f t="shared" si="899"/>
        <v>-1</v>
      </c>
      <c r="BD307">
        <f t="shared" si="899"/>
        <v>-1</v>
      </c>
      <c r="BE307">
        <f t="shared" si="899"/>
        <v>-1</v>
      </c>
      <c r="BF307">
        <f t="shared" si="899"/>
        <v>-1</v>
      </c>
      <c r="BG307">
        <f t="shared" si="899"/>
        <v>-1</v>
      </c>
      <c r="BH307">
        <f t="shared" si="899"/>
        <v>-1</v>
      </c>
      <c r="BI307">
        <f t="shared" si="899"/>
        <v>-1</v>
      </c>
      <c r="BJ307">
        <f t="shared" si="899"/>
        <v>-1</v>
      </c>
      <c r="BK307">
        <f t="shared" si="899"/>
        <v>-1</v>
      </c>
      <c r="BL307">
        <f t="shared" si="899"/>
        <v>-1</v>
      </c>
      <c r="BM307">
        <f t="shared" si="899"/>
        <v>-1</v>
      </c>
      <c r="BN307">
        <f t="shared" si="899"/>
        <v>-1</v>
      </c>
      <c r="BO307">
        <f t="shared" si="899"/>
        <v>-1</v>
      </c>
      <c r="BP307">
        <f t="shared" ref="BP307:EA307" si="900">IF(OR(BP306=-1,AND(IF(BP$3&lt;$B307,BP306+BP$6,IF(BP$3=$B307,1,""))&gt;$B$1,BP$3&lt;$B307)),-1,IF(BP$3&lt;$B307,BP306+BP$6,IF(BP$3=$B307,1,"")))</f>
        <v>-1</v>
      </c>
      <c r="BQ307">
        <f t="shared" si="900"/>
        <v>-1</v>
      </c>
      <c r="BR307">
        <f t="shared" si="900"/>
        <v>-1</v>
      </c>
      <c r="BS307">
        <f t="shared" si="900"/>
        <v>-1</v>
      </c>
      <c r="BT307">
        <f t="shared" si="900"/>
        <v>-1</v>
      </c>
      <c r="BU307">
        <f t="shared" si="900"/>
        <v>-1</v>
      </c>
      <c r="BV307">
        <f t="shared" si="900"/>
        <v>-1</v>
      </c>
      <c r="BW307">
        <f t="shared" si="900"/>
        <v>-1</v>
      </c>
      <c r="BX307">
        <f t="shared" si="900"/>
        <v>-1</v>
      </c>
      <c r="BY307">
        <f t="shared" si="900"/>
        <v>-1</v>
      </c>
      <c r="BZ307">
        <f t="shared" si="900"/>
        <v>-1</v>
      </c>
      <c r="CA307">
        <f t="shared" si="900"/>
        <v>-1</v>
      </c>
      <c r="CB307">
        <f t="shared" si="900"/>
        <v>-1</v>
      </c>
      <c r="CC307">
        <f t="shared" si="900"/>
        <v>-1</v>
      </c>
      <c r="CD307">
        <f t="shared" si="900"/>
        <v>-1</v>
      </c>
      <c r="CE307">
        <f t="shared" si="900"/>
        <v>-1</v>
      </c>
      <c r="CF307">
        <f t="shared" si="900"/>
        <v>-1</v>
      </c>
      <c r="CG307">
        <f t="shared" si="900"/>
        <v>-1</v>
      </c>
      <c r="CH307">
        <f t="shared" si="900"/>
        <v>-1</v>
      </c>
      <c r="CI307">
        <f t="shared" si="900"/>
        <v>-1</v>
      </c>
      <c r="CJ307">
        <f t="shared" si="900"/>
        <v>-1</v>
      </c>
      <c r="CK307">
        <f t="shared" si="900"/>
        <v>-1</v>
      </c>
      <c r="CL307">
        <f t="shared" si="900"/>
        <v>-1</v>
      </c>
      <c r="CM307">
        <f t="shared" si="900"/>
        <v>-1</v>
      </c>
      <c r="CN307">
        <f t="shared" si="900"/>
        <v>-1</v>
      </c>
      <c r="CO307">
        <f t="shared" si="900"/>
        <v>-1</v>
      </c>
      <c r="CP307">
        <f t="shared" si="900"/>
        <v>-1</v>
      </c>
      <c r="CQ307">
        <f t="shared" si="900"/>
        <v>-1</v>
      </c>
      <c r="CR307">
        <f t="shared" si="900"/>
        <v>-1</v>
      </c>
      <c r="CS307">
        <f t="shared" si="900"/>
        <v>-1</v>
      </c>
      <c r="CT307">
        <f t="shared" si="900"/>
        <v>-1</v>
      </c>
      <c r="CU307">
        <f t="shared" si="900"/>
        <v>-1</v>
      </c>
      <c r="CV307">
        <f t="shared" si="900"/>
        <v>-1</v>
      </c>
      <c r="CW307">
        <f t="shared" si="900"/>
        <v>-1</v>
      </c>
      <c r="CX307">
        <f t="shared" si="900"/>
        <v>-1</v>
      </c>
      <c r="CY307">
        <f t="shared" si="900"/>
        <v>-1</v>
      </c>
      <c r="CZ307">
        <f t="shared" si="900"/>
        <v>-1</v>
      </c>
      <c r="DA307">
        <f t="shared" si="900"/>
        <v>-1</v>
      </c>
      <c r="DB307">
        <f t="shared" si="900"/>
        <v>-1</v>
      </c>
      <c r="DC307">
        <f t="shared" si="900"/>
        <v>-1</v>
      </c>
      <c r="DD307">
        <f t="shared" si="900"/>
        <v>-1</v>
      </c>
      <c r="DE307">
        <f t="shared" si="900"/>
        <v>-1</v>
      </c>
      <c r="DF307">
        <f t="shared" si="900"/>
        <v>-1</v>
      </c>
      <c r="DG307">
        <f t="shared" si="900"/>
        <v>-1</v>
      </c>
      <c r="DH307">
        <f t="shared" si="900"/>
        <v>-1</v>
      </c>
      <c r="DI307">
        <f t="shared" si="900"/>
        <v>-1</v>
      </c>
      <c r="DJ307">
        <f t="shared" si="900"/>
        <v>-1</v>
      </c>
      <c r="DK307">
        <f t="shared" si="900"/>
        <v>-1</v>
      </c>
      <c r="DL307">
        <f t="shared" si="900"/>
        <v>-1</v>
      </c>
      <c r="DM307">
        <f t="shared" si="900"/>
        <v>-1</v>
      </c>
      <c r="DN307">
        <f t="shared" si="900"/>
        <v>-1</v>
      </c>
      <c r="DO307">
        <f t="shared" si="900"/>
        <v>-1</v>
      </c>
      <c r="DP307">
        <f t="shared" si="900"/>
        <v>-1</v>
      </c>
      <c r="DQ307">
        <f t="shared" si="900"/>
        <v>-1</v>
      </c>
      <c r="DR307">
        <f t="shared" si="900"/>
        <v>-1</v>
      </c>
      <c r="DS307">
        <f t="shared" si="900"/>
        <v>-1</v>
      </c>
      <c r="DT307">
        <f t="shared" si="900"/>
        <v>-1</v>
      </c>
      <c r="DU307">
        <f t="shared" si="900"/>
        <v>-1</v>
      </c>
      <c r="DV307">
        <f t="shared" si="900"/>
        <v>-1</v>
      </c>
      <c r="DW307">
        <f t="shared" si="900"/>
        <v>-1</v>
      </c>
      <c r="DX307">
        <f t="shared" si="900"/>
        <v>-1</v>
      </c>
      <c r="DY307">
        <f t="shared" si="900"/>
        <v>-1</v>
      </c>
      <c r="DZ307">
        <f t="shared" si="900"/>
        <v>-1</v>
      </c>
      <c r="EA307">
        <f t="shared" si="900"/>
        <v>-1</v>
      </c>
      <c r="EB307">
        <f t="shared" ref="EB307:EO307" si="901">IF(OR(EB306=-1,AND(IF(EB$3&lt;$B307,EB306+EB$6,IF(EB$3=$B307,1,""))&gt;$B$1,EB$3&lt;$B307)),-1,IF(EB$3&lt;$B307,EB306+EB$6,IF(EB$3=$B307,1,"")))</f>
        <v>-1</v>
      </c>
      <c r="EC307">
        <f t="shared" si="901"/>
        <v>-1</v>
      </c>
      <c r="ED307">
        <f t="shared" si="901"/>
        <v>-1</v>
      </c>
      <c r="EE307">
        <f t="shared" si="901"/>
        <v>-1</v>
      </c>
      <c r="EF307">
        <f t="shared" si="901"/>
        <v>-1</v>
      </c>
      <c r="EG307">
        <f t="shared" si="901"/>
        <v>-1</v>
      </c>
      <c r="EH307">
        <f t="shared" si="901"/>
        <v>-1</v>
      </c>
      <c r="EI307">
        <f t="shared" si="901"/>
        <v>-1</v>
      </c>
      <c r="EJ307">
        <f t="shared" si="901"/>
        <v>-1</v>
      </c>
      <c r="EK307">
        <f t="shared" si="901"/>
        <v>-1</v>
      </c>
      <c r="EL307">
        <f t="shared" si="901"/>
        <v>-1</v>
      </c>
      <c r="EM307">
        <f t="shared" si="901"/>
        <v>-1</v>
      </c>
      <c r="EN307">
        <f t="shared" si="901"/>
        <v>-1</v>
      </c>
      <c r="EO307">
        <f t="shared" si="901"/>
        <v>-1</v>
      </c>
    </row>
    <row r="308" spans="1:145" x14ac:dyDescent="0.15">
      <c r="A308" t="e">
        <f t="shared" si="772"/>
        <v>#N/A</v>
      </c>
      <c r="B308" s="218">
        <v>300</v>
      </c>
      <c r="C308">
        <f t="shared" si="772"/>
        <v>-1</v>
      </c>
      <c r="D308">
        <f t="shared" ref="D308:BO308" si="902">IF(OR(D307=-1,AND(IF(D$3&lt;$B308,D307+D$6,IF(D$3=$B308,1,""))&gt;$B$1,D$3&lt;$B308)),-1,IF(D$3&lt;$B308,D307+D$6,IF(D$3=$B308,1,"")))</f>
        <v>-1</v>
      </c>
      <c r="E308">
        <f t="shared" si="902"/>
        <v>-1</v>
      </c>
      <c r="F308">
        <f t="shared" si="902"/>
        <v>-1</v>
      </c>
      <c r="G308">
        <f t="shared" si="902"/>
        <v>-1</v>
      </c>
      <c r="H308">
        <f t="shared" si="902"/>
        <v>-1</v>
      </c>
      <c r="I308">
        <f t="shared" si="902"/>
        <v>-1</v>
      </c>
      <c r="J308">
        <f t="shared" si="902"/>
        <v>-1</v>
      </c>
      <c r="K308">
        <f t="shared" si="902"/>
        <v>-1</v>
      </c>
      <c r="L308">
        <f t="shared" si="902"/>
        <v>-1</v>
      </c>
      <c r="M308">
        <f t="shared" si="902"/>
        <v>-1</v>
      </c>
      <c r="N308">
        <f t="shared" si="902"/>
        <v>-1</v>
      </c>
      <c r="O308">
        <f t="shared" si="902"/>
        <v>-1</v>
      </c>
      <c r="P308">
        <f t="shared" si="902"/>
        <v>-1</v>
      </c>
      <c r="Q308">
        <f t="shared" si="902"/>
        <v>-1</v>
      </c>
      <c r="R308">
        <f t="shared" si="902"/>
        <v>-1</v>
      </c>
      <c r="S308">
        <f t="shared" si="902"/>
        <v>-1</v>
      </c>
      <c r="T308">
        <f t="shared" si="902"/>
        <v>-1</v>
      </c>
      <c r="U308">
        <f t="shared" si="902"/>
        <v>-1</v>
      </c>
      <c r="V308">
        <f t="shared" si="902"/>
        <v>-1</v>
      </c>
      <c r="W308">
        <f t="shared" si="902"/>
        <v>-1</v>
      </c>
      <c r="X308">
        <f t="shared" si="902"/>
        <v>-1</v>
      </c>
      <c r="Y308">
        <f t="shared" si="902"/>
        <v>-1</v>
      </c>
      <c r="Z308">
        <f t="shared" si="902"/>
        <v>-1</v>
      </c>
      <c r="AA308">
        <f t="shared" si="902"/>
        <v>-1</v>
      </c>
      <c r="AB308">
        <f t="shared" si="902"/>
        <v>-1</v>
      </c>
      <c r="AC308">
        <f t="shared" si="902"/>
        <v>-1</v>
      </c>
      <c r="AD308">
        <f t="shared" si="902"/>
        <v>-1</v>
      </c>
      <c r="AE308">
        <f t="shared" si="902"/>
        <v>-1</v>
      </c>
      <c r="AF308">
        <f t="shared" si="902"/>
        <v>-1</v>
      </c>
      <c r="AG308">
        <f t="shared" si="902"/>
        <v>-1</v>
      </c>
      <c r="AH308">
        <f t="shared" si="902"/>
        <v>-1</v>
      </c>
      <c r="AI308">
        <f t="shared" si="902"/>
        <v>-1</v>
      </c>
      <c r="AJ308">
        <f t="shared" si="902"/>
        <v>-1</v>
      </c>
      <c r="AK308">
        <f t="shared" si="902"/>
        <v>-1</v>
      </c>
      <c r="AL308">
        <f t="shared" si="902"/>
        <v>-1</v>
      </c>
      <c r="AM308">
        <f t="shared" si="902"/>
        <v>-1</v>
      </c>
      <c r="AN308">
        <f t="shared" si="902"/>
        <v>-1</v>
      </c>
      <c r="AO308">
        <f t="shared" si="902"/>
        <v>-1</v>
      </c>
      <c r="AP308">
        <f t="shared" si="902"/>
        <v>-1</v>
      </c>
      <c r="AQ308">
        <f t="shared" si="902"/>
        <v>-1</v>
      </c>
      <c r="AR308">
        <f t="shared" si="902"/>
        <v>-1</v>
      </c>
      <c r="AS308">
        <f t="shared" si="902"/>
        <v>-1</v>
      </c>
      <c r="AT308">
        <f t="shared" si="902"/>
        <v>-1</v>
      </c>
      <c r="AU308">
        <f t="shared" si="902"/>
        <v>-1</v>
      </c>
      <c r="AV308">
        <f t="shared" si="902"/>
        <v>-1</v>
      </c>
      <c r="AW308">
        <f t="shared" si="902"/>
        <v>-1</v>
      </c>
      <c r="AX308">
        <f t="shared" si="902"/>
        <v>-1</v>
      </c>
      <c r="AY308">
        <f t="shared" si="902"/>
        <v>-1</v>
      </c>
      <c r="AZ308">
        <f t="shared" si="902"/>
        <v>-1</v>
      </c>
      <c r="BA308">
        <f t="shared" si="902"/>
        <v>-1</v>
      </c>
      <c r="BB308">
        <f t="shared" si="902"/>
        <v>-1</v>
      </c>
      <c r="BC308">
        <f t="shared" si="902"/>
        <v>-1</v>
      </c>
      <c r="BD308">
        <f t="shared" si="902"/>
        <v>-1</v>
      </c>
      <c r="BE308">
        <f t="shared" si="902"/>
        <v>-1</v>
      </c>
      <c r="BF308">
        <f t="shared" si="902"/>
        <v>-1</v>
      </c>
      <c r="BG308">
        <f t="shared" si="902"/>
        <v>-1</v>
      </c>
      <c r="BH308">
        <f t="shared" si="902"/>
        <v>-1</v>
      </c>
      <c r="BI308">
        <f t="shared" si="902"/>
        <v>-1</v>
      </c>
      <c r="BJ308">
        <f t="shared" si="902"/>
        <v>-1</v>
      </c>
      <c r="BK308">
        <f t="shared" si="902"/>
        <v>-1</v>
      </c>
      <c r="BL308">
        <f t="shared" si="902"/>
        <v>-1</v>
      </c>
      <c r="BM308">
        <f t="shared" si="902"/>
        <v>-1</v>
      </c>
      <c r="BN308">
        <f t="shared" si="902"/>
        <v>-1</v>
      </c>
      <c r="BO308">
        <f t="shared" si="902"/>
        <v>-1</v>
      </c>
      <c r="BP308">
        <f t="shared" ref="BP308:EA308" si="903">IF(OR(BP307=-1,AND(IF(BP$3&lt;$B308,BP307+BP$6,IF(BP$3=$B308,1,""))&gt;$B$1,BP$3&lt;$B308)),-1,IF(BP$3&lt;$B308,BP307+BP$6,IF(BP$3=$B308,1,"")))</f>
        <v>-1</v>
      </c>
      <c r="BQ308">
        <f t="shared" si="903"/>
        <v>-1</v>
      </c>
      <c r="BR308">
        <f t="shared" si="903"/>
        <v>-1</v>
      </c>
      <c r="BS308">
        <f t="shared" si="903"/>
        <v>-1</v>
      </c>
      <c r="BT308">
        <f t="shared" si="903"/>
        <v>-1</v>
      </c>
      <c r="BU308">
        <f t="shared" si="903"/>
        <v>-1</v>
      </c>
      <c r="BV308">
        <f t="shared" si="903"/>
        <v>-1</v>
      </c>
      <c r="BW308">
        <f t="shared" si="903"/>
        <v>-1</v>
      </c>
      <c r="BX308">
        <f t="shared" si="903"/>
        <v>-1</v>
      </c>
      <c r="BY308">
        <f t="shared" si="903"/>
        <v>-1</v>
      </c>
      <c r="BZ308">
        <f t="shared" si="903"/>
        <v>-1</v>
      </c>
      <c r="CA308">
        <f t="shared" si="903"/>
        <v>-1</v>
      </c>
      <c r="CB308">
        <f t="shared" si="903"/>
        <v>-1</v>
      </c>
      <c r="CC308">
        <f t="shared" si="903"/>
        <v>-1</v>
      </c>
      <c r="CD308">
        <f t="shared" si="903"/>
        <v>-1</v>
      </c>
      <c r="CE308">
        <f t="shared" si="903"/>
        <v>-1</v>
      </c>
      <c r="CF308">
        <f t="shared" si="903"/>
        <v>-1</v>
      </c>
      <c r="CG308">
        <f t="shared" si="903"/>
        <v>-1</v>
      </c>
      <c r="CH308">
        <f t="shared" si="903"/>
        <v>-1</v>
      </c>
      <c r="CI308">
        <f t="shared" si="903"/>
        <v>-1</v>
      </c>
      <c r="CJ308">
        <f t="shared" si="903"/>
        <v>-1</v>
      </c>
      <c r="CK308">
        <f t="shared" si="903"/>
        <v>-1</v>
      </c>
      <c r="CL308">
        <f t="shared" si="903"/>
        <v>-1</v>
      </c>
      <c r="CM308">
        <f t="shared" si="903"/>
        <v>-1</v>
      </c>
      <c r="CN308">
        <f t="shared" si="903"/>
        <v>-1</v>
      </c>
      <c r="CO308">
        <f t="shared" si="903"/>
        <v>-1</v>
      </c>
      <c r="CP308">
        <f t="shared" si="903"/>
        <v>-1</v>
      </c>
      <c r="CQ308">
        <f t="shared" si="903"/>
        <v>-1</v>
      </c>
      <c r="CR308">
        <f t="shared" si="903"/>
        <v>-1</v>
      </c>
      <c r="CS308">
        <f t="shared" si="903"/>
        <v>-1</v>
      </c>
      <c r="CT308">
        <f t="shared" si="903"/>
        <v>-1</v>
      </c>
      <c r="CU308">
        <f t="shared" si="903"/>
        <v>-1</v>
      </c>
      <c r="CV308">
        <f t="shared" si="903"/>
        <v>-1</v>
      </c>
      <c r="CW308">
        <f t="shared" si="903"/>
        <v>-1</v>
      </c>
      <c r="CX308">
        <f t="shared" si="903"/>
        <v>-1</v>
      </c>
      <c r="CY308">
        <f t="shared" si="903"/>
        <v>-1</v>
      </c>
      <c r="CZ308">
        <f t="shared" si="903"/>
        <v>-1</v>
      </c>
      <c r="DA308">
        <f t="shared" si="903"/>
        <v>-1</v>
      </c>
      <c r="DB308">
        <f t="shared" si="903"/>
        <v>-1</v>
      </c>
      <c r="DC308">
        <f t="shared" si="903"/>
        <v>-1</v>
      </c>
      <c r="DD308">
        <f t="shared" si="903"/>
        <v>-1</v>
      </c>
      <c r="DE308">
        <f t="shared" si="903"/>
        <v>-1</v>
      </c>
      <c r="DF308">
        <f t="shared" si="903"/>
        <v>-1</v>
      </c>
      <c r="DG308">
        <f t="shared" si="903"/>
        <v>-1</v>
      </c>
      <c r="DH308">
        <f t="shared" si="903"/>
        <v>-1</v>
      </c>
      <c r="DI308">
        <f t="shared" si="903"/>
        <v>-1</v>
      </c>
      <c r="DJ308">
        <f t="shared" si="903"/>
        <v>-1</v>
      </c>
      <c r="DK308">
        <f t="shared" si="903"/>
        <v>-1</v>
      </c>
      <c r="DL308">
        <f t="shared" si="903"/>
        <v>-1</v>
      </c>
      <c r="DM308">
        <f t="shared" si="903"/>
        <v>-1</v>
      </c>
      <c r="DN308">
        <f t="shared" si="903"/>
        <v>-1</v>
      </c>
      <c r="DO308">
        <f t="shared" si="903"/>
        <v>-1</v>
      </c>
      <c r="DP308">
        <f t="shared" si="903"/>
        <v>-1</v>
      </c>
      <c r="DQ308">
        <f t="shared" si="903"/>
        <v>-1</v>
      </c>
      <c r="DR308">
        <f t="shared" si="903"/>
        <v>-1</v>
      </c>
      <c r="DS308">
        <f t="shared" si="903"/>
        <v>-1</v>
      </c>
      <c r="DT308">
        <f t="shared" si="903"/>
        <v>-1</v>
      </c>
      <c r="DU308">
        <f t="shared" si="903"/>
        <v>-1</v>
      </c>
      <c r="DV308">
        <f t="shared" si="903"/>
        <v>-1</v>
      </c>
      <c r="DW308">
        <f t="shared" si="903"/>
        <v>-1</v>
      </c>
      <c r="DX308">
        <f t="shared" si="903"/>
        <v>-1</v>
      </c>
      <c r="DY308">
        <f t="shared" si="903"/>
        <v>-1</v>
      </c>
      <c r="DZ308">
        <f t="shared" si="903"/>
        <v>-1</v>
      </c>
      <c r="EA308">
        <f t="shared" si="903"/>
        <v>-1</v>
      </c>
      <c r="EB308">
        <f t="shared" ref="EB308:EO308" si="904">IF(OR(EB307=-1,AND(IF(EB$3&lt;$B308,EB307+EB$6,IF(EB$3=$B308,1,""))&gt;$B$1,EB$3&lt;$B308)),-1,IF(EB$3&lt;$B308,EB307+EB$6,IF(EB$3=$B308,1,"")))</f>
        <v>-1</v>
      </c>
      <c r="EC308">
        <f t="shared" si="904"/>
        <v>-1</v>
      </c>
      <c r="ED308">
        <f t="shared" si="904"/>
        <v>-1</v>
      </c>
      <c r="EE308">
        <f t="shared" si="904"/>
        <v>-1</v>
      </c>
      <c r="EF308">
        <f t="shared" si="904"/>
        <v>-1</v>
      </c>
      <c r="EG308">
        <f t="shared" si="904"/>
        <v>-1</v>
      </c>
      <c r="EH308">
        <f t="shared" si="904"/>
        <v>-1</v>
      </c>
      <c r="EI308">
        <f t="shared" si="904"/>
        <v>-1</v>
      </c>
      <c r="EJ308">
        <f t="shared" si="904"/>
        <v>-1</v>
      </c>
      <c r="EK308">
        <f t="shared" si="904"/>
        <v>-1</v>
      </c>
      <c r="EL308">
        <f t="shared" si="904"/>
        <v>-1</v>
      </c>
      <c r="EM308">
        <f t="shared" si="904"/>
        <v>-1</v>
      </c>
      <c r="EN308">
        <f t="shared" si="904"/>
        <v>-1</v>
      </c>
      <c r="EO308">
        <f t="shared" si="904"/>
        <v>-1</v>
      </c>
    </row>
  </sheetData>
  <phoneticPr fontId="21" type="noConversion"/>
  <conditionalFormatting sqref="A1:B1">
    <cfRule type="cellIs" dxfId="0" priority="1" stopIfTrue="1" operator="less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Level1</vt:lpstr>
      <vt:lpstr>Level2</vt:lpstr>
      <vt:lpstr>Level3</vt:lpstr>
      <vt:lpstr>Monsters Stats</vt:lpstr>
      <vt:lpstr>TowerStats</vt:lpstr>
      <vt:lpstr>Monster-Tower</vt:lpstr>
      <vt:lpstr>Level 1 Calc</vt:lpstr>
      <vt:lpstr>Level1-PathMap</vt:lpstr>
      <vt:lpstr>Sheet1</vt:lpstr>
      <vt:lpstr>Template-LocationOverTime</vt:lpstr>
      <vt:lpstr>Level1-LocationOverTime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GDS</dc:creator>
  <cp:lastModifiedBy>Can</cp:lastModifiedBy>
  <dcterms:created xsi:type="dcterms:W3CDTF">2012-10-07T05:10:52Z</dcterms:created>
  <dcterms:modified xsi:type="dcterms:W3CDTF">2016-02-25T22:38:45Z</dcterms:modified>
</cp:coreProperties>
</file>